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P MANAGEMENT\01. Laporan Aging Utang Usaha\2026\"/>
    </mc:Choice>
  </mc:AlternateContent>
  <bookViews>
    <workbookView xWindow="0" yWindow="0" windowWidth="12020" windowHeight="6830"/>
  </bookViews>
  <sheets>
    <sheet name="Detail" sheetId="5" r:id="rId1"/>
    <sheet name="SIG-Listing AU Terkonsol +" sheetId="11" r:id="rId2"/>
    <sheet name="Rekap" sheetId="1" r:id="rId3"/>
    <sheet name="Lis Kategori Vendor" sheetId="8" r:id="rId4"/>
    <sheet name="SIG-Listing AU Terkonsol" sheetId="9" state="hidden" r:id="rId5"/>
    <sheet name="Validation" sheetId="10" r:id="rId6"/>
    <sheet name="Sheet2" sheetId="7" state="hidden" r:id="rId7"/>
    <sheet name="Sheet1" sheetId="6" state="hidden" r:id="rId8"/>
  </sheets>
  <externalReferences>
    <externalReference r:id="rId9"/>
    <externalReference r:id="rId10"/>
  </externalReferences>
  <definedNames>
    <definedName name="_xlnm._FilterDatabase" localSheetId="0" hidden="1">Detail!$A$12:$AC$15</definedName>
    <definedName name="_xlnm._FilterDatabase" localSheetId="3" hidden="1">'Lis Kategori Vendor'!$A$1:$D$1025</definedName>
    <definedName name="DD_Ts_Fin_Yr_End_Mth">[1]Time!$H$9</definedName>
    <definedName name="DD_Ts_Last_Hist_Mth">[1]Time!$H$25</definedName>
    <definedName name="FEBRUARI">[2]TB!$H:$H</definedName>
    <definedName name="HACC">[2]TB!$AE:$AE</definedName>
    <definedName name="JANUARI">[2]TB!$F:$F</definedName>
    <definedName name="MARET">[2]TB!$J:$J</definedName>
    <definedName name="Model_Name">[1]Overview!$B$2</definedName>
    <definedName name="Ts_Fcast_Per_ID">[1]Time!$H$29</definedName>
    <definedName name="Ts_Hist_Per_ID">[1]Time!$H$28</definedName>
    <definedName name="Ts_Mths_In_Half">[1]Lookups!$D$65</definedName>
    <definedName name="Ts_Mths_In_Qtr">[1]Lookups!$D$64</definedName>
    <definedName name="Ts_Mths_In_Yr">[1]Lookups!$D$66</definedName>
    <definedName name="Ts_Start_Date">[1]Time!$H$13</definedName>
    <definedName name="Ts_Term">[1]Time!$H$12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1" l="1"/>
  <c r="A3" i="11"/>
  <c r="A6" i="11" s="1"/>
  <c r="A7" i="11" s="1"/>
  <c r="A9" i="11" s="1"/>
  <c r="A30" i="11" s="1"/>
  <c r="A32" i="11" s="1"/>
  <c r="A34" i="11" s="1"/>
  <c r="A35" i="11" s="1"/>
  <c r="A3" i="9" l="1"/>
  <c r="A6" i="9" s="1"/>
  <c r="A7" i="9" s="1"/>
  <c r="A9" i="9" s="1"/>
  <c r="A17" i="9" s="1"/>
  <c r="A18" i="9" s="1"/>
  <c r="A19" i="9" s="1"/>
  <c r="A20" i="9" s="1"/>
  <c r="A21" i="9" s="1"/>
  <c r="A22" i="9" s="1"/>
  <c r="A28" i="9" s="1"/>
  <c r="A30" i="9" s="1"/>
  <c r="A32" i="9" s="1"/>
  <c r="A33" i="9" s="1"/>
  <c r="A34" i="9" s="1"/>
  <c r="A35" i="9" s="1"/>
  <c r="A36" i="9" s="1"/>
  <c r="G17" i="1" l="1"/>
  <c r="C7" i="1"/>
  <c r="E7" i="1"/>
  <c r="H7" i="1"/>
  <c r="I7" i="1"/>
  <c r="P7" i="1"/>
  <c r="Q7" i="1"/>
  <c r="G21" i="1"/>
  <c r="G20" i="1"/>
  <c r="G19" i="1"/>
  <c r="G15" i="1"/>
  <c r="P9" i="5" l="1"/>
  <c r="D7" i="1"/>
  <c r="G7" i="1"/>
  <c r="R13" i="5"/>
  <c r="K7" i="1" l="1"/>
  <c r="O7" i="1"/>
  <c r="R9" i="5"/>
  <c r="L7" i="1"/>
  <c r="S9" i="5"/>
  <c r="X13" i="5"/>
  <c r="U9" i="5" l="1"/>
  <c r="V9" i="5"/>
  <c r="W9" i="5"/>
  <c r="M7" i="1"/>
  <c r="N7" i="1" s="1"/>
  <c r="T9" i="5"/>
  <c r="R7" i="1"/>
  <c r="G18" i="1" l="1"/>
  <c r="G14" i="1"/>
  <c r="X9" i="5"/>
  <c r="X8" i="5" s="1"/>
  <c r="S7" i="1"/>
  <c r="G23" i="1" s="1"/>
  <c r="G16" i="1"/>
  <c r="J7" i="1"/>
  <c r="G22" i="1" l="1"/>
  <c r="F7" i="1"/>
  <c r="B7" i="1" s="1"/>
</calcChain>
</file>

<file path=xl/comments1.xml><?xml version="1.0" encoding="utf-8"?>
<comments xmlns="http://schemas.openxmlformats.org/spreadsheetml/2006/main">
  <authors>
    <author>LENOVO</author>
    <author>Septyani NC</author>
  </authors>
  <commentList>
    <comment ref="L10" authorId="0" shapeId="0">
      <text>
        <r>
          <rPr>
            <b/>
            <sz val="8"/>
            <color indexed="81"/>
            <rFont val="Tahoma"/>
            <family val="2"/>
          </rPr>
          <t>Kategori :</t>
        </r>
        <r>
          <rPr>
            <sz val="8"/>
            <color indexed="81"/>
            <rFont val="Tahoma"/>
            <family val="2"/>
          </rPr>
          <t xml:space="preserve">
1. BUMN
2. Third Parties
3. Interco
4. Afiliasi
</t>
        </r>
        <r>
          <rPr>
            <b/>
            <sz val="8"/>
            <color indexed="81"/>
            <rFont val="Tahoma"/>
            <family val="2"/>
          </rPr>
          <t>Cek diSheet  List Kategori Vendor</t>
        </r>
      </text>
    </comment>
    <comment ref="M10" authorId="0" shapeId="0">
      <text>
        <r>
          <rPr>
            <b/>
            <sz val="8"/>
            <color indexed="81"/>
            <rFont val="Tahoma"/>
            <family val="2"/>
          </rPr>
          <t xml:space="preserve">KategoriTransaksi :
</t>
        </r>
        <r>
          <rPr>
            <sz val="8"/>
            <color indexed="81"/>
            <rFont val="Tahoma"/>
            <family val="2"/>
          </rPr>
          <t>1. Third Parties (Afiliasi, BUMN &amp; Third Partiy)
2. ICS (Interco)</t>
        </r>
      </text>
    </comment>
    <comment ref="N10" authorId="0" shapeId="0">
      <text>
        <r>
          <rPr>
            <b/>
            <sz val="8"/>
            <color indexed="81"/>
            <rFont val="Tahoma"/>
            <family val="2"/>
          </rPr>
          <t xml:space="preserve">Jenis Transaksi :
</t>
        </r>
        <r>
          <rPr>
            <sz val="8"/>
            <color indexed="81"/>
            <rFont val="Tahoma"/>
            <family val="2"/>
          </rPr>
          <t>1. Non Semen
2. Semen</t>
        </r>
      </text>
    </comment>
    <comment ref="O10" authorId="1" shapeId="0">
      <text>
        <r>
          <rPr>
            <b/>
            <sz val="9"/>
            <color indexed="81"/>
            <rFont val="Tahoma"/>
            <family val="2"/>
          </rPr>
          <t>J</t>
        </r>
        <r>
          <rPr>
            <b/>
            <sz val="8"/>
            <color indexed="81"/>
            <rFont val="Tahoma"/>
            <family val="2"/>
          </rPr>
          <t>enis Pembayaran</t>
        </r>
        <r>
          <rPr>
            <sz val="8"/>
            <color indexed="81"/>
            <rFont val="Tahoma"/>
            <family val="2"/>
          </rPr>
          <t xml:space="preserve">
1. SCF
2. TT
3. SKBN
4. Kompensasi (TT)</t>
        </r>
      </text>
    </comment>
    <comment ref="P10" authorId="1" shapeId="0">
      <text>
        <r>
          <rPr>
            <b/>
            <sz val="8"/>
            <color indexed="81"/>
            <rFont val="Tahoma"/>
            <family val="2"/>
          </rPr>
          <t>Posisi Dokumen:</t>
        </r>
        <r>
          <rPr>
            <sz val="8"/>
            <color indexed="81"/>
            <rFont val="Tahoma"/>
            <family val="2"/>
          </rPr>
          <t xml:space="preserve">
1. Belum ditagihkan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8"/>
            <color indexed="81"/>
            <rFont val="Tahoma"/>
            <family val="2"/>
          </rPr>
          <t>masih di user/vendor
2. Dokumen di Verifikasi
3. Dokumen di Bendahara</t>
        </r>
      </text>
    </comment>
    <comment ref="Q10" authorId="0" shapeId="0">
      <text>
        <r>
          <rPr>
            <b/>
            <sz val="8"/>
            <color indexed="81"/>
            <rFont val="Tahoma"/>
            <family val="2"/>
          </rPr>
          <t xml:space="preserve">Status Dokumen :
</t>
        </r>
        <r>
          <rPr>
            <sz val="8"/>
            <color indexed="81"/>
            <rFont val="Tahoma"/>
            <family val="2"/>
          </rPr>
          <t>1. Proses Verifikasi Tagihan
2. Belum Ditagihkan
3. Siap Bayar (Collection/approval)</t>
        </r>
      </text>
    </comment>
    <comment ref="Y10" authorId="0" shapeId="0">
      <text>
        <r>
          <rPr>
            <b/>
            <sz val="9"/>
            <color indexed="81"/>
            <rFont val="Tahoma"/>
            <family val="2"/>
          </rPr>
          <t xml:space="preserve">Keterangan Masalah:
</t>
        </r>
        <r>
          <rPr>
            <sz val="9"/>
            <color indexed="81"/>
            <rFont val="Tahoma"/>
            <family val="2"/>
          </rPr>
          <t>1. Dokumen tdk lengkap
2. Kontrak belum selesai
3. Dokumen kembali ke unit kerja
4. Menunggu jadwal pembayaran / Siap Bayar
5. Ppn
6. Rekonsiliasi Karena nilai tidak sesuai 
7. Menjaga Cashflow
8. Menunggu JT SCF/SKBND (Inv vendor lunas tetapi secara SAP masih outstanding karena JT SCF/SKBDN)
9. Lain lain
Mohon di detailkan di keterangan lain2 dikolom Z</t>
        </r>
      </text>
    </comment>
  </commentList>
</comments>
</file>

<file path=xl/sharedStrings.xml><?xml version="1.0" encoding="utf-8"?>
<sst xmlns="http://schemas.openxmlformats.org/spreadsheetml/2006/main" count="3312" uniqueCount="1158">
  <si>
    <t>Rp Juta</t>
  </si>
  <si>
    <t>Total utang</t>
  </si>
  <si>
    <t>Afiliasi</t>
  </si>
  <si>
    <t>BUMN</t>
  </si>
  <si>
    <t>Total utang JT
Belum dibayar</t>
  </si>
  <si>
    <t>Belum ditagih</t>
  </si>
  <si>
    <t>Belum JT</t>
  </si>
  <si>
    <t>Telah JT</t>
  </si>
  <si>
    <t>Total</t>
  </si>
  <si>
    <t>REKAP UTANG JT BELUM DIBAYAR</t>
  </si>
  <si>
    <t>Kode</t>
  </si>
  <si>
    <t>Sebab</t>
  </si>
  <si>
    <t>Dokumen tidak lengkap</t>
  </si>
  <si>
    <t>Kontrak belum selesai</t>
  </si>
  <si>
    <t>Lain-lain</t>
  </si>
  <si>
    <t>Remark</t>
  </si>
  <si>
    <t>Rekap AP Third Party</t>
  </si>
  <si>
    <t>Utang JT</t>
  </si>
  <si>
    <t>Nama Vendor</t>
  </si>
  <si>
    <t>1-45 Days</t>
  </si>
  <si>
    <t>46-135 Days</t>
  </si>
  <si>
    <t>136-365 Days</t>
  </si>
  <si>
    <t>Over 365 Days</t>
  </si>
  <si>
    <t>TOTAL</t>
  </si>
  <si>
    <t>Dokumen kembali ke unit kerja</t>
  </si>
  <si>
    <t>Asli</t>
  </si>
  <si>
    <t>Menunggu Jadwal Pembayaran / Siap Bayar</t>
  </si>
  <si>
    <t>Jenis Pembayaran</t>
  </si>
  <si>
    <t>Umur Hutang</t>
  </si>
  <si>
    <t>Posting Date</t>
  </si>
  <si>
    <t>Amount</t>
  </si>
  <si>
    <t>Keterangan Masalah</t>
  </si>
  <si>
    <t>Description Text</t>
  </si>
  <si>
    <t>Keterangan atas Lain - Lain</t>
  </si>
  <si>
    <t>Jatuh Tempo</t>
  </si>
  <si>
    <t xml:space="preserve">Aging Hutang </t>
  </si>
  <si>
    <t>CoCd</t>
  </si>
  <si>
    <t>TOP</t>
  </si>
  <si>
    <t>Document Date</t>
  </si>
  <si>
    <t>Jenis Transaksi</t>
  </si>
  <si>
    <t>Posisi Dokumen</t>
  </si>
  <si>
    <t>Status Dokumen</t>
  </si>
  <si>
    <t>PT. XXXXXX</t>
  </si>
  <si>
    <t>PT. XXXXXXXX</t>
  </si>
  <si>
    <t>1.Apakah ARR di semua tau Anak Usaha tau?</t>
  </si>
  <si>
    <t>2. Untuk menentukan Jatuh Tempo dari TOP perlu adanya Collect Date, dan Collect date tersebut apakah Anak Usaha Tau ?</t>
  </si>
  <si>
    <t>TOP (Blm &amp; Jatuh Tempo)</t>
  </si>
  <si>
    <t>Third Parties</t>
  </si>
  <si>
    <t xml:space="preserve">SCF </t>
  </si>
  <si>
    <t>0</t>
  </si>
  <si>
    <t>Range Top</t>
  </si>
  <si>
    <t xml:space="preserve">&gt; TOP </t>
  </si>
  <si>
    <t>Aging</t>
  </si>
  <si>
    <t>Reguler</t>
  </si>
  <si>
    <t>SCF</t>
  </si>
  <si>
    <t>ICS</t>
  </si>
  <si>
    <t>Nomor Invoice</t>
  </si>
  <si>
    <t xml:space="preserve">Doc. Number </t>
  </si>
  <si>
    <t>Time of Payment</t>
  </si>
  <si>
    <t>Interco</t>
  </si>
  <si>
    <t>Umur/Aging Hutang</t>
  </si>
  <si>
    <t>Kategori Vendor</t>
  </si>
  <si>
    <t>Due Date</t>
  </si>
  <si>
    <t>Sesuai dengan Kontrak</t>
  </si>
  <si>
    <t>Time of Payment (angka)</t>
  </si>
  <si>
    <t>Kategori Transaksi</t>
  </si>
  <si>
    <t>Swasta</t>
  </si>
  <si>
    <t>Bendahara</t>
  </si>
  <si>
    <t>Company Code</t>
  </si>
  <si>
    <t>Kode OpCo/AP/Afiliasi</t>
  </si>
  <si>
    <t>Ppn</t>
  </si>
  <si>
    <t>Rekonsiliasi Karena nilai tidak sesuai</t>
  </si>
  <si>
    <t>Menjaga Cashflow</t>
  </si>
  <si>
    <t>Menunggu JT SCF/SKBND (Inv vendor lunas tetapi SAP/system  masih outstanding karena JT SCF/SKBDN)</t>
  </si>
  <si>
    <t>INVOICE CLEAR &amp; CLEAN -STATUS DOK DI BENDAHARA</t>
  </si>
  <si>
    <t>Related Party Intercompany/Afiliasi/BUMN</t>
  </si>
  <si>
    <t>Default Alias Table</t>
  </si>
  <si>
    <t>Rel_Interco Cement</t>
  </si>
  <si>
    <t xml:space="preserve">Semen Padang </t>
  </si>
  <si>
    <t xml:space="preserve">Semen Tonasa </t>
  </si>
  <si>
    <t xml:space="preserve">Thang Long Cement Company </t>
  </si>
  <si>
    <t xml:space="preserve">Semen Gresik </t>
  </si>
  <si>
    <t xml:space="preserve">Semen Indonesia Aceh </t>
  </si>
  <si>
    <t>Rel_Interco Non Cement</t>
  </si>
  <si>
    <t xml:space="preserve">Industri Kemasan Semen Gresik </t>
  </si>
  <si>
    <t xml:space="preserve">Semen Kupang Indonesia </t>
  </si>
  <si>
    <t xml:space="preserve">Semen Indonesia Logistik </t>
  </si>
  <si>
    <t xml:space="preserve">Kawasan Industri Gresik </t>
  </si>
  <si>
    <t xml:space="preserve">United Tractors Semen Gresik </t>
  </si>
  <si>
    <t xml:space="preserve">Sinergi Mitra Investama </t>
  </si>
  <si>
    <t xml:space="preserve">Semen Indonesia Beton </t>
  </si>
  <si>
    <t xml:space="preserve">Sinergi Informatika Semen Indonesia </t>
  </si>
  <si>
    <t xml:space="preserve">Semen Indonesia Internasional </t>
  </si>
  <si>
    <t xml:space="preserve">Semen Indonesia Industri Bangunan </t>
  </si>
  <si>
    <t xml:space="preserve">Solusi Bangun Indonesia </t>
  </si>
  <si>
    <t xml:space="preserve">Semen Baturaja </t>
  </si>
  <si>
    <t>Rel_Afiliasi</t>
  </si>
  <si>
    <t xml:space="preserve">Swadaya Graha </t>
  </si>
  <si>
    <t xml:space="preserve">Mitra Kiara Indonesia </t>
  </si>
  <si>
    <t xml:space="preserve">Krakatau Semen Indonesia </t>
  </si>
  <si>
    <t xml:space="preserve">Bima Sepaja Abadi </t>
  </si>
  <si>
    <t xml:space="preserve">Sepatim Batamtama </t>
  </si>
  <si>
    <t xml:space="preserve">Thang Long Cement Company 2 (TLCC 2) </t>
  </si>
  <si>
    <t xml:space="preserve">An Phu Cement Joint Stock Company (APCC) </t>
  </si>
  <si>
    <t xml:space="preserve">Varia Usaha Lintas Segara (VULS) </t>
  </si>
  <si>
    <t xml:space="preserve">Varia Usaha Bahari (VUBA) </t>
  </si>
  <si>
    <t xml:space="preserve">Varia Usaha Dharma Segara (VUDS) </t>
  </si>
  <si>
    <t xml:space="preserve">Semen Indonesia Distributor (SID) </t>
  </si>
  <si>
    <t xml:space="preserve">Varia Usaha Fabrikasi (VUFA) </t>
  </si>
  <si>
    <t xml:space="preserve">Varia Usaha Beton (VUB) </t>
  </si>
  <si>
    <t xml:space="preserve">Semen Indonesia Internasional Trading </t>
  </si>
  <si>
    <t xml:space="preserve">Baturaja Multiusaha </t>
  </si>
  <si>
    <t xml:space="preserve">Solusi Bangun Andalas </t>
  </si>
  <si>
    <t xml:space="preserve">Solusi Bangun Beton </t>
  </si>
  <si>
    <t xml:space="preserve">Readymix Concrete Indonesia </t>
  </si>
  <si>
    <t xml:space="preserve">Aroma Sejahtera Indonesia </t>
  </si>
  <si>
    <t xml:space="preserve">Ciptanugrah Indonesia </t>
  </si>
  <si>
    <t xml:space="preserve">Langkat Mineral Indonesia </t>
  </si>
  <si>
    <t xml:space="preserve">Aroma Cipta Anugrahtama </t>
  </si>
  <si>
    <t xml:space="preserve">Pendawa Lestari Perkasa </t>
  </si>
  <si>
    <t xml:space="preserve">Mega Sejahtera Bersama </t>
  </si>
  <si>
    <t xml:space="preserve">Sinergi Mitra Operasi Rembang </t>
  </si>
  <si>
    <t xml:space="preserve">SBI Bangun Nusantara </t>
  </si>
  <si>
    <t xml:space="preserve">Cibinong International Finance Company B.V </t>
  </si>
  <si>
    <t xml:space="preserve">Koperasi Warga Semen Gresik </t>
  </si>
  <si>
    <t xml:space="preserve">PT Konsulta Semen Gresik </t>
  </si>
  <si>
    <t xml:space="preserve">PT Swabina Gatra </t>
  </si>
  <si>
    <t xml:space="preserve">PT Cipta Nirmala </t>
  </si>
  <si>
    <t xml:space="preserve">PT Swabina Gatra Travel </t>
  </si>
  <si>
    <t xml:space="preserve">Semen Gresik Foundation </t>
  </si>
  <si>
    <t xml:space="preserve">Rumah Sakit Semen Padang </t>
  </si>
  <si>
    <t xml:space="preserve">Koperasi Karyawan Warga Varia Usaha Beton </t>
  </si>
  <si>
    <t xml:space="preserve">Koperasi Keluarga Besar Semen Padang </t>
  </si>
  <si>
    <t xml:space="preserve">Koperasi Karyawan Semen Tonasa </t>
  </si>
  <si>
    <t xml:space="preserve">Koperasi Karyawan Usaha Sejahtera Bersama </t>
  </si>
  <si>
    <t xml:space="preserve">Semen Indonesia Foundation </t>
  </si>
  <si>
    <t xml:space="preserve">PT EMKL Topabiring </t>
  </si>
  <si>
    <t xml:space="preserve">Kabau Sirah Semen Padang </t>
  </si>
  <si>
    <t xml:space="preserve">Pasoka Sumber Karya </t>
  </si>
  <si>
    <t xml:space="preserve">PBM Biringkasi Raya </t>
  </si>
  <si>
    <t xml:space="preserve">Pelayaran Tonasa Lines </t>
  </si>
  <si>
    <t xml:space="preserve">Prima Karya Manunggal </t>
  </si>
  <si>
    <t xml:space="preserve">Sumatera Utara Perkasa Semen </t>
  </si>
  <si>
    <t xml:space="preserve">Yasiga Sarana Utama </t>
  </si>
  <si>
    <t xml:space="preserve">Koperasi Warga UTSG </t>
  </si>
  <si>
    <t xml:space="preserve">Koperasi Karyawan Semen Baturaja </t>
  </si>
  <si>
    <t xml:space="preserve">Baturaja Daya Insani </t>
  </si>
  <si>
    <t xml:space="preserve">Dana Pensiun Semen Gresik </t>
  </si>
  <si>
    <t xml:space="preserve">Dana Pensiun Semen Padang </t>
  </si>
  <si>
    <t xml:space="preserve">Dana Pensiun Semen Tonasa </t>
  </si>
  <si>
    <t>Rel_BUMN</t>
  </si>
  <si>
    <t>PT ASABRI (Persero)</t>
  </si>
  <si>
    <t>PT Adhi Karya (Persero) Tbk</t>
  </si>
  <si>
    <t>PT Adhi Persada Properti</t>
  </si>
  <si>
    <t>PT Adhi Persada Gedung</t>
  </si>
  <si>
    <t>PT Adhi Persada Beton</t>
  </si>
  <si>
    <t>PT Adhi Commuter Properti</t>
  </si>
  <si>
    <t>PT Mega Graha Citra Perkasa</t>
  </si>
  <si>
    <t>PT Dumai Tirta Persada</t>
  </si>
  <si>
    <t>PT Jalintim Adhi abipraya</t>
  </si>
  <si>
    <t>PT Adhi Jalintim Riau</t>
  </si>
  <si>
    <t>PT Reasuransi Indonesia Utama (Persero)</t>
  </si>
  <si>
    <t>PT Asuransi Asei Indonesia</t>
  </si>
  <si>
    <t>PT Reasuransi Syariah Indonesia</t>
  </si>
  <si>
    <t>PT Asuransi Jiwasraya (Persero)</t>
  </si>
  <si>
    <t>PT Amarta Karya (Persero)</t>
  </si>
  <si>
    <t>Perum Lembaga Kantor Berita Nasional Antara</t>
  </si>
  <si>
    <t>PT Antara Kencana Utama Estate Limited</t>
  </si>
  <si>
    <t>PT. ANTARA Elektronik Transaksi Pratama (Sebelumnya PT. IMQ Multimedia Utama)</t>
  </si>
  <si>
    <t>PT ASDP Indonesia Ferry (Persero)</t>
  </si>
  <si>
    <t>PT Indonesia Ferry Property</t>
  </si>
  <si>
    <t>PT Jembatan Nusantara</t>
  </si>
  <si>
    <t>PT Barata Indonesia (Persero)</t>
  </si>
  <si>
    <t>PT Bank Negara Indonesia (Persero) Tbk</t>
  </si>
  <si>
    <t>PT BNI Sekuritas</t>
  </si>
  <si>
    <t>PT BNI Asset Management</t>
  </si>
  <si>
    <t>BNI Securities Pte. Ltd</t>
  </si>
  <si>
    <t>PT BNI Life Insurance</t>
  </si>
  <si>
    <t>PT BNI Multifinance</t>
  </si>
  <si>
    <t>BNI Remittance Ltd</t>
  </si>
  <si>
    <t>PT Bank Mayora</t>
  </si>
  <si>
    <t>PT BNI Modal Ventura</t>
  </si>
  <si>
    <t>PT Bank Rakyat Indonesia (Persero) Tbk</t>
  </si>
  <si>
    <t>PT BRI Agroniaga Tbk</t>
  </si>
  <si>
    <t>BRI Remittance Co Ltd Hong Kong</t>
  </si>
  <si>
    <t>PT Asuransi BRI Life</t>
  </si>
  <si>
    <t>PT BRI Multifinance Indonesia</t>
  </si>
  <si>
    <t>PT BRI Danareksa Sekuritas</t>
  </si>
  <si>
    <t>PT BRI Ventura Investama</t>
  </si>
  <si>
    <t>PT BRI Asuransi Indonesia</t>
  </si>
  <si>
    <t>PT Pegadaian</t>
  </si>
  <si>
    <t>PT Balai Lelang Artha Gasia (Beku Operasi)</t>
  </si>
  <si>
    <t>PT Pesonna Optima Jasa</t>
  </si>
  <si>
    <t>PT Pesonna Indonesia Jaya</t>
  </si>
  <si>
    <t>PT Pegadaian Galeri Dua Empat</t>
  </si>
  <si>
    <t>PT Permodalan Nasional Madani</t>
  </si>
  <si>
    <t>PT PNM Investment Management</t>
  </si>
  <si>
    <t>PT Mitra Niaga Madani</t>
  </si>
  <si>
    <t>PT PNM Ventura Capital Syariah</t>
  </si>
  <si>
    <t>PT Mitra Bisnis Madani</t>
  </si>
  <si>
    <t>PT Micro Madani Institute</t>
  </si>
  <si>
    <t>PT Mitra Dagang Madani</t>
  </si>
  <si>
    <t>PT Mitra Tekno Madani</t>
  </si>
  <si>
    <t>PT Mitra Proteksi Madani</t>
  </si>
  <si>
    <t>PT Mitra Utama Madani</t>
  </si>
  <si>
    <t>PT Karya Digital Madani</t>
  </si>
  <si>
    <t>PT PNM Ventura Capital</t>
  </si>
  <si>
    <t>PT. Danareksa Investment Management</t>
  </si>
  <si>
    <t>PT Bank Tabungan Negara (Persero) Tbk</t>
  </si>
  <si>
    <t>PT BioFarma (Persero)</t>
  </si>
  <si>
    <t>PT Kimia Farma Tbk</t>
  </si>
  <si>
    <t>PT Kimia Farma Apotek</t>
  </si>
  <si>
    <t>PT Kimia Farma Diagnostik</t>
  </si>
  <si>
    <t>PT Kimia Farma Trading dan Distribution</t>
  </si>
  <si>
    <t>PT Sinkona Indonesia Lestari</t>
  </si>
  <si>
    <t>PT Kimia Farma Sungwun Pharmacopia</t>
  </si>
  <si>
    <t>Kimia Farma Dawaa Co. Ltd</t>
  </si>
  <si>
    <t>PT Phapros Tbk</t>
  </si>
  <si>
    <t>PT Lucas Djaja</t>
  </si>
  <si>
    <t>PT Marin Liza Farmasi</t>
  </si>
  <si>
    <t>PT Indofarma Tbk</t>
  </si>
  <si>
    <t>PT Indofarma Global Medika</t>
  </si>
  <si>
    <t>PT Farmalab Indoutama</t>
  </si>
  <si>
    <t>PT Industri Nuklir Indonesia (Persero)</t>
  </si>
  <si>
    <t>PT Bina Karya (Persero)</t>
  </si>
  <si>
    <t>PT Bank Mandiri (Persero) Tbk</t>
  </si>
  <si>
    <t>PT Bank Syariah Indonesia Tbk</t>
  </si>
  <si>
    <t>PT Bank Mandiri Taspen</t>
  </si>
  <si>
    <t>Bank Mandiri Europe Limited</t>
  </si>
  <si>
    <t>PT Mandiri Tunas Finance</t>
  </si>
  <si>
    <t>PT Mandiri Utama Finance</t>
  </si>
  <si>
    <t>Mandiri International Remittance Sdn Bhd</t>
  </si>
  <si>
    <t>PT AXA Mandiri Financial Services</t>
  </si>
  <si>
    <t>PT Asuransi Jiwa Inhealth Indonesia</t>
  </si>
  <si>
    <t>PT FitAja Digital Nusantara</t>
  </si>
  <si>
    <t>PT Mandiri Capital Indonesia</t>
  </si>
  <si>
    <t>PT Mitra Transaksi Indonesia</t>
  </si>
  <si>
    <t>PT Mandiri Sekuritas</t>
  </si>
  <si>
    <t>PT Mandiri Manajemen Investasi</t>
  </si>
  <si>
    <t>Mandiri Sekuritas Pte Ltd</t>
  </si>
  <si>
    <t>PT Boma Bisma Indra (Persero)</t>
  </si>
  <si>
    <t>PT Bromo Steel Indonesia</t>
  </si>
  <si>
    <t>PT Bahana Pembinaan Usaha Indonesia (Persero)</t>
  </si>
  <si>
    <t>PT Asuransi Kredit Indonesia</t>
  </si>
  <si>
    <t>PT Jaminan Pembiayaan Askrindo Syariah</t>
  </si>
  <si>
    <t>PT Reasuransi Nasional Indonesia</t>
  </si>
  <si>
    <t>PT Askrindo Mitra Utama</t>
  </si>
  <si>
    <t>PT Jasa Raharja</t>
  </si>
  <si>
    <t>PT Jasaraharja Putera</t>
  </si>
  <si>
    <t>PT Bahana Securities</t>
  </si>
  <si>
    <t>PT Grahaniaga Tata Utama</t>
  </si>
  <si>
    <t>PT Bahana Artha Ventura</t>
  </si>
  <si>
    <t>PT Sarana Jakarta Ventura</t>
  </si>
  <si>
    <t>PT Sarana Bengkulu Ventura</t>
  </si>
  <si>
    <t>PT Sarana Jabar Ventura</t>
  </si>
  <si>
    <t>PT Sarana Jatim Ventura</t>
  </si>
  <si>
    <t>PT Sarana Yogya Ventura</t>
  </si>
  <si>
    <t>PT Sarana Kaltim Ventura</t>
  </si>
  <si>
    <t>PT Sarana Lampung Ventura</t>
  </si>
  <si>
    <t>PT Sarana Sumbar Ventura</t>
  </si>
  <si>
    <t>PT Sarana Riau Ventura</t>
  </si>
  <si>
    <t>PT Sarana Jambi Ventura</t>
  </si>
  <si>
    <t>PT Sarana Jateng Ventura</t>
  </si>
  <si>
    <t>PT Sarana Surakarta Ventura</t>
  </si>
  <si>
    <t>PT Sarana Bali Ventura</t>
  </si>
  <si>
    <t>PT Sarana NTB Ventura</t>
  </si>
  <si>
    <t>PT Sarana Kalteng Ventura</t>
  </si>
  <si>
    <t>PT Sarana Kalsel Ventura</t>
  </si>
  <si>
    <t>PT Sarana Kalbar Ventura</t>
  </si>
  <si>
    <t>PT Sarana Sulsel Ventura</t>
  </si>
  <si>
    <t>PT Sarana Sulut Ventura</t>
  </si>
  <si>
    <t>PT Sarana Sultra Ventura</t>
  </si>
  <si>
    <t>PT Sarana Sulteng Ventura</t>
  </si>
  <si>
    <t>PT Sarana Maluku Ventura</t>
  </si>
  <si>
    <t>PT Sarana Papua Ventura</t>
  </si>
  <si>
    <t>PT Jaminan Kredit Indonesia</t>
  </si>
  <si>
    <t>PT Penjaminan Jamkrindo Syariah</t>
  </si>
  <si>
    <t>PT Asuransi Jasa Indonesia</t>
  </si>
  <si>
    <t>PT Asuransi Jasindo Syariah</t>
  </si>
  <si>
    <t>PT Mitra Cipta Polasarana</t>
  </si>
  <si>
    <t>PT Bahana TCW Investment Management</t>
  </si>
  <si>
    <t>PT Asuransi Jiwa IFG</t>
  </si>
  <si>
    <t>PT Mitrasraya Adhijasa</t>
  </si>
  <si>
    <t>PT Bahana Kapital Investa</t>
  </si>
  <si>
    <t>PT Bahana Mitra Investa</t>
  </si>
  <si>
    <t>PT Brantas Abipraya (Persero)</t>
  </si>
  <si>
    <t>PT Brantas Energi</t>
  </si>
  <si>
    <t>PT Brantas Cakrawala Energi</t>
  </si>
  <si>
    <t>PT Brantas Prospek Energi</t>
  </si>
  <si>
    <t>PT Brantas Hidro Energi</t>
  </si>
  <si>
    <t>PT Minahasa Brantas Energi</t>
  </si>
  <si>
    <t>PT Perjaya Bravo Energi</t>
  </si>
  <si>
    <t>PT Sahung Brantas Energi</t>
  </si>
  <si>
    <t>PT Brantas Adya Surya Energi</t>
  </si>
  <si>
    <t>PT Bantas Nipajaya Energi</t>
  </si>
  <si>
    <t>PT Abipraya Nusantara Energi</t>
  </si>
  <si>
    <t>PT Brantas Prospek Mandiri</t>
  </si>
  <si>
    <t>PT Brantas Energi Mandiri</t>
  </si>
  <si>
    <t>PT Brantas Mahalona Energi</t>
  </si>
  <si>
    <t>PT Brantas Prospek Enjineering</t>
  </si>
  <si>
    <t>PT Brantas Total Energi</t>
  </si>
  <si>
    <t>PT Limbong Hidro Energi</t>
  </si>
  <si>
    <t>PT Tiar Daya Hidro</t>
  </si>
  <si>
    <t>PT Rantepao Hidro Energi</t>
  </si>
  <si>
    <t>PT Gadang Hidro Energi</t>
  </si>
  <si>
    <t>PT Graha Investama Bersama</t>
  </si>
  <si>
    <t>PT Guna Rogate Indonesia</t>
  </si>
  <si>
    <t>PT Buana Enjiniring Konsultan</t>
  </si>
  <si>
    <t>PT Primissima (Persero)</t>
  </si>
  <si>
    <t>PT Djakarta Lloyd (Persero)</t>
  </si>
  <si>
    <t>PT Dharma Lautan Nusantara</t>
  </si>
  <si>
    <t>Perum Damri</t>
  </si>
  <si>
    <t>PT Danareksa (Persero)</t>
  </si>
  <si>
    <t>PT Danareksa Finance</t>
  </si>
  <si>
    <t>PT Danareksa Capital</t>
  </si>
  <si>
    <t>PT Reksasentosa Dinamika</t>
  </si>
  <si>
    <t>PT Jalin Pembayaran Nusantara</t>
  </si>
  <si>
    <t>PT Kawasan Berikat Nusantara</t>
  </si>
  <si>
    <t>PT KBN Prima Logistik</t>
  </si>
  <si>
    <t>PT KBN Graha Medika</t>
  </si>
  <si>
    <t>PT Marunda Bandar Indonesia</t>
  </si>
  <si>
    <t>PT Kawasan Industri Wijayakusuma</t>
  </si>
  <si>
    <t>PT Putra Wijayakusuma Sakti</t>
  </si>
  <si>
    <t>PT Kawasan Industri Terpadu Batang</t>
  </si>
  <si>
    <t>PT Kawasan Industri Medan</t>
  </si>
  <si>
    <t>PT Kawasan Industri Makassar</t>
  </si>
  <si>
    <t>PT SIER</t>
  </si>
  <si>
    <t>PT SIER Puspa Utama</t>
  </si>
  <si>
    <t>PT Perusahaan Pengelola Aset</t>
  </si>
  <si>
    <t>PT PPA Finance</t>
  </si>
  <si>
    <t>PT PPA Kapital</t>
  </si>
  <si>
    <t>PT Nindya Karya</t>
  </si>
  <si>
    <t>PT Nindya Beton</t>
  </si>
  <si>
    <t>PT Nindya Tirta Unggul</t>
  </si>
  <si>
    <t>PT Kliring Berjangka Indonesia</t>
  </si>
  <si>
    <t>PT Kliring Perdagangan Berjangka Indonesia</t>
  </si>
  <si>
    <t>PT Balai Pustaka</t>
  </si>
  <si>
    <t>PT Dok dan Perkapalan Kodja Bahari (Persero)</t>
  </si>
  <si>
    <t>PT Indonesian Air &amp; Marine Supply</t>
  </si>
  <si>
    <t>PT Kodja Terramarin</t>
  </si>
  <si>
    <t>PT Dok dan Perkapalan Surabaya (Persero)</t>
  </si>
  <si>
    <t>PT Dok dan Perkapalan Waiame</t>
  </si>
  <si>
    <t>PT Garuda Indonesia (Persero) Tbk</t>
  </si>
  <si>
    <t>PT Garuda Maintenance Facility Aero Asia Tbk</t>
  </si>
  <si>
    <t>PT Garuda Daya Pratama Sejahtera</t>
  </si>
  <si>
    <t>PT Garuda Energi Logistik dan Komersial</t>
  </si>
  <si>
    <t>PT Aero Wisata</t>
  </si>
  <si>
    <t>PT Aero Hotel Management</t>
  </si>
  <si>
    <t>PT Belitung Intipermai</t>
  </si>
  <si>
    <t>PT Mirtasari Hotel Development</t>
  </si>
  <si>
    <t>PT Bina Inti Dinamika</t>
  </si>
  <si>
    <t>PT Aerofood Indonesia</t>
  </si>
  <si>
    <t>PT Aero Globe Indonesia</t>
  </si>
  <si>
    <t>PT Aerojasa Cargo</t>
  </si>
  <si>
    <t>PT Aerojasa Perkasa</t>
  </si>
  <si>
    <t>PT GIH Indonesia</t>
  </si>
  <si>
    <t>PT Garuda Indonesia Air Charter</t>
  </si>
  <si>
    <t>Garuda Orient Holidays Japan Co Ltd</t>
  </si>
  <si>
    <t>Garuda Orient Holidays Korea Co Ltd</t>
  </si>
  <si>
    <t>PT Aerotrans Service Indonesia</t>
  </si>
  <si>
    <t>PT Citilink Indonesia</t>
  </si>
  <si>
    <t>PT Aero Systems Indonesia</t>
  </si>
  <si>
    <t>PT Sabre Travel Network Indonesia</t>
  </si>
  <si>
    <t>Garuda Indonesia Holiday France S.A.S</t>
  </si>
  <si>
    <t>PT Hutama Karya (Persero)</t>
  </si>
  <si>
    <t>PT HK Realtindo</t>
  </si>
  <si>
    <t>PT Nusa Pratama Property</t>
  </si>
  <si>
    <t>PT HaKaAston</t>
  </si>
  <si>
    <t>PT Semen Indogreen Sentosa</t>
  </si>
  <si>
    <t>PT HK Infrastruktur</t>
  </si>
  <si>
    <t>PT Petronesia Benimel</t>
  </si>
  <si>
    <t>PT Bhirawa Steel</t>
  </si>
  <si>
    <t>EPC Energy Singapore Pte. Ltd</t>
  </si>
  <si>
    <t>PT Hutama Marga Waskita</t>
  </si>
  <si>
    <t>PT Bakeuheni Terbagi Besar Toll</t>
  </si>
  <si>
    <t>PT Medan Binjai Toll</t>
  </si>
  <si>
    <t>PT Terbanggi Besar Kayu Agung Toll</t>
  </si>
  <si>
    <t>PT Indah Karya (Persero)</t>
  </si>
  <si>
    <t>PT Indra Karya (Persero)</t>
  </si>
  <si>
    <t>PT Iglas (Persero)</t>
  </si>
  <si>
    <t>PT Industri Kereta Api (Persero)</t>
  </si>
  <si>
    <t>PT INKA Multi Solusi</t>
  </si>
  <si>
    <t>PT INKA Multi Solusi Service</t>
  </si>
  <si>
    <t>PT INKA Multi Solusi Trading</t>
  </si>
  <si>
    <t>PT INKA Multi Solusi Consulting</t>
  </si>
  <si>
    <t>PT Rekaindo Global Jasa</t>
  </si>
  <si>
    <t>PT Industri Kapal Indonesia (Persero)</t>
  </si>
  <si>
    <t>PT Indonesia Asahan Aluminium (Persero)</t>
  </si>
  <si>
    <t>PT Bukit Asam Tbk</t>
  </si>
  <si>
    <t>PT Batubara Bukit Kendi</t>
  </si>
  <si>
    <t>PT Bukit Asam Prima</t>
  </si>
  <si>
    <t>PT Bukit Prima Bahari</t>
  </si>
  <si>
    <t>PT Pelabuhan Bukit Prima</t>
  </si>
  <si>
    <t>PT Internasional Prima Coal</t>
  </si>
  <si>
    <t>PT Bukit Asam Metana Ombilin</t>
  </si>
  <si>
    <t>PT Bukit Asam Metana Enim</t>
  </si>
  <si>
    <t>PT Bukit Asam Banko</t>
  </si>
  <si>
    <t>PT Bukit Multi Investama</t>
  </si>
  <si>
    <t>PT Bumi Sawindo Permai</t>
  </si>
  <si>
    <t>PT Bukit Asam Medika</t>
  </si>
  <si>
    <t>PT Satria Bahana Sarana</t>
  </si>
  <si>
    <t>PT Bukit Multi Properti</t>
  </si>
  <si>
    <t>PT Bukit Energi Investama</t>
  </si>
  <si>
    <t>PT Bukit Energi Service Terpadu</t>
  </si>
  <si>
    <t>PT Aneka Tambang Tbk</t>
  </si>
  <si>
    <t>PT Indonesia Chemical Alumina</t>
  </si>
  <si>
    <t>PT Cibaliung Sumber Daya</t>
  </si>
  <si>
    <t>Asia Pacific Nickel Pty Ltd</t>
  </si>
  <si>
    <t>PT Gag Nikel</t>
  </si>
  <si>
    <t>PT Antam Resourcindo</t>
  </si>
  <si>
    <t>PT Nusa Karya Arindo</t>
  </si>
  <si>
    <t>PT Sumberdaya Arindo</t>
  </si>
  <si>
    <t>PT Emas Antam Indonesia</t>
  </si>
  <si>
    <t>PT Mega Citra Utama</t>
  </si>
  <si>
    <t>PT Gunung Kendaik</t>
  </si>
  <si>
    <t>PT International Mineral Capital</t>
  </si>
  <si>
    <t>PT Feni Haltim</t>
  </si>
  <si>
    <t>PT Indonesia Coal Resources</t>
  </si>
  <si>
    <t>PT Citra Tobindo Sukses Perkasa</t>
  </si>
  <si>
    <t>PT Dwimitra Enggang Khatulistiwa</t>
  </si>
  <si>
    <t>PT Borneo Edo International</t>
  </si>
  <si>
    <t>PT Borneo Edo Sejahtera</t>
  </si>
  <si>
    <t>PT Borneo Edo International Agro</t>
  </si>
  <si>
    <t>PT Kawasan Industri Antam Timur</t>
  </si>
  <si>
    <t>PT Timah Tbk</t>
  </si>
  <si>
    <t>PT Dok dan Perkapalan Air Kantung</t>
  </si>
  <si>
    <t>PT Timah Karya Persada Properti</t>
  </si>
  <si>
    <t>PT Tanjung Alam Jaya</t>
  </si>
  <si>
    <t>PT Timah Industri</t>
  </si>
  <si>
    <t>Great Force Trading Ltd</t>
  </si>
  <si>
    <t>PT Timah Investasi Mineral</t>
  </si>
  <si>
    <t>PT Tim Nikel Sejahtera</t>
  </si>
  <si>
    <t>PT Tim Indotama Mineral</t>
  </si>
  <si>
    <t>PT Timah Agro Manunggal</t>
  </si>
  <si>
    <t>Indometal London Ltd</t>
  </si>
  <si>
    <t>Timah International Investment Pte Ltd</t>
  </si>
  <si>
    <t>PT Nasional Hijau Lestari</t>
  </si>
  <si>
    <t>PT Borneo Alumina Indonesia</t>
  </si>
  <si>
    <t>PT Indonesia Alumunium Alloy</t>
  </si>
  <si>
    <t>PT Indonesia Papua Metal dan Mineral</t>
  </si>
  <si>
    <t>MIND ID TRADING Pte Ltd</t>
  </si>
  <si>
    <t>PT Industri Sandang Nusantara (Persero)</t>
  </si>
  <si>
    <t>PT Industri Telekomunikasi Indonesia (Persero)</t>
  </si>
  <si>
    <t>PT Inti Pindad Mitra Sejati</t>
  </si>
  <si>
    <t>PT Inti Konten Indonesia</t>
  </si>
  <si>
    <t>PT Istaka Karya (Persero)</t>
  </si>
  <si>
    <t>PT Pengembangan Pariwisata Indonesia (Persero)</t>
  </si>
  <si>
    <t>PT ITDC Nusantara Properti</t>
  </si>
  <si>
    <t>PT MGPA Nusantara Jaya</t>
  </si>
  <si>
    <t>PT Merese Mandalika Nusantara</t>
  </si>
  <si>
    <t>PT ITDC Nusantara Xplorin</t>
  </si>
  <si>
    <t>PT ITDC Nusantara Utilitas</t>
  </si>
  <si>
    <t>PT Jasa Marga (Persero) Tbk</t>
  </si>
  <si>
    <t>PT Jasamarga Transjawa Tol</t>
  </si>
  <si>
    <t>PT Marga Trans Nusantara</t>
  </si>
  <si>
    <t>PT Marga Sarana Jabar</t>
  </si>
  <si>
    <t>PT Jasamarga Bali Tol</t>
  </si>
  <si>
    <t>PT Jalantol Lingkarluar Jakarta</t>
  </si>
  <si>
    <t>PT Jasamarga Tollroad Operator</t>
  </si>
  <si>
    <t>PT Jasamarga Related Business</t>
  </si>
  <si>
    <t>PT Jasamarga Rest Area Batang</t>
  </si>
  <si>
    <t>PT Asiana Jakarta Properti</t>
  </si>
  <si>
    <t>PT Jasamarga Tollroad Maintenance</t>
  </si>
  <si>
    <t>PT Jasamarga Surabaya Mojokerto</t>
  </si>
  <si>
    <t>PT Jasamarga Jalanlayang Cikampek</t>
  </si>
  <si>
    <t>PT Jasamarga Gempol Pasuruan</t>
  </si>
  <si>
    <t>PT Cinere Serpong Jaya</t>
  </si>
  <si>
    <t>PT Jasamarga Probolinggo Banyuwangi</t>
  </si>
  <si>
    <t>PT Jasamarga Manado Bitung</t>
  </si>
  <si>
    <t>PT Jasamarga Kunciran Cengkareng</t>
  </si>
  <si>
    <t>PT Jasamarga Kualanamu Tol</t>
  </si>
  <si>
    <t>PT Jasamarga Jogja Bawen</t>
  </si>
  <si>
    <t>PT Jasamarga Balikpapan Samarinda</t>
  </si>
  <si>
    <t>PT Jasamarga Japek Selatan</t>
  </si>
  <si>
    <t>Perum Jasa Tirta I</t>
  </si>
  <si>
    <t>PT Jasa Tirta Energi</t>
  </si>
  <si>
    <t>PT Surya Energi Kobatama</t>
  </si>
  <si>
    <t>Perum Jasa Tirta II</t>
  </si>
  <si>
    <t>PT Jasa Tirta Luhur</t>
  </si>
  <si>
    <t>PT Tegar Mandiri Cemerlang</t>
  </si>
  <si>
    <t>PT Krakatau Steel (Persero) Tbk</t>
  </si>
  <si>
    <t>PT Krakatau Sarana Infrastruktur</t>
  </si>
  <si>
    <t>PT Krakatau Bandar Samudra</t>
  </si>
  <si>
    <t>PT Krakatau Jasa Logistik</t>
  </si>
  <si>
    <t>PT Krakatau Samudera Solusi (sebelumnya Wahana Sentana Baja)</t>
  </si>
  <si>
    <t>PT Krakatau Jasa Samudera (sebelumnya Multi Sentana Baja</t>
  </si>
  <si>
    <t>PT Krakatau Tirta Industri</t>
  </si>
  <si>
    <t>PT Krakatau Tirta Operasi dan Pemeliharaan</t>
  </si>
  <si>
    <t>PT Krakatau Daya Listrik</t>
  </si>
  <si>
    <t>PT Krakatau Jasa Industri (sebelumnya Purna Sentana Baja)</t>
  </si>
  <si>
    <t>PT Mitra Rakata</t>
  </si>
  <si>
    <t>PT Krakatau Sarana Properti</t>
  </si>
  <si>
    <t>PT Krakatau Information Technology</t>
  </si>
  <si>
    <t>PT Krakatau Baja Konstruksi (sebelumnya Krakatau Wijatama)</t>
  </si>
  <si>
    <t>PT Krakatau Global Trading (sebelumnya Krakatau National Resources)</t>
  </si>
  <si>
    <t>PT Krakatau Niaga Indonesia</t>
  </si>
  <si>
    <t>PT Krakatau Pipe Industries (sebelumnya KHI Pipe Industries)</t>
  </si>
  <si>
    <t>PT Krakatau Perbengkelan dan Perawatan</t>
  </si>
  <si>
    <t>PT Sigma Mitra Sejati</t>
  </si>
  <si>
    <t>PT Krakatau Engineering</t>
  </si>
  <si>
    <t>PT Krakatau Konsultan</t>
  </si>
  <si>
    <t>PT Meratus Jaya Iron &amp; Steel</t>
  </si>
  <si>
    <t>PT Kertas Kraft Aceh (Persero)</t>
  </si>
  <si>
    <t>PT Kertas Leces (Persero) (dalam pailit)</t>
  </si>
  <si>
    <t>PT LEN Industri (Persero)</t>
  </si>
  <si>
    <t>PT Eltran Indonesia</t>
  </si>
  <si>
    <t>PT LEN IOTI Fintech</t>
  </si>
  <si>
    <t>PT Surya Energi Indotama</t>
  </si>
  <si>
    <t>PT LEN Railway Systems</t>
  </si>
  <si>
    <t>PT LEN Rekaprima Semesta</t>
  </si>
  <si>
    <t>PT LEN Telekomunikasi Indonesia</t>
  </si>
  <si>
    <t>PT Pindad</t>
  </si>
  <si>
    <t>PT Pindad Enjiniring Indonesia</t>
  </si>
  <si>
    <t>PT Pindad Medika Utama</t>
  </si>
  <si>
    <t>PT Pindad International Logistic</t>
  </si>
  <si>
    <t>PT Pindad Global Source &amp; Trading</t>
  </si>
  <si>
    <t>PT Dirgantara Indonesia</t>
  </si>
  <si>
    <t>PT Nusantara Turbin dan Populasi</t>
  </si>
  <si>
    <t>IPTN North America Inc</t>
  </si>
  <si>
    <t>PT PAL Indonesia</t>
  </si>
  <si>
    <t>PT PAL Marine Service</t>
  </si>
  <si>
    <t>PT Dahana</t>
  </si>
  <si>
    <t>PT Dahana Investama Corp.</t>
  </si>
  <si>
    <t>PT Kaltim Amonium Nitrat</t>
  </si>
  <si>
    <t>PT Merpati Nusantara Airlines (Persero)</t>
  </si>
  <si>
    <t>PT Merpati Maintenance Facility</t>
  </si>
  <si>
    <t>PT Merpati Training Centre</t>
  </si>
  <si>
    <t>PT Biro Klasifikasi Indonesia (Persero)</t>
  </si>
  <si>
    <t>PT Sucofindo</t>
  </si>
  <si>
    <t>PT Sucofindo Advisory Utama</t>
  </si>
  <si>
    <t>PT Sucofindo Episi</t>
  </si>
  <si>
    <t>PT Surveyor Indonesia</t>
  </si>
  <si>
    <t>PT Surveyor Carbon Consulting International</t>
  </si>
  <si>
    <t>PT Synergi Tata International</t>
  </si>
  <si>
    <t>Perum BULOG</t>
  </si>
  <si>
    <t>PT Jasa Prima Logistik</t>
  </si>
  <si>
    <t>PT Gendhis Multi Manis</t>
  </si>
  <si>
    <t>PT PDI Pulau Batam (Persero)</t>
  </si>
  <si>
    <t>PT Pelabuhan Indonesia (Persero)</t>
  </si>
  <si>
    <t>PT Pelindo Multi Terminal</t>
  </si>
  <si>
    <t>PT Pelabuhan Tanjung Priok</t>
  </si>
  <si>
    <t>PT Indonesia Kendaraan Terminal Tbk</t>
  </si>
  <si>
    <t>PT Pelindo Solusi Logistik</t>
  </si>
  <si>
    <t>PT Prima Pengembangan Kawasan</t>
  </si>
  <si>
    <t>PT Prima Indonesia Logistik</t>
  </si>
  <si>
    <t>PT Prima Multi Peralatan</t>
  </si>
  <si>
    <t>PT Multi Terminal Indonesia</t>
  </si>
  <si>
    <t>PT Akses Pelabuhan Indonesia</t>
  </si>
  <si>
    <t>PT Cibitung Tanjung Priok Port Tollways</t>
  </si>
  <si>
    <t>PT Menara Maritim Indonesia</t>
  </si>
  <si>
    <t>PT Nusantara Terminal Services</t>
  </si>
  <si>
    <t>PT Intan Sejahtera Utama</t>
  </si>
  <si>
    <t>PT Pelindo Terminal Petikemas</t>
  </si>
  <si>
    <t>PT Prima Terminal Peti Kemas</t>
  </si>
  <si>
    <t>PT Berlian Jasa Terminal Indonesia</t>
  </si>
  <si>
    <t>PT Berlian Manyar Sejahtera</t>
  </si>
  <si>
    <t>PT Pelindo Properti Indonesia</t>
  </si>
  <si>
    <t>PT Berkah Industri Mesin Angkat</t>
  </si>
  <si>
    <t>PT Terminal Curah Semarang</t>
  </si>
  <si>
    <t>PT Terminal Teluk Lamong</t>
  </si>
  <si>
    <t>PT Lamong Energi Indonesia</t>
  </si>
  <si>
    <t>PT Terminal Petikemas Surabaya</t>
  </si>
  <si>
    <t>PT Pelindo 3 - TPK</t>
  </si>
  <si>
    <t>PT IPC Terminal Petikemas</t>
  </si>
  <si>
    <t>PT Kaltim Kariangau Terminal</t>
  </si>
  <si>
    <t>PT Pelindo Jasa Maritim</t>
  </si>
  <si>
    <t>PT Jasa Peralatan Pelabuhan Indonesia</t>
  </si>
  <si>
    <t>PT Jasa Armada Indonesia Tbk</t>
  </si>
  <si>
    <t>PT Energi Pelabuhan Indonesia</t>
  </si>
  <si>
    <t>PT Pengerukan Indonesia</t>
  </si>
  <si>
    <t>PT Equiport Inti Indonesia</t>
  </si>
  <si>
    <t>PT Pelindo Marine Service</t>
  </si>
  <si>
    <t>PT Alur Pelayaran Barat Surabaya</t>
  </si>
  <si>
    <t>PT Pelindo Energi Logistik</t>
  </si>
  <si>
    <t>PT Berkah Multi Cargo</t>
  </si>
  <si>
    <t>PT Prima Multi Terminal</t>
  </si>
  <si>
    <t>PT Prima Husada Cipta Medan</t>
  </si>
  <si>
    <t>PT Pelabuhan Indonesia Investama</t>
  </si>
  <si>
    <t>PT Pendidikan Maritim dan Logistik Indonesia</t>
  </si>
  <si>
    <t>PT Integrasi Logistik Cipta Solusi</t>
  </si>
  <si>
    <t>PT Electronic Data Interchange Indonesia</t>
  </si>
  <si>
    <t>PT Pelindo Daya Sejahtera</t>
  </si>
  <si>
    <t>PT Tanjung Emas Daya Sejahtera</t>
  </si>
  <si>
    <t>TPK KOJA</t>
  </si>
  <si>
    <t>Perum Perhutani</t>
  </si>
  <si>
    <t>PT Inhutani I</t>
  </si>
  <si>
    <t>PT ITCI Kayan Hutani</t>
  </si>
  <si>
    <t>PT Hutan Sanggam Berau</t>
  </si>
  <si>
    <t>PT IDEC Abadiwood Industries</t>
  </si>
  <si>
    <t>PT Gema Hutani Lestari</t>
  </si>
  <si>
    <t>PT Surya Hutani Jaya</t>
  </si>
  <si>
    <t>PT Intraca Wood  Manufacturing</t>
  </si>
  <si>
    <t>PT Hutan Mahligai</t>
  </si>
  <si>
    <t>PT Bhinneka Wana</t>
  </si>
  <si>
    <t>PT ITCI Hutani Manunggal</t>
  </si>
  <si>
    <t>PT Gunung Gajah Abadi</t>
  </si>
  <si>
    <t>PT Ratah Timber</t>
  </si>
  <si>
    <t>PT Roda Mas Timber Kalimantan</t>
  </si>
  <si>
    <t>PT Segara Indochem</t>
  </si>
  <si>
    <t>PT Perintis Adiwana</t>
  </si>
  <si>
    <t>PT Inhutani V</t>
  </si>
  <si>
    <t>PT Tusam Hutani Lestari</t>
  </si>
  <si>
    <t>PT Palawi Risorsis</t>
  </si>
  <si>
    <t>PT Penggaron Sarana Semesta</t>
  </si>
  <si>
    <t>PT BUMN Hijau Lestari I</t>
  </si>
  <si>
    <t>PT Kereta Api Indonesia (Persero)</t>
  </si>
  <si>
    <t>PT Reska Multi Usaha</t>
  </si>
  <si>
    <t>PT KA Pariwisata</t>
  </si>
  <si>
    <t>PT Kereta Commuter Indonesia</t>
  </si>
  <si>
    <t>PT KA Logistik</t>
  </si>
  <si>
    <t>PT KA Properti Manajemen</t>
  </si>
  <si>
    <t>PT Railink</t>
  </si>
  <si>
    <t>PT Pelayaran Nasional Indonesia (Persero)</t>
  </si>
  <si>
    <t>PT Pelita Indonesia Djaya Corporation</t>
  </si>
  <si>
    <t>PT Pelita Bandar Nasional</t>
  </si>
  <si>
    <t>PT Sarana Bandar Nasional</t>
  </si>
  <si>
    <t>PT Sarana Bandar Logistik</t>
  </si>
  <si>
    <t>PT Sarana Bandar Indotrading</t>
  </si>
  <si>
    <t>PT Perkebunan Nusantara III (Persero)</t>
  </si>
  <si>
    <t>PT Perkebunan Nusantara I</t>
  </si>
  <si>
    <t>PT Cut Meutia Medika Nusantara</t>
  </si>
  <si>
    <t>PT Perkebunan Nusantara II</t>
  </si>
  <si>
    <t>PT Nusa Dua Bekala</t>
  </si>
  <si>
    <t>PT Tembakau Deli Medika</t>
  </si>
  <si>
    <t>PT Nusa Dua Propertindo</t>
  </si>
  <si>
    <t>PT Perkebunan Nusantara IV</t>
  </si>
  <si>
    <t>PT Sinergi Perkebunan Nusantara</t>
  </si>
  <si>
    <t>PT Prima Medica Nusantara</t>
  </si>
  <si>
    <t>PT Agro Sinergi Nusantara</t>
  </si>
  <si>
    <t>PT Perkebunan Nusantara V</t>
  </si>
  <si>
    <t>PT Nusa Lima Medika</t>
  </si>
  <si>
    <t>PT Perkebunan Nusantara VI</t>
  </si>
  <si>
    <t>PT Alam Lestari Nusantara</t>
  </si>
  <si>
    <t>PT Perkebunan Nusantara VII</t>
  </si>
  <si>
    <t>PT Karya Nusa Tujuh</t>
  </si>
  <si>
    <t>PT Optima Nusa Tujuh</t>
  </si>
  <si>
    <t>PT Buma Cima Nusantara</t>
  </si>
  <si>
    <t>PT Perkebunan Nusantara VIII</t>
  </si>
  <si>
    <t>PT Agro Medika Nusantara</t>
  </si>
  <si>
    <t>PT Perkebunan Nusantara IX</t>
  </si>
  <si>
    <t>PT Perkebunan Nusantara X</t>
  </si>
  <si>
    <t>PT Dasaplast Nusantara</t>
  </si>
  <si>
    <t>PT Energi Agro Nusantara</t>
  </si>
  <si>
    <t>PT Mitratani Dua Tujuh</t>
  </si>
  <si>
    <t>PT Perkebunan Nusantara XI</t>
  </si>
  <si>
    <t>PT Perkebunan Nusantara XII</t>
  </si>
  <si>
    <t>PT Rolas Nusantara Mandiri</t>
  </si>
  <si>
    <t>PT Industri Gula Glenmore</t>
  </si>
  <si>
    <t>PT Rolas Nusantara Tambang</t>
  </si>
  <si>
    <t>PT Perkebunan Nusantara XIII</t>
  </si>
  <si>
    <t>PT Kalimantan Medika Nusantara</t>
  </si>
  <si>
    <t>PT Nusantara Batulicin</t>
  </si>
  <si>
    <t>PT Perkebunan Nusantara XIV</t>
  </si>
  <si>
    <t>PT Berkah Cenning Tebu (PT BCT)</t>
  </si>
  <si>
    <t>PT Industri Gula Tinaggea</t>
  </si>
  <si>
    <t>PT Industri Karet Nusantara</t>
  </si>
  <si>
    <t>PT Japan Indonesia China Wood</t>
  </si>
  <si>
    <t>PT Industri Nabati Lestari</t>
  </si>
  <si>
    <t>PT Sri Pamela Medika Nusantara</t>
  </si>
  <si>
    <t>PT Kawasan Industri Nusantara</t>
  </si>
  <si>
    <t>PT Sei Mangkei Nusantara Tiga</t>
  </si>
  <si>
    <t>PT Kharisma Pemasaran Bersama Nusantara</t>
  </si>
  <si>
    <t>PT KPBN Niaga</t>
  </si>
  <si>
    <t>PT Kurnia Multi Komoditas</t>
  </si>
  <si>
    <t>PT Riset Perkebunan Nusantara</t>
  </si>
  <si>
    <t>PT Bio Industri Nusantara</t>
  </si>
  <si>
    <t>PT LPP Agro Nusantara</t>
  </si>
  <si>
    <t>PT Sinergi Gula Nusantara</t>
  </si>
  <si>
    <t>Perum LPPNPI</t>
  </si>
  <si>
    <t>Perum Percetakan Negara Republik Indonesia</t>
  </si>
  <si>
    <t>PT Pos Indonesia (Persero)</t>
  </si>
  <si>
    <t>PT Pos Finansial Indonesia</t>
  </si>
  <si>
    <t>PT Pos Logistik Indonesia</t>
  </si>
  <si>
    <t>PT Pos Properti Indonesia</t>
  </si>
  <si>
    <t>Perum Produksi Film Negara</t>
  </si>
  <si>
    <t>PT Perusahaan Listrik Negara (Persero)</t>
  </si>
  <si>
    <t>PT Indonesia Power</t>
  </si>
  <si>
    <t>PT Cogindo Daya Bersama</t>
  </si>
  <si>
    <t>PT Artha Daya Coalindo</t>
  </si>
  <si>
    <t>PT Indo Ridlatama Power</t>
  </si>
  <si>
    <t>PT Putra Indo Tenaga</t>
  </si>
  <si>
    <t>PT. Indo Tenaga Hijau</t>
  </si>
  <si>
    <t>PT. Suralaya Indo Tenaga</t>
  </si>
  <si>
    <t>PT Putra Suralaya Indotenaga</t>
  </si>
  <si>
    <t>PT Pembangkitan Jawa Bali</t>
  </si>
  <si>
    <t>PT PJB Service</t>
  </si>
  <si>
    <t>PT. Mitra Karya Prima</t>
  </si>
  <si>
    <t>PT. Sertifikasi Kompetensi Pembangkitan tenaga Listrik</t>
  </si>
  <si>
    <t>PT Rekadaya Elektrika</t>
  </si>
  <si>
    <t>PT. Rekadaya Elektrika Consult</t>
  </si>
  <si>
    <t>PT Navigat Innovative Indonesia</t>
  </si>
  <si>
    <t>PT PJB Investasi</t>
  </si>
  <si>
    <t>PT. PJB Investindo</t>
  </si>
  <si>
    <t>PT Pembangkitan Jawa Baskara Investasi Cirata</t>
  </si>
  <si>
    <t>PT Prima Layanan Niaga Suku Cadang</t>
  </si>
  <si>
    <t>PT Pelayanan Listrik Nasional Batam</t>
  </si>
  <si>
    <t>PT Pelayanan Energi Batam</t>
  </si>
  <si>
    <t>PT Haleyora Power</t>
  </si>
  <si>
    <t>PT Haleyora Powerindo</t>
  </si>
  <si>
    <t>PT PLN Batubara</t>
  </si>
  <si>
    <t>PT PLNBB Investasi</t>
  </si>
  <si>
    <t>PT. Bangun Persada Jambi Energi</t>
  </si>
  <si>
    <t>PT. Mahakarya Abadi Prima</t>
  </si>
  <si>
    <t>PT. Banyan Koalindo Lestari</t>
  </si>
  <si>
    <t>PT. Prima Bara Indonesia</t>
  </si>
  <si>
    <t>PT PLNBB Niaga</t>
  </si>
  <si>
    <t>PT Jambi Prima Coal</t>
  </si>
  <si>
    <t>PT PLN Gas dan Geothermal</t>
  </si>
  <si>
    <t>PT PLN Tarakan</t>
  </si>
  <si>
    <t>PT Paguntaka Cahaya Nusantara</t>
  </si>
  <si>
    <t>PT Prima Layanan Nasional Enjinering</t>
  </si>
  <si>
    <t>PT Prima Power Nusantara</t>
  </si>
  <si>
    <t>PT Pelayaran Bahtera Adhiguna</t>
  </si>
  <si>
    <t>PT Energy Management Indonesia</t>
  </si>
  <si>
    <t>PT Energi Biomasa Indonesia</t>
  </si>
  <si>
    <t>PT Indonesia Comnets Plus</t>
  </si>
  <si>
    <t>PT Mandau Cipta Tenaga Nusantara</t>
  </si>
  <si>
    <t>Majapahit Holding BV</t>
  </si>
  <si>
    <t>Majapahit Finance BV</t>
  </si>
  <si>
    <t>PT PANN (Persero)</t>
  </si>
  <si>
    <t>PT PANN Pembiayaan Maritim</t>
  </si>
  <si>
    <t>Perum Pengangkutan Penumpang Djakarta</t>
  </si>
  <si>
    <t>Perum Perumnas</t>
  </si>
  <si>
    <t>PT Propernas Griya Utama</t>
  </si>
  <si>
    <t>PT Propernas Nusa Dua</t>
  </si>
  <si>
    <t>Perumnas IIDA Group</t>
  </si>
  <si>
    <t>PT Pupuk Indonesia (Persero)</t>
  </si>
  <si>
    <t>PT Petrokimia Gresik</t>
  </si>
  <si>
    <t>PT Petrosida Gresik</t>
  </si>
  <si>
    <t>PT Petrokimia Kayaku</t>
  </si>
  <si>
    <t>PT Pupuk Kujang Cikampek</t>
  </si>
  <si>
    <t>PT Sintas Kurama Perdana</t>
  </si>
  <si>
    <t>PT Kawasan Industri Kujang Cikampek</t>
  </si>
  <si>
    <t>PT Pupuk Kalimantan Timur</t>
  </si>
  <si>
    <t>PT Kaltim Industrial Estate</t>
  </si>
  <si>
    <t>PT Kaltim Jasa Sekuriti</t>
  </si>
  <si>
    <t>PT Kaltim Adhiguna Dermaga</t>
  </si>
  <si>
    <t>PT Pupuk Iskandar Muda</t>
  </si>
  <si>
    <t>PT PIM Prima Medika</t>
  </si>
  <si>
    <t>PT Pupuk Sriwidjaja Palembang</t>
  </si>
  <si>
    <t>PT Pusri Agro Lestari</t>
  </si>
  <si>
    <t>PT Rekayasa Industri</t>
  </si>
  <si>
    <t>PT Yasa Industri Nusantara</t>
  </si>
  <si>
    <t>PT Rekayasa Engineering</t>
  </si>
  <si>
    <t>PT Rekayasa Cakrawala Resources</t>
  </si>
  <si>
    <t>PT Recon Sarana Utama</t>
  </si>
  <si>
    <t>PT Tracon Industri</t>
  </si>
  <si>
    <t>PT Tracon Industri Solusindo</t>
  </si>
  <si>
    <t>Rekayasa Industri Malaysia Sdn Bhd</t>
  </si>
  <si>
    <t>PT Rekind Daya Mamuju</t>
  </si>
  <si>
    <t>PT Puspetindo</t>
  </si>
  <si>
    <t>PT Pupuk Indonesia Niaga (Sebelumnya PT Mega Eltra)</t>
  </si>
  <si>
    <t>PT Sigma Utama</t>
  </si>
  <si>
    <t>PT Pupuk Indonesia Logistik</t>
  </si>
  <si>
    <t>PT Pupuk Indonesia Energi</t>
  </si>
  <si>
    <t>PT Kaltim Daya Mandiri</t>
  </si>
  <si>
    <t>PT KDM Agro Energy</t>
  </si>
  <si>
    <t>PT Banyumas Energi Lestari</t>
  </si>
  <si>
    <t>PT Pupuk Indonesia Pangan</t>
  </si>
  <si>
    <t>PT Pertamina (Persero)</t>
  </si>
  <si>
    <t>PT Pertamina Hulu Energi</t>
  </si>
  <si>
    <t>PT PHE Jabung</t>
  </si>
  <si>
    <t>PT PHE Tomori Sulawesi</t>
  </si>
  <si>
    <t>PT PHE Jambi Merang</t>
  </si>
  <si>
    <t>PT PHE Simenggaris</t>
  </si>
  <si>
    <t>PT PHE Salawati</t>
  </si>
  <si>
    <t>PT PHE Raja Tempirai</t>
  </si>
  <si>
    <t>PT PHE Gebang North Sumatera</t>
  </si>
  <si>
    <t>PT PHE South Jambi B</t>
  </si>
  <si>
    <t>PT PHE Kakap</t>
  </si>
  <si>
    <t>PT PHE Tuban East Java</t>
  </si>
  <si>
    <t>PT PHE Ogan Komering</t>
  </si>
  <si>
    <t>PT PHE West Madura Offshore</t>
  </si>
  <si>
    <t>PT PHE Tengah K</t>
  </si>
  <si>
    <t>PT PHE Corridor</t>
  </si>
  <si>
    <t>PT PHE Salawati Basin</t>
  </si>
  <si>
    <t>PT PHE Makassar Strait</t>
  </si>
  <si>
    <t>PT PHE NSO (Ex Pasiriaman)</t>
  </si>
  <si>
    <t>PT PHE Coastal Plains Pekanbaru</t>
  </si>
  <si>
    <t>PT PHE Tuban</t>
  </si>
  <si>
    <t>PT PHE Offshore North West Java (PHE ONWJ)</t>
  </si>
  <si>
    <t>PHE ONWJ LLC</t>
  </si>
  <si>
    <t>PHE OSES</t>
  </si>
  <si>
    <t>PT PHE Semai II</t>
  </si>
  <si>
    <t>PT PHE Metana Kalimantan A</t>
  </si>
  <si>
    <t>PT PHE Metana Kalimantan B</t>
  </si>
  <si>
    <t>PT PHE Metana Sumatera Tanjung Enim</t>
  </si>
  <si>
    <t>PT PHE Metana Sumatera 2</t>
  </si>
  <si>
    <t>PT PHE West Glagah Kambuna</t>
  </si>
  <si>
    <t>PT PHE Randugunting</t>
  </si>
  <si>
    <t>PT PHE Metana Sumatera 1</t>
  </si>
  <si>
    <t>PT PHE Metana Sumatera 5</t>
  </si>
  <si>
    <t>PT PHE Metan Tanjung II</t>
  </si>
  <si>
    <t>PT PHE Metan Tanjung IV</t>
  </si>
  <si>
    <t>PT PHE Metana Suban I</t>
  </si>
  <si>
    <t>PT PHE Metana Suban II</t>
  </si>
  <si>
    <t>PT PHE Metana Sumatera 3</t>
  </si>
  <si>
    <t>PT PHE Metana Sumatera 4</t>
  </si>
  <si>
    <t>PT PHE Metana Sumatera 6</t>
  </si>
  <si>
    <t>PT PHE Metana Sumatera 7</t>
  </si>
  <si>
    <t>PT PHE MNK Sumatera Utara</t>
  </si>
  <si>
    <t>PT PHE Babar Selaru</t>
  </si>
  <si>
    <t>PT PHE NSB (Ex Kalyani)</t>
  </si>
  <si>
    <t>PT PHE Siak</t>
  </si>
  <si>
    <t>PT PHE East Sepinggan</t>
  </si>
  <si>
    <t>PT PHE Abar</t>
  </si>
  <si>
    <t>PT PHE Anggursi</t>
  </si>
  <si>
    <t>PHE Nunukan Company</t>
  </si>
  <si>
    <t>PHE Ambalat Ltd</t>
  </si>
  <si>
    <t>PHE Bukat Ltd</t>
  </si>
  <si>
    <t>PHE Oil &amp; Gas</t>
  </si>
  <si>
    <t>PT PHE Ambalat Timur</t>
  </si>
  <si>
    <t>PT PHE Arun</t>
  </si>
  <si>
    <t>PT PHE Kampar</t>
  </si>
  <si>
    <t>PT PHE Lepas Pantai Bunyu</t>
  </si>
  <si>
    <t>PT PHE MNK Sakakemang</t>
  </si>
  <si>
    <t>PT PHE South East Jambi</t>
  </si>
  <si>
    <t>PT Pertamina EP</t>
  </si>
  <si>
    <t>PT Pertamina EP Cepu</t>
  </si>
  <si>
    <t>PT Pertamina EP Cepu Alas Dara dan Kemuning</t>
  </si>
  <si>
    <t>PT Pertamina Internasional Eksplorasi dan Produksi</t>
  </si>
  <si>
    <t>PT Pertamina Irak EP</t>
  </si>
  <si>
    <t>PT Pertamina Algeria EP</t>
  </si>
  <si>
    <t>PT Pertamina Malaysia EP</t>
  </si>
  <si>
    <t>Maurel et Prom</t>
  </si>
  <si>
    <t>PT Elnusa Tbk</t>
  </si>
  <si>
    <t>PT Elnusa Fabrikasi Konstruksi</t>
  </si>
  <si>
    <t>PT Elnusa Patra Ritel</t>
  </si>
  <si>
    <t>PT Sigma Cipta Utama</t>
  </si>
  <si>
    <t>PT Patra Nusa Data</t>
  </si>
  <si>
    <t>PT Elnusa Petrofin</t>
  </si>
  <si>
    <t>PT Elnusa Trans Samudera</t>
  </si>
  <si>
    <t>PT Elnusa Geosains Indonesia</t>
  </si>
  <si>
    <t>PT Elnusa Oilfield Services</t>
  </si>
  <si>
    <t>PT Pertamina Hulu Indonesia</t>
  </si>
  <si>
    <t>PT Pertamina Hulu Mahakam</t>
  </si>
  <si>
    <t>PT Pertamina Hulu Attaka</t>
  </si>
  <si>
    <t>PT Pertamina Hulu Sanga Sanga</t>
  </si>
  <si>
    <t>PT Pertamina Hulu Kalimantan Timur</t>
  </si>
  <si>
    <t>PT Pertamina Drilling Services Indonesia</t>
  </si>
  <si>
    <t>PT Patra Drilling Contractor</t>
  </si>
  <si>
    <t>PT Pertamina Hulu Rokan</t>
  </si>
  <si>
    <t>PT Kilang Pertamina International</t>
  </si>
  <si>
    <t>PT Kilang Pertamina Balikpapan</t>
  </si>
  <si>
    <t>PT Pertamina Patra Niaga</t>
  </si>
  <si>
    <t>PT Patra Logistik</t>
  </si>
  <si>
    <t>PT Badak Arun Solusi</t>
  </si>
  <si>
    <t>PT Patra Trading</t>
  </si>
  <si>
    <t>Pertamina International Marketing and Distribution PTe Ltd</t>
  </si>
  <si>
    <t>PT Pertamina Retail</t>
  </si>
  <si>
    <t>PT Pertamina Lubricants</t>
  </si>
  <si>
    <t>Pertamina Lubricants (Thailand) Co Ltd</t>
  </si>
  <si>
    <t>PT Pertamina International Timor SA</t>
  </si>
  <si>
    <t>PT Perusahaan Gas Negara Tbk</t>
  </si>
  <si>
    <t>PT Pertamina Gas</t>
  </si>
  <si>
    <t>PT Pertagas Niaga</t>
  </si>
  <si>
    <t>PT Perta Arun Gas</t>
  </si>
  <si>
    <t>PT Saka Energi Indonesia</t>
  </si>
  <si>
    <t>PT Saka Energi Sumatera</t>
  </si>
  <si>
    <t>PT Saka Ketapang Perdana</t>
  </si>
  <si>
    <t>PT Saka Indonesia Sesulu</t>
  </si>
  <si>
    <t>PT Saka Bangkanai Klemantan</t>
  </si>
  <si>
    <t>PT Saka Energi Muara Bakau</t>
  </si>
  <si>
    <t>PT Saka Energi International</t>
  </si>
  <si>
    <t>PT Saka Energi Bangkanai Barat</t>
  </si>
  <si>
    <t>PT Saka Energi Investasi</t>
  </si>
  <si>
    <t>PT Saka Energi Wokam</t>
  </si>
  <si>
    <t>Saka Indonesia Pangkah BV</t>
  </si>
  <si>
    <t>Saka Overseas Assets Holding B.V</t>
  </si>
  <si>
    <t>PT PGN LNG Indonesia</t>
  </si>
  <si>
    <t>PT Lamong Nusantara Gas</t>
  </si>
  <si>
    <t>PT Gagas Energi Indonesia</t>
  </si>
  <si>
    <t>PT Widar Mandripa Indonesia</t>
  </si>
  <si>
    <t>PT PGAS Solution</t>
  </si>
  <si>
    <t>PT Solusi Energy Nusantara</t>
  </si>
  <si>
    <t>PT PGAS Telekomunikasi Nusantara</t>
  </si>
  <si>
    <t>PGAS Telecommunications International Pte Ltd</t>
  </si>
  <si>
    <t>PT Telemedia Dinamika Sarana</t>
  </si>
  <si>
    <t>PT Permata Graha Nusantara</t>
  </si>
  <si>
    <t>PT Kalimantan Jawa Gas</t>
  </si>
  <si>
    <t>PT Pertamina Power Indonesia</t>
  </si>
  <si>
    <t>PT Pertamina Geothermal Energy</t>
  </si>
  <si>
    <t>PT PGE Kotamobagu</t>
  </si>
  <si>
    <t>PT Geothermal Energi Seulawah</t>
  </si>
  <si>
    <t>PT Pertamina International Shipping</t>
  </si>
  <si>
    <t>PT Alor Bahtera Laju Abadi</t>
  </si>
  <si>
    <t>PT Ararkula Bahtera Laju Abadi</t>
  </si>
  <si>
    <t>PT Aru Bahtera Laju Abadi</t>
  </si>
  <si>
    <t>PT Bangkit Bahtera Laju Abadi</t>
  </si>
  <si>
    <t>PT Barung Bahtera Laju Abadi</t>
  </si>
  <si>
    <t>PT Liran Bahtera Laju Abadi</t>
  </si>
  <si>
    <t>PT Banggai Bahtera Laju Abadi</t>
  </si>
  <si>
    <t>PT Benggala Bahtera Laju Abadi</t>
  </si>
  <si>
    <t>PT Bepondi Bahtera Laju Abadi</t>
  </si>
  <si>
    <t>PT Brass Bahtera Laju Abadi</t>
  </si>
  <si>
    <t>PT Damar Bahtera Laju Abadi</t>
  </si>
  <si>
    <t>PT Damanusa Bahtera Laju Abadi</t>
  </si>
  <si>
    <t>PT Miangas Bahtera Laju Abadi</t>
  </si>
  <si>
    <t>Pertamina International Shipping Pte Ltd</t>
  </si>
  <si>
    <t>PIS Paragon Pte. Ltd.</t>
  </si>
  <si>
    <t>PIS Polaris Pte. Ltd.</t>
  </si>
  <si>
    <t>Dana Bahtera Laju Abadi Pte. Ltd.</t>
  </si>
  <si>
    <t>Demi Bahtera Laju Abadi Pte. Ltd.</t>
  </si>
  <si>
    <t>PT Pertamina Trans Kontinental</t>
  </si>
  <si>
    <t>PT Pertamina Marine Solution</t>
  </si>
  <si>
    <t>PT Pertamina Marine Engineering</t>
  </si>
  <si>
    <t>PT Pertamina Port and Logistic</t>
  </si>
  <si>
    <t>PT Trans Yeong Maritime</t>
  </si>
  <si>
    <t>PT Peteka Karya Tirta</t>
  </si>
  <si>
    <t>PT Nusantara Regas</t>
  </si>
  <si>
    <t>PT Patra Jasa</t>
  </si>
  <si>
    <t>PT Prima Armada Raya</t>
  </si>
  <si>
    <t>PT Mitra Tour &amp; Travel</t>
  </si>
  <si>
    <t>PT Pertamina Training dan Consulting</t>
  </si>
  <si>
    <t>PT Pelita Air Service</t>
  </si>
  <si>
    <t>PT Indopelita Aircraft Service</t>
  </si>
  <si>
    <t>PT Pertamina Bina Medika</t>
  </si>
  <si>
    <t>PT Rumah Sakit Pelni</t>
  </si>
  <si>
    <t>PT Rumah Sakit Pelabuhan</t>
  </si>
  <si>
    <t>PT Nusantara Medika Utama</t>
  </si>
  <si>
    <t>PT Pelindo Husada Citra</t>
  </si>
  <si>
    <t>PT Bakti Timah Medika</t>
  </si>
  <si>
    <t>PT Nusantara Sebelas Medika</t>
  </si>
  <si>
    <t>PT Krakatau Medika</t>
  </si>
  <si>
    <t>PT Rolas Nusantara Medika</t>
  </si>
  <si>
    <t>PT Pertamina Pedeve Indonesia</t>
  </si>
  <si>
    <t>PT Asuransi Tugu Pratama Indonesia Tbk</t>
  </si>
  <si>
    <t>PT Tugu Pratama Interindo</t>
  </si>
  <si>
    <t>PT Tugu Insurance Company Ltd Hongkong</t>
  </si>
  <si>
    <t>PT Pratama Mitra Sejati</t>
  </si>
  <si>
    <t>PT Pembangunan Perumahan (Persero) Tbk</t>
  </si>
  <si>
    <t>PT PP Presisi Tbk</t>
  </si>
  <si>
    <t>PT Lancarjaya Mandiri Abadi</t>
  </si>
  <si>
    <t>PT PP Properti Tbk</t>
  </si>
  <si>
    <t>PT Hasta Kreasi Mandiri</t>
  </si>
  <si>
    <t>PT Gitanusa Sarana Niaga</t>
  </si>
  <si>
    <t>PT Wisma Seratus Sejahtera</t>
  </si>
  <si>
    <t>PT PP Properti Jababeka Residen</t>
  </si>
  <si>
    <t>PT PPRO Sampurna Jaya</t>
  </si>
  <si>
    <t>PT PPRO Suramadu</t>
  </si>
  <si>
    <t>PT PPRO BIJB Aerocity Development</t>
  </si>
  <si>
    <t>PT LImasland Realty Cilegon</t>
  </si>
  <si>
    <t>PT Grahaprima Realtindo</t>
  </si>
  <si>
    <t>PT Pekanbaru Permai Propertindo</t>
  </si>
  <si>
    <t>PT PP Urban Tbk</t>
  </si>
  <si>
    <t>PT Griyaton Indonesia</t>
  </si>
  <si>
    <t>PT PP Energi</t>
  </si>
  <si>
    <t>PT Sepoetih Daya Prima</t>
  </si>
  <si>
    <t>PT Mahkota Dinamika Niaga</t>
  </si>
  <si>
    <t>PT Odira Energi Karang Agung</t>
  </si>
  <si>
    <t>PT PP Infrastruktur</t>
  </si>
  <si>
    <t>PT Widya Tirta Selaras</t>
  </si>
  <si>
    <t>PT Tirta Tangsel Mandiri</t>
  </si>
  <si>
    <t>PT Ultra Mandiri Telekomunikasi</t>
  </si>
  <si>
    <t>PT PP Krakatau Tirta</t>
  </si>
  <si>
    <t>PT PP Tirta Riau</t>
  </si>
  <si>
    <t>PT PP Tirta Madani</t>
  </si>
  <si>
    <t>PT PP Tirta Tanah Merah</t>
  </si>
  <si>
    <t>PT Sinergi Colomadu</t>
  </si>
  <si>
    <t>PT Centurion Perkasa Iman</t>
  </si>
  <si>
    <t>PT PP Semarang Demak</t>
  </si>
  <si>
    <t>Perum Percetakan Uang Republik Indonesia</t>
  </si>
  <si>
    <t>PT Peruri Wira Timur</t>
  </si>
  <si>
    <t>PT Kertas Padalarang</t>
  </si>
  <si>
    <t>PT Peruri Properti</t>
  </si>
  <si>
    <t>PT Peruri Digital Security</t>
  </si>
  <si>
    <t>PT Cardsindo Tiga Perkasa</t>
  </si>
  <si>
    <t>PT Rajawali Nusantara Indonesia (Persero)</t>
  </si>
  <si>
    <t>PT Perusahaan Perdagangan Indonesia</t>
  </si>
  <si>
    <t>PT BGR Logistik Indonesia</t>
  </si>
  <si>
    <t>PT PPI Industri</t>
  </si>
  <si>
    <t>PT Sang Hyang Seri</t>
  </si>
  <si>
    <t>PT Pertani Properti</t>
  </si>
  <si>
    <t>PT Berdikari</t>
  </si>
  <si>
    <t>PT Berdikari Meubel Nusantara</t>
  </si>
  <si>
    <t>PT Berdikari United Livestock</t>
  </si>
  <si>
    <t>PT Berdikari Logistik Indonesia</t>
  </si>
  <si>
    <t>Berdikari International Pte Ltd</t>
  </si>
  <si>
    <t>PT Perikanan indonesia</t>
  </si>
  <si>
    <t>PT Garam</t>
  </si>
  <si>
    <t>PT PG Rajawali I</t>
  </si>
  <si>
    <t>PT PG Rajawali II</t>
  </si>
  <si>
    <t>PT PG Candi Baru</t>
  </si>
  <si>
    <t>PT Perkebunan Mitra Ogan</t>
  </si>
  <si>
    <t>PT Laras Astra Kartika</t>
  </si>
  <si>
    <t>PT Mitra Kerinci</t>
  </si>
  <si>
    <t>PT Rajawali Liki Energi</t>
  </si>
  <si>
    <t>PT Rajawali Nusindo</t>
  </si>
  <si>
    <t>PT GIEB Indonesia</t>
  </si>
  <si>
    <t>PT Mitra Rajawali Banjaran</t>
  </si>
  <si>
    <t>PT Rajawali Citramass</t>
  </si>
  <si>
    <t>PT Rajawali Tanjungsari Enjiniring</t>
  </si>
  <si>
    <t>PT Semen Kupang (Persero)</t>
  </si>
  <si>
    <t>PT Aviasi Pariwisata Indonesia (Persero)</t>
  </si>
  <si>
    <t>PT Angkasa Pura I</t>
  </si>
  <si>
    <t>PT Angkasa Pura Logistic</t>
  </si>
  <si>
    <t>PT Angkasa Pura Properti</t>
  </si>
  <si>
    <t>PT Angkasa Pura Support</t>
  </si>
  <si>
    <t>PT Angkasa Pura Hotel</t>
  </si>
  <si>
    <t>PT Angkasa Pura Retail</t>
  </si>
  <si>
    <t>PT Angkasa Pura II</t>
  </si>
  <si>
    <t>PT Angkasa Pura Solusi</t>
  </si>
  <si>
    <t>PT Angkasa Pura Solusi Integra</t>
  </si>
  <si>
    <t>PT Angkasa Pura Sarana Digital</t>
  </si>
  <si>
    <t>PT Angkasa Pura Kargo</t>
  </si>
  <si>
    <t>PT Angkasa Pura Propertindo</t>
  </si>
  <si>
    <t>PT Angkasa Pura Aviasi</t>
  </si>
  <si>
    <t>PT Gapura Angkasa</t>
  </si>
  <si>
    <t>PT Sarinah</t>
  </si>
  <si>
    <t>PT Sari Valuta Asing</t>
  </si>
  <si>
    <t>PT Hotel Indonesia Natour</t>
  </si>
  <si>
    <t>PT Hotel Indonesia Group</t>
  </si>
  <si>
    <t>PT TWC BP dan RB</t>
  </si>
  <si>
    <t>PT Biro Perjalanan Wisata Bhumi Visatanda</t>
  </si>
  <si>
    <t>PT Telkom Indonesia (Persero) Tbk</t>
  </si>
  <si>
    <t>PT Dayamitra Telekomunikasi</t>
  </si>
  <si>
    <t>PT Persada Sokka Tama</t>
  </si>
  <si>
    <t>PT Graha Sarana Duta</t>
  </si>
  <si>
    <t>PT Graha Yasa Selaras</t>
  </si>
  <si>
    <t>PT Nusantara Sukses Investasi</t>
  </si>
  <si>
    <t>PT Telkom Landmark Tower</t>
  </si>
  <si>
    <t>PT Infrastruktur Telekomunikasi Indonesia</t>
  </si>
  <si>
    <t>PT Metranet</t>
  </si>
  <si>
    <t>PT Melon Indonesia</t>
  </si>
  <si>
    <t>PT Multimedia Nusantara</t>
  </si>
  <si>
    <t>PT Administrasi Medika</t>
  </si>
  <si>
    <t>PT Bosnet Distribution Indonesia</t>
  </si>
  <si>
    <t>PT Teltranet Aplikasi Solusi berubah nama menjadi PT Digital Aplikasi Solusi</t>
  </si>
  <si>
    <t>PT Finnet Indonesia</t>
  </si>
  <si>
    <t>PT Infomedia Nusantara</t>
  </si>
  <si>
    <t>PT Metra Digital Investama</t>
  </si>
  <si>
    <t>PT Metra Digital Media</t>
  </si>
  <si>
    <t>PT Metra TV</t>
  </si>
  <si>
    <t>PT Metraplasa</t>
  </si>
  <si>
    <t>PT Nutech Integrasi</t>
  </si>
  <si>
    <t>PT Satelit Multimedia Indonesia</t>
  </si>
  <si>
    <t>PT Swadarma Sarana Informatika</t>
  </si>
  <si>
    <t>PT PINS Indonesia</t>
  </si>
  <si>
    <t>PT Sigma Cipta Caraka</t>
  </si>
  <si>
    <t>PT Collega Inti Pratama</t>
  </si>
  <si>
    <t>PT Graha Telkom Sigma</t>
  </si>
  <si>
    <t>PT Media Nusantara Data Global</t>
  </si>
  <si>
    <t>PT Pojok Celebes Mandiri</t>
  </si>
  <si>
    <t>Sigma AIT Sdn. Bhd.</t>
  </si>
  <si>
    <t>PT Sigma Karya Sempurna</t>
  </si>
  <si>
    <t>PT Telkom Data Ekosistem (TDE) (Sebelumnya PT Sigma Tata Sadaya)</t>
  </si>
  <si>
    <t>PT Telekomunikasi Indonesia International</t>
  </si>
  <si>
    <t>PT Telekomunikasi Indonesia International Australia</t>
  </si>
  <si>
    <t>PT Telekomunikasi Indonesia International Hongkong</t>
  </si>
  <si>
    <t>PT Telekomunikasi Indonesia International Malaysia</t>
  </si>
  <si>
    <t>PT Telekomunikasi Indonesia International Singapura</t>
  </si>
  <si>
    <t>PT Telekomunikasi Indonesia International USA</t>
  </si>
  <si>
    <t>PT Telekomunikasi Indonesia International Timor Leste</t>
  </si>
  <si>
    <t>PT Telekomunikasi Selular</t>
  </si>
  <si>
    <t>PT Telkomsel Ekosistem Digital</t>
  </si>
  <si>
    <t>PT Telkomsel Mitra Inovasi</t>
  </si>
  <si>
    <t>PT Telkom Akses</t>
  </si>
  <si>
    <t>PT Telkom Satelit Indonesia</t>
  </si>
  <si>
    <t>TS Global Network Sdn Bhd</t>
  </si>
  <si>
    <t>PT Taspen (Persero)</t>
  </si>
  <si>
    <t>PT Asuransi Jiwa Taspen</t>
  </si>
  <si>
    <t>PT Taspen Abadi Sentosa</t>
  </si>
  <si>
    <t>PT Taspen Properti Indonesia</t>
  </si>
  <si>
    <t>PT Virama Karya (Persero)</t>
  </si>
  <si>
    <t>PT Varuna Tirta Prakasya (Persero)</t>
  </si>
  <si>
    <t>PT Wijaya Karya (Persero) Tbk</t>
  </si>
  <si>
    <t>PT Wijaya Karya Beton Tbk</t>
  </si>
  <si>
    <t>PT WIKA Komponen Beton</t>
  </si>
  <si>
    <t>PT WIKA Krakatau Beton</t>
  </si>
  <si>
    <t>PT Citra Lautan Teduh</t>
  </si>
  <si>
    <t>PT Wijaya Karya Realty</t>
  </si>
  <si>
    <t>PT Kurnia Realty Jaya</t>
  </si>
  <si>
    <t>PT Makassar Coastal City</t>
  </si>
  <si>
    <t>PT Senggigi Pratama Internasional</t>
  </si>
  <si>
    <t>PT Hotel Indonesia Properti</t>
  </si>
  <si>
    <t>PT Wijaya Karya Industri dan Konstruksi</t>
  </si>
  <si>
    <t>PT WIKA Industri Manufaktur</t>
  </si>
  <si>
    <t>PT Wijaya Karya Rekayasa Konstruksi</t>
  </si>
  <si>
    <t>PT Wika Industri Energi</t>
  </si>
  <si>
    <t>PT Wijaya Karya Bangunan Gedung Tbk</t>
  </si>
  <si>
    <t>PT Wijaya Karya Gedung Pracetak</t>
  </si>
  <si>
    <t>PT Wege Solusi Proklamasi</t>
  </si>
  <si>
    <t>PT Wijaya Karya Bitumen</t>
  </si>
  <si>
    <t>PT Wijaya Karya Aspal</t>
  </si>
  <si>
    <t>PT Wijaya Karya Serang Panimbang</t>
  </si>
  <si>
    <t>PT WIKA Tirta Jaya Jatiluhur</t>
  </si>
  <si>
    <t>PT Waskita Karya (Persero) Tbk</t>
  </si>
  <si>
    <t>PT Waskita Beton Precast Tbk</t>
  </si>
  <si>
    <t>PT Waskita Karya Infrastruktur</t>
  </si>
  <si>
    <t>PT Waskita Sangir Energi</t>
  </si>
  <si>
    <t>PT Waskita Wado Energy</t>
  </si>
  <si>
    <t>PT Waskita Karya Realty</t>
  </si>
  <si>
    <t>PT Waskita Fim Perkasa Realti</t>
  </si>
  <si>
    <t>PT Waskita Modern Realty</t>
  </si>
  <si>
    <t>PT Waskita Toll Road</t>
  </si>
  <si>
    <t>PT Trans Jabar Tol</t>
  </si>
  <si>
    <t>PT Pemalang Batang Toll Road</t>
  </si>
  <si>
    <t>PT Waskita Sriwijaya Tol</t>
  </si>
  <si>
    <t>PT Waskita Bumi Wira</t>
  </si>
  <si>
    <t>PT Tol Teluk Balikpapan</t>
  </si>
  <si>
    <t>PT Waskita Transjawa Toll Road</t>
  </si>
  <si>
    <t>PT Yodya Karya (Persero)</t>
  </si>
  <si>
    <t>Relpar BUMN Others</t>
  </si>
  <si>
    <t>Third Party</t>
  </si>
  <si>
    <t>Nomor</t>
  </si>
  <si>
    <t>Perusahaan SIG</t>
  </si>
  <si>
    <t>SI - Semen Indonesia</t>
  </si>
  <si>
    <t>SP - Semen Padang</t>
  </si>
  <si>
    <t>SEPATIM - Sepatim Batamtama</t>
  </si>
  <si>
    <t>BSA - Bima Sepaja Abadi</t>
  </si>
  <si>
    <t>ST - Semen Tonasa</t>
  </si>
  <si>
    <t>SG - Semen Gresik</t>
  </si>
  <si>
    <t>SMOR - Sinergi Mitra Operasi Rembang</t>
  </si>
  <si>
    <t>SBI - Solusi Bangun Indonesia</t>
  </si>
  <si>
    <t>SBA - Solusi Bangun Andalas</t>
  </si>
  <si>
    <t>SBB - Solusi Bangun Beton</t>
  </si>
  <si>
    <t>SRC - Solusi Readymix Concrete Indonesia</t>
  </si>
  <si>
    <t>PLP - Pendawa Lestari Perkasa</t>
  </si>
  <si>
    <t>ACA - Aroma Cipta Anugrah</t>
  </si>
  <si>
    <t>CAI - Cipta Anugrah Indonesia</t>
  </si>
  <si>
    <t>LMI - Langkat Mineral Indonesia</t>
  </si>
  <si>
    <t>SIIB - Semen Indonesia Industri Bangunan</t>
  </si>
  <si>
    <t>IKSG - Industri Kemasan Semen Gresik</t>
  </si>
  <si>
    <t>UTSG - United Tractor Semen Gresik</t>
  </si>
  <si>
    <t>SMI - Sinergi Mitra Investama</t>
  </si>
  <si>
    <t>KIG - Kawasan Industri Gresik</t>
  </si>
  <si>
    <t>SIL - Semen Indonesia Logistik</t>
  </si>
  <si>
    <t>SID - Semen Indonesia Distributor</t>
  </si>
  <si>
    <t>VULS -  Varia Usaha Lintas Segara</t>
  </si>
  <si>
    <t>VUDS -  Varia Usaha Dharma Segara</t>
  </si>
  <si>
    <t>VUBA -  Varia Usaha Bahari</t>
  </si>
  <si>
    <t>VUFA - Varia Usaha Fabrikasi</t>
  </si>
  <si>
    <t>SIB - Semen Indonesia Beton</t>
  </si>
  <si>
    <t>VUB -  Varia Usaha Beton</t>
  </si>
  <si>
    <t>SII - Semen Indonesia International</t>
  </si>
  <si>
    <t>SIIT - Semen Indonesia International Trading</t>
  </si>
  <si>
    <t>SKI - Semen Kupang Indonesia</t>
  </si>
  <si>
    <t>SISI - Sinergi Informatika Semen Indonesia</t>
  </si>
  <si>
    <t xml:space="preserve">SIA - Semen Indonesia Aceh </t>
  </si>
  <si>
    <t>TLCC - Thang Long Cement</t>
  </si>
  <si>
    <t>SMBR - Semen Baturaja</t>
  </si>
  <si>
    <t>BMU - Baturaja Multi Usaha</t>
  </si>
  <si>
    <t>Igasar</t>
  </si>
  <si>
    <t>INTERCO</t>
  </si>
  <si>
    <t>AFILIASI</t>
  </si>
  <si>
    <t>THIRD PARTIES</t>
  </si>
  <si>
    <t>SEMEN</t>
  </si>
  <si>
    <t>NON SEMEN</t>
  </si>
  <si>
    <t xml:space="preserve">Per </t>
  </si>
  <si>
    <t>Siap Bayar</t>
  </si>
  <si>
    <t>Clean &amp; Clear</t>
  </si>
  <si>
    <t>90</t>
  </si>
  <si>
    <t>REKAYASA ENGINEERING.PT</t>
  </si>
  <si>
    <t>498/RE/X/2025</t>
  </si>
  <si>
    <t>SCF.JS.Termin1: Assemen Pabrik Ind56.</t>
  </si>
  <si>
    <t>Non Semen</t>
  </si>
  <si>
    <t>Dokumen di Bendahara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</si>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</sst>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(* #,##0_);_(* \(#,##0\);_(* &quot;-&quot;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CC0000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theme="1"/>
      <name val="Calibri"/>
      <family val="2"/>
      <charset val="1"/>
      <scheme val="minor"/>
    </font>
    <font>
      <b/>
      <i/>
      <sz val="11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19">
    <xf numFmtId="0" fontId="0" fillId="0" borderId="0"/>
    <xf numFmtId="43" fontId="5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0" fontId="5" fillId="0" borderId="0"/>
    <xf numFmtId="43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4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5" fillId="0" borderId="0"/>
    <xf numFmtId="165" fontId="14" fillId="0" borderId="0" applyFont="0" applyFill="0" applyBorder="0" applyAlignment="0" applyProtection="0"/>
  </cellStyleXfs>
  <cellXfs count="154">
    <xf numFmtId="0" fontId="0" fillId="0" borderId="0" xfId="0"/>
    <xf numFmtId="0" fontId="7" fillId="0" borderId="0" xfId="0" applyFont="1"/>
    <xf numFmtId="164" fontId="0" fillId="0" borderId="0" xfId="1" applyNumberFormat="1" applyFont="1"/>
    <xf numFmtId="0" fontId="7" fillId="0" borderId="0" xfId="1" applyNumberFormat="1" applyFont="1" applyAlignment="1">
      <alignment horizontal="left"/>
    </xf>
    <xf numFmtId="164" fontId="8" fillId="0" borderId="0" xfId="1" applyNumberFormat="1" applyFont="1" applyAlignment="1">
      <alignment horizontal="right"/>
    </xf>
    <xf numFmtId="164" fontId="6" fillId="2" borderId="1" xfId="1" applyNumberFormat="1" applyFont="1" applyFill="1" applyBorder="1" applyAlignment="1">
      <alignment horizontal="center"/>
    </xf>
    <xf numFmtId="0" fontId="0" fillId="0" borderId="0" xfId="1" applyNumberFormat="1" applyFont="1"/>
    <xf numFmtId="0" fontId="6" fillId="4" borderId="1" xfId="1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9" applyFont="1" applyAlignment="1">
      <alignment vertical="center"/>
    </xf>
    <xf numFmtId="0" fontId="2" fillId="0" borderId="0" xfId="9"/>
    <xf numFmtId="0" fontId="2" fillId="0" borderId="0" xfId="9" applyAlignment="1">
      <alignment horizontal="left"/>
    </xf>
    <xf numFmtId="41" fontId="0" fillId="0" borderId="0" xfId="12" applyFont="1"/>
    <xf numFmtId="0" fontId="2" fillId="0" borderId="0" xfId="9" applyAlignment="1">
      <alignment horizontal="center" vertical="center"/>
    </xf>
    <xf numFmtId="165" fontId="0" fillId="0" borderId="0" xfId="0" applyNumberFormat="1"/>
    <xf numFmtId="165" fontId="17" fillId="0" borderId="0" xfId="16" applyFont="1" applyFill="1" applyBorder="1" applyAlignment="1">
      <alignment horizontal="left"/>
    </xf>
    <xf numFmtId="0" fontId="17" fillId="0" borderId="0" xfId="0" applyFont="1"/>
    <xf numFmtId="41" fontId="2" fillId="0" borderId="0" xfId="12" applyFont="1"/>
    <xf numFmtId="41" fontId="0" fillId="0" borderId="0" xfId="12" applyFont="1" applyFill="1"/>
    <xf numFmtId="41" fontId="6" fillId="2" borderId="1" xfId="12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6" fillId="7" borderId="5" xfId="9" applyFont="1" applyFill="1" applyBorder="1" applyAlignment="1">
      <alignment horizontal="center" vertical="center"/>
    </xf>
    <xf numFmtId="165" fontId="16" fillId="0" borderId="0" xfId="18" applyFont="1" applyFill="1" applyBorder="1" applyAlignment="1">
      <alignment horizontal="left"/>
    </xf>
    <xf numFmtId="0" fontId="16" fillId="0" borderId="0" xfId="17" applyFont="1" applyAlignment="1">
      <alignment horizontal="center"/>
    </xf>
    <xf numFmtId="0" fontId="17" fillId="0" borderId="0" xfId="9" applyFont="1"/>
    <xf numFmtId="165" fontId="0" fillId="3" borderId="0" xfId="1" applyNumberFormat="1" applyFont="1" applyFill="1"/>
    <xf numFmtId="0" fontId="9" fillId="0" borderId="0" xfId="9" applyFont="1" applyAlignment="1">
      <alignment vertical="center"/>
    </xf>
    <xf numFmtId="0" fontId="18" fillId="0" borderId="0" xfId="9" applyFont="1" applyAlignment="1">
      <alignment vertical="center"/>
    </xf>
    <xf numFmtId="0" fontId="16" fillId="0" borderId="0" xfId="17" applyFont="1" applyAlignment="1">
      <alignment horizontal="left"/>
    </xf>
    <xf numFmtId="164" fontId="0" fillId="6" borderId="0" xfId="1" applyNumberFormat="1" applyFont="1" applyFill="1" applyAlignment="1">
      <alignment horizontal="right"/>
    </xf>
    <xf numFmtId="41" fontId="6" fillId="2" borderId="4" xfId="12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/>
    </xf>
    <xf numFmtId="0" fontId="16" fillId="0" borderId="9" xfId="17" applyFont="1" applyBorder="1" applyAlignment="1">
      <alignment horizontal="center"/>
    </xf>
    <xf numFmtId="165" fontId="16" fillId="0" borderId="9" xfId="18" applyFont="1" applyFill="1" applyBorder="1" applyAlignment="1">
      <alignment horizontal="left"/>
    </xf>
    <xf numFmtId="0" fontId="17" fillId="0" borderId="9" xfId="0" applyFont="1" applyBorder="1"/>
    <xf numFmtId="165" fontId="17" fillId="0" borderId="9" xfId="12" applyNumberFormat="1" applyFont="1" applyFill="1" applyBorder="1"/>
    <xf numFmtId="0" fontId="16" fillId="0" borderId="9" xfId="0" applyFont="1" applyBorder="1" applyAlignment="1">
      <alignment horizontal="left"/>
    </xf>
    <xf numFmtId="1" fontId="0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0" fillId="0" borderId="0" xfId="12" applyNumberFormat="1" applyFont="1" applyAlignment="1">
      <alignment horizontal="center"/>
    </xf>
    <xf numFmtId="1" fontId="16" fillId="0" borderId="0" xfId="17" applyNumberFormat="1" applyFont="1" applyAlignment="1">
      <alignment horizontal="center"/>
    </xf>
    <xf numFmtId="0" fontId="0" fillId="0" borderId="9" xfId="1" applyNumberFormat="1" applyFont="1" applyBorder="1"/>
    <xf numFmtId="164" fontId="0" fillId="0" borderId="9" xfId="1" applyNumberFormat="1" applyFont="1" applyBorder="1"/>
    <xf numFmtId="0" fontId="0" fillId="10" borderId="0" xfId="0" applyFill="1"/>
    <xf numFmtId="0" fontId="0" fillId="10" borderId="0" xfId="1" applyNumberFormat="1" applyFont="1" applyFill="1"/>
    <xf numFmtId="1" fontId="0" fillId="10" borderId="0" xfId="1" applyNumberFormat="1" applyFont="1" applyFill="1" applyAlignment="1">
      <alignment horizontal="center"/>
    </xf>
    <xf numFmtId="165" fontId="7" fillId="10" borderId="0" xfId="12" applyNumberFormat="1" applyFont="1" applyFill="1" applyAlignment="1">
      <alignment horizontal="right"/>
    </xf>
    <xf numFmtId="164" fontId="0" fillId="10" borderId="0" xfId="1" applyNumberFormat="1" applyFont="1" applyFill="1"/>
    <xf numFmtId="0" fontId="0" fillId="10" borderId="0" xfId="1" applyNumberFormat="1" applyFont="1" applyFill="1" applyAlignment="1">
      <alignment horizontal="center"/>
    </xf>
    <xf numFmtId="0" fontId="6" fillId="9" borderId="9" xfId="1" applyNumberFormat="1" applyFont="1" applyFill="1" applyBorder="1" applyAlignment="1">
      <alignment horizontal="center"/>
    </xf>
    <xf numFmtId="0" fontId="6" fillId="11" borderId="9" xfId="1" applyNumberFormat="1" applyFont="1" applyFill="1" applyBorder="1" applyAlignment="1">
      <alignment horizontal="center"/>
    </xf>
    <xf numFmtId="1" fontId="6" fillId="2" borderId="9" xfId="13" applyNumberFormat="1" applyFont="1" applyFill="1" applyBorder="1" applyAlignment="1">
      <alignment horizontal="center" wrapText="1"/>
    </xf>
    <xf numFmtId="1" fontId="6" fillId="2" borderId="9" xfId="1" applyNumberFormat="1" applyFont="1" applyFill="1" applyBorder="1" applyAlignment="1">
      <alignment horizontal="center"/>
    </xf>
    <xf numFmtId="0" fontId="17" fillId="12" borderId="0" xfId="1" applyNumberFormat="1" applyFont="1" applyFill="1" applyAlignment="1">
      <alignment horizontal="center"/>
    </xf>
    <xf numFmtId="1" fontId="17" fillId="12" borderId="0" xfId="13" applyNumberFormat="1" applyFont="1" applyFill="1" applyAlignment="1">
      <alignment horizontal="left"/>
    </xf>
    <xf numFmtId="0" fontId="17" fillId="12" borderId="0" xfId="1" applyNumberFormat="1" applyFont="1" applyFill="1" applyAlignment="1">
      <alignment horizontal="left"/>
    </xf>
    <xf numFmtId="41" fontId="17" fillId="12" borderId="0" xfId="1" applyNumberFormat="1" applyFont="1" applyFill="1" applyAlignment="1">
      <alignment horizontal="left"/>
    </xf>
    <xf numFmtId="1" fontId="17" fillId="12" borderId="0" xfId="1" applyNumberFormat="1" applyFont="1" applyFill="1" applyAlignment="1">
      <alignment horizontal="left"/>
    </xf>
    <xf numFmtId="164" fontId="0" fillId="12" borderId="0" xfId="1" applyNumberFormat="1" applyFont="1" applyFill="1"/>
    <xf numFmtId="164" fontId="6" fillId="2" borderId="1" xfId="1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center" vertical="center"/>
    </xf>
    <xf numFmtId="0" fontId="19" fillId="0" borderId="9" xfId="0" applyFont="1" applyBorder="1" applyAlignment="1">
      <alignment horizontal="left"/>
    </xf>
    <xf numFmtId="14" fontId="19" fillId="0" borderId="9" xfId="0" applyNumberFormat="1" applyFont="1" applyBorder="1" applyAlignment="1">
      <alignment horizontal="right"/>
    </xf>
    <xf numFmtId="0" fontId="20" fillId="0" borderId="0" xfId="0" applyFont="1"/>
    <xf numFmtId="0" fontId="20" fillId="0" borderId="0" xfId="0" applyFont="1" applyAlignment="1">
      <alignment vertical="center"/>
    </xf>
    <xf numFmtId="41" fontId="19" fillId="0" borderId="9" xfId="12" applyFont="1" applyFill="1" applyBorder="1" applyAlignment="1">
      <alignment horizontal="right"/>
    </xf>
    <xf numFmtId="0" fontId="1" fillId="0" borderId="0" xfId="9" applyFont="1"/>
    <xf numFmtId="14" fontId="2" fillId="0" borderId="0" xfId="9" applyNumberFormat="1"/>
    <xf numFmtId="14" fontId="16" fillId="0" borderId="9" xfId="17" applyNumberFormat="1" applyFont="1" applyBorder="1" applyAlignment="1">
      <alignment horizontal="center"/>
    </xf>
    <xf numFmtId="0" fontId="6" fillId="7" borderId="1" xfId="9" applyFont="1" applyFill="1" applyBorder="1" applyAlignment="1">
      <alignment vertical="center"/>
    </xf>
    <xf numFmtId="41" fontId="6" fillId="2" borderId="5" xfId="12" applyFont="1" applyFill="1" applyBorder="1" applyAlignment="1">
      <alignment vertical="center"/>
    </xf>
    <xf numFmtId="0" fontId="6" fillId="2" borderId="5" xfId="9" applyFont="1" applyFill="1" applyBorder="1" applyAlignment="1">
      <alignment vertical="center" wrapText="1"/>
    </xf>
    <xf numFmtId="0" fontId="6" fillId="7" borderId="3" xfId="9" applyFont="1" applyFill="1" applyBorder="1" applyAlignment="1">
      <alignment vertical="center"/>
    </xf>
    <xf numFmtId="0" fontId="6" fillId="7" borderId="5" xfId="9" applyFont="1" applyFill="1" applyBorder="1" applyAlignment="1">
      <alignment vertical="center"/>
    </xf>
    <xf numFmtId="41" fontId="1" fillId="0" borderId="9" xfId="12" applyFont="1" applyBorder="1"/>
    <xf numFmtId="41" fontId="2" fillId="0" borderId="0" xfId="9" applyNumberFormat="1"/>
    <xf numFmtId="0" fontId="6" fillId="2" borderId="14" xfId="9" applyFont="1" applyFill="1" applyBorder="1" applyAlignment="1">
      <alignment vertical="center"/>
    </xf>
    <xf numFmtId="0" fontId="6" fillId="2" borderId="4" xfId="9" applyFont="1" applyFill="1" applyBorder="1" applyAlignment="1">
      <alignment horizontal="center" vertical="center" wrapText="1"/>
    </xf>
    <xf numFmtId="164" fontId="0" fillId="3" borderId="0" xfId="1" applyNumberFormat="1" applyFont="1" applyFill="1"/>
    <xf numFmtId="0" fontId="6" fillId="8" borderId="1" xfId="9" applyFont="1" applyFill="1" applyBorder="1" applyAlignment="1">
      <alignment vertical="center" wrapText="1"/>
    </xf>
    <xf numFmtId="0" fontId="6" fillId="7" borderId="4" xfId="9" applyFont="1" applyFill="1" applyBorder="1" applyAlignment="1">
      <alignment horizontal="center" vertical="center" wrapText="1"/>
    </xf>
    <xf numFmtId="0" fontId="6" fillId="7" borderId="3" xfId="9" applyFont="1" applyFill="1" applyBorder="1" applyAlignment="1">
      <alignment horizontal="center" vertical="center" wrapText="1"/>
    </xf>
    <xf numFmtId="0" fontId="7" fillId="0" borderId="0" xfId="9" applyFont="1"/>
    <xf numFmtId="0" fontId="21" fillId="0" borderId="0" xfId="0" applyFont="1" applyAlignment="1">
      <alignment horizontal="left"/>
    </xf>
    <xf numFmtId="0" fontId="6" fillId="7" borderId="14" xfId="9" applyFont="1" applyFill="1" applyBorder="1" applyAlignment="1">
      <alignment vertical="center" wrapText="1"/>
    </xf>
    <xf numFmtId="164" fontId="7" fillId="10" borderId="0" xfId="1" applyNumberFormat="1" applyFont="1" applyFill="1" applyAlignment="1">
      <alignment horizontal="left"/>
    </xf>
    <xf numFmtId="41" fontId="0" fillId="10" borderId="0" xfId="12" applyFont="1" applyFill="1"/>
    <xf numFmtId="41" fontId="0" fillId="10" borderId="0" xfId="12" applyFont="1" applyFill="1" applyAlignment="1">
      <alignment horizontal="center"/>
    </xf>
    <xf numFmtId="41" fontId="7" fillId="10" borderId="0" xfId="12" applyFont="1" applyFill="1" applyAlignment="1">
      <alignment horizontal="right"/>
    </xf>
    <xf numFmtId="41" fontId="20" fillId="0" borderId="0" xfId="12" applyFont="1"/>
    <xf numFmtId="1" fontId="7" fillId="10" borderId="0" xfId="1" applyNumberFormat="1" applyFont="1" applyFill="1" applyAlignment="1">
      <alignment horizontal="center"/>
    </xf>
    <xf numFmtId="0" fontId="6" fillId="14" borderId="0" xfId="0" applyFont="1" applyFill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9" xfId="0" applyFont="1" applyBorder="1"/>
    <xf numFmtId="0" fontId="0" fillId="0" borderId="9" xfId="0" applyBorder="1" applyAlignment="1">
      <alignment horizontal="center"/>
    </xf>
    <xf numFmtId="0" fontId="24" fillId="0" borderId="9" xfId="0" applyFont="1" applyBorder="1"/>
    <xf numFmtId="0" fontId="25" fillId="0" borderId="9" xfId="0" applyFont="1" applyBorder="1" applyAlignment="1">
      <alignment horizontal="center"/>
    </xf>
    <xf numFmtId="0" fontId="25" fillId="0" borderId="9" xfId="0" applyFont="1" applyBorder="1"/>
    <xf numFmtId="0" fontId="26" fillId="0" borderId="9" xfId="0" applyFont="1" applyBorder="1"/>
    <xf numFmtId="49" fontId="17" fillId="13" borderId="9" xfId="0" applyNumberFormat="1" applyFont="1" applyFill="1" applyBorder="1" applyAlignment="1">
      <alignment horizontal="center"/>
    </xf>
    <xf numFmtId="0" fontId="17" fillId="10" borderId="9" xfId="0" applyFont="1" applyFill="1" applyBorder="1"/>
    <xf numFmtId="165" fontId="27" fillId="0" borderId="9" xfId="12" applyNumberFormat="1" applyFont="1" applyFill="1" applyBorder="1"/>
    <xf numFmtId="41" fontId="28" fillId="0" borderId="9" xfId="12" applyFont="1" applyBorder="1"/>
    <xf numFmtId="0" fontId="27" fillId="0" borderId="9" xfId="0" applyFont="1" applyBorder="1" applyAlignment="1">
      <alignment horizontal="left"/>
    </xf>
    <xf numFmtId="165" fontId="27" fillId="0" borderId="0" xfId="16" applyFont="1" applyFill="1" applyBorder="1" applyAlignment="1">
      <alignment horizontal="left"/>
    </xf>
    <xf numFmtId="0" fontId="27" fillId="0" borderId="0" xfId="9" applyFont="1"/>
    <xf numFmtId="0" fontId="0" fillId="0" borderId="9" xfId="0" applyBorder="1"/>
    <xf numFmtId="0" fontId="0" fillId="15" borderId="9" xfId="0" applyFill="1" applyBorder="1"/>
    <xf numFmtId="0" fontId="7" fillId="16" borderId="9" xfId="0" applyFont="1" applyFill="1" applyBorder="1" applyAlignment="1">
      <alignment horizontal="center"/>
    </xf>
    <xf numFmtId="0" fontId="7" fillId="16" borderId="9" xfId="0" applyFont="1" applyFill="1" applyBorder="1"/>
    <xf numFmtId="0" fontId="7" fillId="15" borderId="9" xfId="0" applyFont="1" applyFill="1" applyBorder="1" applyAlignment="1">
      <alignment horizontal="center"/>
    </xf>
    <xf numFmtId="0" fontId="7" fillId="15" borderId="9" xfId="0" applyFont="1" applyFill="1" applyBorder="1"/>
    <xf numFmtId="0" fontId="29" fillId="0" borderId="0" xfId="9" applyFont="1"/>
    <xf numFmtId="0" fontId="29" fillId="0" borderId="0" xfId="0" applyFont="1"/>
    <xf numFmtId="1" fontId="29" fillId="0" borderId="0" xfId="0" applyNumberFormat="1" applyFont="1" applyAlignment="1">
      <alignment horizontal="right"/>
    </xf>
    <xf numFmtId="14" fontId="29" fillId="0" borderId="0" xfId="0" applyNumberFormat="1" applyFont="1" applyAlignment="1">
      <alignment horizontal="right"/>
    </xf>
    <xf numFmtId="165" fontId="16" fillId="0" borderId="0" xfId="1" applyNumberFormat="1" applyFont="1" applyAlignment="1">
      <alignment horizontal="right"/>
    </xf>
    <xf numFmtId="14" fontId="29" fillId="0" borderId="0" xfId="9" applyNumberFormat="1" applyFont="1"/>
    <xf numFmtId="0" fontId="6" fillId="7" borderId="4" xfId="9" applyFont="1" applyFill="1" applyBorder="1" applyAlignment="1">
      <alignment horizontal="center" vertical="center"/>
    </xf>
    <xf numFmtId="0" fontId="6" fillId="7" borderId="3" xfId="9" applyFont="1" applyFill="1" applyBorder="1" applyAlignment="1">
      <alignment horizontal="center" vertical="center"/>
    </xf>
    <xf numFmtId="0" fontId="6" fillId="7" borderId="5" xfId="9" applyFont="1" applyFill="1" applyBorder="1" applyAlignment="1">
      <alignment horizontal="center" vertical="center"/>
    </xf>
    <xf numFmtId="0" fontId="6" fillId="2" borderId="4" xfId="9" applyFont="1" applyFill="1" applyBorder="1" applyAlignment="1">
      <alignment horizontal="center" vertical="center"/>
    </xf>
    <xf numFmtId="0" fontId="6" fillId="2" borderId="3" xfId="9" applyFont="1" applyFill="1" applyBorder="1" applyAlignment="1">
      <alignment horizontal="center" vertical="center"/>
    </xf>
    <xf numFmtId="0" fontId="6" fillId="7" borderId="4" xfId="9" applyFont="1" applyFill="1" applyBorder="1" applyAlignment="1">
      <alignment horizontal="center" vertical="top"/>
    </xf>
    <xf numFmtId="0" fontId="6" fillId="7" borderId="3" xfId="9" applyFont="1" applyFill="1" applyBorder="1" applyAlignment="1">
      <alignment horizontal="center" vertical="top"/>
    </xf>
    <xf numFmtId="0" fontId="6" fillId="7" borderId="14" xfId="9" applyFont="1" applyFill="1" applyBorder="1" applyAlignment="1">
      <alignment horizontal="center" vertical="top"/>
    </xf>
    <xf numFmtId="0" fontId="6" fillId="8" borderId="4" xfId="9" applyFont="1" applyFill="1" applyBorder="1" applyAlignment="1">
      <alignment horizontal="center" vertical="center" wrapText="1"/>
    </xf>
    <xf numFmtId="0" fontId="6" fillId="8" borderId="3" xfId="9" applyFont="1" applyFill="1" applyBorder="1" applyAlignment="1">
      <alignment horizontal="center" vertical="center" wrapText="1"/>
    </xf>
    <xf numFmtId="0" fontId="6" fillId="8" borderId="5" xfId="9" applyFont="1" applyFill="1" applyBorder="1" applyAlignment="1">
      <alignment horizontal="center" vertical="center" wrapText="1"/>
    </xf>
    <xf numFmtId="41" fontId="6" fillId="2" borderId="6" xfId="12" applyFont="1" applyFill="1" applyBorder="1" applyAlignment="1">
      <alignment horizontal="center" vertical="center"/>
    </xf>
    <xf numFmtId="41" fontId="6" fillId="2" borderId="7" xfId="12" applyFont="1" applyFill="1" applyBorder="1" applyAlignment="1">
      <alignment horizontal="center" vertical="center"/>
    </xf>
    <xf numFmtId="41" fontId="6" fillId="2" borderId="8" xfId="12" applyFont="1" applyFill="1" applyBorder="1" applyAlignment="1">
      <alignment horizontal="center" vertical="center"/>
    </xf>
    <xf numFmtId="0" fontId="6" fillId="2" borderId="1" xfId="9" applyFont="1" applyFill="1" applyBorder="1" applyAlignment="1">
      <alignment horizontal="center" vertical="center"/>
    </xf>
    <xf numFmtId="41" fontId="6" fillId="2" borderId="1" xfId="12" applyFont="1" applyFill="1" applyBorder="1" applyAlignment="1">
      <alignment horizontal="center" vertical="center"/>
    </xf>
    <xf numFmtId="0" fontId="6" fillId="7" borderId="4" xfId="9" applyFont="1" applyFill="1" applyBorder="1" applyAlignment="1">
      <alignment horizontal="center" vertical="center" wrapText="1"/>
    </xf>
    <xf numFmtId="0" fontId="6" fillId="7" borderId="3" xfId="9" applyFont="1" applyFill="1" applyBorder="1" applyAlignment="1">
      <alignment horizontal="center" vertical="center" wrapText="1"/>
    </xf>
    <xf numFmtId="0" fontId="6" fillId="7" borderId="14" xfId="9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left"/>
    </xf>
    <xf numFmtId="0" fontId="6" fillId="5" borderId="2" xfId="1" applyNumberFormat="1" applyFont="1" applyFill="1" applyBorder="1" applyAlignment="1">
      <alignment horizontal="center"/>
    </xf>
    <xf numFmtId="0" fontId="6" fillId="5" borderId="0" xfId="1" applyNumberFormat="1" applyFont="1" applyFill="1" applyBorder="1" applyAlignment="1">
      <alignment horizontal="center"/>
    </xf>
    <xf numFmtId="164" fontId="6" fillId="2" borderId="1" xfId="1" applyNumberFormat="1" applyFont="1" applyFill="1" applyBorder="1" applyAlignment="1">
      <alignment horizontal="center" vertical="center"/>
    </xf>
    <xf numFmtId="165" fontId="6" fillId="11" borderId="12" xfId="1" applyNumberFormat="1" applyFont="1" applyFill="1" applyBorder="1" applyAlignment="1">
      <alignment horizontal="center" vertical="center"/>
    </xf>
    <xf numFmtId="165" fontId="6" fillId="11" borderId="13" xfId="1" applyNumberFormat="1" applyFont="1" applyFill="1" applyBorder="1" applyAlignment="1">
      <alignment horizontal="center" vertical="center"/>
    </xf>
    <xf numFmtId="1" fontId="0" fillId="0" borderId="10" xfId="1" applyNumberFormat="1" applyFont="1" applyBorder="1" applyAlignment="1">
      <alignment horizontal="center" vertical="center"/>
    </xf>
    <xf numFmtId="1" fontId="0" fillId="0" borderId="11" xfId="1" applyNumberFormat="1" applyFont="1" applyBorder="1" applyAlignment="1">
      <alignment horizontal="center" vertical="center"/>
    </xf>
    <xf numFmtId="1" fontId="0" fillId="0" borderId="10" xfId="1" quotePrefix="1" applyNumberFormat="1" applyFont="1" applyBorder="1" applyAlignment="1">
      <alignment horizontal="center" vertical="center"/>
    </xf>
    <xf numFmtId="1" fontId="0" fillId="0" borderId="11" xfId="1" quotePrefix="1" applyNumberFormat="1" applyFont="1" applyBorder="1" applyAlignment="1">
      <alignment horizontal="center" vertical="center"/>
    </xf>
    <xf numFmtId="0" fontId="6" fillId="9" borderId="12" xfId="1" applyNumberFormat="1" applyFont="1" applyFill="1" applyBorder="1" applyAlignment="1">
      <alignment horizontal="center" vertical="center"/>
    </xf>
    <xf numFmtId="0" fontId="6" fillId="9" borderId="13" xfId="1" applyNumberFormat="1" applyFont="1" applyFill="1" applyBorder="1" applyAlignment="1">
      <alignment horizontal="center" vertical="center"/>
    </xf>
    <xf numFmtId="0" fontId="6" fillId="2" borderId="10" xfId="1" applyNumberFormat="1" applyFont="1" applyFill="1" applyBorder="1" applyAlignment="1">
      <alignment horizontal="center" vertical="center"/>
    </xf>
    <xf numFmtId="0" fontId="6" fillId="2" borderId="11" xfId="1" applyNumberFormat="1" applyFont="1" applyFill="1" applyBorder="1" applyAlignment="1">
      <alignment horizontal="center" vertical="center"/>
    </xf>
    <xf numFmtId="1" fontId="0" fillId="0" borderId="10" xfId="1" applyNumberFormat="1" applyFont="1" applyBorder="1" applyAlignment="1">
      <alignment horizontal="center"/>
    </xf>
    <xf numFmtId="1" fontId="0" fillId="0" borderId="11" xfId="1" applyNumberFormat="1" applyFont="1" applyBorder="1" applyAlignment="1">
      <alignment horizontal="center"/>
    </xf>
  </cellXfs>
  <cellStyles count="19">
    <cellStyle name="Comma" xfId="1" builtinId="3"/>
    <cellStyle name="Comma [0]" xfId="12" builtinId="6"/>
    <cellStyle name="Comma [0] 2" xfId="3"/>
    <cellStyle name="Comma [0] 2 2" xfId="15"/>
    <cellStyle name="Comma [0] 2 3" xfId="16"/>
    <cellStyle name="Comma [0] 3" xfId="7"/>
    <cellStyle name="Comma [0] 4" xfId="10"/>
    <cellStyle name="Comma [0] 5" xfId="18"/>
    <cellStyle name="Comma 10" xfId="13"/>
    <cellStyle name="Comma 2" xfId="5"/>
    <cellStyle name="Comma 3" xfId="8"/>
    <cellStyle name="Comma 4" xfId="11"/>
    <cellStyle name="Normal" xfId="0" builtinId="0"/>
    <cellStyle name="Normal 2" xfId="2"/>
    <cellStyle name="Normal 2 2" xfId="4"/>
    <cellStyle name="Normal 2 3" xfId="14"/>
    <cellStyle name="Normal 3" xfId="6"/>
    <cellStyle name="Normal 4" xfId="9"/>
    <cellStyle name="Normal 5" xfId="17"/>
  </cellStyles>
  <dxfs count="0"/>
  <tableStyles count="0" defaultTableStyle="TableStyleMedium2" defaultPivotStyle="PivotStyleLight16"/>
  <colors>
    <mruColors>
      <color rgb="FF003366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menindonesia-my.sharepoint.com/Sinergi%20Mitra%20Investama/RKAP/RKAP%202020/RKAP%202020_R_Finalisasi3001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menindonesia-my.sharepoint.com/Sinergi%20Mitra%20Investama/LapKeu/2020/3.%20Maret/2020%20TB%20S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Presentations"/>
      <sheetName val="Annual"/>
      <sheetName val="BU_Dashboard"/>
      <sheetName val="BU_EBITDA"/>
      <sheetName val="BU_Class_A"/>
      <sheetName val="BU_Class_B"/>
      <sheetName val="Ratios"/>
      <sheetName val="Bus_Units"/>
      <sheetName val="BUs"/>
      <sheetName val="BU"/>
      <sheetName val="BU4"/>
      <sheetName val="BU5"/>
      <sheetName val="BU6"/>
      <sheetName val="BU7"/>
      <sheetName val="BU8"/>
      <sheetName val="BU9"/>
      <sheetName val="BU10"/>
      <sheetName val="BU11"/>
      <sheetName val="BU12"/>
      <sheetName val="BU2"/>
      <sheetName val="BU3"/>
      <sheetName val="BU13"/>
      <sheetName val="BU14"/>
      <sheetName val="Fin"/>
      <sheetName val="HIS"/>
      <sheetName val="HBS"/>
      <sheetName val="Rev_Exp"/>
      <sheetName val="WC"/>
      <sheetName val="Assets"/>
      <sheetName val="Capital"/>
      <sheetName val="Tax"/>
      <sheetName val="Other"/>
      <sheetName val="Financials"/>
      <sheetName val="Appendices"/>
      <sheetName val="Time"/>
      <sheetName val="Lookups"/>
      <sheetName val="Checks"/>
      <sheetName val="ModanoMeta"/>
    </sheetNames>
    <sheetDataSet>
      <sheetData sheetId="0">
        <row r="2">
          <cell r="B2" t="str">
            <v>[Insert Model Name] (Alert in Inventory Recurring)</v>
          </cell>
        </row>
      </sheetData>
      <sheetData sheetId="1" refreshError="1"/>
      <sheetData sheetId="2" refreshError="1"/>
      <sheetData sheetId="3" refreshError="1"/>
      <sheetData sheetId="4">
        <row r="19">
          <cell r="V19">
            <v>273.95300000000003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>
        <row r="7">
          <cell r="B7" t="str">
            <v>Wisma A Yani</v>
          </cell>
        </row>
      </sheetData>
      <sheetData sheetId="10">
        <row r="95">
          <cell r="I95" t="str">
            <v>Wisma A Yani - Sewa Kamar/Gedung</v>
          </cell>
        </row>
      </sheetData>
      <sheetData sheetId="11">
        <row r="95">
          <cell r="I95" t="str">
            <v>Kesekretariatan - Sewa Kamar/Gedung</v>
          </cell>
        </row>
      </sheetData>
      <sheetData sheetId="12">
        <row r="95">
          <cell r="I95" t="str">
            <v>Sinergi Hotel Gresik - Sewa Kamar/Gedung</v>
          </cell>
        </row>
      </sheetData>
      <sheetData sheetId="13">
        <row r="95">
          <cell r="I95" t="str">
            <v>Sinergi Hotel Tretes - Sewa Kamar/Gedung</v>
          </cell>
        </row>
      </sheetData>
      <sheetData sheetId="14">
        <row r="95">
          <cell r="I95" t="str">
            <v>Perdin GUSI - Sewa Kamar/Gedung</v>
          </cell>
        </row>
      </sheetData>
      <sheetData sheetId="15">
        <row r="95">
          <cell r="I95" t="str">
            <v>Telaga Ngipik dan Kawasan Ngipik - Sewa Kamar/Gedung</v>
          </cell>
        </row>
      </sheetData>
      <sheetData sheetId="16">
        <row r="95">
          <cell r="I95" t="str">
            <v>South Quarter - Sewa Kamar/Gedung</v>
          </cell>
        </row>
      </sheetData>
      <sheetData sheetId="17">
        <row r="95">
          <cell r="I95" t="str">
            <v>Cilacap - Sewa Kamar/Gedung</v>
          </cell>
        </row>
      </sheetData>
      <sheetData sheetId="18">
        <row r="95">
          <cell r="I95" t="str">
            <v>Mess BDN - Sewa Kamar/Gedung</v>
          </cell>
        </row>
      </sheetData>
      <sheetData sheetId="19">
        <row r="95">
          <cell r="I95" t="str">
            <v>Novasi Gresik Pasuruan Babat - Sewa Kamar/Gedung</v>
          </cell>
        </row>
      </sheetData>
      <sheetData sheetId="20">
        <row r="95">
          <cell r="I95" t="str">
            <v>Sinergi Griya Rembang - Sewa Kamar/Gedung</v>
          </cell>
        </row>
      </sheetData>
      <sheetData sheetId="21">
        <row r="95">
          <cell r="I95" t="str">
            <v>Narogong - Sewa Kamar/Gedung</v>
          </cell>
        </row>
      </sheetData>
      <sheetData sheetId="22">
        <row r="95">
          <cell r="I95" t="str">
            <v>Tuban - Sewa Kamar/Gedung</v>
          </cell>
        </row>
      </sheetData>
      <sheetData sheetId="23">
        <row r="95">
          <cell r="I95" t="str">
            <v>Waru - Sewa Kamar/Gedung</v>
          </cell>
        </row>
      </sheetData>
      <sheetData sheetId="24" refreshError="1"/>
      <sheetData sheetId="25" refreshError="1"/>
      <sheetData sheetId="26" refreshError="1"/>
      <sheetData sheetId="27">
        <row r="302">
          <cell r="B302" t="str">
            <v>Other Revenue Category 1</v>
          </cell>
        </row>
      </sheetData>
      <sheetData sheetId="28">
        <row r="280">
          <cell r="B280" t="str">
            <v>Piutang Usaha Pihak Ketiga</v>
          </cell>
        </row>
      </sheetData>
      <sheetData sheetId="29">
        <row r="92">
          <cell r="B92" t="str">
            <v>Lahan</v>
          </cell>
        </row>
      </sheetData>
      <sheetData sheetId="30">
        <row r="57">
          <cell r="B57" t="str">
            <v>Hutang Notional Pooling</v>
          </cell>
        </row>
      </sheetData>
      <sheetData sheetId="31">
        <row r="321">
          <cell r="J321">
            <v>0</v>
          </cell>
        </row>
      </sheetData>
      <sheetData sheetId="32">
        <row r="28">
          <cell r="J28">
            <v>115</v>
          </cell>
        </row>
      </sheetData>
      <sheetData sheetId="33">
        <row r="159">
          <cell r="V159">
            <v>1966.9950447769024</v>
          </cell>
        </row>
      </sheetData>
      <sheetData sheetId="34" refreshError="1"/>
      <sheetData sheetId="35">
        <row r="9">
          <cell r="H9">
            <v>12</v>
          </cell>
        </row>
        <row r="12">
          <cell r="H12">
            <v>24</v>
          </cell>
        </row>
        <row r="13">
          <cell r="H13">
            <v>43466</v>
          </cell>
        </row>
        <row r="25">
          <cell r="H25">
            <v>7</v>
          </cell>
        </row>
        <row r="28">
          <cell r="H28" t="str">
            <v xml:space="preserve"> (H)</v>
          </cell>
        </row>
        <row r="29">
          <cell r="H29" t="str">
            <v xml:space="preserve"> (F)</v>
          </cell>
        </row>
      </sheetData>
      <sheetData sheetId="36">
        <row r="64">
          <cell r="D64">
            <v>3</v>
          </cell>
        </row>
        <row r="65">
          <cell r="D65">
            <v>6</v>
          </cell>
        </row>
        <row r="66">
          <cell r="D66">
            <v>12</v>
          </cell>
        </row>
      </sheetData>
      <sheetData sheetId="37" refreshError="1"/>
      <sheetData sheetId="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A"/>
      <sheetName val="GL"/>
      <sheetName val="TB"/>
      <sheetName val="WS-BS"/>
      <sheetName val="BS"/>
      <sheetName val="WS-IS"/>
      <sheetName val="Sheet2"/>
      <sheetName val="Sheet1"/>
      <sheetName val="CF"/>
      <sheetName val="TAX"/>
    </sheetNames>
    <sheetDataSet>
      <sheetData sheetId="0"/>
      <sheetData sheetId="1"/>
      <sheetData sheetId="2">
        <row r="5">
          <cell r="F5">
            <v>9.0807674268944538E-7</v>
          </cell>
          <cell r="H5">
            <v>5.029141902923584E-8</v>
          </cell>
          <cell r="J5">
            <v>-1.7671845853328705E-7</v>
          </cell>
        </row>
        <row r="6">
          <cell r="F6" t="str">
            <v>MUTASI</v>
          </cell>
          <cell r="H6" t="str">
            <v>MUTASI</v>
          </cell>
          <cell r="J6" t="str">
            <v>MUTASI</v>
          </cell>
          <cell r="AE6" t="str">
            <v>HEAD ACC</v>
          </cell>
        </row>
        <row r="7">
          <cell r="F7">
            <v>1</v>
          </cell>
          <cell r="H7">
            <v>2</v>
          </cell>
          <cell r="J7">
            <v>3</v>
          </cell>
        </row>
        <row r="8">
          <cell r="F8">
            <v>0</v>
          </cell>
          <cell r="H8">
            <v>0</v>
          </cell>
          <cell r="J8">
            <v>0</v>
          </cell>
        </row>
        <row r="9">
          <cell r="F9">
            <v>0</v>
          </cell>
          <cell r="H9">
            <v>0</v>
          </cell>
          <cell r="J9">
            <v>0</v>
          </cell>
        </row>
        <row r="10">
          <cell r="F10">
            <v>0</v>
          </cell>
          <cell r="H10">
            <v>0</v>
          </cell>
          <cell r="J10">
            <v>0</v>
          </cell>
          <cell r="AE10" t="str">
            <v>KAS</v>
          </cell>
        </row>
        <row r="11">
          <cell r="F11">
            <v>0</v>
          </cell>
          <cell r="H11">
            <v>0</v>
          </cell>
          <cell r="J11">
            <v>0</v>
          </cell>
          <cell r="AE11" t="str">
            <v>KAS</v>
          </cell>
        </row>
        <row r="12">
          <cell r="F12">
            <v>0</v>
          </cell>
          <cell r="H12">
            <v>0</v>
          </cell>
          <cell r="J12">
            <v>0</v>
          </cell>
          <cell r="AE12" t="str">
            <v>KAS</v>
          </cell>
        </row>
        <row r="13">
          <cell r="F13">
            <v>0</v>
          </cell>
          <cell r="H13">
            <v>0</v>
          </cell>
          <cell r="J13">
            <v>0</v>
          </cell>
          <cell r="AE13" t="str">
            <v>KAS</v>
          </cell>
        </row>
        <row r="14">
          <cell r="F14">
            <v>0</v>
          </cell>
          <cell r="H14">
            <v>0</v>
          </cell>
          <cell r="J14">
            <v>0</v>
          </cell>
          <cell r="AE14" t="str">
            <v>KAS</v>
          </cell>
        </row>
        <row r="15">
          <cell r="F15">
            <v>21806051</v>
          </cell>
          <cell r="H15">
            <v>-17319992</v>
          </cell>
          <cell r="J15">
            <v>-7650000</v>
          </cell>
          <cell r="AE15" t="str">
            <v>KAS</v>
          </cell>
        </row>
        <row r="16">
          <cell r="F16">
            <v>991109</v>
          </cell>
          <cell r="H16">
            <v>357691</v>
          </cell>
          <cell r="J16">
            <v>-288000</v>
          </cell>
          <cell r="AE16" t="str">
            <v>KAS</v>
          </cell>
        </row>
        <row r="17">
          <cell r="F17">
            <v>7241307</v>
          </cell>
          <cell r="H17">
            <v>-531668</v>
          </cell>
          <cell r="J17">
            <v>-8055487</v>
          </cell>
          <cell r="AE17" t="str">
            <v>KAS</v>
          </cell>
        </row>
        <row r="18">
          <cell r="F18">
            <v>0</v>
          </cell>
          <cell r="H18">
            <v>0</v>
          </cell>
          <cell r="J18">
            <v>0</v>
          </cell>
          <cell r="AE18" t="str">
            <v>KAS</v>
          </cell>
        </row>
        <row r="19">
          <cell r="F19">
            <v>0</v>
          </cell>
          <cell r="H19">
            <v>0</v>
          </cell>
          <cell r="J19">
            <v>0</v>
          </cell>
          <cell r="AE19" t="str">
            <v>KAS</v>
          </cell>
        </row>
        <row r="20">
          <cell r="F20">
            <v>0</v>
          </cell>
          <cell r="H20">
            <v>0</v>
          </cell>
          <cell r="J20">
            <v>0</v>
          </cell>
          <cell r="AE20" t="str">
            <v>BANK</v>
          </cell>
        </row>
        <row r="21">
          <cell r="F21">
            <v>0</v>
          </cell>
          <cell r="H21">
            <v>0</v>
          </cell>
          <cell r="J21">
            <v>0</v>
          </cell>
          <cell r="AE21" t="str">
            <v>BANK</v>
          </cell>
        </row>
        <row r="22">
          <cell r="F22">
            <v>0</v>
          </cell>
          <cell r="H22">
            <v>0</v>
          </cell>
          <cell r="J22">
            <v>0</v>
          </cell>
          <cell r="AE22" t="str">
            <v>BANK</v>
          </cell>
        </row>
        <row r="23">
          <cell r="F23">
            <v>251760123.74000001</v>
          </cell>
          <cell r="H23">
            <v>-285208687.06000006</v>
          </cell>
          <cell r="J23">
            <v>1567139.8099999998</v>
          </cell>
          <cell r="AE23" t="str">
            <v>BANK</v>
          </cell>
        </row>
        <row r="24">
          <cell r="F24">
            <v>-173527</v>
          </cell>
          <cell r="H24">
            <v>-23643</v>
          </cell>
          <cell r="J24">
            <v>0</v>
          </cell>
          <cell r="AE24" t="str">
            <v>BANK</v>
          </cell>
        </row>
        <row r="25">
          <cell r="F25">
            <v>0</v>
          </cell>
          <cell r="H25">
            <v>0</v>
          </cell>
          <cell r="J25">
            <v>0</v>
          </cell>
          <cell r="AE25" t="str">
            <v>BANK</v>
          </cell>
        </row>
        <row r="26">
          <cell r="F26">
            <v>0</v>
          </cell>
          <cell r="H26">
            <v>0</v>
          </cell>
          <cell r="J26">
            <v>0</v>
          </cell>
          <cell r="AE26" t="str">
            <v>BANK</v>
          </cell>
        </row>
        <row r="27">
          <cell r="F27">
            <v>0</v>
          </cell>
          <cell r="H27">
            <v>0</v>
          </cell>
          <cell r="J27">
            <v>0</v>
          </cell>
          <cell r="AE27" t="str">
            <v>BANK</v>
          </cell>
        </row>
        <row r="28">
          <cell r="F28">
            <v>0</v>
          </cell>
          <cell r="H28">
            <v>0</v>
          </cell>
          <cell r="J28">
            <v>0</v>
          </cell>
          <cell r="AE28" t="str">
            <v>BANK</v>
          </cell>
        </row>
        <row r="29">
          <cell r="F29">
            <v>0</v>
          </cell>
          <cell r="H29">
            <v>0</v>
          </cell>
          <cell r="J29">
            <v>0</v>
          </cell>
          <cell r="AE29" t="str">
            <v>BANK</v>
          </cell>
        </row>
        <row r="30">
          <cell r="F30">
            <v>12271555</v>
          </cell>
          <cell r="H30">
            <v>3203788</v>
          </cell>
          <cell r="J30">
            <v>74138</v>
          </cell>
          <cell r="AE30" t="str">
            <v>BANK</v>
          </cell>
        </row>
        <row r="31">
          <cell r="F31">
            <v>206075618.32000017</v>
          </cell>
          <cell r="H31">
            <v>-2158420292.96</v>
          </cell>
          <cell r="J31">
            <v>-1430087595.8199999</v>
          </cell>
          <cell r="AE31" t="str">
            <v>BANK</v>
          </cell>
        </row>
        <row r="32">
          <cell r="F32">
            <v>-8934</v>
          </cell>
          <cell r="H32">
            <v>-9008</v>
          </cell>
          <cell r="J32">
            <v>0</v>
          </cell>
          <cell r="AE32" t="str">
            <v>BANK</v>
          </cell>
        </row>
        <row r="33">
          <cell r="F33">
            <v>12469</v>
          </cell>
          <cell r="H33">
            <v>12478</v>
          </cell>
          <cell r="J33">
            <v>11680</v>
          </cell>
          <cell r="AE33" t="str">
            <v>BANK</v>
          </cell>
        </row>
        <row r="34">
          <cell r="F34">
            <v>-374827.49</v>
          </cell>
          <cell r="H34">
            <v>747419.87000000477</v>
          </cell>
          <cell r="J34">
            <v>-919770.59</v>
          </cell>
          <cell r="AE34" t="str">
            <v>BANK</v>
          </cell>
        </row>
        <row r="35">
          <cell r="F35">
            <v>2879585.05</v>
          </cell>
          <cell r="H35">
            <v>-11612278.610000009</v>
          </cell>
          <cell r="J35">
            <v>-1613977.3499999959</v>
          </cell>
          <cell r="AE35" t="str">
            <v>BANK</v>
          </cell>
        </row>
        <row r="36">
          <cell r="F36">
            <v>718736340.69000006</v>
          </cell>
          <cell r="H36">
            <v>-188751939.94</v>
          </cell>
          <cell r="J36">
            <v>-525939788.59000003</v>
          </cell>
          <cell r="AE36" t="str">
            <v>BANK</v>
          </cell>
        </row>
        <row r="37">
          <cell r="F37">
            <v>3004074703</v>
          </cell>
          <cell r="H37">
            <v>3054505940</v>
          </cell>
          <cell r="J37">
            <v>15076037</v>
          </cell>
          <cell r="AE37" t="str">
            <v>BANK</v>
          </cell>
        </row>
        <row r="38">
          <cell r="F38">
            <v>41475992</v>
          </cell>
          <cell r="H38">
            <v>3230939</v>
          </cell>
          <cell r="J38">
            <v>-43717748</v>
          </cell>
          <cell r="AE38" t="str">
            <v>BANK</v>
          </cell>
        </row>
        <row r="39">
          <cell r="F39">
            <v>950000</v>
          </cell>
          <cell r="H39">
            <v>-50000</v>
          </cell>
          <cell r="J39">
            <v>-50000</v>
          </cell>
          <cell r="AE39" t="str">
            <v>BANK</v>
          </cell>
        </row>
        <row r="40">
          <cell r="F40">
            <v>950000</v>
          </cell>
          <cell r="H40">
            <v>26011</v>
          </cell>
          <cell r="J40">
            <v>-1011</v>
          </cell>
          <cell r="AE40" t="str">
            <v>BANK</v>
          </cell>
        </row>
        <row r="41">
          <cell r="F41">
            <v>7337531</v>
          </cell>
          <cell r="H41">
            <v>-6024668</v>
          </cell>
          <cell r="J41">
            <v>-25000</v>
          </cell>
          <cell r="AE41" t="str">
            <v>BANK</v>
          </cell>
        </row>
        <row r="42">
          <cell r="F42">
            <v>230953953</v>
          </cell>
          <cell r="H42">
            <v>-222642079.99999997</v>
          </cell>
          <cell r="J42">
            <v>-7534563</v>
          </cell>
          <cell r="AE42" t="str">
            <v>BANK</v>
          </cell>
        </row>
        <row r="43">
          <cell r="F43">
            <v>0</v>
          </cell>
          <cell r="H43">
            <v>0</v>
          </cell>
          <cell r="J43">
            <v>0</v>
          </cell>
          <cell r="AE43" t="str">
            <v>BANK</v>
          </cell>
        </row>
        <row r="44">
          <cell r="F44">
            <v>950000</v>
          </cell>
          <cell r="H44">
            <v>-50000</v>
          </cell>
          <cell r="J44">
            <v>-50000</v>
          </cell>
          <cell r="AE44" t="str">
            <v>BANK</v>
          </cell>
        </row>
        <row r="45">
          <cell r="F45">
            <v>950000</v>
          </cell>
          <cell r="H45">
            <v>-50000</v>
          </cell>
          <cell r="J45">
            <v>-50000</v>
          </cell>
          <cell r="AE45" t="str">
            <v>BANK</v>
          </cell>
        </row>
        <row r="46">
          <cell r="F46">
            <v>0</v>
          </cell>
          <cell r="H46">
            <v>2100000</v>
          </cell>
          <cell r="J46">
            <v>0</v>
          </cell>
          <cell r="AE46" t="str">
            <v>BANK</v>
          </cell>
        </row>
        <row r="47">
          <cell r="F47">
            <v>0</v>
          </cell>
          <cell r="H47">
            <v>0</v>
          </cell>
          <cell r="J47">
            <v>0</v>
          </cell>
          <cell r="AE47" t="str">
            <v>BANK</v>
          </cell>
        </row>
        <row r="48">
          <cell r="F48">
            <v>0</v>
          </cell>
          <cell r="H48">
            <v>0</v>
          </cell>
          <cell r="J48">
            <v>0</v>
          </cell>
          <cell r="AE48" t="str">
            <v>BANK</v>
          </cell>
        </row>
        <row r="49">
          <cell r="F49">
            <v>0</v>
          </cell>
          <cell r="H49">
            <v>0</v>
          </cell>
          <cell r="J49">
            <v>0</v>
          </cell>
          <cell r="AE49" t="str">
            <v>BANK</v>
          </cell>
        </row>
        <row r="50">
          <cell r="F50">
            <v>0</v>
          </cell>
          <cell r="H50">
            <v>0</v>
          </cell>
          <cell r="J50">
            <v>0</v>
          </cell>
          <cell r="AE50" t="str">
            <v>BANK</v>
          </cell>
        </row>
        <row r="51">
          <cell r="F51">
            <v>0</v>
          </cell>
          <cell r="H51">
            <v>0</v>
          </cell>
          <cell r="J51">
            <v>0</v>
          </cell>
          <cell r="AE51" t="str">
            <v>BANK</v>
          </cell>
        </row>
        <row r="52">
          <cell r="F52">
            <v>0</v>
          </cell>
          <cell r="H52">
            <v>0</v>
          </cell>
          <cell r="J52">
            <v>0</v>
          </cell>
          <cell r="AE52" t="str">
            <v>BANK</v>
          </cell>
        </row>
        <row r="53">
          <cell r="F53">
            <v>0</v>
          </cell>
          <cell r="H53">
            <v>0</v>
          </cell>
          <cell r="J53">
            <v>0</v>
          </cell>
          <cell r="AE53" t="str">
            <v>BANK</v>
          </cell>
        </row>
        <row r="54">
          <cell r="F54">
            <v>0</v>
          </cell>
          <cell r="H54">
            <v>0</v>
          </cell>
          <cell r="J54">
            <v>0</v>
          </cell>
          <cell r="AE54" t="str">
            <v>DEPOSITO</v>
          </cell>
        </row>
        <row r="55">
          <cell r="F55">
            <v>0</v>
          </cell>
          <cell r="H55">
            <v>0</v>
          </cell>
          <cell r="J55">
            <v>0</v>
          </cell>
          <cell r="AE55" t="str">
            <v>DEPOSITO</v>
          </cell>
        </row>
        <row r="56">
          <cell r="F56">
            <v>0</v>
          </cell>
          <cell r="H56">
            <v>0</v>
          </cell>
          <cell r="J56">
            <v>0</v>
          </cell>
          <cell r="AE56" t="str">
            <v>DEPOSITO</v>
          </cell>
        </row>
        <row r="57">
          <cell r="F57">
            <v>0</v>
          </cell>
          <cell r="H57">
            <v>0</v>
          </cell>
          <cell r="J57">
            <v>400000000</v>
          </cell>
          <cell r="AE57" t="str">
            <v>DEPOSITO</v>
          </cell>
        </row>
        <row r="58">
          <cell r="F58">
            <v>0</v>
          </cell>
          <cell r="H58">
            <v>0</v>
          </cell>
          <cell r="J58">
            <v>0</v>
          </cell>
          <cell r="AE58" t="str">
            <v>DEPOSITO</v>
          </cell>
        </row>
        <row r="59">
          <cell r="F59">
            <v>0</v>
          </cell>
          <cell r="H59">
            <v>0</v>
          </cell>
          <cell r="J59">
            <v>0</v>
          </cell>
          <cell r="AE59" t="str">
            <v>DEPOSITO</v>
          </cell>
        </row>
        <row r="60">
          <cell r="F60">
            <v>0</v>
          </cell>
          <cell r="H60">
            <v>0</v>
          </cell>
          <cell r="J60">
            <v>0</v>
          </cell>
          <cell r="AE60" t="str">
            <v>DEPOSITO</v>
          </cell>
        </row>
        <row r="61">
          <cell r="F61">
            <v>0</v>
          </cell>
          <cell r="H61">
            <v>0</v>
          </cell>
          <cell r="J61">
            <v>0</v>
          </cell>
          <cell r="AE61" t="str">
            <v>DEPOSITO</v>
          </cell>
        </row>
        <row r="62">
          <cell r="F62">
            <v>0</v>
          </cell>
          <cell r="H62">
            <v>0</v>
          </cell>
          <cell r="J62">
            <v>0</v>
          </cell>
          <cell r="AE62" t="str">
            <v>DEPOSITO</v>
          </cell>
        </row>
        <row r="63">
          <cell r="F63">
            <v>-3000000000</v>
          </cell>
          <cell r="H63">
            <v>0</v>
          </cell>
          <cell r="J63">
            <v>0</v>
          </cell>
          <cell r="AE63" t="str">
            <v>DEPOSITO</v>
          </cell>
        </row>
        <row r="64">
          <cell r="F64">
            <v>0</v>
          </cell>
          <cell r="H64">
            <v>0</v>
          </cell>
          <cell r="J64">
            <v>0</v>
          </cell>
          <cell r="AE64" t="str">
            <v>DEPOSITO</v>
          </cell>
        </row>
        <row r="65">
          <cell r="F65">
            <v>0</v>
          </cell>
          <cell r="H65">
            <v>0</v>
          </cell>
          <cell r="J65">
            <v>0</v>
          </cell>
          <cell r="AE65" t="str">
            <v>DEPOSITO</v>
          </cell>
        </row>
        <row r="66">
          <cell r="F66">
            <v>0</v>
          </cell>
          <cell r="H66">
            <v>0</v>
          </cell>
          <cell r="J66">
            <v>0</v>
          </cell>
          <cell r="AE66" t="str">
            <v>DEPOSITO</v>
          </cell>
        </row>
        <row r="67">
          <cell r="F67">
            <v>0</v>
          </cell>
          <cell r="H67">
            <v>0</v>
          </cell>
          <cell r="J67">
            <v>0</v>
          </cell>
          <cell r="AE67" t="str">
            <v>DEPOSITO</v>
          </cell>
        </row>
        <row r="68">
          <cell r="F68">
            <v>0</v>
          </cell>
          <cell r="H68">
            <v>0</v>
          </cell>
          <cell r="J68">
            <v>0</v>
          </cell>
          <cell r="AE68" t="str">
            <v>DEPOSITO</v>
          </cell>
        </row>
        <row r="69">
          <cell r="F69">
            <v>0</v>
          </cell>
          <cell r="H69">
            <v>0</v>
          </cell>
          <cell r="J69">
            <v>0</v>
          </cell>
          <cell r="AE69" t="str">
            <v>DEPOSITO</v>
          </cell>
        </row>
        <row r="70">
          <cell r="F70">
            <v>0</v>
          </cell>
          <cell r="H70">
            <v>0</v>
          </cell>
          <cell r="J70">
            <v>0</v>
          </cell>
          <cell r="AE70" t="str">
            <v>PENERIMAAN BELUM TERALOKASI</v>
          </cell>
        </row>
        <row r="71">
          <cell r="F71">
            <v>0</v>
          </cell>
          <cell r="H71">
            <v>0</v>
          </cell>
          <cell r="J71">
            <v>0</v>
          </cell>
          <cell r="AE71" t="str">
            <v>PENERIMAAN BELUM TERALOKASI</v>
          </cell>
        </row>
        <row r="72">
          <cell r="F72">
            <v>0</v>
          </cell>
          <cell r="H72">
            <v>0</v>
          </cell>
          <cell r="J72">
            <v>0</v>
          </cell>
          <cell r="AE72" t="str">
            <v>PENERIMAAN BELUM TERALOKASI</v>
          </cell>
        </row>
        <row r="73">
          <cell r="F73">
            <v>0</v>
          </cell>
          <cell r="H73">
            <v>0</v>
          </cell>
          <cell r="J73">
            <v>0</v>
          </cell>
          <cell r="AE73" t="str">
            <v>PENERIMAAN BELUM TERALOKASI</v>
          </cell>
        </row>
        <row r="74">
          <cell r="F74">
            <v>0</v>
          </cell>
          <cell r="H74">
            <v>0</v>
          </cell>
          <cell r="J74">
            <v>0</v>
          </cell>
          <cell r="AE74" t="str">
            <v>PENERIMAAN BELUM TERALOKASI</v>
          </cell>
        </row>
        <row r="75">
          <cell r="F75">
            <v>0</v>
          </cell>
          <cell r="H75">
            <v>0</v>
          </cell>
          <cell r="J75">
            <v>0</v>
          </cell>
          <cell r="AE75" t="str">
            <v>PENERIMAAN BELUM TERALOKASI</v>
          </cell>
        </row>
        <row r="76">
          <cell r="F76">
            <v>0</v>
          </cell>
          <cell r="H76">
            <v>0</v>
          </cell>
          <cell r="J76">
            <v>0</v>
          </cell>
          <cell r="AE76" t="str">
            <v>PIUTANG USAHA</v>
          </cell>
        </row>
        <row r="77">
          <cell r="F77">
            <v>0</v>
          </cell>
          <cell r="H77">
            <v>0</v>
          </cell>
          <cell r="J77">
            <v>0</v>
          </cell>
          <cell r="AE77" t="str">
            <v>PIUTANG USAHA</v>
          </cell>
        </row>
        <row r="78">
          <cell r="F78">
            <v>410116252.82999998</v>
          </cell>
          <cell r="H78">
            <v>-515177536.68000007</v>
          </cell>
          <cell r="J78">
            <v>323657926.39999992</v>
          </cell>
          <cell r="AE78" t="str">
            <v>PIUTANG USAHA</v>
          </cell>
        </row>
        <row r="79">
          <cell r="F79">
            <v>0</v>
          </cell>
          <cell r="H79">
            <v>0</v>
          </cell>
          <cell r="J79">
            <v>0</v>
          </cell>
          <cell r="AE79" t="str">
            <v>PIUTANG USAHA</v>
          </cell>
        </row>
        <row r="80">
          <cell r="F80">
            <v>0</v>
          </cell>
          <cell r="H80">
            <v>0</v>
          </cell>
          <cell r="J80">
            <v>0</v>
          </cell>
          <cell r="AE80" t="str">
            <v>PIUTANG USAHA</v>
          </cell>
        </row>
        <row r="81">
          <cell r="F81">
            <v>-2895982429</v>
          </cell>
          <cell r="H81">
            <v>-216123594</v>
          </cell>
          <cell r="J81">
            <v>535850000</v>
          </cell>
          <cell r="AE81" t="str">
            <v>PIUTANG USAHA</v>
          </cell>
        </row>
        <row r="82">
          <cell r="F82">
            <v>0</v>
          </cell>
          <cell r="H82">
            <v>0</v>
          </cell>
          <cell r="J82">
            <v>0</v>
          </cell>
          <cell r="AE82" t="str">
            <v>PIUTANG USAHA</v>
          </cell>
        </row>
        <row r="83">
          <cell r="F83">
            <v>0</v>
          </cell>
          <cell r="H83">
            <v>0</v>
          </cell>
          <cell r="J83">
            <v>0</v>
          </cell>
          <cell r="AE83" t="str">
            <v>PIUTANG USAHA</v>
          </cell>
        </row>
        <row r="84">
          <cell r="F84">
            <v>0</v>
          </cell>
          <cell r="H84">
            <v>0</v>
          </cell>
          <cell r="J84">
            <v>0</v>
          </cell>
          <cell r="AE84" t="str">
            <v>PIUTANG USAHA</v>
          </cell>
        </row>
        <row r="85">
          <cell r="F85">
            <v>0</v>
          </cell>
          <cell r="H85">
            <v>0</v>
          </cell>
          <cell r="J85">
            <v>0</v>
          </cell>
          <cell r="AE85" t="str">
            <v>PIUTANG USAHA</v>
          </cell>
        </row>
        <row r="86">
          <cell r="F86">
            <v>0</v>
          </cell>
          <cell r="H86">
            <v>0</v>
          </cell>
          <cell r="J86">
            <v>0</v>
          </cell>
          <cell r="AE86" t="str">
            <v>PIUTANG USAHA</v>
          </cell>
        </row>
        <row r="87">
          <cell r="F87">
            <v>922328426.34000003</v>
          </cell>
          <cell r="H87">
            <v>832508937</v>
          </cell>
          <cell r="J87">
            <v>685313483</v>
          </cell>
          <cell r="AE87" t="str">
            <v>PIUTANG USAHA</v>
          </cell>
        </row>
        <row r="88">
          <cell r="F88">
            <v>0</v>
          </cell>
          <cell r="H88">
            <v>0</v>
          </cell>
          <cell r="J88">
            <v>0</v>
          </cell>
          <cell r="AE88" t="str">
            <v>PIUTANG USAHA</v>
          </cell>
        </row>
        <row r="89">
          <cell r="F89">
            <v>0</v>
          </cell>
          <cell r="H89">
            <v>0</v>
          </cell>
          <cell r="J89">
            <v>0</v>
          </cell>
          <cell r="AE89" t="str">
            <v>PIUTANG USAHA</v>
          </cell>
        </row>
        <row r="90">
          <cell r="F90">
            <v>0</v>
          </cell>
          <cell r="H90">
            <v>0</v>
          </cell>
          <cell r="J90">
            <v>0</v>
          </cell>
          <cell r="AE90" t="str">
            <v>PIUTANG USAHA</v>
          </cell>
        </row>
        <row r="91">
          <cell r="F91">
            <v>0</v>
          </cell>
          <cell r="H91">
            <v>0</v>
          </cell>
          <cell r="J91">
            <v>0</v>
          </cell>
          <cell r="AE91" t="str">
            <v>PIUTANG USAHA</v>
          </cell>
        </row>
        <row r="92">
          <cell r="F92">
            <v>0</v>
          </cell>
          <cell r="H92">
            <v>0</v>
          </cell>
          <cell r="J92">
            <v>0</v>
          </cell>
          <cell r="AE92" t="str">
            <v>PIUTANG USAHA</v>
          </cell>
        </row>
        <row r="93">
          <cell r="F93">
            <v>0</v>
          </cell>
          <cell r="H93">
            <v>0</v>
          </cell>
          <cell r="J93">
            <v>0</v>
          </cell>
          <cell r="AE93" t="str">
            <v>PIUTANG USAHA</v>
          </cell>
        </row>
        <row r="94">
          <cell r="F94">
            <v>0</v>
          </cell>
          <cell r="H94">
            <v>0</v>
          </cell>
          <cell r="J94">
            <v>0</v>
          </cell>
          <cell r="AE94" t="str">
            <v>PIUTANG USAHA</v>
          </cell>
        </row>
        <row r="95">
          <cell r="F95">
            <v>0</v>
          </cell>
          <cell r="H95">
            <v>0</v>
          </cell>
          <cell r="J95">
            <v>0</v>
          </cell>
          <cell r="AE95" t="str">
            <v>PIUTANG USAHA</v>
          </cell>
        </row>
        <row r="96">
          <cell r="F96">
            <v>0</v>
          </cell>
          <cell r="H96">
            <v>0</v>
          </cell>
          <cell r="J96">
            <v>0</v>
          </cell>
          <cell r="AE96" t="str">
            <v>PIUTANG USAHA</v>
          </cell>
        </row>
        <row r="97">
          <cell r="F97">
            <v>0</v>
          </cell>
          <cell r="H97">
            <v>0</v>
          </cell>
          <cell r="J97">
            <v>0</v>
          </cell>
          <cell r="AE97" t="str">
            <v>PIUTANG LAIN-LAIN</v>
          </cell>
        </row>
        <row r="98">
          <cell r="F98">
            <v>0</v>
          </cell>
          <cell r="H98">
            <v>0</v>
          </cell>
          <cell r="J98">
            <v>0</v>
          </cell>
          <cell r="AE98" t="str">
            <v>PIUTANG LAIN-LAIN</v>
          </cell>
        </row>
        <row r="99">
          <cell r="F99">
            <v>0</v>
          </cell>
          <cell r="H99">
            <v>0</v>
          </cell>
          <cell r="J99">
            <v>0</v>
          </cell>
          <cell r="AE99" t="str">
            <v>PIUTANG LAIN-LAIN</v>
          </cell>
        </row>
        <row r="100">
          <cell r="F100">
            <v>0</v>
          </cell>
          <cell r="H100">
            <v>0</v>
          </cell>
          <cell r="J100">
            <v>0</v>
          </cell>
          <cell r="AE100" t="str">
            <v>PIUTANG LAIN-LAIN</v>
          </cell>
        </row>
        <row r="101">
          <cell r="F101">
            <v>0</v>
          </cell>
          <cell r="H101">
            <v>0</v>
          </cell>
          <cell r="J101">
            <v>0</v>
          </cell>
          <cell r="AE101" t="str">
            <v>PIUTANG LAIN-LAIN</v>
          </cell>
        </row>
        <row r="102">
          <cell r="F102">
            <v>0</v>
          </cell>
          <cell r="H102">
            <v>0</v>
          </cell>
          <cell r="J102">
            <v>0</v>
          </cell>
          <cell r="AE102" t="str">
            <v>PIUTANG LAIN-LAIN</v>
          </cell>
        </row>
        <row r="103">
          <cell r="F103">
            <v>0</v>
          </cell>
          <cell r="H103">
            <v>0</v>
          </cell>
          <cell r="J103">
            <v>0</v>
          </cell>
          <cell r="AE103" t="str">
            <v>PIUTANG LAIN-LAIN</v>
          </cell>
        </row>
        <row r="104">
          <cell r="F104">
            <v>0</v>
          </cell>
          <cell r="H104">
            <v>0</v>
          </cell>
          <cell r="J104">
            <v>0</v>
          </cell>
          <cell r="AE104" t="str">
            <v>PIUTANG LAIN-LAIN</v>
          </cell>
        </row>
        <row r="105">
          <cell r="F105">
            <v>0</v>
          </cell>
          <cell r="H105">
            <v>0</v>
          </cell>
          <cell r="J105">
            <v>0</v>
          </cell>
          <cell r="AE105" t="str">
            <v>PIUTANG LAIN-LAIN</v>
          </cell>
        </row>
        <row r="106">
          <cell r="F106">
            <v>0</v>
          </cell>
          <cell r="H106">
            <v>0</v>
          </cell>
          <cell r="J106">
            <v>0</v>
          </cell>
          <cell r="AE106" t="str">
            <v>PIUTANG LAIN-LAIN</v>
          </cell>
        </row>
        <row r="107">
          <cell r="F107">
            <v>0</v>
          </cell>
          <cell r="H107">
            <v>0</v>
          </cell>
          <cell r="J107">
            <v>0</v>
          </cell>
          <cell r="AE107" t="str">
            <v>PIUTANG LAIN-LAIN</v>
          </cell>
        </row>
        <row r="108">
          <cell r="F108">
            <v>0</v>
          </cell>
          <cell r="H108">
            <v>0</v>
          </cell>
          <cell r="J108">
            <v>0</v>
          </cell>
          <cell r="AE108" t="str">
            <v>PIUTANG LAIN-LAIN</v>
          </cell>
        </row>
        <row r="109">
          <cell r="F109">
            <v>0</v>
          </cell>
          <cell r="H109">
            <v>0</v>
          </cell>
          <cell r="J109">
            <v>0</v>
          </cell>
          <cell r="AE109" t="str">
            <v>PIUTANG LAIN-LAIN</v>
          </cell>
        </row>
        <row r="110">
          <cell r="F110">
            <v>0</v>
          </cell>
          <cell r="H110">
            <v>0</v>
          </cell>
          <cell r="J110">
            <v>0</v>
          </cell>
          <cell r="AE110" t="str">
            <v>PIUTANG LAIN-LAIN</v>
          </cell>
        </row>
        <row r="111">
          <cell r="F111">
            <v>0</v>
          </cell>
          <cell r="H111">
            <v>0</v>
          </cell>
          <cell r="J111">
            <v>0</v>
          </cell>
          <cell r="AE111" t="str">
            <v>PIUTANG LAIN-LAIN</v>
          </cell>
        </row>
        <row r="112">
          <cell r="F112">
            <v>0</v>
          </cell>
          <cell r="H112">
            <v>0</v>
          </cell>
          <cell r="J112">
            <v>0</v>
          </cell>
          <cell r="AE112" t="str">
            <v>PIUTANG LAIN-LAIN</v>
          </cell>
        </row>
        <row r="113">
          <cell r="F113">
            <v>0</v>
          </cell>
          <cell r="H113">
            <v>0</v>
          </cell>
          <cell r="J113">
            <v>0</v>
          </cell>
          <cell r="AE113" t="str">
            <v>PIUTANG LAIN-LAIN</v>
          </cell>
        </row>
        <row r="114">
          <cell r="F114">
            <v>0</v>
          </cell>
          <cell r="H114">
            <v>0</v>
          </cell>
          <cell r="J114">
            <v>0</v>
          </cell>
          <cell r="AE114" t="str">
            <v>PIUTANG LAIN-LAIN</v>
          </cell>
        </row>
        <row r="115">
          <cell r="F115">
            <v>0</v>
          </cell>
          <cell r="H115">
            <v>0</v>
          </cell>
          <cell r="J115">
            <v>0</v>
          </cell>
          <cell r="AE115" t="str">
            <v>PIUTANG LAIN-LAIN</v>
          </cell>
        </row>
        <row r="116">
          <cell r="F116">
            <v>0</v>
          </cell>
          <cell r="H116">
            <v>0</v>
          </cell>
          <cell r="J116">
            <v>0</v>
          </cell>
          <cell r="AE116" t="str">
            <v>PIUTANG LAIN-LAIN</v>
          </cell>
        </row>
        <row r="117">
          <cell r="F117">
            <v>0</v>
          </cell>
          <cell r="H117">
            <v>0</v>
          </cell>
          <cell r="J117">
            <v>0</v>
          </cell>
          <cell r="AE117" t="str">
            <v>PIUTANG LAIN-LAIN</v>
          </cell>
        </row>
        <row r="118">
          <cell r="F118">
            <v>0</v>
          </cell>
          <cell r="H118">
            <v>0</v>
          </cell>
          <cell r="J118">
            <v>0</v>
          </cell>
          <cell r="AE118" t="str">
            <v>PIUTANG LAIN-LAIN</v>
          </cell>
        </row>
        <row r="119">
          <cell r="F119">
            <v>0</v>
          </cell>
          <cell r="H119">
            <v>0</v>
          </cell>
          <cell r="J119">
            <v>0</v>
          </cell>
          <cell r="AE119" t="str">
            <v>PIUTANG LAIN-LAIN</v>
          </cell>
        </row>
        <row r="120">
          <cell r="F120">
            <v>0</v>
          </cell>
          <cell r="H120">
            <v>0</v>
          </cell>
          <cell r="J120">
            <v>0</v>
          </cell>
          <cell r="AE120" t="str">
            <v>PIUTANG LAIN-LAIN</v>
          </cell>
        </row>
        <row r="121">
          <cell r="F121">
            <v>0</v>
          </cell>
          <cell r="H121">
            <v>0</v>
          </cell>
          <cell r="J121">
            <v>0</v>
          </cell>
          <cell r="AE121" t="str">
            <v>PIUTANG LAIN-LAIN</v>
          </cell>
        </row>
        <row r="122">
          <cell r="F122">
            <v>0</v>
          </cell>
          <cell r="H122">
            <v>0</v>
          </cell>
          <cell r="J122">
            <v>0</v>
          </cell>
          <cell r="AE122" t="str">
            <v>PIUTANG LAIN-LAIN</v>
          </cell>
        </row>
        <row r="123">
          <cell r="F123">
            <v>0</v>
          </cell>
          <cell r="H123">
            <v>0</v>
          </cell>
          <cell r="J123">
            <v>0</v>
          </cell>
          <cell r="AE123" t="str">
            <v>CADANGAN PENYISIHAN PIUTANG</v>
          </cell>
        </row>
        <row r="124">
          <cell r="F124">
            <v>0</v>
          </cell>
          <cell r="H124">
            <v>0</v>
          </cell>
          <cell r="J124">
            <v>0</v>
          </cell>
          <cell r="AE124" t="str">
            <v>CADANGAN PENYISIHAN PIUTANG</v>
          </cell>
        </row>
        <row r="125">
          <cell r="F125">
            <v>0</v>
          </cell>
          <cell r="H125">
            <v>0</v>
          </cell>
          <cell r="J125">
            <v>0</v>
          </cell>
          <cell r="AE125" t="str">
            <v>CADANGAN PENYISIHAN PIUTANG</v>
          </cell>
        </row>
        <row r="126">
          <cell r="F126">
            <v>0</v>
          </cell>
          <cell r="H126">
            <v>0</v>
          </cell>
          <cell r="J126">
            <v>0</v>
          </cell>
          <cell r="AE126" t="str">
            <v>CADANGAN PENYISIHAN PIUTANG</v>
          </cell>
        </row>
        <row r="127">
          <cell r="F127">
            <v>0</v>
          </cell>
          <cell r="H127">
            <v>0</v>
          </cell>
          <cell r="J127">
            <v>0</v>
          </cell>
          <cell r="AE127" t="str">
            <v>CADANGAN PENYISIHAN PIUTANG</v>
          </cell>
        </row>
        <row r="128">
          <cell r="F128">
            <v>0</v>
          </cell>
          <cell r="H128">
            <v>0</v>
          </cell>
          <cell r="J128">
            <v>0</v>
          </cell>
          <cell r="AE128" t="str">
            <v>CADANGAN PENYISIHAN PIUTANG</v>
          </cell>
        </row>
        <row r="129">
          <cell r="F129">
            <v>0</v>
          </cell>
          <cell r="H129">
            <v>0</v>
          </cell>
          <cell r="J129">
            <v>0</v>
          </cell>
          <cell r="AE129" t="str">
            <v>CADANGAN PENYISIHAN PIUTANG</v>
          </cell>
        </row>
        <row r="130">
          <cell r="F130">
            <v>0</v>
          </cell>
          <cell r="H130">
            <v>0</v>
          </cell>
          <cell r="J130">
            <v>0</v>
          </cell>
          <cell r="AE130" t="str">
            <v>PIUTANG LAIN-LAIN</v>
          </cell>
        </row>
        <row r="131">
          <cell r="F131">
            <v>0</v>
          </cell>
          <cell r="H131">
            <v>0</v>
          </cell>
          <cell r="J131">
            <v>0</v>
          </cell>
          <cell r="AE131" t="str">
            <v>PIUTANG LAIN-LAIN</v>
          </cell>
        </row>
        <row r="132">
          <cell r="F132">
            <v>0</v>
          </cell>
          <cell r="H132">
            <v>0</v>
          </cell>
          <cell r="J132">
            <v>0</v>
          </cell>
          <cell r="AE132" t="str">
            <v>PIUTANG LAIN-LAIN</v>
          </cell>
        </row>
        <row r="133">
          <cell r="F133">
            <v>0</v>
          </cell>
          <cell r="H133">
            <v>0</v>
          </cell>
          <cell r="J133">
            <v>0</v>
          </cell>
          <cell r="AE133" t="str">
            <v>PIUTANG LAIN-LAIN</v>
          </cell>
        </row>
        <row r="134">
          <cell r="F134">
            <v>0</v>
          </cell>
          <cell r="H134">
            <v>0</v>
          </cell>
          <cell r="J134">
            <v>0</v>
          </cell>
          <cell r="AE134" t="str">
            <v>PERSEDIAAN</v>
          </cell>
        </row>
        <row r="135">
          <cell r="F135">
            <v>0</v>
          </cell>
          <cell r="H135">
            <v>0</v>
          </cell>
          <cell r="J135">
            <v>0</v>
          </cell>
          <cell r="AE135" t="str">
            <v>PERSEDIAAN</v>
          </cell>
        </row>
        <row r="136">
          <cell r="F136">
            <v>0</v>
          </cell>
          <cell r="H136">
            <v>0</v>
          </cell>
          <cell r="J136">
            <v>0</v>
          </cell>
          <cell r="AE136" t="str">
            <v>PERSEDIAAN</v>
          </cell>
        </row>
        <row r="137">
          <cell r="F137">
            <v>0</v>
          </cell>
          <cell r="H137">
            <v>0</v>
          </cell>
          <cell r="J137">
            <v>0</v>
          </cell>
          <cell r="AE137" t="str">
            <v>PERSEDIAAN</v>
          </cell>
        </row>
        <row r="138">
          <cell r="F138">
            <v>0</v>
          </cell>
          <cell r="H138">
            <v>0</v>
          </cell>
          <cell r="J138">
            <v>0</v>
          </cell>
          <cell r="AE138" t="str">
            <v>PERSEDIAAN</v>
          </cell>
        </row>
        <row r="139">
          <cell r="F139">
            <v>0</v>
          </cell>
          <cell r="H139">
            <v>0</v>
          </cell>
          <cell r="J139">
            <v>0</v>
          </cell>
          <cell r="AE139" t="str">
            <v>PERSEDIAAN</v>
          </cell>
        </row>
        <row r="140">
          <cell r="F140">
            <v>0</v>
          </cell>
          <cell r="H140">
            <v>0</v>
          </cell>
          <cell r="J140">
            <v>0</v>
          </cell>
          <cell r="AE140" t="str">
            <v>PERSEDIAAN</v>
          </cell>
        </row>
        <row r="141">
          <cell r="F141">
            <v>0</v>
          </cell>
          <cell r="H141">
            <v>0</v>
          </cell>
          <cell r="J141">
            <v>0</v>
          </cell>
          <cell r="AE141" t="str">
            <v>PERSEDIAAN</v>
          </cell>
        </row>
        <row r="142">
          <cell r="F142">
            <v>0</v>
          </cell>
          <cell r="H142">
            <v>0</v>
          </cell>
          <cell r="J142">
            <v>0</v>
          </cell>
          <cell r="AE142" t="str">
            <v>PERSEDIAAN</v>
          </cell>
        </row>
        <row r="143">
          <cell r="F143">
            <v>0</v>
          </cell>
          <cell r="H143">
            <v>0</v>
          </cell>
          <cell r="J143">
            <v>0</v>
          </cell>
          <cell r="AE143" t="str">
            <v>PERSEDIAAN</v>
          </cell>
        </row>
        <row r="144">
          <cell r="F144">
            <v>0</v>
          </cell>
          <cell r="H144">
            <v>0</v>
          </cell>
          <cell r="J144">
            <v>0</v>
          </cell>
          <cell r="AE144" t="str">
            <v>PERSEDIAAN</v>
          </cell>
        </row>
        <row r="145">
          <cell r="F145">
            <v>0</v>
          </cell>
          <cell r="H145">
            <v>0</v>
          </cell>
          <cell r="J145">
            <v>0</v>
          </cell>
          <cell r="AE145" t="str">
            <v>PERSEDIAAN</v>
          </cell>
        </row>
        <row r="146">
          <cell r="F146">
            <v>0</v>
          </cell>
          <cell r="H146">
            <v>0</v>
          </cell>
          <cell r="J146">
            <v>0</v>
          </cell>
          <cell r="AE146" t="str">
            <v>PERSEDIAAN</v>
          </cell>
        </row>
        <row r="147">
          <cell r="F147">
            <v>0</v>
          </cell>
          <cell r="H147">
            <v>0</v>
          </cell>
          <cell r="J147">
            <v>0</v>
          </cell>
          <cell r="AE147" t="str">
            <v>PERSEDIAAN</v>
          </cell>
        </row>
        <row r="148">
          <cell r="F148">
            <v>0</v>
          </cell>
          <cell r="H148">
            <v>0</v>
          </cell>
          <cell r="J148">
            <v>0</v>
          </cell>
          <cell r="AE148" t="str">
            <v>PERSEDIAAN</v>
          </cell>
        </row>
        <row r="149">
          <cell r="F149">
            <v>0</v>
          </cell>
          <cell r="H149">
            <v>0</v>
          </cell>
          <cell r="J149">
            <v>0</v>
          </cell>
          <cell r="AE149" t="str">
            <v>PERSEDIAAN</v>
          </cell>
        </row>
        <row r="150">
          <cell r="F150">
            <v>0</v>
          </cell>
          <cell r="H150">
            <v>0</v>
          </cell>
          <cell r="J150">
            <v>0</v>
          </cell>
          <cell r="AE150" t="str">
            <v>PERSEDIAAN</v>
          </cell>
        </row>
        <row r="151">
          <cell r="F151">
            <v>0</v>
          </cell>
          <cell r="H151">
            <v>0</v>
          </cell>
          <cell r="J151">
            <v>0</v>
          </cell>
          <cell r="AE151" t="str">
            <v>TANAH DALAM PENGEMBANGAN</v>
          </cell>
        </row>
        <row r="152">
          <cell r="F152">
            <v>510782775</v>
          </cell>
          <cell r="H152">
            <v>110531668</v>
          </cell>
          <cell r="J152">
            <v>58518645</v>
          </cell>
          <cell r="AE152" t="str">
            <v>BANGUNAN DALAM PENGEMBANGAN</v>
          </cell>
        </row>
        <row r="153">
          <cell r="F153">
            <v>0</v>
          </cell>
          <cell r="H153">
            <v>-478037216</v>
          </cell>
          <cell r="J153">
            <v>0</v>
          </cell>
          <cell r="AE153" t="str">
            <v>BANGUNAN DALAM PENGEMBANGAN</v>
          </cell>
        </row>
        <row r="154">
          <cell r="F154">
            <v>0</v>
          </cell>
          <cell r="H154">
            <v>0</v>
          </cell>
          <cell r="J154">
            <v>0</v>
          </cell>
          <cell r="AE154" t="str">
            <v>PERSEDIAAN</v>
          </cell>
        </row>
        <row r="155">
          <cell r="F155">
            <v>0</v>
          </cell>
          <cell r="H155">
            <v>0</v>
          </cell>
          <cell r="J155">
            <v>0</v>
          </cell>
          <cell r="AE155" t="str">
            <v>PERSEDIAAN</v>
          </cell>
        </row>
        <row r="156">
          <cell r="F156">
            <v>0</v>
          </cell>
          <cell r="H156">
            <v>0</v>
          </cell>
          <cell r="J156">
            <v>0</v>
          </cell>
          <cell r="AE156" t="str">
            <v>PERSEDIAAN</v>
          </cell>
        </row>
        <row r="157">
          <cell r="F157">
            <v>0</v>
          </cell>
          <cell r="H157">
            <v>0</v>
          </cell>
          <cell r="J157">
            <v>0</v>
          </cell>
          <cell r="AE157" t="str">
            <v>PERSEDIAAN</v>
          </cell>
        </row>
        <row r="158">
          <cell r="F158">
            <v>0</v>
          </cell>
          <cell r="H158">
            <v>0</v>
          </cell>
          <cell r="J158">
            <v>0</v>
          </cell>
          <cell r="AE158" t="str">
            <v>PERSEDIAAN</v>
          </cell>
        </row>
        <row r="159">
          <cell r="F159">
            <v>0</v>
          </cell>
          <cell r="H159">
            <v>0</v>
          </cell>
          <cell r="J159">
            <v>0</v>
          </cell>
          <cell r="AE159" t="str">
            <v>PERSEDIAAN</v>
          </cell>
        </row>
        <row r="160">
          <cell r="F160">
            <v>0</v>
          </cell>
          <cell r="H160">
            <v>0</v>
          </cell>
          <cell r="J160">
            <v>0</v>
          </cell>
          <cell r="AE160" t="str">
            <v>PERSEDIAAN</v>
          </cell>
        </row>
        <row r="161">
          <cell r="F161">
            <v>0</v>
          </cell>
          <cell r="H161">
            <v>0</v>
          </cell>
          <cell r="J161">
            <v>0</v>
          </cell>
          <cell r="AE161" t="str">
            <v>PERSEDIAAN</v>
          </cell>
        </row>
        <row r="162">
          <cell r="F162">
            <v>0</v>
          </cell>
          <cell r="H162">
            <v>0</v>
          </cell>
          <cell r="J162">
            <v>0</v>
          </cell>
          <cell r="AE162" t="str">
            <v>PERSEDIAAN</v>
          </cell>
        </row>
        <row r="163">
          <cell r="F163">
            <v>0</v>
          </cell>
          <cell r="H163">
            <v>0</v>
          </cell>
          <cell r="J163">
            <v>0</v>
          </cell>
          <cell r="AE163" t="str">
            <v>PERSEDIAAN</v>
          </cell>
        </row>
        <row r="164">
          <cell r="F164">
            <v>0</v>
          </cell>
          <cell r="H164">
            <v>0</v>
          </cell>
          <cell r="J164">
            <v>0</v>
          </cell>
          <cell r="AE164" t="str">
            <v>PERSEDIAAN</v>
          </cell>
        </row>
        <row r="165">
          <cell r="F165">
            <v>0</v>
          </cell>
          <cell r="H165">
            <v>0</v>
          </cell>
          <cell r="J165">
            <v>0</v>
          </cell>
          <cell r="AE165" t="str">
            <v>PERSEDIAAN</v>
          </cell>
        </row>
        <row r="166">
          <cell r="F166">
            <v>0</v>
          </cell>
          <cell r="H166">
            <v>0</v>
          </cell>
          <cell r="J166">
            <v>0</v>
          </cell>
          <cell r="AE166" t="str">
            <v>PERSEDIAAN</v>
          </cell>
        </row>
        <row r="167">
          <cell r="F167">
            <v>0</v>
          </cell>
          <cell r="H167">
            <v>0</v>
          </cell>
          <cell r="J167">
            <v>0</v>
          </cell>
          <cell r="AE167" t="str">
            <v>PAJAK DIBAYAR DIMUKA</v>
          </cell>
        </row>
        <row r="168">
          <cell r="F168">
            <v>0</v>
          </cell>
          <cell r="H168">
            <v>0</v>
          </cell>
          <cell r="J168">
            <v>0</v>
          </cell>
          <cell r="AE168" t="str">
            <v>PAJAK DIBAYAR DIMUKA</v>
          </cell>
        </row>
        <row r="169">
          <cell r="F169">
            <v>0</v>
          </cell>
          <cell r="H169">
            <v>0</v>
          </cell>
          <cell r="J169">
            <v>0</v>
          </cell>
          <cell r="AE169" t="str">
            <v>PAJAK DIBAYAR DIMUKA</v>
          </cell>
        </row>
        <row r="170">
          <cell r="F170">
            <v>0</v>
          </cell>
          <cell r="H170">
            <v>0</v>
          </cell>
          <cell r="J170">
            <v>5291950.0999999996</v>
          </cell>
          <cell r="AE170" t="str">
            <v>PAJAK DIBAYAR DIMUKA</v>
          </cell>
        </row>
        <row r="171">
          <cell r="F171">
            <v>0</v>
          </cell>
          <cell r="H171">
            <v>0</v>
          </cell>
          <cell r="J171">
            <v>0</v>
          </cell>
          <cell r="AE171" t="str">
            <v>PAJAK DIBAYAR DIMUKA</v>
          </cell>
        </row>
        <row r="172">
          <cell r="F172">
            <v>0</v>
          </cell>
          <cell r="H172">
            <v>0</v>
          </cell>
          <cell r="J172">
            <v>0</v>
          </cell>
          <cell r="AE172" t="str">
            <v>PAJAK DIBAYAR DIMUKA</v>
          </cell>
        </row>
        <row r="173">
          <cell r="F173">
            <v>0</v>
          </cell>
          <cell r="H173">
            <v>0</v>
          </cell>
          <cell r="J173">
            <v>0</v>
          </cell>
          <cell r="AE173" t="str">
            <v>PAJAK DIBAYAR DIMUKA</v>
          </cell>
        </row>
        <row r="174">
          <cell r="F174">
            <v>113822300.82000001</v>
          </cell>
          <cell r="H174">
            <v>89065580.5</v>
          </cell>
          <cell r="J174">
            <v>172920981.72999999</v>
          </cell>
          <cell r="AE174" t="str">
            <v>PAJAK DIBAYAR DIMUKA</v>
          </cell>
        </row>
        <row r="175">
          <cell r="F175">
            <v>0</v>
          </cell>
          <cell r="H175">
            <v>0</v>
          </cell>
          <cell r="J175">
            <v>0</v>
          </cell>
          <cell r="AE175" t="str">
            <v>PAJAK DIBAYAR DIMUKA</v>
          </cell>
        </row>
        <row r="176">
          <cell r="F176">
            <v>0</v>
          </cell>
          <cell r="H176">
            <v>0</v>
          </cell>
          <cell r="J176">
            <v>0</v>
          </cell>
          <cell r="AE176" t="str">
            <v>PAJAK DIBAYAR DIMUKA</v>
          </cell>
        </row>
        <row r="177">
          <cell r="F177">
            <v>0</v>
          </cell>
          <cell r="H177">
            <v>0</v>
          </cell>
          <cell r="J177">
            <v>0</v>
          </cell>
          <cell r="AE177" t="str">
            <v>PAJAK DIBAYAR DIMUKA</v>
          </cell>
        </row>
        <row r="178">
          <cell r="F178">
            <v>0</v>
          </cell>
          <cell r="H178">
            <v>0</v>
          </cell>
          <cell r="J178">
            <v>0</v>
          </cell>
          <cell r="AE178" t="str">
            <v>PAJAK DIBAYAR DIMUKA</v>
          </cell>
        </row>
        <row r="179">
          <cell r="F179">
            <v>0</v>
          </cell>
          <cell r="H179">
            <v>0</v>
          </cell>
          <cell r="J179">
            <v>0</v>
          </cell>
          <cell r="AE179" t="str">
            <v>PAJAK DIBAYAR DIMUKA</v>
          </cell>
        </row>
        <row r="180">
          <cell r="F180">
            <v>0</v>
          </cell>
          <cell r="H180">
            <v>0</v>
          </cell>
          <cell r="J180">
            <v>0</v>
          </cell>
          <cell r="AE180" t="str">
            <v>PAJAK DIBAYAR DIMUKA</v>
          </cell>
        </row>
        <row r="181">
          <cell r="F181">
            <v>0</v>
          </cell>
          <cell r="H181">
            <v>0</v>
          </cell>
          <cell r="J181">
            <v>0</v>
          </cell>
          <cell r="AE181" t="str">
            <v>PAJAK DIBAYAR DIMUKA</v>
          </cell>
        </row>
        <row r="182">
          <cell r="F182">
            <v>0</v>
          </cell>
          <cell r="H182">
            <v>0</v>
          </cell>
          <cell r="J182">
            <v>0</v>
          </cell>
          <cell r="AE182" t="str">
            <v>PAJAK DIBAYAR DIMUKA</v>
          </cell>
        </row>
        <row r="183">
          <cell r="F183">
            <v>0</v>
          </cell>
          <cell r="H183">
            <v>0</v>
          </cell>
          <cell r="J183">
            <v>0</v>
          </cell>
          <cell r="AE183" t="str">
            <v>PAJAK DIBAYAR DIMUKA</v>
          </cell>
        </row>
        <row r="184">
          <cell r="F184">
            <v>0</v>
          </cell>
          <cell r="H184">
            <v>0</v>
          </cell>
          <cell r="J184">
            <v>0</v>
          </cell>
          <cell r="AE184" t="str">
            <v>UANG MUKA</v>
          </cell>
        </row>
        <row r="185">
          <cell r="F185">
            <v>0</v>
          </cell>
          <cell r="H185">
            <v>0</v>
          </cell>
          <cell r="J185">
            <v>0</v>
          </cell>
          <cell r="AE185" t="str">
            <v>UANG MUKA</v>
          </cell>
        </row>
        <row r="186">
          <cell r="F186">
            <v>0</v>
          </cell>
          <cell r="H186">
            <v>0</v>
          </cell>
          <cell r="J186">
            <v>0</v>
          </cell>
          <cell r="AE186" t="str">
            <v>UANG MUKA</v>
          </cell>
        </row>
        <row r="187">
          <cell r="F187">
            <v>0</v>
          </cell>
          <cell r="H187">
            <v>0</v>
          </cell>
          <cell r="J187">
            <v>0</v>
          </cell>
          <cell r="AE187" t="str">
            <v>UANG MUKA</v>
          </cell>
        </row>
        <row r="188">
          <cell r="F188">
            <v>0</v>
          </cell>
          <cell r="H188">
            <v>0</v>
          </cell>
          <cell r="J188">
            <v>0</v>
          </cell>
          <cell r="AE188" t="str">
            <v>UANG MUKA</v>
          </cell>
        </row>
        <row r="189">
          <cell r="F189">
            <v>0</v>
          </cell>
          <cell r="H189">
            <v>0</v>
          </cell>
          <cell r="J189">
            <v>0</v>
          </cell>
          <cell r="AE189" t="str">
            <v>UANG MUKA</v>
          </cell>
        </row>
        <row r="190">
          <cell r="F190">
            <v>21289949</v>
          </cell>
          <cell r="H190">
            <v>-31723000</v>
          </cell>
          <cell r="J190">
            <v>28078004</v>
          </cell>
          <cell r="AE190" t="str">
            <v>UANG MUKA</v>
          </cell>
        </row>
        <row r="191">
          <cell r="F191">
            <v>0</v>
          </cell>
          <cell r="H191">
            <v>44203728</v>
          </cell>
          <cell r="J191">
            <v>-4420372</v>
          </cell>
          <cell r="AE191" t="str">
            <v>UANG MUKA</v>
          </cell>
        </row>
        <row r="192">
          <cell r="F192">
            <v>0</v>
          </cell>
          <cell r="H192">
            <v>0</v>
          </cell>
          <cell r="J192">
            <v>0</v>
          </cell>
          <cell r="AE192" t="str">
            <v>UANG MUKA</v>
          </cell>
        </row>
        <row r="193">
          <cell r="F193">
            <v>-1126900</v>
          </cell>
          <cell r="H193">
            <v>-3881000</v>
          </cell>
          <cell r="J193">
            <v>2225000</v>
          </cell>
          <cell r="AE193" t="str">
            <v>UANG MUKA</v>
          </cell>
        </row>
        <row r="194">
          <cell r="F194">
            <v>-8745000</v>
          </cell>
          <cell r="H194">
            <v>-7153460</v>
          </cell>
          <cell r="J194">
            <v>-249700</v>
          </cell>
          <cell r="AE194" t="str">
            <v>UANG MUKA</v>
          </cell>
        </row>
        <row r="195">
          <cell r="F195">
            <v>0</v>
          </cell>
          <cell r="H195">
            <v>0</v>
          </cell>
          <cell r="J195">
            <v>0</v>
          </cell>
          <cell r="AE195" t="str">
            <v>UANG MUKA</v>
          </cell>
        </row>
        <row r="196">
          <cell r="F196">
            <v>0</v>
          </cell>
          <cell r="H196">
            <v>89200830</v>
          </cell>
          <cell r="J196">
            <v>0</v>
          </cell>
          <cell r="AE196" t="str">
            <v>UANG MUKA</v>
          </cell>
        </row>
        <row r="197">
          <cell r="F197">
            <v>0</v>
          </cell>
          <cell r="H197">
            <v>0</v>
          </cell>
          <cell r="J197">
            <v>0</v>
          </cell>
          <cell r="AE197" t="str">
            <v>UANG MUKA</v>
          </cell>
        </row>
        <row r="198">
          <cell r="F198">
            <v>0</v>
          </cell>
          <cell r="H198">
            <v>0</v>
          </cell>
          <cell r="J198">
            <v>0</v>
          </cell>
          <cell r="AE198" t="str">
            <v>UANG MUKA</v>
          </cell>
        </row>
        <row r="199">
          <cell r="F199">
            <v>0</v>
          </cell>
          <cell r="H199">
            <v>0</v>
          </cell>
          <cell r="J199">
            <v>0</v>
          </cell>
          <cell r="AE199" t="str">
            <v>UANG MUKA</v>
          </cell>
        </row>
        <row r="200">
          <cell r="F200">
            <v>0</v>
          </cell>
          <cell r="H200">
            <v>0</v>
          </cell>
          <cell r="J200">
            <v>0</v>
          </cell>
          <cell r="AE200" t="str">
            <v>UANG MUKA</v>
          </cell>
        </row>
        <row r="201">
          <cell r="F201">
            <v>0</v>
          </cell>
          <cell r="H201">
            <v>0</v>
          </cell>
          <cell r="J201">
            <v>0</v>
          </cell>
          <cell r="AE201" t="str">
            <v>UANG MUKA</v>
          </cell>
        </row>
        <row r="202">
          <cell r="F202">
            <v>0</v>
          </cell>
          <cell r="H202">
            <v>0</v>
          </cell>
          <cell r="J202">
            <v>0</v>
          </cell>
          <cell r="AE202" t="str">
            <v>UANG MUKA</v>
          </cell>
        </row>
        <row r="203">
          <cell r="F203">
            <v>0</v>
          </cell>
          <cell r="H203">
            <v>0</v>
          </cell>
          <cell r="J203">
            <v>0</v>
          </cell>
          <cell r="AE203" t="str">
            <v>UANG MUKA</v>
          </cell>
        </row>
        <row r="204">
          <cell r="F204">
            <v>0</v>
          </cell>
          <cell r="H204">
            <v>0</v>
          </cell>
          <cell r="J204">
            <v>0</v>
          </cell>
          <cell r="AE204" t="str">
            <v>BIAYA DIBAYAR DIMUKA</v>
          </cell>
        </row>
        <row r="205">
          <cell r="F205">
            <v>0</v>
          </cell>
          <cell r="H205">
            <v>0</v>
          </cell>
          <cell r="J205">
            <v>0</v>
          </cell>
          <cell r="AE205" t="str">
            <v>BIAYA DIBAYAR DIMUKA</v>
          </cell>
        </row>
        <row r="206">
          <cell r="F206">
            <v>-17519287.5</v>
          </cell>
          <cell r="H206">
            <v>-17519287.5</v>
          </cell>
          <cell r="J206">
            <v>-17519288</v>
          </cell>
          <cell r="AE206" t="str">
            <v>BIAYA DIBAYAR DIMUKA</v>
          </cell>
        </row>
        <row r="207">
          <cell r="F207">
            <v>0</v>
          </cell>
          <cell r="H207">
            <v>33977274</v>
          </cell>
          <cell r="J207">
            <v>20227273.370000001</v>
          </cell>
          <cell r="AE207" t="str">
            <v>BIAYA DIBAYAR DIMUKA</v>
          </cell>
        </row>
        <row r="208">
          <cell r="F208">
            <v>0</v>
          </cell>
          <cell r="H208">
            <v>465200085</v>
          </cell>
          <cell r="J208">
            <v>479133315</v>
          </cell>
          <cell r="AE208" t="str">
            <v>BIAYA DIBAYAR DIMUKA</v>
          </cell>
        </row>
        <row r="209">
          <cell r="F209">
            <v>43737529</v>
          </cell>
          <cell r="H209">
            <v>0</v>
          </cell>
          <cell r="J209">
            <v>19185900</v>
          </cell>
          <cell r="AE209" t="str">
            <v>BIAYA DIBAYAR DIMUKA</v>
          </cell>
        </row>
        <row r="210">
          <cell r="F210">
            <v>0</v>
          </cell>
          <cell r="H210">
            <v>0</v>
          </cell>
          <cell r="J210">
            <v>0</v>
          </cell>
          <cell r="AE210" t="str">
            <v>ASET LANCAR LAINYA</v>
          </cell>
        </row>
        <row r="211">
          <cell r="F211">
            <v>0</v>
          </cell>
          <cell r="H211">
            <v>0</v>
          </cell>
          <cell r="J211">
            <v>0</v>
          </cell>
          <cell r="AE211" t="str">
            <v>ASET LANCAR LAINYA</v>
          </cell>
        </row>
        <row r="212">
          <cell r="F212">
            <v>0</v>
          </cell>
          <cell r="H212">
            <v>0</v>
          </cell>
          <cell r="J212">
            <v>0</v>
          </cell>
          <cell r="AE212" t="str">
            <v>ASET LANCAR LAINYA</v>
          </cell>
        </row>
        <row r="213">
          <cell r="F213">
            <v>0</v>
          </cell>
          <cell r="H213">
            <v>0</v>
          </cell>
          <cell r="J213">
            <v>0</v>
          </cell>
          <cell r="AE213" t="str">
            <v>RK</v>
          </cell>
        </row>
        <row r="214">
          <cell r="F214">
            <v>0</v>
          </cell>
          <cell r="H214">
            <v>0</v>
          </cell>
          <cell r="J214">
            <v>0</v>
          </cell>
          <cell r="AE214" t="str">
            <v>RK</v>
          </cell>
        </row>
        <row r="215">
          <cell r="F215">
            <v>0</v>
          </cell>
          <cell r="H215">
            <v>0</v>
          </cell>
          <cell r="J215">
            <v>0</v>
          </cell>
          <cell r="AE215" t="str">
            <v>RK</v>
          </cell>
        </row>
        <row r="216">
          <cell r="F216">
            <v>0</v>
          </cell>
          <cell r="H216">
            <v>0</v>
          </cell>
          <cell r="J216">
            <v>0</v>
          </cell>
          <cell r="AE216" t="str">
            <v>RK</v>
          </cell>
        </row>
        <row r="217">
          <cell r="F217">
            <v>0</v>
          </cell>
          <cell r="H217">
            <v>0</v>
          </cell>
          <cell r="J217">
            <v>0</v>
          </cell>
          <cell r="AE217" t="str">
            <v>RK</v>
          </cell>
        </row>
        <row r="218">
          <cell r="F218">
            <v>0</v>
          </cell>
          <cell r="H218">
            <v>0</v>
          </cell>
          <cell r="J218">
            <v>0</v>
          </cell>
          <cell r="AE218" t="str">
            <v>INVESTASI JANGKA PANJANG</v>
          </cell>
        </row>
        <row r="219">
          <cell r="F219">
            <v>0</v>
          </cell>
          <cell r="H219">
            <v>0</v>
          </cell>
          <cell r="J219">
            <v>0</v>
          </cell>
          <cell r="AE219" t="str">
            <v>INVESTASI PADA ANAK PERUSAHAAN DAN ASOSIASI</v>
          </cell>
        </row>
        <row r="220">
          <cell r="F220">
            <v>0</v>
          </cell>
          <cell r="H220">
            <v>0</v>
          </cell>
          <cell r="J220">
            <v>0</v>
          </cell>
          <cell r="AE220" t="str">
            <v>INVESTASI PADA ANAK PERUSAHAAN DAN ASOSIASI</v>
          </cell>
        </row>
        <row r="221">
          <cell r="F221">
            <v>0</v>
          </cell>
          <cell r="H221">
            <v>0</v>
          </cell>
          <cell r="J221">
            <v>0</v>
          </cell>
          <cell r="AE221" t="str">
            <v>INVESTASI PADA ANAK PERUSAHAAN DAN ASOSIASI</v>
          </cell>
        </row>
        <row r="222">
          <cell r="F222">
            <v>0</v>
          </cell>
          <cell r="H222">
            <v>0</v>
          </cell>
          <cell r="J222">
            <v>0</v>
          </cell>
          <cell r="AE222" t="str">
            <v>INVESTASI PADA ANAK PERUSAHAAN DAN ASOSIASI</v>
          </cell>
        </row>
        <row r="223">
          <cell r="F223">
            <v>0</v>
          </cell>
          <cell r="H223">
            <v>0</v>
          </cell>
          <cell r="J223">
            <v>0</v>
          </cell>
          <cell r="AE223" t="str">
            <v>INVESTASI PADA ANAK PERUSAHAAN DAN ASOSIASI</v>
          </cell>
        </row>
        <row r="224">
          <cell r="F224">
            <v>0</v>
          </cell>
          <cell r="H224">
            <v>0</v>
          </cell>
          <cell r="J224">
            <v>0</v>
          </cell>
          <cell r="AE224" t="str">
            <v>INVESTASI PADA ANAK PERUSAHAAN DAN ASOSIASI</v>
          </cell>
        </row>
        <row r="225">
          <cell r="F225">
            <v>0</v>
          </cell>
          <cell r="H225">
            <v>0</v>
          </cell>
          <cell r="J225">
            <v>0</v>
          </cell>
          <cell r="AE225" t="str">
            <v>INVESTASI PADA ANAK PERUSAHAAN DAN ASOSIASI</v>
          </cell>
        </row>
        <row r="226">
          <cell r="F226">
            <v>0</v>
          </cell>
          <cell r="H226">
            <v>0</v>
          </cell>
          <cell r="J226">
            <v>0</v>
          </cell>
          <cell r="AE226" t="str">
            <v>INVESTASI PADA ANAK PERUSAHAAN DAN ASOSIASI</v>
          </cell>
        </row>
        <row r="227">
          <cell r="F227">
            <v>0</v>
          </cell>
          <cell r="H227">
            <v>0</v>
          </cell>
          <cell r="J227">
            <v>0</v>
          </cell>
          <cell r="AE227" t="str">
            <v>INVESTASI PADA ANAK PERUSAHAAN DAN ASOSIASI</v>
          </cell>
        </row>
        <row r="228">
          <cell r="F228">
            <v>0</v>
          </cell>
          <cell r="H228">
            <v>0</v>
          </cell>
          <cell r="J228">
            <v>0</v>
          </cell>
          <cell r="AE228" t="str">
            <v>INVESTASI PADA ANAK PERUSAHAAN DAN ASOSIASI</v>
          </cell>
        </row>
        <row r="229">
          <cell r="F229">
            <v>0</v>
          </cell>
          <cell r="H229">
            <v>0</v>
          </cell>
          <cell r="J229">
            <v>0</v>
          </cell>
          <cell r="AE229" t="str">
            <v>INVESTASI PADA ANAK PERUSAHAAN DAN ASOSIASI</v>
          </cell>
        </row>
        <row r="230">
          <cell r="F230">
            <v>0</v>
          </cell>
          <cell r="H230">
            <v>0</v>
          </cell>
          <cell r="J230">
            <v>0</v>
          </cell>
          <cell r="AE230" t="str">
            <v>INVESTASI PADA ANAK PERUSAHAAN DAN ASOSIASI</v>
          </cell>
        </row>
        <row r="231">
          <cell r="F231">
            <v>0</v>
          </cell>
          <cell r="H231">
            <v>0</v>
          </cell>
          <cell r="J231">
            <v>0</v>
          </cell>
          <cell r="AE231" t="str">
            <v>INVESTASI PADA ANAK PERUSAHAAN DAN ASOSIASI</v>
          </cell>
        </row>
        <row r="232">
          <cell r="F232">
            <v>0</v>
          </cell>
          <cell r="H232">
            <v>0</v>
          </cell>
          <cell r="J232">
            <v>0</v>
          </cell>
          <cell r="AE232" t="str">
            <v>INVESTASI PADA ANAK PERUSAHAAN DAN ASOSIASI</v>
          </cell>
        </row>
        <row r="233">
          <cell r="F233">
            <v>0</v>
          </cell>
          <cell r="H233">
            <v>0</v>
          </cell>
          <cell r="J233">
            <v>0</v>
          </cell>
          <cell r="AE233" t="str">
            <v>INVESTASI PADA ANAK PERUSAHAAN DAN ASOSIASI</v>
          </cell>
        </row>
        <row r="234">
          <cell r="F234">
            <v>0</v>
          </cell>
          <cell r="H234">
            <v>0</v>
          </cell>
          <cell r="J234">
            <v>0</v>
          </cell>
          <cell r="AE234" t="str">
            <v>PROPERTI INVESTASI</v>
          </cell>
        </row>
        <row r="235">
          <cell r="F235">
            <v>0</v>
          </cell>
          <cell r="H235">
            <v>0</v>
          </cell>
          <cell r="J235">
            <v>0</v>
          </cell>
          <cell r="AE235" t="str">
            <v>PROPERTI INVESTASI</v>
          </cell>
        </row>
        <row r="236">
          <cell r="F236">
            <v>0</v>
          </cell>
          <cell r="H236">
            <v>0</v>
          </cell>
          <cell r="J236">
            <v>0</v>
          </cell>
          <cell r="AE236" t="str">
            <v>PROPERTI INVESTASI</v>
          </cell>
        </row>
        <row r="237">
          <cell r="F237">
            <v>0</v>
          </cell>
          <cell r="H237">
            <v>0</v>
          </cell>
          <cell r="J237">
            <v>0</v>
          </cell>
          <cell r="AE237" t="str">
            <v>PROPERTI INVESTASI</v>
          </cell>
        </row>
        <row r="238">
          <cell r="F238">
            <v>0</v>
          </cell>
          <cell r="H238">
            <v>0</v>
          </cell>
          <cell r="J238">
            <v>0</v>
          </cell>
          <cell r="AE238" t="str">
            <v>PROPERTI INVESTASI</v>
          </cell>
        </row>
        <row r="239">
          <cell r="F239">
            <v>0</v>
          </cell>
          <cell r="H239">
            <v>0</v>
          </cell>
          <cell r="J239">
            <v>0</v>
          </cell>
          <cell r="AE239" t="str">
            <v>PROPERTI INVESTASI</v>
          </cell>
        </row>
        <row r="240">
          <cell r="F240">
            <v>0</v>
          </cell>
          <cell r="H240">
            <v>0</v>
          </cell>
          <cell r="J240">
            <v>0</v>
          </cell>
          <cell r="AE240" t="str">
            <v>PROPERTI INVESTASI</v>
          </cell>
        </row>
        <row r="241">
          <cell r="F241">
            <v>0</v>
          </cell>
          <cell r="H241">
            <v>0</v>
          </cell>
          <cell r="J241">
            <v>0</v>
          </cell>
          <cell r="AE241" t="str">
            <v>PROPERTI INVESTASI</v>
          </cell>
        </row>
        <row r="242">
          <cell r="F242">
            <v>0</v>
          </cell>
          <cell r="H242">
            <v>0</v>
          </cell>
          <cell r="J242">
            <v>0</v>
          </cell>
          <cell r="AE242" t="str">
            <v>PROPERTI INVESTASI</v>
          </cell>
        </row>
        <row r="243">
          <cell r="F243">
            <v>0</v>
          </cell>
          <cell r="H243">
            <v>0</v>
          </cell>
          <cell r="J243">
            <v>0</v>
          </cell>
          <cell r="AE243" t="str">
            <v>PROPERTI INVESTASI</v>
          </cell>
        </row>
        <row r="244">
          <cell r="F244">
            <v>0</v>
          </cell>
          <cell r="H244">
            <v>0</v>
          </cell>
          <cell r="J244">
            <v>0</v>
          </cell>
          <cell r="AE244" t="str">
            <v>HARGA PEROLEHAN</v>
          </cell>
        </row>
        <row r="245">
          <cell r="F245">
            <v>0</v>
          </cell>
          <cell r="H245">
            <v>0</v>
          </cell>
          <cell r="J245">
            <v>0</v>
          </cell>
          <cell r="AE245" t="str">
            <v>TANAH</v>
          </cell>
        </row>
        <row r="246">
          <cell r="F246">
            <v>0</v>
          </cell>
          <cell r="H246">
            <v>0</v>
          </cell>
          <cell r="J246">
            <v>0</v>
          </cell>
          <cell r="AE246" t="str">
            <v>TANAH</v>
          </cell>
        </row>
        <row r="247">
          <cell r="F247">
            <v>0</v>
          </cell>
          <cell r="H247">
            <v>0</v>
          </cell>
          <cell r="J247">
            <v>0</v>
          </cell>
          <cell r="AE247" t="str">
            <v>TANAH</v>
          </cell>
        </row>
        <row r="248">
          <cell r="F248">
            <v>0</v>
          </cell>
          <cell r="H248">
            <v>0</v>
          </cell>
          <cell r="J248">
            <v>0</v>
          </cell>
          <cell r="AE248" t="str">
            <v>TANAH</v>
          </cell>
        </row>
        <row r="249">
          <cell r="F249">
            <v>0</v>
          </cell>
          <cell r="H249">
            <v>0</v>
          </cell>
          <cell r="J249">
            <v>0</v>
          </cell>
          <cell r="AE249" t="str">
            <v>BANGUNAN</v>
          </cell>
        </row>
        <row r="250">
          <cell r="F250">
            <v>0</v>
          </cell>
          <cell r="H250">
            <v>0</v>
          </cell>
          <cell r="J250">
            <v>0</v>
          </cell>
          <cell r="AE250" t="str">
            <v>BANGUNAN</v>
          </cell>
        </row>
        <row r="251">
          <cell r="F251">
            <v>0</v>
          </cell>
          <cell r="H251">
            <v>0</v>
          </cell>
          <cell r="J251">
            <v>0</v>
          </cell>
          <cell r="AE251" t="str">
            <v>MESIN DAN PERALATAN</v>
          </cell>
        </row>
        <row r="252">
          <cell r="F252">
            <v>0</v>
          </cell>
          <cell r="H252">
            <v>0</v>
          </cell>
          <cell r="J252">
            <v>0</v>
          </cell>
          <cell r="AE252" t="str">
            <v>MESIN DAN PERALATAN</v>
          </cell>
        </row>
        <row r="253">
          <cell r="F253">
            <v>0</v>
          </cell>
          <cell r="H253">
            <v>0</v>
          </cell>
          <cell r="J253">
            <v>0</v>
          </cell>
          <cell r="AE253" t="str">
            <v>AAB DAN KENDARAAN</v>
          </cell>
        </row>
        <row r="254">
          <cell r="F254">
            <v>0</v>
          </cell>
          <cell r="H254">
            <v>0</v>
          </cell>
          <cell r="J254">
            <v>0</v>
          </cell>
          <cell r="AE254" t="str">
            <v>AAB DAN KENDARAAN</v>
          </cell>
        </row>
        <row r="255">
          <cell r="F255">
            <v>0</v>
          </cell>
          <cell r="H255">
            <v>0</v>
          </cell>
          <cell r="J255">
            <v>0</v>
          </cell>
          <cell r="AE255" t="str">
            <v>AAB DAN KENDARAAN</v>
          </cell>
        </row>
        <row r="256">
          <cell r="F256">
            <v>0</v>
          </cell>
          <cell r="H256">
            <v>0</v>
          </cell>
          <cell r="J256">
            <v>0</v>
          </cell>
          <cell r="AE256" t="str">
            <v>AAB DAN KENDARAAN</v>
          </cell>
        </row>
        <row r="257">
          <cell r="F257">
            <v>0</v>
          </cell>
          <cell r="H257">
            <v>0</v>
          </cell>
          <cell r="J257">
            <v>0</v>
          </cell>
          <cell r="AE257" t="str">
            <v>PERLENGKAPAN</v>
          </cell>
        </row>
        <row r="258">
          <cell r="F258">
            <v>0</v>
          </cell>
          <cell r="H258">
            <v>0</v>
          </cell>
          <cell r="J258">
            <v>0</v>
          </cell>
          <cell r="AE258" t="str">
            <v>PERLENGKAPAN</v>
          </cell>
        </row>
        <row r="259">
          <cell r="F259">
            <v>0</v>
          </cell>
          <cell r="H259">
            <v>0</v>
          </cell>
          <cell r="J259">
            <v>0</v>
          </cell>
          <cell r="AE259" t="str">
            <v>PERLENGKAPAN</v>
          </cell>
        </row>
        <row r="260">
          <cell r="F260">
            <v>0</v>
          </cell>
          <cell r="H260">
            <v>0</v>
          </cell>
          <cell r="J260">
            <v>0</v>
          </cell>
          <cell r="AE260" t="str">
            <v>PEKERJAAN DALAM PELAKSANAAN</v>
          </cell>
        </row>
        <row r="261">
          <cell r="F261">
            <v>0</v>
          </cell>
          <cell r="H261">
            <v>0</v>
          </cell>
          <cell r="J261">
            <v>0</v>
          </cell>
          <cell r="AE261" t="str">
            <v>PEKERJAAN DALAM PELAKSANAAN</v>
          </cell>
        </row>
        <row r="262">
          <cell r="F262">
            <v>0</v>
          </cell>
          <cell r="H262">
            <v>0</v>
          </cell>
          <cell r="J262">
            <v>0</v>
          </cell>
          <cell r="AE262" t="str">
            <v>PEKERJAAN DALAM PELAKSANAAN</v>
          </cell>
        </row>
        <row r="263">
          <cell r="F263">
            <v>0</v>
          </cell>
          <cell r="H263">
            <v>0</v>
          </cell>
          <cell r="J263">
            <v>0</v>
          </cell>
          <cell r="AE263" t="str">
            <v>PEKERJAAN DALAM PELAKSANAAN</v>
          </cell>
        </row>
        <row r="264">
          <cell r="F264">
            <v>0</v>
          </cell>
          <cell r="H264">
            <v>0</v>
          </cell>
          <cell r="J264">
            <v>0</v>
          </cell>
          <cell r="AE264" t="str">
            <v>PEKERJAAN DALAM PELAKSANAAN</v>
          </cell>
        </row>
        <row r="265">
          <cell r="F265">
            <v>0</v>
          </cell>
          <cell r="H265">
            <v>0</v>
          </cell>
          <cell r="J265">
            <v>0</v>
          </cell>
          <cell r="AE265" t="str">
            <v>PEKERJAAN DALAM PELAKSANAAN</v>
          </cell>
        </row>
        <row r="266">
          <cell r="F266">
            <v>0</v>
          </cell>
          <cell r="H266">
            <v>0</v>
          </cell>
          <cell r="J266">
            <v>0</v>
          </cell>
          <cell r="AE266" t="str">
            <v>PEKERJAAN DALAM PELAKSANAAN</v>
          </cell>
        </row>
        <row r="267">
          <cell r="F267">
            <v>0</v>
          </cell>
          <cell r="H267">
            <v>0</v>
          </cell>
          <cell r="J267">
            <v>0</v>
          </cell>
          <cell r="AE267" t="str">
            <v>PEKERJAAN DALAM PELAKSANAAN</v>
          </cell>
        </row>
        <row r="268">
          <cell r="F268">
            <v>0</v>
          </cell>
          <cell r="H268">
            <v>0</v>
          </cell>
          <cell r="J268">
            <v>0</v>
          </cell>
          <cell r="AE268" t="str">
            <v>PEKERJAAN DALAM PELAKSANAAN</v>
          </cell>
        </row>
        <row r="269">
          <cell r="F269">
            <v>0</v>
          </cell>
          <cell r="H269">
            <v>0</v>
          </cell>
          <cell r="J269">
            <v>0</v>
          </cell>
          <cell r="AE269" t="str">
            <v>PEKERJAAN DALAM PELAKSANAAN</v>
          </cell>
        </row>
        <row r="270">
          <cell r="F270">
            <v>0</v>
          </cell>
          <cell r="H270">
            <v>0</v>
          </cell>
          <cell r="J270">
            <v>0</v>
          </cell>
          <cell r="AE270" t="str">
            <v>PEKERJAAN DALAM PELAKSANAAN</v>
          </cell>
        </row>
        <row r="271">
          <cell r="F271">
            <v>0</v>
          </cell>
          <cell r="H271">
            <v>0</v>
          </cell>
          <cell r="J271">
            <v>0</v>
          </cell>
          <cell r="AE271" t="str">
            <v>PEKERJAAN DALAM PELAKSANAAN</v>
          </cell>
        </row>
        <row r="272">
          <cell r="F272">
            <v>0</v>
          </cell>
          <cell r="H272">
            <v>0</v>
          </cell>
          <cell r="J272">
            <v>0</v>
          </cell>
          <cell r="AE272" t="str">
            <v>AT. BERWUJUD SEWA PEMBIAYAAN</v>
          </cell>
        </row>
        <row r="273">
          <cell r="F273">
            <v>0</v>
          </cell>
          <cell r="H273">
            <v>0</v>
          </cell>
          <cell r="J273">
            <v>0</v>
          </cell>
          <cell r="AE273" t="str">
            <v>AT. BERWUJUD SEWA PEMBIAYAAN</v>
          </cell>
        </row>
        <row r="274">
          <cell r="F274">
            <v>0</v>
          </cell>
          <cell r="H274">
            <v>0</v>
          </cell>
          <cell r="J274">
            <v>0</v>
          </cell>
          <cell r="AE274" t="str">
            <v>AT. BERWUJUD SEWA PEMBIAYAAN</v>
          </cell>
        </row>
        <row r="275">
          <cell r="F275">
            <v>0</v>
          </cell>
          <cell r="H275">
            <v>0</v>
          </cell>
          <cell r="J275">
            <v>0</v>
          </cell>
          <cell r="AE275" t="str">
            <v>AT. BERWUJUD SEWA PEMBIAYAAN</v>
          </cell>
        </row>
        <row r="276">
          <cell r="F276">
            <v>0</v>
          </cell>
          <cell r="H276">
            <v>0</v>
          </cell>
          <cell r="J276">
            <v>0</v>
          </cell>
          <cell r="AE276" t="str">
            <v>AT. BERWUJUD SEWA PEMBIAYAAN</v>
          </cell>
        </row>
        <row r="277">
          <cell r="F277">
            <v>0</v>
          </cell>
          <cell r="H277">
            <v>0</v>
          </cell>
          <cell r="J277">
            <v>0</v>
          </cell>
          <cell r="AE277" t="str">
            <v>AT. BERWUJUD SEWA PEMBIAYAAN</v>
          </cell>
        </row>
        <row r="278">
          <cell r="F278">
            <v>0</v>
          </cell>
          <cell r="H278">
            <v>0</v>
          </cell>
          <cell r="J278">
            <v>0</v>
          </cell>
          <cell r="AE278" t="str">
            <v>AT. BERWUJUD SEWA PEMBIAYAAN</v>
          </cell>
        </row>
        <row r="279">
          <cell r="F279">
            <v>0</v>
          </cell>
          <cell r="H279">
            <v>0</v>
          </cell>
          <cell r="J279">
            <v>0</v>
          </cell>
          <cell r="AE279" t="str">
            <v>AT. BERWUJUD SEWA PEMBIAYAAN</v>
          </cell>
        </row>
        <row r="280">
          <cell r="F280">
            <v>0</v>
          </cell>
          <cell r="H280">
            <v>0</v>
          </cell>
          <cell r="J280">
            <v>0</v>
          </cell>
          <cell r="AE280" t="str">
            <v>SECURITY PART</v>
          </cell>
        </row>
        <row r="281">
          <cell r="F281">
            <v>0</v>
          </cell>
          <cell r="H281">
            <v>0</v>
          </cell>
          <cell r="J281">
            <v>0</v>
          </cell>
          <cell r="AE281" t="str">
            <v>SECURITY PART</v>
          </cell>
        </row>
        <row r="282">
          <cell r="F282">
            <v>0</v>
          </cell>
          <cell r="H282">
            <v>0</v>
          </cell>
          <cell r="J282">
            <v>0</v>
          </cell>
          <cell r="AE282" t="str">
            <v>LOW VALUE ASSET</v>
          </cell>
        </row>
        <row r="283">
          <cell r="F283">
            <v>0</v>
          </cell>
          <cell r="H283">
            <v>0</v>
          </cell>
          <cell r="J283">
            <v>0</v>
          </cell>
          <cell r="AE283" t="str">
            <v>LOW VALUE ASSET</v>
          </cell>
        </row>
        <row r="284">
          <cell r="F284">
            <v>0</v>
          </cell>
          <cell r="H284">
            <v>0</v>
          </cell>
          <cell r="J284">
            <v>0</v>
          </cell>
          <cell r="AE284" t="str">
            <v>AKUMULASI PENYUSUTAN</v>
          </cell>
        </row>
        <row r="285">
          <cell r="F285">
            <v>0</v>
          </cell>
          <cell r="H285">
            <v>0</v>
          </cell>
          <cell r="J285">
            <v>0</v>
          </cell>
          <cell r="AE285" t="str">
            <v>AKUMULASI PENYUSUTAN</v>
          </cell>
        </row>
        <row r="286">
          <cell r="F286">
            <v>0</v>
          </cell>
          <cell r="H286">
            <v>0</v>
          </cell>
          <cell r="J286">
            <v>0</v>
          </cell>
          <cell r="AE286" t="str">
            <v>AKUMULASI PENYUSUTAN</v>
          </cell>
        </row>
        <row r="287">
          <cell r="F287">
            <v>0</v>
          </cell>
          <cell r="H287">
            <v>0</v>
          </cell>
          <cell r="J287">
            <v>0</v>
          </cell>
          <cell r="AE287" t="str">
            <v>AKUMULASI PENYUSUTAN</v>
          </cell>
        </row>
        <row r="288">
          <cell r="F288">
            <v>-45727131.390000001</v>
          </cell>
          <cell r="H288">
            <v>-45727131.390000001</v>
          </cell>
          <cell r="J288">
            <v>-45727131.390000001</v>
          </cell>
          <cell r="AE288" t="str">
            <v>AKUMULASI PENYUSUTAN</v>
          </cell>
        </row>
        <row r="289">
          <cell r="F289">
            <v>0</v>
          </cell>
          <cell r="H289">
            <v>0</v>
          </cell>
          <cell r="J289">
            <v>0</v>
          </cell>
          <cell r="AE289" t="str">
            <v>AKUMULASI PENYUSUTAN</v>
          </cell>
        </row>
        <row r="290">
          <cell r="F290">
            <v>0</v>
          </cell>
          <cell r="H290">
            <v>0</v>
          </cell>
          <cell r="J290">
            <v>0</v>
          </cell>
          <cell r="AE290" t="str">
            <v>AKUMULASI PENYUSUTAN</v>
          </cell>
        </row>
        <row r="291">
          <cell r="F291">
            <v>0</v>
          </cell>
          <cell r="H291">
            <v>0</v>
          </cell>
          <cell r="J291">
            <v>0</v>
          </cell>
          <cell r="AE291" t="str">
            <v>AKUMULASI PENYUSUTAN</v>
          </cell>
        </row>
        <row r="292">
          <cell r="F292">
            <v>0</v>
          </cell>
          <cell r="H292">
            <v>0</v>
          </cell>
          <cell r="J292">
            <v>0</v>
          </cell>
          <cell r="AE292" t="str">
            <v>AKUMULASI PENYUSUTAN</v>
          </cell>
        </row>
        <row r="293">
          <cell r="F293">
            <v>0</v>
          </cell>
          <cell r="H293">
            <v>0</v>
          </cell>
          <cell r="J293">
            <v>0</v>
          </cell>
          <cell r="AE293" t="str">
            <v>AKUMULASI PENYUSUTAN</v>
          </cell>
        </row>
        <row r="294">
          <cell r="F294">
            <v>0</v>
          </cell>
          <cell r="H294">
            <v>0</v>
          </cell>
          <cell r="J294">
            <v>0</v>
          </cell>
          <cell r="AE294" t="str">
            <v>AKUMULASI PENYUSUTAN</v>
          </cell>
        </row>
        <row r="295">
          <cell r="F295">
            <v>0</v>
          </cell>
          <cell r="H295">
            <v>0</v>
          </cell>
          <cell r="J295">
            <v>0</v>
          </cell>
          <cell r="AE295" t="str">
            <v>AKUMULASI PENYUSUTAN</v>
          </cell>
        </row>
        <row r="296">
          <cell r="F296">
            <v>-8831250.0099999998</v>
          </cell>
          <cell r="H296">
            <v>-8831250.0099999998</v>
          </cell>
          <cell r="J296">
            <v>-8831250.0099999998</v>
          </cell>
          <cell r="AE296" t="str">
            <v>AKUMULASI PENYUSUTAN</v>
          </cell>
        </row>
        <row r="297">
          <cell r="F297">
            <v>0</v>
          </cell>
          <cell r="H297">
            <v>0</v>
          </cell>
          <cell r="J297">
            <v>0</v>
          </cell>
          <cell r="AE297" t="str">
            <v>AKUMULASI PENYUSUTAN</v>
          </cell>
        </row>
        <row r="298">
          <cell r="F298">
            <v>0</v>
          </cell>
          <cell r="H298">
            <v>0</v>
          </cell>
          <cell r="J298">
            <v>0</v>
          </cell>
          <cell r="AE298" t="str">
            <v>AKUMULASI PENYUSUTAN</v>
          </cell>
        </row>
        <row r="299">
          <cell r="F299">
            <v>-3638457</v>
          </cell>
          <cell r="H299">
            <v>-3638457.0000000005</v>
          </cell>
          <cell r="J299">
            <v>-3638457</v>
          </cell>
          <cell r="AE299" t="str">
            <v>AKUMULASI PENYUSUTAN</v>
          </cell>
        </row>
        <row r="300">
          <cell r="F300">
            <v>0</v>
          </cell>
          <cell r="H300">
            <v>0</v>
          </cell>
          <cell r="J300">
            <v>0</v>
          </cell>
          <cell r="AE300" t="str">
            <v>AKUMULASI PENYUSUTAN</v>
          </cell>
        </row>
        <row r="301">
          <cell r="F301">
            <v>0</v>
          </cell>
          <cell r="H301">
            <v>0</v>
          </cell>
          <cell r="J301">
            <v>0</v>
          </cell>
          <cell r="AE301" t="str">
            <v>AT. BERWUJUD-INITIAL BALANCE</v>
          </cell>
        </row>
        <row r="302">
          <cell r="F302">
            <v>0</v>
          </cell>
          <cell r="H302">
            <v>0</v>
          </cell>
          <cell r="J302">
            <v>0</v>
          </cell>
          <cell r="AE302" t="str">
            <v>AT. BERWUJUD-INITIAL BALANCE</v>
          </cell>
        </row>
        <row r="303">
          <cell r="F303">
            <v>0</v>
          </cell>
          <cell r="H303">
            <v>0</v>
          </cell>
          <cell r="J303">
            <v>0</v>
          </cell>
          <cell r="AE303" t="str">
            <v>ASET TAK BERWUJUD</v>
          </cell>
        </row>
        <row r="304">
          <cell r="F304">
            <v>0</v>
          </cell>
          <cell r="H304">
            <v>0</v>
          </cell>
          <cell r="J304">
            <v>0</v>
          </cell>
          <cell r="AE304" t="str">
            <v>ASET TAK BERWUJUD</v>
          </cell>
        </row>
        <row r="305">
          <cell r="F305">
            <v>0</v>
          </cell>
          <cell r="H305">
            <v>0</v>
          </cell>
          <cell r="J305">
            <v>0</v>
          </cell>
          <cell r="AE305" t="str">
            <v>ASET TAK BERWUJUD</v>
          </cell>
        </row>
        <row r="306">
          <cell r="F306">
            <v>0</v>
          </cell>
          <cell r="H306">
            <v>0</v>
          </cell>
          <cell r="J306">
            <v>0</v>
          </cell>
          <cell r="AE306" t="str">
            <v>ASET TAK BERWUJUD</v>
          </cell>
        </row>
        <row r="307">
          <cell r="F307">
            <v>0</v>
          </cell>
          <cell r="H307">
            <v>0</v>
          </cell>
          <cell r="J307">
            <v>0</v>
          </cell>
          <cell r="AE307" t="str">
            <v>ASET TAK BERWUJUD</v>
          </cell>
        </row>
        <row r="308">
          <cell r="F308">
            <v>0</v>
          </cell>
          <cell r="H308">
            <v>0</v>
          </cell>
          <cell r="J308">
            <v>0</v>
          </cell>
          <cell r="AE308" t="str">
            <v>ASET TAK BERWUJUD</v>
          </cell>
        </row>
        <row r="309">
          <cell r="F309">
            <v>0</v>
          </cell>
          <cell r="H309">
            <v>0</v>
          </cell>
          <cell r="J309">
            <v>0</v>
          </cell>
          <cell r="AE309" t="str">
            <v>ASET TAK BERWUJUD</v>
          </cell>
        </row>
        <row r="310">
          <cell r="F310">
            <v>0</v>
          </cell>
          <cell r="H310">
            <v>0</v>
          </cell>
          <cell r="J310">
            <v>0</v>
          </cell>
          <cell r="AE310" t="str">
            <v>ASET TAK BERWUJUD</v>
          </cell>
        </row>
        <row r="311">
          <cell r="F311">
            <v>0</v>
          </cell>
          <cell r="H311">
            <v>0</v>
          </cell>
          <cell r="J311">
            <v>0</v>
          </cell>
          <cell r="AE311" t="str">
            <v>ASET TAK BERWUJUD</v>
          </cell>
        </row>
        <row r="312">
          <cell r="F312">
            <v>0</v>
          </cell>
          <cell r="H312">
            <v>0</v>
          </cell>
          <cell r="J312">
            <v>0</v>
          </cell>
          <cell r="AE312" t="str">
            <v>ASET TAK BERWUJUD</v>
          </cell>
        </row>
        <row r="313">
          <cell r="F313">
            <v>0</v>
          </cell>
          <cell r="H313">
            <v>0</v>
          </cell>
          <cell r="J313">
            <v>0</v>
          </cell>
          <cell r="AE313" t="str">
            <v>ASET TAK BERWUJUD</v>
          </cell>
        </row>
        <row r="314">
          <cell r="F314">
            <v>0</v>
          </cell>
          <cell r="H314">
            <v>0</v>
          </cell>
          <cell r="J314">
            <v>0</v>
          </cell>
          <cell r="AE314" t="str">
            <v>ASET TAK BERWUJUD</v>
          </cell>
        </row>
        <row r="315">
          <cell r="F315">
            <v>0</v>
          </cell>
          <cell r="H315">
            <v>0</v>
          </cell>
          <cell r="J315">
            <v>0</v>
          </cell>
          <cell r="AE315" t="str">
            <v>ASET TAK BERWUJUD</v>
          </cell>
        </row>
        <row r="316">
          <cell r="F316">
            <v>155413333.32999998</v>
          </cell>
          <cell r="H316">
            <v>-25066666.670000002</v>
          </cell>
          <cell r="J316">
            <v>-25066666.670000002</v>
          </cell>
          <cell r="AE316" t="str">
            <v>ASET TAK BERWUJUD</v>
          </cell>
        </row>
        <row r="317">
          <cell r="F317">
            <v>0</v>
          </cell>
          <cell r="H317">
            <v>0</v>
          </cell>
          <cell r="J317">
            <v>0</v>
          </cell>
          <cell r="AE317" t="str">
            <v>ASET TAK BERWUJUD</v>
          </cell>
        </row>
        <row r="318">
          <cell r="F318">
            <v>0</v>
          </cell>
          <cell r="H318">
            <v>0</v>
          </cell>
          <cell r="J318">
            <v>0</v>
          </cell>
          <cell r="AE318" t="str">
            <v>ASET LAIN-LAIN</v>
          </cell>
        </row>
        <row r="319">
          <cell r="F319">
            <v>0</v>
          </cell>
          <cell r="H319">
            <v>0</v>
          </cell>
          <cell r="J319">
            <v>0</v>
          </cell>
          <cell r="AE319" t="str">
            <v>ASET LAIN-LAIN</v>
          </cell>
        </row>
        <row r="320">
          <cell r="F320">
            <v>0</v>
          </cell>
          <cell r="H320">
            <v>0</v>
          </cell>
          <cell r="J320">
            <v>0</v>
          </cell>
          <cell r="AE320" t="str">
            <v>ASET LAIN-LAIN</v>
          </cell>
        </row>
        <row r="321">
          <cell r="F321">
            <v>0</v>
          </cell>
          <cell r="H321">
            <v>0</v>
          </cell>
          <cell r="J321">
            <v>0</v>
          </cell>
          <cell r="AE321" t="str">
            <v>ASET LAIN-LAIN</v>
          </cell>
        </row>
        <row r="322">
          <cell r="F322">
            <v>0</v>
          </cell>
          <cell r="H322">
            <v>0</v>
          </cell>
          <cell r="J322">
            <v>0</v>
          </cell>
          <cell r="AE322" t="str">
            <v>ASET LAIN-LAIN</v>
          </cell>
        </row>
        <row r="323">
          <cell r="F323">
            <v>0</v>
          </cell>
          <cell r="H323">
            <v>0</v>
          </cell>
          <cell r="J323">
            <v>0</v>
          </cell>
          <cell r="AE323" t="str">
            <v>ASET LAIN-LAIN</v>
          </cell>
        </row>
        <row r="324">
          <cell r="F324">
            <v>0</v>
          </cell>
          <cell r="H324">
            <v>0</v>
          </cell>
          <cell r="J324">
            <v>0</v>
          </cell>
          <cell r="AE324" t="str">
            <v>ASET LAIN-LAIN</v>
          </cell>
        </row>
        <row r="325">
          <cell r="F325">
            <v>354393113</v>
          </cell>
          <cell r="H325">
            <v>309816877.25</v>
          </cell>
          <cell r="J325">
            <v>0</v>
          </cell>
          <cell r="AE325" t="str">
            <v>ASET LAIN-LAIN</v>
          </cell>
        </row>
        <row r="326">
          <cell r="F326">
            <v>0</v>
          </cell>
          <cell r="H326">
            <v>0</v>
          </cell>
          <cell r="J326">
            <v>0</v>
          </cell>
          <cell r="AE326" t="str">
            <v>ASET LAIN-LAIN</v>
          </cell>
        </row>
        <row r="327">
          <cell r="F327">
            <v>0</v>
          </cell>
          <cell r="H327">
            <v>0</v>
          </cell>
          <cell r="J327">
            <v>0</v>
          </cell>
          <cell r="AE327" t="str">
            <v>ASET LAIN-LAIN</v>
          </cell>
        </row>
        <row r="328">
          <cell r="F328">
            <v>0</v>
          </cell>
          <cell r="H328">
            <v>0</v>
          </cell>
          <cell r="J328">
            <v>0</v>
          </cell>
          <cell r="AE328" t="str">
            <v>ASET LAIN-LAIN</v>
          </cell>
        </row>
        <row r="329">
          <cell r="F329">
            <v>0</v>
          </cell>
          <cell r="H329">
            <v>0</v>
          </cell>
          <cell r="J329">
            <v>0</v>
          </cell>
          <cell r="AE329" t="str">
            <v>ASET LAIN-LAIN</v>
          </cell>
        </row>
        <row r="330">
          <cell r="F330">
            <v>0</v>
          </cell>
          <cell r="H330">
            <v>0</v>
          </cell>
          <cell r="J330">
            <v>0</v>
          </cell>
          <cell r="AE330" t="str">
            <v>ASET LAIN-LAIN</v>
          </cell>
        </row>
        <row r="331">
          <cell r="F331">
            <v>0</v>
          </cell>
          <cell r="H331">
            <v>0</v>
          </cell>
          <cell r="J331">
            <v>0</v>
          </cell>
          <cell r="AE331" t="str">
            <v>ASET LAIN-LAIN</v>
          </cell>
        </row>
        <row r="332">
          <cell r="F332">
            <v>0</v>
          </cell>
          <cell r="H332">
            <v>0</v>
          </cell>
          <cell r="J332">
            <v>0</v>
          </cell>
          <cell r="AE332" t="str">
            <v>ASET LAIN-LAIN</v>
          </cell>
        </row>
        <row r="333">
          <cell r="F333">
            <v>0</v>
          </cell>
          <cell r="H333">
            <v>0</v>
          </cell>
          <cell r="J333">
            <v>0</v>
          </cell>
          <cell r="AE333" t="str">
            <v>ASET LAIN-LAIN</v>
          </cell>
        </row>
        <row r="334">
          <cell r="F334">
            <v>0</v>
          </cell>
          <cell r="H334">
            <v>0</v>
          </cell>
          <cell r="J334">
            <v>0</v>
          </cell>
          <cell r="AE334" t="str">
            <v>ASET LAIN-LAIN</v>
          </cell>
        </row>
        <row r="335">
          <cell r="F335">
            <v>0</v>
          </cell>
          <cell r="H335">
            <v>0</v>
          </cell>
          <cell r="J335">
            <v>0</v>
          </cell>
          <cell r="AE335" t="str">
            <v>ASET LAIN-LAIN</v>
          </cell>
        </row>
        <row r="336">
          <cell r="F336">
            <v>0</v>
          </cell>
          <cell r="H336">
            <v>0</v>
          </cell>
          <cell r="J336">
            <v>0</v>
          </cell>
          <cell r="AE336" t="str">
            <v>ASET LAIN-LAIN</v>
          </cell>
        </row>
        <row r="337">
          <cell r="F337">
            <v>0</v>
          </cell>
          <cell r="H337">
            <v>0</v>
          </cell>
          <cell r="J337">
            <v>0</v>
          </cell>
          <cell r="AE337" t="str">
            <v>ASET LAIN-LAIN</v>
          </cell>
        </row>
        <row r="338">
          <cell r="F338">
            <v>0</v>
          </cell>
          <cell r="H338">
            <v>0</v>
          </cell>
          <cell r="J338">
            <v>0</v>
          </cell>
          <cell r="AE338" t="str">
            <v>ASET LAIN-LAIN</v>
          </cell>
        </row>
        <row r="339">
          <cell r="F339">
            <v>0</v>
          </cell>
          <cell r="H339">
            <v>0</v>
          </cell>
          <cell r="J339">
            <v>0</v>
          </cell>
          <cell r="AE339" t="str">
            <v>ASET LAIN-LAIN</v>
          </cell>
        </row>
        <row r="340">
          <cell r="F340">
            <v>0</v>
          </cell>
          <cell r="H340">
            <v>0</v>
          </cell>
          <cell r="J340">
            <v>0</v>
          </cell>
          <cell r="AE340" t="str">
            <v>ASET LAIN-LAIN</v>
          </cell>
        </row>
        <row r="341">
          <cell r="F341">
            <v>0</v>
          </cell>
          <cell r="H341">
            <v>0</v>
          </cell>
          <cell r="J341">
            <v>0</v>
          </cell>
          <cell r="AE341" t="str">
            <v>ASET LAIN-LAIN</v>
          </cell>
        </row>
        <row r="342">
          <cell r="F342">
            <v>0</v>
          </cell>
          <cell r="H342">
            <v>0</v>
          </cell>
          <cell r="J342">
            <v>0</v>
          </cell>
          <cell r="AE342" t="str">
            <v>ASET LAIN-LAIN</v>
          </cell>
        </row>
        <row r="343">
          <cell r="F343">
            <v>0</v>
          </cell>
          <cell r="H343">
            <v>0</v>
          </cell>
          <cell r="J343">
            <v>0</v>
          </cell>
          <cell r="AE343" t="str">
            <v>ASET LAIN-LAIN</v>
          </cell>
        </row>
        <row r="344">
          <cell r="F344">
            <v>0</v>
          </cell>
          <cell r="H344">
            <v>0</v>
          </cell>
          <cell r="J344">
            <v>0</v>
          </cell>
          <cell r="AE344" t="str">
            <v>ASET LAIN-LAIN</v>
          </cell>
        </row>
        <row r="345">
          <cell r="F345">
            <v>0</v>
          </cell>
          <cell r="H345">
            <v>0</v>
          </cell>
          <cell r="J345">
            <v>0</v>
          </cell>
          <cell r="AE345" t="str">
            <v>ASET LAIN-LAIN</v>
          </cell>
        </row>
        <row r="346">
          <cell r="F346">
            <v>0</v>
          </cell>
          <cell r="H346">
            <v>0</v>
          </cell>
          <cell r="J346">
            <v>0</v>
          </cell>
          <cell r="AE346" t="str">
            <v>ASET LAIN-LAIN</v>
          </cell>
        </row>
        <row r="347">
          <cell r="F347">
            <v>0</v>
          </cell>
          <cell r="H347">
            <v>0</v>
          </cell>
          <cell r="J347">
            <v>0</v>
          </cell>
          <cell r="AE347" t="str">
            <v>ASET LAIN-LAIN</v>
          </cell>
        </row>
        <row r="348">
          <cell r="F348">
            <v>0</v>
          </cell>
          <cell r="H348">
            <v>0</v>
          </cell>
          <cell r="J348">
            <v>0</v>
          </cell>
          <cell r="AE348" t="str">
            <v>ASET LAIN-LAIN</v>
          </cell>
        </row>
        <row r="349">
          <cell r="F349">
            <v>0</v>
          </cell>
          <cell r="H349">
            <v>0</v>
          </cell>
          <cell r="J349">
            <v>0</v>
          </cell>
          <cell r="AE349" t="str">
            <v>ASET LAIN-LAIN</v>
          </cell>
        </row>
        <row r="350">
          <cell r="F350">
            <v>0</v>
          </cell>
          <cell r="H350">
            <v>0</v>
          </cell>
          <cell r="J350">
            <v>0</v>
          </cell>
          <cell r="AE350" t="str">
            <v>ASET LAIN-LAIN</v>
          </cell>
        </row>
        <row r="351">
          <cell r="F351">
            <v>0</v>
          </cell>
          <cell r="H351">
            <v>0</v>
          </cell>
          <cell r="J351">
            <v>0</v>
          </cell>
          <cell r="AE351" t="str">
            <v>ASET LAIN-LAIN</v>
          </cell>
        </row>
        <row r="352">
          <cell r="F352">
            <v>0</v>
          </cell>
          <cell r="H352">
            <v>0</v>
          </cell>
          <cell r="J352">
            <v>0</v>
          </cell>
          <cell r="AE352" t="str">
            <v>ASET LAIN-LAIN</v>
          </cell>
        </row>
        <row r="353">
          <cell r="F353">
            <v>0</v>
          </cell>
          <cell r="H353">
            <v>0</v>
          </cell>
          <cell r="J353">
            <v>0</v>
          </cell>
          <cell r="AE353" t="str">
            <v>ASET LAIN-LAIN</v>
          </cell>
        </row>
        <row r="354">
          <cell r="F354">
            <v>0</v>
          </cell>
          <cell r="H354">
            <v>0</v>
          </cell>
          <cell r="J354">
            <v>0</v>
          </cell>
          <cell r="AE354" t="str">
            <v>ASET LAIN-LAIN</v>
          </cell>
        </row>
        <row r="355">
          <cell r="F355">
            <v>0</v>
          </cell>
          <cell r="H355">
            <v>0</v>
          </cell>
          <cell r="J355">
            <v>0</v>
          </cell>
          <cell r="AE355" t="str">
            <v>ASET LAIN-LAIN</v>
          </cell>
        </row>
        <row r="356">
          <cell r="F356">
            <v>0</v>
          </cell>
          <cell r="H356">
            <v>0</v>
          </cell>
          <cell r="J356">
            <v>0</v>
          </cell>
          <cell r="AE356" t="str">
            <v>ASET LAIN-LAIN</v>
          </cell>
        </row>
        <row r="357">
          <cell r="F357">
            <v>0</v>
          </cell>
          <cell r="H357">
            <v>0</v>
          </cell>
          <cell r="J357">
            <v>0</v>
          </cell>
          <cell r="AE357" t="str">
            <v>ASET LAIN-LAIN</v>
          </cell>
        </row>
        <row r="358">
          <cell r="F358">
            <v>0</v>
          </cell>
          <cell r="H358">
            <v>0</v>
          </cell>
          <cell r="J358">
            <v>0</v>
          </cell>
          <cell r="AE358" t="str">
            <v>ASET LAIN-LAIN</v>
          </cell>
        </row>
        <row r="359">
          <cell r="F359">
            <v>0</v>
          </cell>
          <cell r="H359">
            <v>0</v>
          </cell>
          <cell r="J359">
            <v>0</v>
          </cell>
          <cell r="AE359" t="str">
            <v>ASET LAIN-LAIN</v>
          </cell>
        </row>
        <row r="360">
          <cell r="F360">
            <v>0</v>
          </cell>
          <cell r="H360">
            <v>0</v>
          </cell>
          <cell r="J360">
            <v>0</v>
          </cell>
          <cell r="AE360" t="str">
            <v>ASET PAJAK TANGGUHAN</v>
          </cell>
        </row>
        <row r="361">
          <cell r="F361">
            <v>0</v>
          </cell>
          <cell r="H361">
            <v>0</v>
          </cell>
          <cell r="J361">
            <v>0</v>
          </cell>
          <cell r="AE361" t="str">
            <v>ASET PAJAK TANGGUHAN</v>
          </cell>
        </row>
        <row r="362">
          <cell r="F362">
            <v>0</v>
          </cell>
          <cell r="H362">
            <v>0</v>
          </cell>
          <cell r="J362">
            <v>0</v>
          </cell>
          <cell r="AE362" t="str">
            <v>ASET PAJAK TANGGUHAN</v>
          </cell>
        </row>
        <row r="363">
          <cell r="F363">
            <v>0</v>
          </cell>
          <cell r="H363">
            <v>0</v>
          </cell>
          <cell r="J363">
            <v>0</v>
          </cell>
          <cell r="AE363" t="str">
            <v>ASET PAJAK TANGGUHAN</v>
          </cell>
        </row>
        <row r="364">
          <cell r="F364">
            <v>0</v>
          </cell>
          <cell r="H364">
            <v>0</v>
          </cell>
          <cell r="J364">
            <v>0</v>
          </cell>
          <cell r="AE364" t="str">
            <v>ASET PAJAK TANGGUHAN</v>
          </cell>
        </row>
        <row r="365">
          <cell r="F365">
            <v>0</v>
          </cell>
          <cell r="H365">
            <v>0</v>
          </cell>
          <cell r="J365">
            <v>0</v>
          </cell>
          <cell r="AE365" t="str">
            <v>HUTANG USAHA</v>
          </cell>
        </row>
        <row r="366">
          <cell r="F366">
            <v>0</v>
          </cell>
          <cell r="H366">
            <v>0</v>
          </cell>
          <cell r="J366">
            <v>0</v>
          </cell>
          <cell r="AE366" t="str">
            <v>PINJAMAN JANGKA PENDEK</v>
          </cell>
        </row>
        <row r="367">
          <cell r="F367">
            <v>0</v>
          </cell>
          <cell r="H367">
            <v>0</v>
          </cell>
          <cell r="J367">
            <v>0</v>
          </cell>
          <cell r="AE367" t="str">
            <v>PINJAMAN JANGKA PENDEK</v>
          </cell>
        </row>
        <row r="368">
          <cell r="F368">
            <v>0</v>
          </cell>
          <cell r="H368">
            <v>0</v>
          </cell>
          <cell r="J368">
            <v>0</v>
          </cell>
          <cell r="AE368" t="str">
            <v>PINJAMAN JANGKA PENDEK</v>
          </cell>
        </row>
        <row r="369">
          <cell r="F369">
            <v>0</v>
          </cell>
          <cell r="H369">
            <v>0</v>
          </cell>
          <cell r="J369">
            <v>0</v>
          </cell>
          <cell r="AE369" t="str">
            <v>PINJAMAN JANGKA PENDEK</v>
          </cell>
        </row>
        <row r="370">
          <cell r="F370">
            <v>0</v>
          </cell>
          <cell r="H370">
            <v>0</v>
          </cell>
          <cell r="J370">
            <v>0</v>
          </cell>
          <cell r="AE370" t="str">
            <v>PINJAMAN JANGKA PENDEK</v>
          </cell>
        </row>
        <row r="371">
          <cell r="F371">
            <v>0</v>
          </cell>
          <cell r="H371">
            <v>0</v>
          </cell>
          <cell r="J371">
            <v>0</v>
          </cell>
          <cell r="AE371" t="str">
            <v>PINJAMAN JANGKA PENDEK</v>
          </cell>
        </row>
        <row r="372">
          <cell r="F372">
            <v>0</v>
          </cell>
          <cell r="H372">
            <v>0</v>
          </cell>
          <cell r="J372">
            <v>0</v>
          </cell>
          <cell r="AE372" t="str">
            <v>PINJAMAN JANGKA PENDEK</v>
          </cell>
        </row>
        <row r="373">
          <cell r="F373">
            <v>0</v>
          </cell>
          <cell r="H373">
            <v>0</v>
          </cell>
          <cell r="J373">
            <v>0</v>
          </cell>
          <cell r="AE373" t="str">
            <v>PINJAMAN JANGKA PENDEK</v>
          </cell>
        </row>
        <row r="374">
          <cell r="F374">
            <v>0</v>
          </cell>
          <cell r="H374">
            <v>0</v>
          </cell>
          <cell r="J374">
            <v>0</v>
          </cell>
          <cell r="AE374" t="str">
            <v>PINJAMAN JANGKA PENDEK</v>
          </cell>
        </row>
        <row r="375">
          <cell r="F375">
            <v>0</v>
          </cell>
          <cell r="H375">
            <v>0</v>
          </cell>
          <cell r="J375">
            <v>0</v>
          </cell>
          <cell r="AE375" t="str">
            <v>HUTANG USAHA</v>
          </cell>
        </row>
        <row r="376">
          <cell r="F376">
            <v>0</v>
          </cell>
          <cell r="H376">
            <v>0</v>
          </cell>
          <cell r="J376">
            <v>0</v>
          </cell>
          <cell r="AE376" t="str">
            <v>HUTANG USAHA</v>
          </cell>
        </row>
        <row r="377">
          <cell r="F377">
            <v>0</v>
          </cell>
          <cell r="H377">
            <v>0</v>
          </cell>
          <cell r="J377">
            <v>0</v>
          </cell>
          <cell r="AE377" t="str">
            <v>HUTANG USAHA</v>
          </cell>
        </row>
        <row r="378">
          <cell r="F378">
            <v>-1334560883.8099999</v>
          </cell>
          <cell r="H378">
            <v>162940677.46000004</v>
          </cell>
          <cell r="J378">
            <v>-410972590.95999992</v>
          </cell>
          <cell r="AE378" t="str">
            <v>HUTANG USAHA</v>
          </cell>
        </row>
        <row r="379">
          <cell r="F379">
            <v>0</v>
          </cell>
          <cell r="H379">
            <v>0</v>
          </cell>
          <cell r="J379">
            <v>0</v>
          </cell>
          <cell r="AE379" t="str">
            <v>HUTANG USAHA</v>
          </cell>
        </row>
        <row r="380">
          <cell r="F380">
            <v>0</v>
          </cell>
          <cell r="H380">
            <v>0</v>
          </cell>
          <cell r="J380">
            <v>0</v>
          </cell>
          <cell r="AE380" t="str">
            <v>HUTANG USAHA</v>
          </cell>
        </row>
        <row r="381">
          <cell r="F381">
            <v>0</v>
          </cell>
          <cell r="H381">
            <v>0</v>
          </cell>
          <cell r="J381">
            <v>0</v>
          </cell>
          <cell r="AE381" t="str">
            <v>HUTANG USAHA</v>
          </cell>
        </row>
        <row r="382">
          <cell r="F382">
            <v>0</v>
          </cell>
          <cell r="H382">
            <v>0</v>
          </cell>
          <cell r="J382">
            <v>0</v>
          </cell>
          <cell r="AE382" t="str">
            <v>HUTANG USAHA</v>
          </cell>
        </row>
        <row r="383">
          <cell r="F383">
            <v>-15204000</v>
          </cell>
          <cell r="H383">
            <v>-47386853.770000003</v>
          </cell>
          <cell r="J383">
            <v>-22459542.920000002</v>
          </cell>
          <cell r="AE383" t="str">
            <v>HUTANG USAHA</v>
          </cell>
        </row>
        <row r="384">
          <cell r="F384">
            <v>-37024082</v>
          </cell>
          <cell r="H384">
            <v>0</v>
          </cell>
          <cell r="J384">
            <v>7636842</v>
          </cell>
          <cell r="AE384" t="str">
            <v>HUTANG USAHA</v>
          </cell>
        </row>
        <row r="385">
          <cell r="F385">
            <v>0</v>
          </cell>
          <cell r="H385">
            <v>0</v>
          </cell>
          <cell r="J385">
            <v>0</v>
          </cell>
          <cell r="AE385" t="str">
            <v>HUTANG USAHA</v>
          </cell>
        </row>
        <row r="386">
          <cell r="F386">
            <v>0</v>
          </cell>
          <cell r="H386">
            <v>0</v>
          </cell>
          <cell r="J386">
            <v>0</v>
          </cell>
          <cell r="AE386" t="str">
            <v>HUTANG USAHA</v>
          </cell>
        </row>
        <row r="387">
          <cell r="F387">
            <v>-5835000</v>
          </cell>
          <cell r="H387">
            <v>0</v>
          </cell>
          <cell r="J387">
            <v>18782800</v>
          </cell>
          <cell r="AE387" t="str">
            <v>HUTANG USAHA</v>
          </cell>
        </row>
        <row r="388">
          <cell r="F388">
            <v>0</v>
          </cell>
          <cell r="H388">
            <v>0</v>
          </cell>
          <cell r="J388">
            <v>0</v>
          </cell>
          <cell r="AE388" t="str">
            <v>HUTANG USAHA</v>
          </cell>
        </row>
        <row r="389">
          <cell r="F389">
            <v>0</v>
          </cell>
          <cell r="H389">
            <v>0</v>
          </cell>
          <cell r="J389">
            <v>0</v>
          </cell>
          <cell r="AE389" t="str">
            <v>HUTANG USAHA</v>
          </cell>
        </row>
        <row r="390">
          <cell r="F390">
            <v>0</v>
          </cell>
          <cell r="H390">
            <v>0</v>
          </cell>
          <cell r="J390">
            <v>0</v>
          </cell>
          <cell r="AE390" t="str">
            <v>HUTANG USAHA</v>
          </cell>
        </row>
        <row r="391">
          <cell r="F391">
            <v>0</v>
          </cell>
          <cell r="H391">
            <v>0</v>
          </cell>
          <cell r="J391">
            <v>0</v>
          </cell>
          <cell r="AE391" t="str">
            <v>HUTANG USAHA</v>
          </cell>
        </row>
        <row r="392">
          <cell r="F392">
            <v>0</v>
          </cell>
          <cell r="H392">
            <v>0</v>
          </cell>
          <cell r="J392">
            <v>0</v>
          </cell>
          <cell r="AE392" t="str">
            <v>HUTANG USAHA</v>
          </cell>
        </row>
        <row r="393">
          <cell r="F393">
            <v>0</v>
          </cell>
          <cell r="H393">
            <v>0</v>
          </cell>
          <cell r="J393">
            <v>0</v>
          </cell>
          <cell r="AE393" t="str">
            <v>HUTANG USAHA</v>
          </cell>
        </row>
        <row r="394">
          <cell r="F394">
            <v>0</v>
          </cell>
          <cell r="H394">
            <v>0</v>
          </cell>
          <cell r="J394">
            <v>0</v>
          </cell>
          <cell r="AE394" t="str">
            <v>HUTANG USAHA</v>
          </cell>
        </row>
        <row r="395">
          <cell r="F395">
            <v>0</v>
          </cell>
          <cell r="H395">
            <v>0</v>
          </cell>
          <cell r="J395">
            <v>0</v>
          </cell>
          <cell r="AE395" t="str">
            <v>HUTANG LAIN-LAIN</v>
          </cell>
        </row>
        <row r="396">
          <cell r="F396">
            <v>0</v>
          </cell>
          <cell r="H396">
            <v>0</v>
          </cell>
          <cell r="J396">
            <v>0</v>
          </cell>
          <cell r="AE396" t="str">
            <v>HUTANG LAIN-LAIN</v>
          </cell>
        </row>
        <row r="397">
          <cell r="F397">
            <v>22500000</v>
          </cell>
          <cell r="H397">
            <v>20000000</v>
          </cell>
          <cell r="J397">
            <v>2500000</v>
          </cell>
          <cell r="AE397" t="str">
            <v>HUTANG LAIN-LAIN</v>
          </cell>
        </row>
        <row r="398">
          <cell r="F398">
            <v>0</v>
          </cell>
          <cell r="H398">
            <v>0</v>
          </cell>
          <cell r="J398">
            <v>0</v>
          </cell>
          <cell r="AE398" t="str">
            <v>HUTANG LAIN-LAIN</v>
          </cell>
        </row>
        <row r="399">
          <cell r="F399">
            <v>0</v>
          </cell>
          <cell r="H399">
            <v>-49676756</v>
          </cell>
          <cell r="J399">
            <v>-39104710</v>
          </cell>
          <cell r="AE399" t="str">
            <v>HUTANG LAIN-LAIN</v>
          </cell>
        </row>
        <row r="400">
          <cell r="F400">
            <v>0</v>
          </cell>
          <cell r="H400">
            <v>-44751666.670000002</v>
          </cell>
          <cell r="J400">
            <v>-30392546</v>
          </cell>
          <cell r="AE400" t="str">
            <v>HUTANG LAIN-LAIN</v>
          </cell>
        </row>
        <row r="401">
          <cell r="F401">
            <v>0</v>
          </cell>
          <cell r="H401">
            <v>-25000000</v>
          </cell>
          <cell r="J401">
            <v>-2500000</v>
          </cell>
          <cell r="AE401" t="str">
            <v>HUTANG LAIN-LAIN</v>
          </cell>
        </row>
        <row r="402">
          <cell r="F402">
            <v>-133128396</v>
          </cell>
          <cell r="H402">
            <v>-6008224.0899999999</v>
          </cell>
          <cell r="J402">
            <v>-170518639</v>
          </cell>
          <cell r="AE402" t="str">
            <v>HUTANG LAIN-LAIN</v>
          </cell>
        </row>
        <row r="403">
          <cell r="F403">
            <v>0</v>
          </cell>
          <cell r="H403">
            <v>0</v>
          </cell>
          <cell r="J403">
            <v>0</v>
          </cell>
          <cell r="AE403" t="str">
            <v>HUTANG LAIN-LAIN</v>
          </cell>
        </row>
        <row r="404">
          <cell r="F404">
            <v>0</v>
          </cell>
          <cell r="H404">
            <v>0</v>
          </cell>
          <cell r="J404">
            <v>0</v>
          </cell>
          <cell r="AE404" t="str">
            <v>HUTANG LAIN-LAIN</v>
          </cell>
        </row>
        <row r="405">
          <cell r="F405">
            <v>0</v>
          </cell>
          <cell r="H405">
            <v>0</v>
          </cell>
          <cell r="J405">
            <v>0</v>
          </cell>
          <cell r="AE405" t="str">
            <v>HUTANG LAIN-LAIN</v>
          </cell>
        </row>
        <row r="406">
          <cell r="F406">
            <v>0</v>
          </cell>
          <cell r="H406">
            <v>0</v>
          </cell>
          <cell r="J406">
            <v>0</v>
          </cell>
          <cell r="AE406" t="str">
            <v>HUTANG LAIN-LAIN</v>
          </cell>
        </row>
        <row r="407">
          <cell r="F407">
            <v>0</v>
          </cell>
          <cell r="H407">
            <v>0</v>
          </cell>
          <cell r="J407">
            <v>0</v>
          </cell>
          <cell r="AE407" t="str">
            <v>HUTANG LAIN-LAIN</v>
          </cell>
        </row>
        <row r="408">
          <cell r="F408">
            <v>0</v>
          </cell>
          <cell r="H408">
            <v>0</v>
          </cell>
          <cell r="J408">
            <v>0</v>
          </cell>
          <cell r="AE408" t="str">
            <v>HUTANG LAIN-LAIN</v>
          </cell>
        </row>
        <row r="409">
          <cell r="F409">
            <v>0</v>
          </cell>
          <cell r="H409">
            <v>0</v>
          </cell>
          <cell r="J409">
            <v>0</v>
          </cell>
          <cell r="AE409" t="str">
            <v>HUTANG LAIN-LAIN</v>
          </cell>
        </row>
        <row r="410">
          <cell r="F410">
            <v>0</v>
          </cell>
          <cell r="H410">
            <v>-48624100</v>
          </cell>
          <cell r="J410">
            <v>55063484</v>
          </cell>
          <cell r="AE410" t="str">
            <v>HUTANG LAIN-LAIN</v>
          </cell>
        </row>
        <row r="411">
          <cell r="F411">
            <v>0</v>
          </cell>
          <cell r="H411">
            <v>0</v>
          </cell>
          <cell r="J411">
            <v>0</v>
          </cell>
          <cell r="AE411" t="str">
            <v>HUTANG LAIN-LAIN</v>
          </cell>
        </row>
        <row r="412">
          <cell r="F412">
            <v>0</v>
          </cell>
          <cell r="H412">
            <v>0</v>
          </cell>
          <cell r="J412">
            <v>0</v>
          </cell>
          <cell r="AE412" t="str">
            <v>HUTANG LAIN-LAIN</v>
          </cell>
        </row>
        <row r="413">
          <cell r="F413">
            <v>82660651.280000001</v>
          </cell>
          <cell r="H413">
            <v>-403559943</v>
          </cell>
          <cell r="J413">
            <v>242700318</v>
          </cell>
          <cell r="AE413" t="str">
            <v>HUTANG LAIN-LAIN</v>
          </cell>
        </row>
        <row r="414">
          <cell r="F414">
            <v>-421000</v>
          </cell>
          <cell r="H414">
            <v>-7665000</v>
          </cell>
          <cell r="J414">
            <v>-600500</v>
          </cell>
          <cell r="AE414" t="str">
            <v>HUTANG LAIN-LAIN</v>
          </cell>
        </row>
        <row r="415">
          <cell r="F415">
            <v>0</v>
          </cell>
          <cell r="H415">
            <v>0</v>
          </cell>
          <cell r="J415">
            <v>0</v>
          </cell>
          <cell r="AE415" t="str">
            <v>HUTANG LAIN-LAIN</v>
          </cell>
        </row>
        <row r="416">
          <cell r="F416">
            <v>0</v>
          </cell>
          <cell r="H416">
            <v>0</v>
          </cell>
          <cell r="J416">
            <v>0</v>
          </cell>
          <cell r="AE416" t="str">
            <v>HUTANG LAIN-LAIN</v>
          </cell>
        </row>
        <row r="417">
          <cell r="F417">
            <v>0</v>
          </cell>
          <cell r="H417">
            <v>0</v>
          </cell>
          <cell r="J417">
            <v>0</v>
          </cell>
          <cell r="AE417" t="str">
            <v>HUTANG LAIN-LAIN</v>
          </cell>
        </row>
        <row r="418">
          <cell r="F418">
            <v>0</v>
          </cell>
          <cell r="H418">
            <v>0</v>
          </cell>
          <cell r="J418">
            <v>0</v>
          </cell>
          <cell r="AE418" t="str">
            <v>HUTANG LAIN-LAIN</v>
          </cell>
        </row>
        <row r="419">
          <cell r="F419">
            <v>0</v>
          </cell>
          <cell r="H419">
            <v>0</v>
          </cell>
          <cell r="J419">
            <v>0</v>
          </cell>
          <cell r="AE419" t="str">
            <v>HUTANG LAIN-LAIN</v>
          </cell>
        </row>
        <row r="420">
          <cell r="F420">
            <v>0</v>
          </cell>
          <cell r="H420">
            <v>0</v>
          </cell>
          <cell r="J420">
            <v>0</v>
          </cell>
          <cell r="AE420" t="str">
            <v>HUTANG LAIN-LAIN</v>
          </cell>
        </row>
        <row r="421">
          <cell r="F421">
            <v>0</v>
          </cell>
          <cell r="H421">
            <v>0</v>
          </cell>
          <cell r="J421">
            <v>0</v>
          </cell>
          <cell r="AE421" t="str">
            <v>HUTANG LAIN-LAIN</v>
          </cell>
        </row>
        <row r="422">
          <cell r="F422">
            <v>0</v>
          </cell>
          <cell r="H422">
            <v>0</v>
          </cell>
          <cell r="J422">
            <v>0</v>
          </cell>
          <cell r="AE422" t="str">
            <v>HUTANG LAIN-LAIN</v>
          </cell>
        </row>
        <row r="423">
          <cell r="F423">
            <v>0</v>
          </cell>
          <cell r="H423">
            <v>0</v>
          </cell>
          <cell r="J423">
            <v>0</v>
          </cell>
          <cell r="AE423" t="str">
            <v>HUTANG LAIN-LAIN</v>
          </cell>
        </row>
        <row r="424">
          <cell r="F424">
            <v>0</v>
          </cell>
          <cell r="H424">
            <v>0</v>
          </cell>
          <cell r="J424">
            <v>0</v>
          </cell>
          <cell r="AE424" t="str">
            <v>HUTANG PAJAK DAN RETRIBUSI</v>
          </cell>
        </row>
        <row r="425">
          <cell r="F425">
            <v>0</v>
          </cell>
          <cell r="H425">
            <v>0</v>
          </cell>
          <cell r="J425">
            <v>0</v>
          </cell>
          <cell r="AE425" t="str">
            <v>HUTANG PAJAK DAN RETRIBUSI</v>
          </cell>
        </row>
        <row r="426">
          <cell r="F426">
            <v>82500000</v>
          </cell>
          <cell r="H426">
            <v>-63674044</v>
          </cell>
          <cell r="J426">
            <v>5016458.3299999982</v>
          </cell>
          <cell r="AE426" t="str">
            <v>HUTANG PAJAK DAN RETRIBUSI</v>
          </cell>
        </row>
        <row r="427">
          <cell r="F427">
            <v>0</v>
          </cell>
          <cell r="H427">
            <v>0</v>
          </cell>
          <cell r="J427">
            <v>0</v>
          </cell>
          <cell r="AE427" t="str">
            <v>HUTANG PAJAK DAN RETRIBUSI</v>
          </cell>
        </row>
        <row r="428">
          <cell r="F428">
            <v>0</v>
          </cell>
          <cell r="H428">
            <v>0</v>
          </cell>
          <cell r="J428">
            <v>0</v>
          </cell>
          <cell r="AE428" t="str">
            <v>HUTANG PAJAK DAN RETRIBUSI</v>
          </cell>
        </row>
        <row r="429">
          <cell r="F429">
            <v>-6902850.4600000009</v>
          </cell>
          <cell r="H429">
            <v>-14163908.51</v>
          </cell>
          <cell r="J429">
            <v>-32920558.319999997</v>
          </cell>
          <cell r="AE429" t="str">
            <v>HUTANG PAJAK DAN RETRIBUSI</v>
          </cell>
        </row>
        <row r="430">
          <cell r="F430">
            <v>0</v>
          </cell>
          <cell r="H430">
            <v>0</v>
          </cell>
          <cell r="J430">
            <v>0</v>
          </cell>
          <cell r="AE430" t="str">
            <v>HUTANG PAJAK DAN RETRIBUSI</v>
          </cell>
        </row>
        <row r="431">
          <cell r="F431">
            <v>0</v>
          </cell>
          <cell r="H431">
            <v>0</v>
          </cell>
          <cell r="J431">
            <v>0</v>
          </cell>
          <cell r="AE431" t="str">
            <v>HUTANG PAJAK DAN RETRIBUSI</v>
          </cell>
        </row>
        <row r="432">
          <cell r="F432">
            <v>-135400.34999999986</v>
          </cell>
          <cell r="H432">
            <v>-5454545.4500000002</v>
          </cell>
          <cell r="J432">
            <v>-5386363.6199999992</v>
          </cell>
          <cell r="AE432" t="str">
            <v>HUTANG PAJAK DAN RETRIBUSI</v>
          </cell>
        </row>
        <row r="433">
          <cell r="F433">
            <v>0</v>
          </cell>
          <cell r="H433">
            <v>0</v>
          </cell>
          <cell r="J433">
            <v>0</v>
          </cell>
          <cell r="AE433" t="str">
            <v>HUTANG PAJAK DAN RETRIBUSI</v>
          </cell>
        </row>
        <row r="434">
          <cell r="F434">
            <v>0</v>
          </cell>
          <cell r="H434">
            <v>0</v>
          </cell>
          <cell r="J434">
            <v>0</v>
          </cell>
          <cell r="AE434" t="str">
            <v>HUTANG PAJAK DAN RETRIBUSI</v>
          </cell>
        </row>
        <row r="435">
          <cell r="F435">
            <v>0</v>
          </cell>
          <cell r="H435">
            <v>0</v>
          </cell>
          <cell r="J435">
            <v>0</v>
          </cell>
          <cell r="AE435" t="str">
            <v>HUTANG PAJAK DAN RETRIBUSI</v>
          </cell>
        </row>
        <row r="436">
          <cell r="F436">
            <v>0</v>
          </cell>
          <cell r="H436">
            <v>0</v>
          </cell>
          <cell r="J436">
            <v>0</v>
          </cell>
          <cell r="AE436" t="str">
            <v>HUTANG PAJAK DAN RETRIBUSI</v>
          </cell>
        </row>
        <row r="437">
          <cell r="F437">
            <v>0</v>
          </cell>
          <cell r="H437">
            <v>0</v>
          </cell>
          <cell r="J437">
            <v>0</v>
          </cell>
          <cell r="AE437" t="str">
            <v>HUTANG PAJAK DAN RETRIBUSI</v>
          </cell>
        </row>
        <row r="438">
          <cell r="F438">
            <v>0</v>
          </cell>
          <cell r="H438">
            <v>0</v>
          </cell>
          <cell r="J438">
            <v>0</v>
          </cell>
          <cell r="AE438" t="str">
            <v>HUTANG PAJAK DAN RETRIBUSI</v>
          </cell>
        </row>
        <row r="439">
          <cell r="F439">
            <v>0</v>
          </cell>
          <cell r="H439">
            <v>0</v>
          </cell>
          <cell r="J439">
            <v>0</v>
          </cell>
          <cell r="AE439" t="str">
            <v>HUTANG PAJAK DAN RETRIBUSI</v>
          </cell>
        </row>
        <row r="440">
          <cell r="F440">
            <v>-70792484.849999994</v>
          </cell>
          <cell r="H440">
            <v>-144611196.94999999</v>
          </cell>
          <cell r="J440">
            <v>-103150695.81999999</v>
          </cell>
          <cell r="AE440" t="str">
            <v>HUTANG PAJAK DAN RETRIBUSI</v>
          </cell>
        </row>
        <row r="441">
          <cell r="F441">
            <v>0</v>
          </cell>
          <cell r="H441">
            <v>0</v>
          </cell>
          <cell r="J441">
            <v>0</v>
          </cell>
          <cell r="AE441" t="str">
            <v>HUTANG PAJAK DAN RETRIBUSI</v>
          </cell>
        </row>
        <row r="442">
          <cell r="F442">
            <v>0</v>
          </cell>
          <cell r="H442">
            <v>0</v>
          </cell>
          <cell r="J442">
            <v>0</v>
          </cell>
          <cell r="AE442" t="str">
            <v>HUTANG PAJAK DAN RETRIBUSI</v>
          </cell>
        </row>
        <row r="443">
          <cell r="F443">
            <v>0</v>
          </cell>
          <cell r="H443">
            <v>0</v>
          </cell>
          <cell r="J443">
            <v>0</v>
          </cell>
          <cell r="AE443" t="str">
            <v>HUTANG PAJAK DAN RETRIBUSI</v>
          </cell>
        </row>
        <row r="444">
          <cell r="F444">
            <v>0</v>
          </cell>
          <cell r="H444">
            <v>0</v>
          </cell>
          <cell r="J444">
            <v>0</v>
          </cell>
          <cell r="AE444" t="str">
            <v>HUTANG PAJAK DAN RETRIBUSI</v>
          </cell>
        </row>
        <row r="445">
          <cell r="F445">
            <v>0</v>
          </cell>
          <cell r="H445">
            <v>0</v>
          </cell>
          <cell r="J445">
            <v>0</v>
          </cell>
          <cell r="AE445" t="str">
            <v>HUTANG PAJAK DAN RETRIBUSI</v>
          </cell>
        </row>
        <row r="446">
          <cell r="F446">
            <v>0</v>
          </cell>
          <cell r="H446">
            <v>0</v>
          </cell>
          <cell r="J446">
            <v>0</v>
          </cell>
          <cell r="AE446" t="str">
            <v>BIAYA YANG MASIH HARUS DIBAYAR</v>
          </cell>
        </row>
        <row r="447">
          <cell r="F447">
            <v>-12883661.210000001</v>
          </cell>
          <cell r="H447">
            <v>-12296148</v>
          </cell>
          <cell r="J447">
            <v>1468194</v>
          </cell>
          <cell r="AE447" t="str">
            <v>BIAYA YANG MASIH HARUS DIBAYAR</v>
          </cell>
        </row>
        <row r="448">
          <cell r="F448">
            <v>0</v>
          </cell>
          <cell r="H448">
            <v>-41790000</v>
          </cell>
          <cell r="J448">
            <v>41790000</v>
          </cell>
          <cell r="AE448" t="str">
            <v>BIAYA YANG MASIH HARUS DIBAYAR</v>
          </cell>
        </row>
        <row r="449">
          <cell r="F449">
            <v>0</v>
          </cell>
          <cell r="H449">
            <v>0</v>
          </cell>
          <cell r="J449">
            <v>0</v>
          </cell>
          <cell r="AE449" t="str">
            <v>BIAYA YANG MASIH HARUS DIBAYAR</v>
          </cell>
        </row>
        <row r="450">
          <cell r="F450">
            <v>0</v>
          </cell>
          <cell r="H450">
            <v>0</v>
          </cell>
          <cell r="J450">
            <v>-34706080</v>
          </cell>
          <cell r="AE450" t="str">
            <v>BIAYA YANG MASIH HARUS DIBAYAR</v>
          </cell>
        </row>
        <row r="451">
          <cell r="F451">
            <v>-28369128.5</v>
          </cell>
          <cell r="H451">
            <v>0</v>
          </cell>
          <cell r="J451">
            <v>-14309760</v>
          </cell>
          <cell r="AE451" t="str">
            <v>BIAYA YANG MASIH HARUS DIBAYAR</v>
          </cell>
        </row>
        <row r="452">
          <cell r="F452">
            <v>0</v>
          </cell>
          <cell r="H452">
            <v>0</v>
          </cell>
          <cell r="J452">
            <v>0</v>
          </cell>
          <cell r="AE452" t="str">
            <v>BIAYA YANG MASIH HARUS DIBAYAR</v>
          </cell>
        </row>
        <row r="453">
          <cell r="F453">
            <v>0</v>
          </cell>
          <cell r="H453">
            <v>0</v>
          </cell>
          <cell r="J453">
            <v>0</v>
          </cell>
          <cell r="AE453" t="str">
            <v>BIAYA YANG MASIH HARUS DIBAYAR</v>
          </cell>
        </row>
        <row r="454">
          <cell r="F454">
            <v>0</v>
          </cell>
          <cell r="H454">
            <v>0</v>
          </cell>
          <cell r="J454">
            <v>0</v>
          </cell>
          <cell r="AE454" t="str">
            <v>BIAYA YANG MASIH HARUS DIBAYAR</v>
          </cell>
        </row>
        <row r="455">
          <cell r="F455">
            <v>0</v>
          </cell>
          <cell r="H455">
            <v>0</v>
          </cell>
          <cell r="J455">
            <v>0</v>
          </cell>
          <cell r="AE455" t="str">
            <v>BIAYA YANG MASIH HARUS DIBAYAR</v>
          </cell>
        </row>
        <row r="456">
          <cell r="F456">
            <v>0</v>
          </cell>
          <cell r="H456">
            <v>0</v>
          </cell>
          <cell r="J456">
            <v>0</v>
          </cell>
          <cell r="AE456" t="str">
            <v>BIAYA YANG MASIH HARUS DIBAYAR</v>
          </cell>
        </row>
        <row r="457">
          <cell r="F457">
            <v>0</v>
          </cell>
          <cell r="H457">
            <v>0</v>
          </cell>
          <cell r="J457">
            <v>0</v>
          </cell>
          <cell r="AE457" t="str">
            <v>BIAYA YANG MASIH HARUS DIBAYAR</v>
          </cell>
        </row>
        <row r="458">
          <cell r="F458">
            <v>0</v>
          </cell>
          <cell r="H458">
            <v>0</v>
          </cell>
          <cell r="J458">
            <v>0</v>
          </cell>
          <cell r="AE458" t="str">
            <v>BIAYA YANG MASIH HARUS DIBAYAR</v>
          </cell>
        </row>
        <row r="459">
          <cell r="F459">
            <v>0</v>
          </cell>
          <cell r="H459">
            <v>0</v>
          </cell>
          <cell r="J459">
            <v>0</v>
          </cell>
          <cell r="AE459" t="str">
            <v>BIAYA YANG MASIH HARUS DIBAYAR</v>
          </cell>
        </row>
        <row r="460">
          <cell r="F460">
            <v>0</v>
          </cell>
          <cell r="H460">
            <v>0</v>
          </cell>
          <cell r="J460">
            <v>0</v>
          </cell>
          <cell r="AE460" t="str">
            <v>BIAYA YANG MASIH HARUS DIBAYAR</v>
          </cell>
        </row>
        <row r="461">
          <cell r="F461">
            <v>0</v>
          </cell>
          <cell r="H461">
            <v>0</v>
          </cell>
          <cell r="J461">
            <v>0</v>
          </cell>
          <cell r="AE461" t="str">
            <v>BIAYA YANG MASIH HARUS DIBAYAR</v>
          </cell>
        </row>
        <row r="462">
          <cell r="F462">
            <v>-218089166.69999999</v>
          </cell>
          <cell r="H462">
            <v>-218089166.69999999</v>
          </cell>
          <cell r="J462">
            <v>-218089167</v>
          </cell>
          <cell r="AE462" t="str">
            <v>BIAYA YANG MASIH HARUS DIBAYAR</v>
          </cell>
        </row>
        <row r="463">
          <cell r="F463">
            <v>0</v>
          </cell>
          <cell r="H463">
            <v>0</v>
          </cell>
          <cell r="J463">
            <v>0</v>
          </cell>
          <cell r="AE463" t="str">
            <v>BIAYA YANG MASIH HARUS DIBAYAR</v>
          </cell>
        </row>
        <row r="464">
          <cell r="F464">
            <v>0</v>
          </cell>
          <cell r="H464">
            <v>0</v>
          </cell>
          <cell r="J464">
            <v>0</v>
          </cell>
          <cell r="AE464" t="str">
            <v>BIAYA YANG MASIH HARUS DIBAYAR</v>
          </cell>
        </row>
        <row r="465">
          <cell r="F465">
            <v>0</v>
          </cell>
          <cell r="H465">
            <v>0</v>
          </cell>
          <cell r="J465">
            <v>0</v>
          </cell>
          <cell r="AE465" t="str">
            <v>BIAYA YANG MASIH HARUS DIBAYAR</v>
          </cell>
        </row>
        <row r="466">
          <cell r="F466">
            <v>-23244428.649999999</v>
          </cell>
          <cell r="H466">
            <v>50236581.349999994</v>
          </cell>
          <cell r="J466">
            <v>-10933233.730000004</v>
          </cell>
          <cell r="AE466" t="str">
            <v>BIAYA YANG MASIH HARUS DIBAYAR</v>
          </cell>
        </row>
        <row r="467">
          <cell r="F467">
            <v>101204805.33000004</v>
          </cell>
          <cell r="H467">
            <v>247970992.99000007</v>
          </cell>
          <cell r="J467">
            <v>332956034.33000004</v>
          </cell>
          <cell r="AE467" t="str">
            <v>BIAYA YANG MASIH HARUS DIBAYAR</v>
          </cell>
        </row>
        <row r="468">
          <cell r="F468">
            <v>0</v>
          </cell>
          <cell r="H468">
            <v>0</v>
          </cell>
          <cell r="J468">
            <v>0</v>
          </cell>
          <cell r="AE468" t="str">
            <v>BIAYA YANG MASIH HARUS DIBAYAR</v>
          </cell>
        </row>
        <row r="469">
          <cell r="F469">
            <v>0</v>
          </cell>
          <cell r="H469">
            <v>0</v>
          </cell>
          <cell r="J469">
            <v>0</v>
          </cell>
          <cell r="AE469" t="str">
            <v>BIAYA YANG MASIH HARUS DIBAYAR</v>
          </cell>
        </row>
        <row r="470">
          <cell r="F470">
            <v>0</v>
          </cell>
          <cell r="H470">
            <v>0</v>
          </cell>
          <cell r="J470">
            <v>0</v>
          </cell>
          <cell r="AE470" t="str">
            <v>BIAYA YANG MASIH HARUS DIBAYAR</v>
          </cell>
        </row>
        <row r="471">
          <cell r="F471">
            <v>0</v>
          </cell>
          <cell r="H471">
            <v>0</v>
          </cell>
          <cell r="J471">
            <v>0</v>
          </cell>
          <cell r="AE471" t="str">
            <v>BIAYA YANG MASIH HARUS DIBAYAR</v>
          </cell>
        </row>
        <row r="472">
          <cell r="F472">
            <v>-29862000</v>
          </cell>
          <cell r="H472">
            <v>0</v>
          </cell>
          <cell r="J472">
            <v>-47602400</v>
          </cell>
          <cell r="AE472" t="str">
            <v>BIAYA YANG MASIH HARUS DIBAYAR</v>
          </cell>
        </row>
        <row r="473">
          <cell r="F473">
            <v>333172608.31999999</v>
          </cell>
          <cell r="H473">
            <v>0</v>
          </cell>
          <cell r="J473">
            <v>0</v>
          </cell>
          <cell r="AE473" t="str">
            <v>BIAYA YANG MASIH HARUS DIBAYAR</v>
          </cell>
        </row>
        <row r="474">
          <cell r="F474">
            <v>163507051.63</v>
          </cell>
          <cell r="H474">
            <v>-14285163</v>
          </cell>
          <cell r="J474">
            <v>28513000</v>
          </cell>
          <cell r="AE474" t="str">
            <v>BIAYA YANG MASIH HARUS DIBAYAR</v>
          </cell>
        </row>
        <row r="475">
          <cell r="F475">
            <v>0</v>
          </cell>
          <cell r="H475">
            <v>0</v>
          </cell>
          <cell r="J475">
            <v>0</v>
          </cell>
          <cell r="AE475" t="str">
            <v>RK</v>
          </cell>
        </row>
        <row r="476">
          <cell r="F476">
            <v>0</v>
          </cell>
          <cell r="H476">
            <v>0</v>
          </cell>
          <cell r="J476">
            <v>0</v>
          </cell>
          <cell r="AE476" t="str">
            <v>RK</v>
          </cell>
        </row>
        <row r="477">
          <cell r="F477">
            <v>0</v>
          </cell>
          <cell r="H477">
            <v>0</v>
          </cell>
          <cell r="J477">
            <v>0</v>
          </cell>
          <cell r="AE477" t="str">
            <v>RK</v>
          </cell>
        </row>
        <row r="478">
          <cell r="F478">
            <v>0</v>
          </cell>
          <cell r="H478">
            <v>0</v>
          </cell>
          <cell r="J478">
            <v>0</v>
          </cell>
          <cell r="AE478" t="str">
            <v>RK</v>
          </cell>
        </row>
        <row r="479">
          <cell r="F479">
            <v>0</v>
          </cell>
          <cell r="H479">
            <v>0</v>
          </cell>
          <cell r="J479">
            <v>0</v>
          </cell>
          <cell r="AE479" t="str">
            <v>RK</v>
          </cell>
        </row>
        <row r="480">
          <cell r="F480">
            <v>0</v>
          </cell>
          <cell r="H480">
            <v>0</v>
          </cell>
          <cell r="J480">
            <v>0</v>
          </cell>
          <cell r="AE480" t="str">
            <v>RK</v>
          </cell>
        </row>
        <row r="481">
          <cell r="F481">
            <v>0</v>
          </cell>
          <cell r="H481">
            <v>0</v>
          </cell>
          <cell r="J481">
            <v>0</v>
          </cell>
          <cell r="AE481" t="str">
            <v>LIABILITAS PAJAK TANGGUHAN</v>
          </cell>
        </row>
        <row r="482">
          <cell r="F482">
            <v>0</v>
          </cell>
          <cell r="H482">
            <v>0</v>
          </cell>
          <cell r="J482">
            <v>0</v>
          </cell>
          <cell r="AE482" t="str">
            <v>LIABILITAS PAJAK TANGGUHAN</v>
          </cell>
        </row>
        <row r="483">
          <cell r="F483">
            <v>0</v>
          </cell>
          <cell r="H483">
            <v>0</v>
          </cell>
          <cell r="J483">
            <v>0</v>
          </cell>
          <cell r="AE483" t="str">
            <v>LIABILITAS PAJAK TANGGUHAN</v>
          </cell>
        </row>
        <row r="484">
          <cell r="F484">
            <v>0</v>
          </cell>
          <cell r="H484">
            <v>0</v>
          </cell>
          <cell r="J484">
            <v>0</v>
          </cell>
          <cell r="AE484" t="str">
            <v>LIABILITAS JANGKA PANJANG-PINJAMAN BANK</v>
          </cell>
        </row>
        <row r="485">
          <cell r="F485">
            <v>0</v>
          </cell>
          <cell r="H485">
            <v>0</v>
          </cell>
          <cell r="J485">
            <v>0</v>
          </cell>
          <cell r="AE485" t="str">
            <v>LIABILITAS JANGKA PANJANG-PINJAMAN BANK</v>
          </cell>
        </row>
        <row r="486">
          <cell r="F486">
            <v>0</v>
          </cell>
          <cell r="H486">
            <v>0</v>
          </cell>
          <cell r="J486">
            <v>0</v>
          </cell>
          <cell r="AE486" t="str">
            <v>LIABILITAS JANGKA PANJANG-PINJAMAN BANK</v>
          </cell>
        </row>
        <row r="487">
          <cell r="F487">
            <v>0</v>
          </cell>
          <cell r="H487">
            <v>0</v>
          </cell>
          <cell r="J487">
            <v>0</v>
          </cell>
          <cell r="AE487" t="str">
            <v>LIABILITAS JANGKA PANJANG-PINJAMAN BANK</v>
          </cell>
        </row>
        <row r="488">
          <cell r="F488">
            <v>0</v>
          </cell>
          <cell r="H488">
            <v>0</v>
          </cell>
          <cell r="J488">
            <v>0</v>
          </cell>
          <cell r="AE488" t="str">
            <v>LIABILITAS JANGKA PANJANG-PINJAMAN BANK</v>
          </cell>
        </row>
        <row r="489">
          <cell r="F489">
            <v>0</v>
          </cell>
          <cell r="H489">
            <v>0</v>
          </cell>
          <cell r="J489">
            <v>0</v>
          </cell>
          <cell r="AE489" t="str">
            <v>HUTANG JK PANJANG LAINNYA</v>
          </cell>
        </row>
        <row r="490">
          <cell r="F490">
            <v>0</v>
          </cell>
          <cell r="H490">
            <v>0</v>
          </cell>
          <cell r="J490">
            <v>0</v>
          </cell>
          <cell r="AE490" t="str">
            <v>HUTANG JK PANJANG LAINNYA</v>
          </cell>
        </row>
        <row r="491">
          <cell r="F491">
            <v>0</v>
          </cell>
          <cell r="H491">
            <v>0</v>
          </cell>
          <cell r="J491">
            <v>0</v>
          </cell>
          <cell r="AE491" t="str">
            <v>HUTANG JK PANJANG LAINNYA</v>
          </cell>
        </row>
        <row r="492">
          <cell r="F492">
            <v>0</v>
          </cell>
          <cell r="H492">
            <v>0</v>
          </cell>
          <cell r="J492">
            <v>0</v>
          </cell>
          <cell r="AE492" t="str">
            <v>HUTANG JK PANJANG LAINNYA</v>
          </cell>
        </row>
        <row r="493">
          <cell r="F493">
            <v>0</v>
          </cell>
          <cell r="H493">
            <v>0</v>
          </cell>
          <cell r="J493">
            <v>0</v>
          </cell>
          <cell r="AE493" t="str">
            <v>HUTANG JK PANJANG LAINNYA</v>
          </cell>
        </row>
        <row r="494">
          <cell r="F494">
            <v>0</v>
          </cell>
          <cell r="H494">
            <v>0</v>
          </cell>
          <cell r="J494">
            <v>0</v>
          </cell>
          <cell r="AE494" t="str">
            <v>HUTANG JK PANJANG LAINNYA</v>
          </cell>
        </row>
        <row r="495">
          <cell r="F495">
            <v>0</v>
          </cell>
          <cell r="H495">
            <v>0</v>
          </cell>
          <cell r="J495">
            <v>0</v>
          </cell>
          <cell r="AE495" t="str">
            <v>LIABILITAS IMBALAN KERJA</v>
          </cell>
        </row>
        <row r="496">
          <cell r="F496">
            <v>0</v>
          </cell>
          <cell r="H496">
            <v>0</v>
          </cell>
          <cell r="J496">
            <v>0</v>
          </cell>
          <cell r="AE496" t="str">
            <v>LIABILITAS IMBALAN KERJA</v>
          </cell>
        </row>
        <row r="497">
          <cell r="F497">
            <v>0</v>
          </cell>
          <cell r="H497">
            <v>0</v>
          </cell>
          <cell r="J497">
            <v>0</v>
          </cell>
          <cell r="AE497" t="str">
            <v>LIABILITAS JANGKA PANJANG LAINNYA</v>
          </cell>
        </row>
        <row r="498">
          <cell r="F498">
            <v>0</v>
          </cell>
          <cell r="H498">
            <v>0</v>
          </cell>
          <cell r="J498">
            <v>0</v>
          </cell>
          <cell r="AE498" t="str">
            <v>LIABILITAS JANGKA PANJANG LAINNYA</v>
          </cell>
        </row>
        <row r="499">
          <cell r="F499">
            <v>0</v>
          </cell>
          <cell r="H499">
            <v>0</v>
          </cell>
          <cell r="J499">
            <v>0</v>
          </cell>
          <cell r="AE499" t="str">
            <v>LIABILITAS JANGKA PANJANG LAINNYA</v>
          </cell>
        </row>
        <row r="500">
          <cell r="F500">
            <v>0</v>
          </cell>
          <cell r="H500">
            <v>0</v>
          </cell>
          <cell r="J500">
            <v>0</v>
          </cell>
          <cell r="AE500" t="str">
            <v>LIABILITAS JANGKA PANJANG LAINNYA</v>
          </cell>
        </row>
        <row r="501">
          <cell r="F501">
            <v>0</v>
          </cell>
          <cell r="H501">
            <v>0</v>
          </cell>
          <cell r="J501">
            <v>0</v>
          </cell>
          <cell r="AE501" t="str">
            <v>LIABILITAS JANGKA PANJANG LAINNYA</v>
          </cell>
        </row>
        <row r="502">
          <cell r="F502">
            <v>0</v>
          </cell>
          <cell r="H502">
            <v>0</v>
          </cell>
          <cell r="J502">
            <v>0</v>
          </cell>
          <cell r="AE502" t="str">
            <v>LIABILITAS JANGKA PANJANG LAINNYA</v>
          </cell>
        </row>
        <row r="503">
          <cell r="F503">
            <v>0</v>
          </cell>
          <cell r="H503">
            <v>0</v>
          </cell>
          <cell r="J503">
            <v>0</v>
          </cell>
          <cell r="AE503" t="str">
            <v>LIABILITAS JANGKA PANJANG LAINNYA</v>
          </cell>
        </row>
        <row r="504">
          <cell r="F504">
            <v>0</v>
          </cell>
          <cell r="H504">
            <v>0</v>
          </cell>
          <cell r="J504">
            <v>0</v>
          </cell>
          <cell r="AE504" t="str">
            <v>LIABILITAS JANGKA PANJANG LAINNYA</v>
          </cell>
        </row>
        <row r="505">
          <cell r="F505">
            <v>0</v>
          </cell>
          <cell r="H505">
            <v>0</v>
          </cell>
          <cell r="J505">
            <v>0</v>
          </cell>
          <cell r="AE505" t="str">
            <v>LIABILITAS JANGKA PANJANG LAINNYA</v>
          </cell>
        </row>
        <row r="506">
          <cell r="F506">
            <v>0</v>
          </cell>
          <cell r="H506">
            <v>0</v>
          </cell>
          <cell r="J506">
            <v>0</v>
          </cell>
          <cell r="AE506" t="str">
            <v>LIABILITAS JANGKA PANJANG LAINNYA</v>
          </cell>
        </row>
        <row r="507">
          <cell r="F507">
            <v>0</v>
          </cell>
          <cell r="H507">
            <v>0</v>
          </cell>
          <cell r="J507">
            <v>0</v>
          </cell>
          <cell r="AE507" t="str">
            <v>LIABILITAS JANGKA PANJANG LAINNYA</v>
          </cell>
        </row>
        <row r="508">
          <cell r="F508">
            <v>0</v>
          </cell>
          <cell r="H508">
            <v>0</v>
          </cell>
          <cell r="J508">
            <v>0</v>
          </cell>
          <cell r="AE508" t="str">
            <v>LIABILITAS JANGKA PANJANG LAINNYA</v>
          </cell>
        </row>
        <row r="509">
          <cell r="F509">
            <v>0</v>
          </cell>
          <cell r="H509">
            <v>0</v>
          </cell>
          <cell r="J509">
            <v>0</v>
          </cell>
          <cell r="AE509" t="str">
            <v>LIABILITAS JANGKA PANJANG LAINNYA</v>
          </cell>
        </row>
        <row r="510">
          <cell r="F510">
            <v>0</v>
          </cell>
          <cell r="H510">
            <v>0</v>
          </cell>
          <cell r="J510">
            <v>0</v>
          </cell>
          <cell r="AE510" t="str">
            <v>LIABILITAS JANGKA PANJANG LAINNYA</v>
          </cell>
        </row>
        <row r="511">
          <cell r="F511">
            <v>0</v>
          </cell>
          <cell r="H511">
            <v>0</v>
          </cell>
          <cell r="J511">
            <v>0</v>
          </cell>
          <cell r="AE511" t="str">
            <v>LIABILITAS JANGKA PANJANG LAINNYA</v>
          </cell>
        </row>
        <row r="512">
          <cell r="F512">
            <v>0</v>
          </cell>
          <cell r="H512">
            <v>0</v>
          </cell>
          <cell r="J512">
            <v>0</v>
          </cell>
          <cell r="AE512" t="str">
            <v>LIABILITAS JANGKA PANJANG LAINNYA</v>
          </cell>
        </row>
        <row r="513">
          <cell r="F513">
            <v>0</v>
          </cell>
          <cell r="H513">
            <v>0</v>
          </cell>
          <cell r="J513">
            <v>0</v>
          </cell>
          <cell r="AE513" t="str">
            <v>LIABILITAS JANGKA PANJANG LAINNYA</v>
          </cell>
        </row>
        <row r="514">
          <cell r="F514">
            <v>0</v>
          </cell>
          <cell r="H514">
            <v>0</v>
          </cell>
          <cell r="J514">
            <v>0</v>
          </cell>
          <cell r="AE514" t="str">
            <v>LIABILITAS JANGKA PANJANG LAINNYA</v>
          </cell>
        </row>
        <row r="515">
          <cell r="F515">
            <v>0</v>
          </cell>
          <cell r="H515">
            <v>0</v>
          </cell>
          <cell r="J515">
            <v>0</v>
          </cell>
          <cell r="AE515" t="str">
            <v>LIABILITAS JANGKA PANJANG LAINNYA</v>
          </cell>
        </row>
        <row r="516">
          <cell r="F516">
            <v>0</v>
          </cell>
          <cell r="H516">
            <v>0</v>
          </cell>
          <cell r="J516">
            <v>0</v>
          </cell>
          <cell r="AE516" t="str">
            <v>LIABILITAS JANGKA PANJANG LAINNYA</v>
          </cell>
        </row>
        <row r="517">
          <cell r="F517">
            <v>0</v>
          </cell>
          <cell r="H517">
            <v>0</v>
          </cell>
          <cell r="J517">
            <v>0</v>
          </cell>
          <cell r="AE517" t="str">
            <v>LIABILITAS JANGKA PANJANG LAINNYA</v>
          </cell>
        </row>
        <row r="518">
          <cell r="F518">
            <v>0</v>
          </cell>
          <cell r="H518">
            <v>0</v>
          </cell>
          <cell r="J518">
            <v>0</v>
          </cell>
          <cell r="AE518" t="str">
            <v>LIABILITAS JANGKA PANJANG LAINNYA</v>
          </cell>
        </row>
        <row r="519">
          <cell r="F519">
            <v>0</v>
          </cell>
          <cell r="H519">
            <v>0</v>
          </cell>
          <cell r="J519">
            <v>0</v>
          </cell>
          <cell r="AE519" t="str">
            <v>LIABILITAS JANGKA PANJANG LAINNYA</v>
          </cell>
        </row>
        <row r="520">
          <cell r="F520">
            <v>0</v>
          </cell>
          <cell r="H520">
            <v>0</v>
          </cell>
          <cell r="J520">
            <v>0</v>
          </cell>
          <cell r="AE520" t="str">
            <v>EKUITAS</v>
          </cell>
        </row>
        <row r="521">
          <cell r="F521">
            <v>0</v>
          </cell>
          <cell r="H521">
            <v>0</v>
          </cell>
          <cell r="J521">
            <v>0</v>
          </cell>
          <cell r="AE521" t="str">
            <v>EKUITAS</v>
          </cell>
        </row>
        <row r="522">
          <cell r="F522">
            <v>0</v>
          </cell>
          <cell r="H522">
            <v>0</v>
          </cell>
          <cell r="J522">
            <v>0</v>
          </cell>
          <cell r="AE522" t="str">
            <v>MODAL SAHAM</v>
          </cell>
        </row>
        <row r="523">
          <cell r="F523">
            <v>0</v>
          </cell>
          <cell r="H523">
            <v>0</v>
          </cell>
          <cell r="J523">
            <v>0</v>
          </cell>
          <cell r="AE523" t="str">
            <v>MODAL SAHAM</v>
          </cell>
        </row>
        <row r="524">
          <cell r="F524">
            <v>0</v>
          </cell>
          <cell r="H524">
            <v>0</v>
          </cell>
          <cell r="J524">
            <v>0</v>
          </cell>
          <cell r="AE524" t="str">
            <v>MODAL SAHAM</v>
          </cell>
        </row>
        <row r="525">
          <cell r="F525">
            <v>0</v>
          </cell>
          <cell r="H525">
            <v>0</v>
          </cell>
          <cell r="J525">
            <v>0</v>
          </cell>
          <cell r="AE525" t="str">
            <v>MODAL SAHAM</v>
          </cell>
        </row>
        <row r="526">
          <cell r="F526">
            <v>0</v>
          </cell>
          <cell r="H526">
            <v>0</v>
          </cell>
          <cell r="J526">
            <v>0</v>
          </cell>
          <cell r="AE526" t="str">
            <v>TAMBAHAN MODAL DISETOR</v>
          </cell>
        </row>
        <row r="527">
          <cell r="F527">
            <v>0</v>
          </cell>
          <cell r="H527">
            <v>0</v>
          </cell>
          <cell r="J527">
            <v>0</v>
          </cell>
          <cell r="AE527" t="str">
            <v>TAMBAHAN MODAL DISETOR</v>
          </cell>
        </row>
        <row r="528">
          <cell r="F528">
            <v>0</v>
          </cell>
          <cell r="H528">
            <v>0</v>
          </cell>
          <cell r="J528">
            <v>0</v>
          </cell>
          <cell r="AE528" t="str">
            <v>TAMBAHAN MODAL DISETOR</v>
          </cell>
        </row>
        <row r="529">
          <cell r="F529">
            <v>0</v>
          </cell>
          <cell r="H529">
            <v>0</v>
          </cell>
          <cell r="J529">
            <v>0</v>
          </cell>
          <cell r="AE529" t="str">
            <v>TAMBAHAN MODAL DISETOR</v>
          </cell>
        </row>
        <row r="530">
          <cell r="F530">
            <v>0</v>
          </cell>
          <cell r="H530">
            <v>0</v>
          </cell>
          <cell r="J530">
            <v>0</v>
          </cell>
          <cell r="AE530" t="str">
            <v>TAMBAHAN MODAL DISETOR</v>
          </cell>
        </row>
        <row r="531">
          <cell r="F531">
            <v>0</v>
          </cell>
          <cell r="H531">
            <v>0</v>
          </cell>
          <cell r="J531">
            <v>0</v>
          </cell>
          <cell r="AE531" t="str">
            <v>TAMBAHAN MODAL DISETOR</v>
          </cell>
        </row>
        <row r="532">
          <cell r="F532">
            <v>0</v>
          </cell>
          <cell r="H532">
            <v>0</v>
          </cell>
          <cell r="J532">
            <v>0</v>
          </cell>
          <cell r="AE532" t="str">
            <v>TAMBAHAN MODAL DISETOR</v>
          </cell>
        </row>
        <row r="533">
          <cell r="F533">
            <v>0</v>
          </cell>
          <cell r="H533">
            <v>0</v>
          </cell>
          <cell r="J533">
            <v>0</v>
          </cell>
          <cell r="AE533" t="str">
            <v>TAMBAHAN MODAL DISETOR</v>
          </cell>
        </row>
        <row r="534">
          <cell r="F534">
            <v>0</v>
          </cell>
          <cell r="H534">
            <v>0</v>
          </cell>
          <cell r="J534">
            <v>0</v>
          </cell>
          <cell r="AE534" t="str">
            <v>TAMBAHAN MODAL DISETOR</v>
          </cell>
        </row>
        <row r="535">
          <cell r="F535">
            <v>0</v>
          </cell>
          <cell r="H535">
            <v>0</v>
          </cell>
          <cell r="J535">
            <v>0</v>
          </cell>
          <cell r="AE535" t="str">
            <v>TAMBAHAN MODAL DISETOR</v>
          </cell>
        </row>
        <row r="536">
          <cell r="F536">
            <v>0</v>
          </cell>
          <cell r="H536">
            <v>0</v>
          </cell>
          <cell r="J536">
            <v>0</v>
          </cell>
          <cell r="AE536" t="str">
            <v>TAMBAHAN MODAL DISETOR</v>
          </cell>
        </row>
        <row r="537">
          <cell r="F537">
            <v>0</v>
          </cell>
          <cell r="H537">
            <v>0</v>
          </cell>
          <cell r="J537">
            <v>0</v>
          </cell>
          <cell r="AE537" t="str">
            <v>PENDAPATAN KOMPREHENSIF LAINNYA</v>
          </cell>
        </row>
        <row r="538">
          <cell r="F538">
            <v>0</v>
          </cell>
          <cell r="H538">
            <v>0</v>
          </cell>
          <cell r="J538">
            <v>0</v>
          </cell>
          <cell r="AE538" t="str">
            <v>PENDAPATAN KOMPREHENSIF LAINNYA</v>
          </cell>
        </row>
        <row r="539">
          <cell r="F539">
            <v>0</v>
          </cell>
          <cell r="H539">
            <v>0</v>
          </cell>
          <cell r="J539">
            <v>0</v>
          </cell>
          <cell r="AE539" t="str">
            <v>PENDAPATAN KOMPREHENSIF LAINNYA</v>
          </cell>
        </row>
        <row r="540">
          <cell r="F540">
            <v>0</v>
          </cell>
          <cell r="H540">
            <v>0</v>
          </cell>
          <cell r="J540">
            <v>0</v>
          </cell>
          <cell r="AE540" t="str">
            <v>PENDAPATAN KOMPREHENSIF LAINNYA</v>
          </cell>
        </row>
        <row r="541">
          <cell r="F541">
            <v>0</v>
          </cell>
          <cell r="H541">
            <v>0</v>
          </cell>
          <cell r="J541">
            <v>0</v>
          </cell>
          <cell r="AE541" t="str">
            <v>PENDAPATAN KOMPREHENSIF LAINNYA</v>
          </cell>
        </row>
        <row r="542">
          <cell r="F542">
            <v>0</v>
          </cell>
          <cell r="H542">
            <v>0</v>
          </cell>
          <cell r="J542">
            <v>0</v>
          </cell>
          <cell r="AE542" t="str">
            <v>PENDAPATAN KOMPREHENSIF LAINNYA</v>
          </cell>
        </row>
        <row r="543">
          <cell r="F543">
            <v>0</v>
          </cell>
          <cell r="H543">
            <v>0</v>
          </cell>
          <cell r="J543">
            <v>0</v>
          </cell>
          <cell r="AE543" t="str">
            <v>PENDAPATAN KOMPREHENSIF LAINNYA</v>
          </cell>
        </row>
        <row r="544">
          <cell r="F544">
            <v>0</v>
          </cell>
          <cell r="H544">
            <v>0</v>
          </cell>
          <cell r="J544">
            <v>0</v>
          </cell>
          <cell r="AE544" t="str">
            <v>PENDAPATAN KOMPREHENSIF LAINNYA</v>
          </cell>
        </row>
        <row r="545">
          <cell r="F545">
            <v>0</v>
          </cell>
          <cell r="H545">
            <v>0</v>
          </cell>
          <cell r="J545">
            <v>0</v>
          </cell>
          <cell r="AE545" t="str">
            <v>FAIR VALUE ADJUSTMENT</v>
          </cell>
        </row>
        <row r="546">
          <cell r="F546">
            <v>0</v>
          </cell>
          <cell r="H546">
            <v>0</v>
          </cell>
          <cell r="J546">
            <v>0</v>
          </cell>
          <cell r="AE546" t="str">
            <v>FAIR VALUE ADJUSTMENT</v>
          </cell>
        </row>
        <row r="547">
          <cell r="F547">
            <v>0</v>
          </cell>
          <cell r="H547">
            <v>0</v>
          </cell>
          <cell r="J547">
            <v>0</v>
          </cell>
          <cell r="AE547" t="str">
            <v>SELISIH PENILAIAN KBL.AK.TETAP</v>
          </cell>
        </row>
        <row r="548">
          <cell r="F548">
            <v>0</v>
          </cell>
          <cell r="H548">
            <v>0</v>
          </cell>
          <cell r="J548">
            <v>0</v>
          </cell>
          <cell r="AE548" t="str">
            <v>SELISIH PENILAIAN KBL.AK.TETAP</v>
          </cell>
        </row>
        <row r="549">
          <cell r="F549">
            <v>0</v>
          </cell>
          <cell r="H549">
            <v>0</v>
          </cell>
          <cell r="J549">
            <v>0</v>
          </cell>
          <cell r="AE549" t="str">
            <v>SALDO LABA</v>
          </cell>
        </row>
        <row r="550">
          <cell r="F550">
            <v>0</v>
          </cell>
          <cell r="H550">
            <v>0</v>
          </cell>
          <cell r="J550">
            <v>0</v>
          </cell>
          <cell r="AE550" t="str">
            <v>SALDO LABA</v>
          </cell>
        </row>
        <row r="551">
          <cell r="F551">
            <v>0</v>
          </cell>
          <cell r="H551">
            <v>0</v>
          </cell>
          <cell r="J551">
            <v>0</v>
          </cell>
          <cell r="AE551" t="str">
            <v>SALDO LABA</v>
          </cell>
        </row>
        <row r="552">
          <cell r="F552">
            <v>0</v>
          </cell>
          <cell r="H552">
            <v>0</v>
          </cell>
          <cell r="J552">
            <v>0</v>
          </cell>
          <cell r="AE552" t="str">
            <v>SALDO LABA BELUM DICADANGKAN</v>
          </cell>
        </row>
        <row r="553">
          <cell r="F553">
            <v>0</v>
          </cell>
          <cell r="H553">
            <v>0</v>
          </cell>
          <cell r="J553">
            <v>0</v>
          </cell>
          <cell r="AE553" t="str">
            <v>SALDO LABA DICADANGKAN</v>
          </cell>
        </row>
        <row r="554">
          <cell r="F554">
            <v>0</v>
          </cell>
          <cell r="H554">
            <v>0</v>
          </cell>
          <cell r="J554">
            <v>0</v>
          </cell>
          <cell r="AE554" t="str">
            <v>SALDO LABA DICADANGKAN</v>
          </cell>
        </row>
        <row r="555">
          <cell r="F555">
            <v>0</v>
          </cell>
          <cell r="H555">
            <v>0</v>
          </cell>
          <cell r="J555">
            <v>0</v>
          </cell>
          <cell r="AE555" t="str">
            <v>SALDO LABA DICADANGKAN</v>
          </cell>
        </row>
        <row r="556">
          <cell r="F556">
            <v>0</v>
          </cell>
          <cell r="H556">
            <v>0</v>
          </cell>
          <cell r="J556">
            <v>0</v>
          </cell>
          <cell r="AE556" t="str">
            <v>ELIMINASI KONSOLIDASI</v>
          </cell>
        </row>
        <row r="557">
          <cell r="F557">
            <v>0</v>
          </cell>
          <cell r="H557">
            <v>0</v>
          </cell>
          <cell r="J557">
            <v>0</v>
          </cell>
          <cell r="AE557" t="str">
            <v>ELIMINASI KONSOLIDASI</v>
          </cell>
        </row>
        <row r="558">
          <cell r="F558">
            <v>0</v>
          </cell>
          <cell r="H558">
            <v>0</v>
          </cell>
          <cell r="J558">
            <v>0</v>
          </cell>
          <cell r="AE558" t="str">
            <v>ELIMINASI KONSOLIDASI</v>
          </cell>
        </row>
        <row r="559">
          <cell r="F559">
            <v>0</v>
          </cell>
          <cell r="H559">
            <v>0</v>
          </cell>
          <cell r="J559">
            <v>0</v>
          </cell>
          <cell r="AE559" t="str">
            <v>INISIAL BALANCE</v>
          </cell>
        </row>
        <row r="560">
          <cell r="F560">
            <v>0</v>
          </cell>
          <cell r="H560">
            <v>0</v>
          </cell>
          <cell r="J560">
            <v>0</v>
          </cell>
          <cell r="AE560" t="str">
            <v>INISIAL BALANCE</v>
          </cell>
        </row>
        <row r="561">
          <cell r="F561">
            <v>0</v>
          </cell>
          <cell r="H561">
            <v>0</v>
          </cell>
          <cell r="J561">
            <v>0</v>
          </cell>
          <cell r="AE561" t="str">
            <v>INISIAL BALANCE</v>
          </cell>
        </row>
        <row r="562">
          <cell r="F562">
            <v>0</v>
          </cell>
          <cell r="H562">
            <v>0</v>
          </cell>
          <cell r="J562">
            <v>0</v>
          </cell>
          <cell r="AE562" t="str">
            <v>INISIAL BALANCE</v>
          </cell>
        </row>
        <row r="563">
          <cell r="F563">
            <v>0</v>
          </cell>
          <cell r="H563">
            <v>0</v>
          </cell>
          <cell r="J563">
            <v>0</v>
          </cell>
          <cell r="AE563" t="str">
            <v>INISIAL BALANCE</v>
          </cell>
        </row>
        <row r="564">
          <cell r="F564">
            <v>0</v>
          </cell>
          <cell r="H564">
            <v>0</v>
          </cell>
          <cell r="J564">
            <v>0</v>
          </cell>
          <cell r="AE564" t="str">
            <v>INISIAL BALANCE</v>
          </cell>
        </row>
        <row r="565">
          <cell r="F565">
            <v>0</v>
          </cell>
          <cell r="H565">
            <v>0</v>
          </cell>
          <cell r="J565">
            <v>0</v>
          </cell>
          <cell r="AE565" t="str">
            <v>INISIAL BALANCE</v>
          </cell>
        </row>
        <row r="566">
          <cell r="F566">
            <v>0</v>
          </cell>
          <cell r="H566">
            <v>0</v>
          </cell>
          <cell r="J566">
            <v>0</v>
          </cell>
          <cell r="AE566" t="str">
            <v>INISIAL BALANCE</v>
          </cell>
        </row>
        <row r="567">
          <cell r="F567">
            <v>0</v>
          </cell>
          <cell r="H567">
            <v>0</v>
          </cell>
          <cell r="J567">
            <v>0</v>
          </cell>
          <cell r="AE567" t="str">
            <v>HASIL USAHA / PENDAPATAN</v>
          </cell>
        </row>
        <row r="568">
          <cell r="F568">
            <v>0</v>
          </cell>
          <cell r="H568">
            <v>0</v>
          </cell>
          <cell r="J568">
            <v>0</v>
          </cell>
          <cell r="AE568" t="str">
            <v>HASIL USAHA / PENDAPATAN</v>
          </cell>
        </row>
        <row r="569">
          <cell r="F569">
            <v>0</v>
          </cell>
          <cell r="H569">
            <v>0</v>
          </cell>
          <cell r="J569">
            <v>0</v>
          </cell>
          <cell r="AE569" t="str">
            <v>HASIL USAHA / PENDAPATAN</v>
          </cell>
        </row>
        <row r="570">
          <cell r="F570">
            <v>0</v>
          </cell>
          <cell r="H570">
            <v>0</v>
          </cell>
          <cell r="J570">
            <v>0</v>
          </cell>
          <cell r="AE570" t="str">
            <v>HASIL USAHA / PENDAPATAN</v>
          </cell>
        </row>
        <row r="571">
          <cell r="F571">
            <v>0</v>
          </cell>
          <cell r="H571">
            <v>0</v>
          </cell>
          <cell r="J571">
            <v>0</v>
          </cell>
          <cell r="AE571" t="str">
            <v>HASIL USAHA / PENDAPATAN</v>
          </cell>
        </row>
        <row r="572">
          <cell r="F572">
            <v>0</v>
          </cell>
          <cell r="H572">
            <v>0</v>
          </cell>
          <cell r="J572">
            <v>0</v>
          </cell>
          <cell r="AE572" t="str">
            <v>HASIL USAHA / PENDAPATAN</v>
          </cell>
        </row>
        <row r="573">
          <cell r="F573">
            <v>0</v>
          </cell>
          <cell r="H573">
            <v>0</v>
          </cell>
          <cell r="J573">
            <v>0</v>
          </cell>
          <cell r="AE573" t="str">
            <v>HASIL USAHA / PENDAPATAN</v>
          </cell>
        </row>
        <row r="574">
          <cell r="F574">
            <v>0</v>
          </cell>
          <cell r="H574">
            <v>0</v>
          </cell>
          <cell r="J574">
            <v>0</v>
          </cell>
          <cell r="AE574" t="str">
            <v>HASIL USAHA / PENDAPATAN</v>
          </cell>
        </row>
        <row r="575">
          <cell r="F575">
            <v>0</v>
          </cell>
          <cell r="H575">
            <v>0</v>
          </cell>
          <cell r="J575">
            <v>0</v>
          </cell>
          <cell r="AE575" t="str">
            <v>HASIL USAHA / PENDAPATAN</v>
          </cell>
        </row>
        <row r="576">
          <cell r="F576">
            <v>0</v>
          </cell>
          <cell r="H576">
            <v>0</v>
          </cell>
          <cell r="J576">
            <v>0</v>
          </cell>
          <cell r="AE576" t="str">
            <v>HASIL USAHA / PENDAPATAN</v>
          </cell>
        </row>
        <row r="577">
          <cell r="F577">
            <v>0</v>
          </cell>
          <cell r="H577">
            <v>0</v>
          </cell>
          <cell r="J577">
            <v>0</v>
          </cell>
          <cell r="AE577" t="str">
            <v>HASIL USAHA / PENDAPATAN</v>
          </cell>
        </row>
        <row r="578">
          <cell r="F578">
            <v>0</v>
          </cell>
          <cell r="H578">
            <v>0</v>
          </cell>
          <cell r="J578">
            <v>0</v>
          </cell>
          <cell r="AE578" t="str">
            <v>HASIL USAHA / PENDAPATAN</v>
          </cell>
        </row>
        <row r="579">
          <cell r="F579">
            <v>0</v>
          </cell>
          <cell r="H579">
            <v>0</v>
          </cell>
          <cell r="J579">
            <v>0</v>
          </cell>
          <cell r="AE579" t="str">
            <v>HASIL USAHA / PENDAPATAN</v>
          </cell>
        </row>
        <row r="580">
          <cell r="F580">
            <v>0</v>
          </cell>
          <cell r="H580">
            <v>0</v>
          </cell>
          <cell r="J580">
            <v>0</v>
          </cell>
          <cell r="AE580" t="str">
            <v>HASIL USAHA / PENDAPATAN</v>
          </cell>
        </row>
        <row r="581">
          <cell r="F581">
            <v>0</v>
          </cell>
          <cell r="H581">
            <v>0</v>
          </cell>
          <cell r="J581">
            <v>0</v>
          </cell>
          <cell r="AE581" t="str">
            <v>HASIL USAHA / PENDAPATAN</v>
          </cell>
        </row>
        <row r="582">
          <cell r="F582">
            <v>0</v>
          </cell>
          <cell r="H582">
            <v>0</v>
          </cell>
          <cell r="J582">
            <v>0</v>
          </cell>
          <cell r="AE582" t="str">
            <v>HASIL USAHA / PENDAPATAN</v>
          </cell>
        </row>
        <row r="583">
          <cell r="F583">
            <v>0</v>
          </cell>
          <cell r="H583">
            <v>0</v>
          </cell>
          <cell r="J583">
            <v>0</v>
          </cell>
          <cell r="AE583" t="str">
            <v>HASIL USAHA / PENDAPATAN</v>
          </cell>
        </row>
        <row r="584">
          <cell r="F584">
            <v>-1670631021.9899998</v>
          </cell>
          <cell r="H584">
            <v>-885008121.22000003</v>
          </cell>
          <cell r="J584">
            <v>-1107920155.6800001</v>
          </cell>
          <cell r="AE584" t="str">
            <v>PENJUALAN</v>
          </cell>
        </row>
        <row r="585">
          <cell r="F585">
            <v>-174714422.33000001</v>
          </cell>
          <cell r="H585">
            <v>-587390981.74000001</v>
          </cell>
          <cell r="J585">
            <v>-577080796.00000012</v>
          </cell>
          <cell r="AE585" t="str">
            <v>PENJUALAN</v>
          </cell>
        </row>
        <row r="586">
          <cell r="F586">
            <v>0</v>
          </cell>
          <cell r="H586">
            <v>0</v>
          </cell>
          <cell r="J586">
            <v>0</v>
          </cell>
          <cell r="AE586" t="str">
            <v>PENJUALAN</v>
          </cell>
        </row>
        <row r="587">
          <cell r="F587">
            <v>0</v>
          </cell>
          <cell r="H587">
            <v>-334151967.65999997</v>
          </cell>
          <cell r="J587">
            <v>-332072801</v>
          </cell>
          <cell r="AE587" t="str">
            <v>PENJUALAN</v>
          </cell>
        </row>
        <row r="588">
          <cell r="F588">
            <v>0</v>
          </cell>
          <cell r="H588">
            <v>0</v>
          </cell>
          <cell r="J588">
            <v>0</v>
          </cell>
          <cell r="AE588" t="str">
            <v>PENJUALAN</v>
          </cell>
        </row>
        <row r="589">
          <cell r="F589">
            <v>0</v>
          </cell>
          <cell r="H589">
            <v>0</v>
          </cell>
          <cell r="J589">
            <v>0</v>
          </cell>
          <cell r="AE589" t="str">
            <v>PENJUALAN</v>
          </cell>
        </row>
        <row r="590">
          <cell r="F590">
            <v>0</v>
          </cell>
          <cell r="H590">
            <v>0</v>
          </cell>
          <cell r="J590">
            <v>0</v>
          </cell>
          <cell r="AE590" t="str">
            <v>PENJUALAN</v>
          </cell>
        </row>
        <row r="591">
          <cell r="F591">
            <v>0</v>
          </cell>
          <cell r="H591">
            <v>0</v>
          </cell>
          <cell r="J591">
            <v>0</v>
          </cell>
          <cell r="AE591" t="str">
            <v>PENJUALAN</v>
          </cell>
        </row>
        <row r="592">
          <cell r="F592">
            <v>0</v>
          </cell>
          <cell r="H592">
            <v>-636363636</v>
          </cell>
          <cell r="J592">
            <v>0</v>
          </cell>
          <cell r="AE592" t="str">
            <v>PENJUALAN</v>
          </cell>
        </row>
        <row r="593">
          <cell r="F593">
            <v>0</v>
          </cell>
          <cell r="H593">
            <v>0</v>
          </cell>
          <cell r="J593">
            <v>0</v>
          </cell>
          <cell r="AE593" t="str">
            <v>PENJUALAN</v>
          </cell>
        </row>
        <row r="594">
          <cell r="F594">
            <v>0</v>
          </cell>
          <cell r="H594">
            <v>0</v>
          </cell>
          <cell r="J594">
            <v>0</v>
          </cell>
          <cell r="AE594" t="str">
            <v>PENJUALAN</v>
          </cell>
        </row>
        <row r="595">
          <cell r="F595">
            <v>0</v>
          </cell>
          <cell r="H595">
            <v>0</v>
          </cell>
          <cell r="J595">
            <v>0</v>
          </cell>
          <cell r="AE595" t="str">
            <v>PENJUALAN</v>
          </cell>
        </row>
        <row r="596">
          <cell r="F596">
            <v>0</v>
          </cell>
          <cell r="H596">
            <v>0</v>
          </cell>
          <cell r="J596">
            <v>0</v>
          </cell>
          <cell r="AE596" t="str">
            <v>PENJUALAN</v>
          </cell>
        </row>
        <row r="597">
          <cell r="F597">
            <v>0</v>
          </cell>
          <cell r="H597">
            <v>0</v>
          </cell>
          <cell r="J597">
            <v>0</v>
          </cell>
          <cell r="AE597" t="str">
            <v>PENJUALAN</v>
          </cell>
        </row>
        <row r="598">
          <cell r="F598">
            <v>0</v>
          </cell>
          <cell r="H598">
            <v>0</v>
          </cell>
          <cell r="J598">
            <v>0</v>
          </cell>
          <cell r="AE598" t="str">
            <v>PENJUALAN</v>
          </cell>
        </row>
        <row r="599">
          <cell r="F599">
            <v>0</v>
          </cell>
          <cell r="H599">
            <v>0</v>
          </cell>
          <cell r="J599">
            <v>0</v>
          </cell>
          <cell r="AE599" t="str">
            <v>PENJUALAN</v>
          </cell>
        </row>
        <row r="600">
          <cell r="F600">
            <v>0</v>
          </cell>
          <cell r="H600">
            <v>0</v>
          </cell>
          <cell r="J600">
            <v>0</v>
          </cell>
          <cell r="AE600" t="str">
            <v>PENJUALAN</v>
          </cell>
        </row>
        <row r="601">
          <cell r="F601">
            <v>0</v>
          </cell>
          <cell r="H601">
            <v>0</v>
          </cell>
          <cell r="J601">
            <v>0</v>
          </cell>
          <cell r="AE601" t="str">
            <v>PENJUALAN</v>
          </cell>
        </row>
        <row r="602">
          <cell r="F602">
            <v>0</v>
          </cell>
          <cell r="H602">
            <v>0</v>
          </cell>
          <cell r="J602">
            <v>0</v>
          </cell>
          <cell r="AE602" t="str">
            <v>PENJUALAN</v>
          </cell>
        </row>
        <row r="603">
          <cell r="F603">
            <v>0</v>
          </cell>
          <cell r="H603">
            <v>0</v>
          </cell>
          <cell r="J603">
            <v>0</v>
          </cell>
          <cell r="AE603" t="str">
            <v>PENJUALAN</v>
          </cell>
        </row>
        <row r="604">
          <cell r="F604">
            <v>0</v>
          </cell>
          <cell r="H604">
            <v>0</v>
          </cell>
          <cell r="J604">
            <v>0</v>
          </cell>
          <cell r="AE604" t="str">
            <v>PENJUALAN</v>
          </cell>
        </row>
        <row r="605">
          <cell r="F605">
            <v>0</v>
          </cell>
          <cell r="H605">
            <v>0</v>
          </cell>
          <cell r="J605">
            <v>0</v>
          </cell>
          <cell r="AE605" t="str">
            <v>BEBAN MATERIAL</v>
          </cell>
        </row>
        <row r="606">
          <cell r="F606">
            <v>0</v>
          </cell>
          <cell r="H606">
            <v>0</v>
          </cell>
          <cell r="J606">
            <v>0</v>
          </cell>
          <cell r="AE606" t="str">
            <v>BEBAN MATERIAL</v>
          </cell>
        </row>
        <row r="607">
          <cell r="F607">
            <v>0</v>
          </cell>
          <cell r="H607">
            <v>0</v>
          </cell>
          <cell r="J607">
            <v>0</v>
          </cell>
          <cell r="AE607" t="str">
            <v>BEBAN MATERIAL</v>
          </cell>
        </row>
        <row r="608">
          <cell r="F608">
            <v>0</v>
          </cell>
          <cell r="H608">
            <v>0</v>
          </cell>
          <cell r="J608">
            <v>0</v>
          </cell>
          <cell r="AE608" t="str">
            <v>BEBAN MATERIAL</v>
          </cell>
        </row>
        <row r="609">
          <cell r="F609">
            <v>0</v>
          </cell>
          <cell r="H609">
            <v>0</v>
          </cell>
          <cell r="J609">
            <v>0</v>
          </cell>
          <cell r="AE609" t="str">
            <v>BEBAN PENGELOLAAN LAHAN</v>
          </cell>
        </row>
        <row r="610">
          <cell r="F610">
            <v>0</v>
          </cell>
          <cell r="H610">
            <v>0</v>
          </cell>
          <cell r="J610">
            <v>0</v>
          </cell>
          <cell r="AE610" t="str">
            <v>BEBAN PENGELOLAAN LAHAN</v>
          </cell>
        </row>
        <row r="611">
          <cell r="F611">
            <v>0</v>
          </cell>
          <cell r="H611">
            <v>0</v>
          </cell>
          <cell r="J611">
            <v>0</v>
          </cell>
          <cell r="AE611" t="str">
            <v>BEBAN MATERIAL</v>
          </cell>
        </row>
        <row r="612">
          <cell r="F612">
            <v>0</v>
          </cell>
          <cell r="H612">
            <v>0</v>
          </cell>
          <cell r="J612">
            <v>0</v>
          </cell>
          <cell r="AE612" t="str">
            <v>BEBAN MATERIAL</v>
          </cell>
        </row>
        <row r="613">
          <cell r="F613">
            <v>0</v>
          </cell>
          <cell r="H613">
            <v>0</v>
          </cell>
          <cell r="J613">
            <v>0</v>
          </cell>
          <cell r="AE613" t="str">
            <v>BEBAN MATERIAL</v>
          </cell>
        </row>
        <row r="614">
          <cell r="F614">
            <v>0</v>
          </cell>
          <cell r="H614">
            <v>0</v>
          </cell>
          <cell r="J614">
            <v>0</v>
          </cell>
          <cell r="AE614" t="str">
            <v>BEBAN MATERIAL</v>
          </cell>
        </row>
        <row r="615">
          <cell r="F615">
            <v>0</v>
          </cell>
          <cell r="H615">
            <v>0</v>
          </cell>
          <cell r="J615">
            <v>0</v>
          </cell>
          <cell r="AE615" t="str">
            <v>BEBAN MATERIAL</v>
          </cell>
        </row>
        <row r="616">
          <cell r="F616">
            <v>0</v>
          </cell>
          <cell r="H616">
            <v>0</v>
          </cell>
          <cell r="J616">
            <v>0</v>
          </cell>
          <cell r="AE616" t="str">
            <v>BEBAN MATERIAL</v>
          </cell>
        </row>
        <row r="617">
          <cell r="F617">
            <v>0</v>
          </cell>
          <cell r="H617">
            <v>0</v>
          </cell>
          <cell r="J617">
            <v>0</v>
          </cell>
          <cell r="AE617" t="str">
            <v>BEBAN MATERIAL</v>
          </cell>
        </row>
        <row r="618">
          <cell r="F618">
            <v>0</v>
          </cell>
          <cell r="H618">
            <v>0</v>
          </cell>
          <cell r="J618">
            <v>0</v>
          </cell>
          <cell r="AE618" t="str">
            <v>BEBAN MATERIAL</v>
          </cell>
        </row>
        <row r="619">
          <cell r="F619">
            <v>0</v>
          </cell>
          <cell r="H619">
            <v>0</v>
          </cell>
          <cell r="J619">
            <v>0</v>
          </cell>
          <cell r="AE619" t="str">
            <v>BEBAN MATERIAL</v>
          </cell>
        </row>
        <row r="620">
          <cell r="F620">
            <v>0</v>
          </cell>
          <cell r="H620">
            <v>0</v>
          </cell>
          <cell r="J620">
            <v>0</v>
          </cell>
          <cell r="AE620" t="str">
            <v>BEBAN MATERIAL</v>
          </cell>
        </row>
        <row r="621">
          <cell r="F621">
            <v>0</v>
          </cell>
          <cell r="H621">
            <v>0</v>
          </cell>
          <cell r="J621">
            <v>0</v>
          </cell>
          <cell r="AE621" t="str">
            <v>BEBAN MATERIAL</v>
          </cell>
        </row>
        <row r="622">
          <cell r="F622">
            <v>0</v>
          </cell>
          <cell r="H622">
            <v>0</v>
          </cell>
          <cell r="J622">
            <v>0</v>
          </cell>
          <cell r="AE622" t="str">
            <v>BEBAN MATERIAL</v>
          </cell>
        </row>
        <row r="623">
          <cell r="F623">
            <v>0</v>
          </cell>
          <cell r="H623">
            <v>0</v>
          </cell>
          <cell r="J623">
            <v>0</v>
          </cell>
          <cell r="AE623" t="str">
            <v>BEBAN MATERIAL</v>
          </cell>
        </row>
        <row r="624">
          <cell r="F624">
            <v>0</v>
          </cell>
          <cell r="H624">
            <v>0</v>
          </cell>
          <cell r="J624">
            <v>0</v>
          </cell>
          <cell r="AE624" t="str">
            <v>BEBAN MATERIAL</v>
          </cell>
        </row>
        <row r="625">
          <cell r="F625">
            <v>0</v>
          </cell>
          <cell r="H625">
            <v>0</v>
          </cell>
          <cell r="J625">
            <v>0</v>
          </cell>
          <cell r="AE625" t="str">
            <v>BEBAN MATERIAL</v>
          </cell>
        </row>
        <row r="626">
          <cell r="F626">
            <v>0</v>
          </cell>
          <cell r="H626">
            <v>0</v>
          </cell>
          <cell r="J626">
            <v>0</v>
          </cell>
          <cell r="AE626" t="str">
            <v>BEBAN MATERIAL</v>
          </cell>
        </row>
        <row r="627">
          <cell r="F627">
            <v>0</v>
          </cell>
          <cell r="H627">
            <v>0</v>
          </cell>
          <cell r="J627">
            <v>0</v>
          </cell>
          <cell r="AE627" t="str">
            <v>BEBAN BANGUNAN DAN PRASARANA HOSPITALITY</v>
          </cell>
        </row>
        <row r="628">
          <cell r="F628">
            <v>0</v>
          </cell>
          <cell r="H628">
            <v>0</v>
          </cell>
          <cell r="J628">
            <v>0</v>
          </cell>
          <cell r="AE628" t="str">
            <v>BEBAN BANGUNAN DAN PRASARANA HOSPITALITY</v>
          </cell>
        </row>
        <row r="629">
          <cell r="F629">
            <v>0</v>
          </cell>
          <cell r="H629">
            <v>0</v>
          </cell>
          <cell r="J629">
            <v>0</v>
          </cell>
          <cell r="AE629" t="str">
            <v>BEBAN BANGUNAN DAN PRASARANA HOSPITALITY</v>
          </cell>
        </row>
        <row r="630">
          <cell r="F630">
            <v>0</v>
          </cell>
          <cell r="H630">
            <v>0</v>
          </cell>
          <cell r="J630">
            <v>0</v>
          </cell>
          <cell r="AE630" t="str">
            <v>BEBAN BANGUNAN DAN PRASARANA HOSPITALITY</v>
          </cell>
        </row>
        <row r="631">
          <cell r="F631">
            <v>0</v>
          </cell>
          <cell r="H631">
            <v>0</v>
          </cell>
          <cell r="J631">
            <v>0</v>
          </cell>
          <cell r="AE631" t="str">
            <v>BEBAN BANGUNAN DAN PRASARANA HOSPITALITY</v>
          </cell>
        </row>
        <row r="632">
          <cell r="F632">
            <v>0</v>
          </cell>
          <cell r="H632">
            <v>0</v>
          </cell>
          <cell r="J632">
            <v>0</v>
          </cell>
          <cell r="AE632" t="str">
            <v>BEBAN BANGUNAN DAN PRASARANA HOSPITALITY</v>
          </cell>
        </row>
        <row r="633">
          <cell r="F633">
            <v>0</v>
          </cell>
          <cell r="H633">
            <v>0</v>
          </cell>
          <cell r="J633">
            <v>0</v>
          </cell>
          <cell r="AE633" t="str">
            <v>BEBAN BANGUNAN DAN PRASARANA HOSPITALITY</v>
          </cell>
        </row>
        <row r="634">
          <cell r="F634">
            <v>0</v>
          </cell>
          <cell r="H634">
            <v>0</v>
          </cell>
          <cell r="J634">
            <v>0</v>
          </cell>
          <cell r="AE634" t="str">
            <v>BEBAN BANGUNAN DAN PRASARANA HOSPITALITY</v>
          </cell>
        </row>
        <row r="635">
          <cell r="F635">
            <v>0</v>
          </cell>
          <cell r="H635">
            <v>0</v>
          </cell>
          <cell r="J635">
            <v>0</v>
          </cell>
          <cell r="AE635" t="str">
            <v>BEBAN BANGUNAN DAN PRASARANA HOSPITALITY</v>
          </cell>
        </row>
        <row r="636">
          <cell r="F636">
            <v>0</v>
          </cell>
          <cell r="H636">
            <v>0</v>
          </cell>
          <cell r="J636">
            <v>0</v>
          </cell>
          <cell r="AE636" t="str">
            <v>BEBAN BANGUNAN DAN PRASARANA HOSPITALITY</v>
          </cell>
        </row>
        <row r="637">
          <cell r="F637">
            <v>0</v>
          </cell>
          <cell r="H637">
            <v>0</v>
          </cell>
          <cell r="J637">
            <v>0</v>
          </cell>
          <cell r="AE637" t="str">
            <v>BEBAN BANGUNAN DAN PRASARANA HOSPITALITY</v>
          </cell>
        </row>
        <row r="638">
          <cell r="F638">
            <v>0</v>
          </cell>
          <cell r="H638">
            <v>0</v>
          </cell>
          <cell r="J638">
            <v>0</v>
          </cell>
          <cell r="AE638" t="str">
            <v>BEBAN BANGUNAN DAN PRASARANA HOSPITALITY</v>
          </cell>
        </row>
        <row r="639">
          <cell r="F639">
            <v>0</v>
          </cell>
          <cell r="H639">
            <v>0</v>
          </cell>
          <cell r="J639">
            <v>0</v>
          </cell>
          <cell r="AE639" t="str">
            <v>BEBAN BANGUNAN DAN PRASARANA HOSPITALITY</v>
          </cell>
        </row>
        <row r="640">
          <cell r="F640">
            <v>0</v>
          </cell>
          <cell r="H640">
            <v>0</v>
          </cell>
          <cell r="J640">
            <v>0</v>
          </cell>
          <cell r="AE640" t="str">
            <v>BEBAN BANGUNAN DAN PRASARANA HOSPITALITY</v>
          </cell>
        </row>
        <row r="641">
          <cell r="F641">
            <v>0</v>
          </cell>
          <cell r="H641">
            <v>0</v>
          </cell>
          <cell r="J641">
            <v>0</v>
          </cell>
          <cell r="AE641" t="str">
            <v>BEBAN BANGUNAN DAN PRASARANA HOSPITALITY</v>
          </cell>
        </row>
        <row r="642">
          <cell r="F642">
            <v>0</v>
          </cell>
          <cell r="H642">
            <v>0</v>
          </cell>
          <cell r="J642">
            <v>0</v>
          </cell>
          <cell r="AE642" t="str">
            <v>BEBAN BANGUNAN DAN PRASARANA HOSPITALITY</v>
          </cell>
        </row>
        <row r="643">
          <cell r="F643">
            <v>0</v>
          </cell>
          <cell r="H643">
            <v>0</v>
          </cell>
          <cell r="J643">
            <v>0</v>
          </cell>
          <cell r="AE643" t="str">
            <v>BEBAN BANGUNAN DAN PRASARANA HOSPITALITY</v>
          </cell>
        </row>
        <row r="644">
          <cell r="F644">
            <v>0</v>
          </cell>
          <cell r="H644">
            <v>0</v>
          </cell>
          <cell r="J644">
            <v>0</v>
          </cell>
          <cell r="AE644" t="str">
            <v>BEBAN BANGUNAN DAN PRASARANA HOSPITALITY</v>
          </cell>
        </row>
        <row r="645">
          <cell r="F645">
            <v>0</v>
          </cell>
          <cell r="H645">
            <v>0</v>
          </cell>
          <cell r="J645">
            <v>0</v>
          </cell>
          <cell r="AE645" t="str">
            <v>BEBAN BANGUNAN DAN PRASARANA HOSPITALITY</v>
          </cell>
        </row>
        <row r="646">
          <cell r="F646">
            <v>0</v>
          </cell>
          <cell r="H646">
            <v>0</v>
          </cell>
          <cell r="J646">
            <v>0</v>
          </cell>
          <cell r="AE646" t="str">
            <v>BEBAN BANGUNAN DAN PRASARANA HOSPITALITY</v>
          </cell>
        </row>
        <row r="647">
          <cell r="F647">
            <v>0</v>
          </cell>
          <cell r="H647">
            <v>0</v>
          </cell>
          <cell r="J647">
            <v>0</v>
          </cell>
          <cell r="AE647" t="str">
            <v>BEBAN BANGUNAN DAN PRASARANA HOSPITALITY</v>
          </cell>
        </row>
        <row r="648">
          <cell r="F648">
            <v>0</v>
          </cell>
          <cell r="H648">
            <v>0</v>
          </cell>
          <cell r="J648">
            <v>0</v>
          </cell>
          <cell r="AE648" t="str">
            <v>BEBAN BANGUNAN DAN PRASARANA HOSPITALITY</v>
          </cell>
        </row>
        <row r="649">
          <cell r="F649">
            <v>0</v>
          </cell>
          <cell r="H649">
            <v>0</v>
          </cell>
          <cell r="J649">
            <v>0</v>
          </cell>
          <cell r="AE649" t="str">
            <v>BEBAN BANGUNAN DAN PRASARANA HOSPITALITY</v>
          </cell>
        </row>
        <row r="650">
          <cell r="F650">
            <v>0</v>
          </cell>
          <cell r="H650">
            <v>0</v>
          </cell>
          <cell r="J650">
            <v>0</v>
          </cell>
          <cell r="AE650" t="str">
            <v>BEBAN BANGUNAN DAN PRASARANA HOSPITALITY</v>
          </cell>
        </row>
        <row r="651">
          <cell r="F651">
            <v>0</v>
          </cell>
          <cell r="H651">
            <v>0</v>
          </cell>
          <cell r="J651">
            <v>0</v>
          </cell>
          <cell r="AE651" t="str">
            <v>BEBAN BANGUNAN DAN PRASARANA HOSPITALITY</v>
          </cell>
        </row>
        <row r="652">
          <cell r="F652">
            <v>0</v>
          </cell>
          <cell r="H652">
            <v>0</v>
          </cell>
          <cell r="J652">
            <v>0</v>
          </cell>
          <cell r="AE652" t="str">
            <v>BEBAN BANGUNAN DAN PRASARANA HOSPITALITY</v>
          </cell>
        </row>
        <row r="653">
          <cell r="F653">
            <v>0</v>
          </cell>
          <cell r="H653">
            <v>0</v>
          </cell>
          <cell r="J653">
            <v>0</v>
          </cell>
          <cell r="AE653" t="str">
            <v>BEBAN BANGUNAN DAN PRASARANA HOSPITALITY</v>
          </cell>
        </row>
        <row r="654">
          <cell r="F654">
            <v>0</v>
          </cell>
          <cell r="H654">
            <v>0</v>
          </cell>
          <cell r="J654">
            <v>0</v>
          </cell>
          <cell r="AE654" t="str">
            <v>BEBAN BANGUNAN DAN PRASARANA HOSPITALITY</v>
          </cell>
        </row>
        <row r="655">
          <cell r="F655">
            <v>0</v>
          </cell>
          <cell r="H655">
            <v>0</v>
          </cell>
          <cell r="J655">
            <v>0</v>
          </cell>
          <cell r="AE655" t="str">
            <v>BEBAN LANGSUNG HOSPITALITY</v>
          </cell>
        </row>
        <row r="656">
          <cell r="F656">
            <v>0</v>
          </cell>
          <cell r="H656">
            <v>0</v>
          </cell>
          <cell r="J656">
            <v>0</v>
          </cell>
          <cell r="AE656" t="str">
            <v>BEBAN LANGSUNG HOSPITALITY</v>
          </cell>
        </row>
        <row r="657">
          <cell r="F657">
            <v>0</v>
          </cell>
          <cell r="H657">
            <v>0</v>
          </cell>
          <cell r="J657">
            <v>0</v>
          </cell>
          <cell r="AE657" t="str">
            <v>BEBAN LANGSUNG HOSPITALITY</v>
          </cell>
        </row>
        <row r="658">
          <cell r="F658">
            <v>0</v>
          </cell>
          <cell r="H658">
            <v>0</v>
          </cell>
          <cell r="J658">
            <v>0</v>
          </cell>
          <cell r="AE658" t="str">
            <v>BEBAN LANGSUNG HOSPITALITY</v>
          </cell>
        </row>
        <row r="659">
          <cell r="F659">
            <v>0</v>
          </cell>
          <cell r="H659">
            <v>0</v>
          </cell>
          <cell r="J659">
            <v>0</v>
          </cell>
          <cell r="AE659" t="str">
            <v>BEBAN LANGSUNG HOSPITALITY</v>
          </cell>
        </row>
        <row r="660">
          <cell r="F660">
            <v>0</v>
          </cell>
          <cell r="H660">
            <v>0</v>
          </cell>
          <cell r="J660">
            <v>0</v>
          </cell>
          <cell r="AE660" t="str">
            <v>BEBAN LANGSUNG HOSPITALITY</v>
          </cell>
        </row>
        <row r="661">
          <cell r="F661">
            <v>0</v>
          </cell>
          <cell r="H661">
            <v>0</v>
          </cell>
          <cell r="J661">
            <v>0</v>
          </cell>
          <cell r="AE661" t="str">
            <v>BEBAN LANGSUNG HOSPITALITY</v>
          </cell>
        </row>
        <row r="662">
          <cell r="F662">
            <v>0</v>
          </cell>
          <cell r="H662">
            <v>0</v>
          </cell>
          <cell r="J662">
            <v>0</v>
          </cell>
          <cell r="AE662" t="str">
            <v>BEBAN LANGSUNG HOSPITALITY</v>
          </cell>
        </row>
        <row r="663">
          <cell r="F663">
            <v>0</v>
          </cell>
          <cell r="H663">
            <v>0</v>
          </cell>
          <cell r="J663">
            <v>0</v>
          </cell>
          <cell r="AE663" t="str">
            <v>BPP HOSPITALITY</v>
          </cell>
        </row>
        <row r="664">
          <cell r="F664">
            <v>0</v>
          </cell>
          <cell r="H664">
            <v>0</v>
          </cell>
          <cell r="J664">
            <v>0</v>
          </cell>
          <cell r="AE664" t="str">
            <v>BPP HOSPITALITY</v>
          </cell>
        </row>
        <row r="665">
          <cell r="F665">
            <v>0</v>
          </cell>
          <cell r="H665">
            <v>0</v>
          </cell>
          <cell r="J665">
            <v>0</v>
          </cell>
          <cell r="AE665" t="str">
            <v>BPP HOSPITALITY</v>
          </cell>
        </row>
        <row r="666">
          <cell r="F666">
            <v>15444287.5</v>
          </cell>
          <cell r="H666">
            <v>15444287.5</v>
          </cell>
          <cell r="J666">
            <v>15444288</v>
          </cell>
          <cell r="AE666" t="str">
            <v>BPP HOSPITALITY</v>
          </cell>
        </row>
        <row r="667">
          <cell r="F667">
            <v>2075000</v>
          </cell>
          <cell r="H667">
            <v>2075000</v>
          </cell>
          <cell r="J667">
            <v>2075000</v>
          </cell>
          <cell r="AE667" t="str">
            <v>BPP HOSPITALITY</v>
          </cell>
        </row>
        <row r="668">
          <cell r="F668">
            <v>0</v>
          </cell>
          <cell r="H668">
            <v>0</v>
          </cell>
          <cell r="J668">
            <v>0</v>
          </cell>
          <cell r="AE668" t="str">
            <v>BPP HOSPITALITY</v>
          </cell>
        </row>
        <row r="669">
          <cell r="F669">
            <v>0</v>
          </cell>
          <cell r="H669">
            <v>0</v>
          </cell>
          <cell r="J669">
            <v>0</v>
          </cell>
          <cell r="AE669" t="str">
            <v>BPP HOSPITALITY</v>
          </cell>
        </row>
        <row r="670">
          <cell r="F670">
            <v>0</v>
          </cell>
          <cell r="H670">
            <v>0</v>
          </cell>
          <cell r="J670">
            <v>0</v>
          </cell>
          <cell r="AE670" t="str">
            <v>BPP HOSPITALITY</v>
          </cell>
        </row>
        <row r="671">
          <cell r="F671">
            <v>0</v>
          </cell>
          <cell r="H671">
            <v>0</v>
          </cell>
          <cell r="J671">
            <v>0</v>
          </cell>
          <cell r="AE671" t="str">
            <v>BPP HOSPITALITY</v>
          </cell>
        </row>
        <row r="672">
          <cell r="F672">
            <v>0</v>
          </cell>
          <cell r="H672">
            <v>0</v>
          </cell>
          <cell r="J672">
            <v>0</v>
          </cell>
          <cell r="AE672" t="str">
            <v>BPP HOSPITALITY</v>
          </cell>
        </row>
        <row r="673">
          <cell r="F673">
            <v>0</v>
          </cell>
          <cell r="H673">
            <v>0</v>
          </cell>
          <cell r="J673">
            <v>0</v>
          </cell>
          <cell r="AE673" t="str">
            <v>BPP HOSPITALITY</v>
          </cell>
        </row>
        <row r="674">
          <cell r="F674">
            <v>0</v>
          </cell>
          <cell r="H674">
            <v>0</v>
          </cell>
          <cell r="J674">
            <v>360000</v>
          </cell>
          <cell r="AE674" t="str">
            <v>BPP HOSPITALITY</v>
          </cell>
        </row>
        <row r="675">
          <cell r="F675">
            <v>0</v>
          </cell>
          <cell r="H675">
            <v>0</v>
          </cell>
          <cell r="J675">
            <v>0</v>
          </cell>
          <cell r="AE675" t="str">
            <v>BPP HOSPITALITY</v>
          </cell>
        </row>
        <row r="676">
          <cell r="F676">
            <v>0</v>
          </cell>
          <cell r="H676">
            <v>0</v>
          </cell>
          <cell r="J676">
            <v>0</v>
          </cell>
          <cell r="AE676" t="str">
            <v>BPP HOSPITALITY</v>
          </cell>
        </row>
        <row r="677">
          <cell r="F677">
            <v>0</v>
          </cell>
          <cell r="H677">
            <v>0</v>
          </cell>
          <cell r="J677">
            <v>0</v>
          </cell>
          <cell r="AE677" t="str">
            <v>BPP HOSPITALITY</v>
          </cell>
        </row>
        <row r="678">
          <cell r="F678">
            <v>0</v>
          </cell>
          <cell r="H678">
            <v>0</v>
          </cell>
          <cell r="J678">
            <v>0</v>
          </cell>
          <cell r="AE678" t="str">
            <v>BPP HOSPITALITY</v>
          </cell>
        </row>
        <row r="679">
          <cell r="F679">
            <v>0</v>
          </cell>
          <cell r="H679">
            <v>0</v>
          </cell>
          <cell r="J679">
            <v>0</v>
          </cell>
          <cell r="AE679" t="str">
            <v>BPP HOSPITALITY</v>
          </cell>
        </row>
        <row r="680">
          <cell r="F680">
            <v>0</v>
          </cell>
          <cell r="H680">
            <v>0</v>
          </cell>
          <cell r="J680">
            <v>0</v>
          </cell>
          <cell r="AE680" t="str">
            <v>BPP HOSPITALITY</v>
          </cell>
        </row>
        <row r="681">
          <cell r="F681">
            <v>0</v>
          </cell>
          <cell r="H681">
            <v>0</v>
          </cell>
          <cell r="J681">
            <v>0</v>
          </cell>
          <cell r="AE681" t="str">
            <v>BPP HOSPITALITY</v>
          </cell>
        </row>
        <row r="682">
          <cell r="F682">
            <v>0</v>
          </cell>
          <cell r="H682">
            <v>0</v>
          </cell>
          <cell r="J682">
            <v>0</v>
          </cell>
          <cell r="AE682" t="str">
            <v>BPP HOSPITALITY</v>
          </cell>
        </row>
        <row r="683">
          <cell r="F683">
            <v>0</v>
          </cell>
          <cell r="H683">
            <v>0</v>
          </cell>
          <cell r="J683">
            <v>0</v>
          </cell>
          <cell r="AE683" t="str">
            <v>BPP HOSPITALITY</v>
          </cell>
        </row>
        <row r="684">
          <cell r="F684">
            <v>0</v>
          </cell>
          <cell r="H684">
            <v>0</v>
          </cell>
          <cell r="J684">
            <v>0</v>
          </cell>
          <cell r="AE684" t="str">
            <v>BPP HOSPITALITY</v>
          </cell>
        </row>
        <row r="685">
          <cell r="F685">
            <v>0</v>
          </cell>
          <cell r="H685">
            <v>0</v>
          </cell>
          <cell r="J685">
            <v>0</v>
          </cell>
          <cell r="AE685" t="str">
            <v>BPP HOSPITALITY</v>
          </cell>
        </row>
        <row r="686">
          <cell r="F686">
            <v>0</v>
          </cell>
          <cell r="H686">
            <v>0</v>
          </cell>
          <cell r="J686">
            <v>0</v>
          </cell>
          <cell r="AE686" t="str">
            <v>BPP HOSPITALITY</v>
          </cell>
        </row>
        <row r="687">
          <cell r="F687">
            <v>0</v>
          </cell>
          <cell r="H687">
            <v>0</v>
          </cell>
          <cell r="J687">
            <v>0</v>
          </cell>
          <cell r="AE687" t="str">
            <v>BPP HOSPITALITY</v>
          </cell>
        </row>
        <row r="688">
          <cell r="F688">
            <v>0</v>
          </cell>
          <cell r="H688">
            <v>0</v>
          </cell>
          <cell r="J688">
            <v>0</v>
          </cell>
          <cell r="AE688" t="str">
            <v>BPP HOSPITALITY</v>
          </cell>
        </row>
        <row r="689">
          <cell r="F689">
            <v>0</v>
          </cell>
          <cell r="H689">
            <v>0</v>
          </cell>
          <cell r="J689">
            <v>0</v>
          </cell>
          <cell r="AE689" t="str">
            <v>BPP HOSPITALITY</v>
          </cell>
        </row>
        <row r="690">
          <cell r="F690">
            <v>0</v>
          </cell>
          <cell r="H690">
            <v>0</v>
          </cell>
          <cell r="J690">
            <v>0</v>
          </cell>
          <cell r="AE690" t="str">
            <v>BPP HOSPITALITY</v>
          </cell>
        </row>
        <row r="691">
          <cell r="F691">
            <v>0</v>
          </cell>
          <cell r="H691">
            <v>0</v>
          </cell>
          <cell r="J691">
            <v>0</v>
          </cell>
          <cell r="AE691" t="str">
            <v>BPP HOSPITALITY</v>
          </cell>
        </row>
        <row r="692">
          <cell r="F692">
            <v>0</v>
          </cell>
          <cell r="H692">
            <v>0</v>
          </cell>
          <cell r="J692">
            <v>0</v>
          </cell>
          <cell r="AE692" t="str">
            <v>BPP HOSPITALITY</v>
          </cell>
        </row>
        <row r="693">
          <cell r="F693">
            <v>0</v>
          </cell>
          <cell r="H693">
            <v>0</v>
          </cell>
          <cell r="J693">
            <v>2500000</v>
          </cell>
          <cell r="AE693" t="str">
            <v>BPP HOSPITALITY</v>
          </cell>
        </row>
        <row r="694">
          <cell r="F694">
            <v>0</v>
          </cell>
          <cell r="H694">
            <v>0</v>
          </cell>
          <cell r="J694">
            <v>0</v>
          </cell>
          <cell r="AE694" t="str">
            <v>BPP HOSPITALITY</v>
          </cell>
        </row>
        <row r="695">
          <cell r="F695">
            <v>5045455</v>
          </cell>
          <cell r="H695">
            <v>9090910</v>
          </cell>
          <cell r="J695">
            <v>0</v>
          </cell>
          <cell r="AE695" t="str">
            <v>BPP HOSPITALITY</v>
          </cell>
        </row>
        <row r="696">
          <cell r="F696">
            <v>0</v>
          </cell>
          <cell r="H696">
            <v>0</v>
          </cell>
          <cell r="J696">
            <v>0</v>
          </cell>
          <cell r="AE696" t="str">
            <v>BPP HOSPITALITY</v>
          </cell>
        </row>
        <row r="697">
          <cell r="F697">
            <v>0</v>
          </cell>
          <cell r="H697">
            <v>0</v>
          </cell>
          <cell r="J697">
            <v>0</v>
          </cell>
          <cell r="AE697" t="str">
            <v>BPP HOSPITALITY</v>
          </cell>
        </row>
        <row r="698">
          <cell r="F698">
            <v>0</v>
          </cell>
          <cell r="H698">
            <v>0</v>
          </cell>
          <cell r="J698">
            <v>0</v>
          </cell>
          <cell r="AE698" t="str">
            <v>BPP HOSPITALITY</v>
          </cell>
        </row>
        <row r="699">
          <cell r="F699">
            <v>0</v>
          </cell>
          <cell r="H699">
            <v>0</v>
          </cell>
          <cell r="J699">
            <v>0</v>
          </cell>
          <cell r="AE699" t="str">
            <v>BPP HOSPITALITY</v>
          </cell>
        </row>
        <row r="700">
          <cell r="F700">
            <v>0</v>
          </cell>
          <cell r="H700">
            <v>0</v>
          </cell>
          <cell r="J700">
            <v>0</v>
          </cell>
          <cell r="AE700" t="str">
            <v>BPP HOSPITALITY</v>
          </cell>
        </row>
        <row r="701">
          <cell r="F701">
            <v>0</v>
          </cell>
          <cell r="H701">
            <v>0</v>
          </cell>
          <cell r="J701">
            <v>0</v>
          </cell>
          <cell r="AE701" t="str">
            <v>BPP HOSPITALITY</v>
          </cell>
        </row>
        <row r="702">
          <cell r="F702">
            <v>0</v>
          </cell>
          <cell r="H702">
            <v>0</v>
          </cell>
          <cell r="J702">
            <v>0</v>
          </cell>
          <cell r="AE702" t="str">
            <v>BPP HOSPITALITY</v>
          </cell>
        </row>
        <row r="703">
          <cell r="F703">
            <v>0</v>
          </cell>
          <cell r="H703">
            <v>0</v>
          </cell>
          <cell r="J703">
            <v>0</v>
          </cell>
          <cell r="AE703" t="str">
            <v>BPP HOSPITALITY</v>
          </cell>
        </row>
        <row r="704">
          <cell r="F704">
            <v>0</v>
          </cell>
          <cell r="H704">
            <v>0</v>
          </cell>
          <cell r="J704">
            <v>0</v>
          </cell>
          <cell r="AE704" t="str">
            <v>BPP HOSPITALITY</v>
          </cell>
        </row>
        <row r="705">
          <cell r="F705">
            <v>0</v>
          </cell>
          <cell r="H705">
            <v>0</v>
          </cell>
          <cell r="J705">
            <v>0</v>
          </cell>
          <cell r="AE705" t="str">
            <v>BPP HOSPITALITY</v>
          </cell>
        </row>
        <row r="706">
          <cell r="F706">
            <v>7000000</v>
          </cell>
          <cell r="H706">
            <v>7100000</v>
          </cell>
          <cell r="J706">
            <v>7100000</v>
          </cell>
          <cell r="AE706" t="str">
            <v>BPP HOSPITALITY</v>
          </cell>
        </row>
        <row r="707">
          <cell r="F707">
            <v>2650000</v>
          </cell>
          <cell r="H707">
            <v>0</v>
          </cell>
          <cell r="J707">
            <v>2500000</v>
          </cell>
          <cell r="AE707" t="str">
            <v>BPP HOSPITALITY</v>
          </cell>
        </row>
        <row r="708">
          <cell r="F708">
            <v>0</v>
          </cell>
          <cell r="H708">
            <v>0</v>
          </cell>
          <cell r="J708">
            <v>0</v>
          </cell>
          <cell r="AE708" t="str">
            <v>BPP HOSPITALITY</v>
          </cell>
        </row>
        <row r="709">
          <cell r="F709">
            <v>0</v>
          </cell>
          <cell r="H709">
            <v>0</v>
          </cell>
          <cell r="J709">
            <v>0</v>
          </cell>
          <cell r="AE709" t="str">
            <v>BPP HOSPITALITY</v>
          </cell>
        </row>
        <row r="710">
          <cell r="F710">
            <v>0</v>
          </cell>
          <cell r="H710">
            <v>0</v>
          </cell>
          <cell r="J710">
            <v>0</v>
          </cell>
          <cell r="AE710" t="str">
            <v>BPP HOSPITALITY</v>
          </cell>
        </row>
        <row r="711">
          <cell r="F711">
            <v>0</v>
          </cell>
          <cell r="H711">
            <v>0</v>
          </cell>
          <cell r="J711">
            <v>0</v>
          </cell>
          <cell r="AE711" t="str">
            <v>BPP HOSPITALITY</v>
          </cell>
        </row>
        <row r="712">
          <cell r="F712">
            <v>0</v>
          </cell>
          <cell r="H712">
            <v>0</v>
          </cell>
          <cell r="J712">
            <v>0</v>
          </cell>
          <cell r="AE712" t="str">
            <v>BPP HOSPITALITY</v>
          </cell>
        </row>
        <row r="713">
          <cell r="F713">
            <v>0</v>
          </cell>
          <cell r="H713">
            <v>0</v>
          </cell>
          <cell r="J713">
            <v>0</v>
          </cell>
          <cell r="AE713" t="str">
            <v>BPP HOSPITALITY</v>
          </cell>
        </row>
        <row r="714">
          <cell r="F714">
            <v>0</v>
          </cell>
          <cell r="H714">
            <v>0</v>
          </cell>
          <cell r="J714">
            <v>0</v>
          </cell>
          <cell r="AE714" t="str">
            <v>BPP HOSPITALITY</v>
          </cell>
        </row>
        <row r="715">
          <cell r="F715">
            <v>0</v>
          </cell>
          <cell r="H715">
            <v>0</v>
          </cell>
          <cell r="J715">
            <v>0</v>
          </cell>
          <cell r="AE715" t="str">
            <v>BPP HOSPITALITY</v>
          </cell>
        </row>
        <row r="716">
          <cell r="F716">
            <v>0</v>
          </cell>
          <cell r="H716">
            <v>0</v>
          </cell>
          <cell r="J716">
            <v>0</v>
          </cell>
          <cell r="AE716" t="str">
            <v>BPP HOSPITALITY</v>
          </cell>
        </row>
        <row r="717">
          <cell r="F717">
            <v>0</v>
          </cell>
          <cell r="H717">
            <v>0</v>
          </cell>
          <cell r="J717">
            <v>0</v>
          </cell>
          <cell r="AE717" t="str">
            <v>BPP HOSPITALITY</v>
          </cell>
        </row>
        <row r="718">
          <cell r="F718">
            <v>0</v>
          </cell>
          <cell r="H718">
            <v>0</v>
          </cell>
          <cell r="J718">
            <v>0</v>
          </cell>
          <cell r="AE718" t="str">
            <v>BPP HOSPITALITY</v>
          </cell>
        </row>
        <row r="719">
          <cell r="F719">
            <v>0</v>
          </cell>
          <cell r="H719">
            <v>0</v>
          </cell>
          <cell r="J719">
            <v>0</v>
          </cell>
          <cell r="AE719" t="str">
            <v>BPP HOSPITALITY</v>
          </cell>
        </row>
        <row r="720">
          <cell r="F720">
            <v>0</v>
          </cell>
          <cell r="H720">
            <v>0</v>
          </cell>
          <cell r="J720">
            <v>0</v>
          </cell>
          <cell r="AE720" t="str">
            <v>BPP HOSPITALITY</v>
          </cell>
        </row>
        <row r="721">
          <cell r="F721">
            <v>0</v>
          </cell>
          <cell r="H721">
            <v>0</v>
          </cell>
          <cell r="J721">
            <v>0</v>
          </cell>
          <cell r="AE721" t="str">
            <v>BPP HOSPITALITY</v>
          </cell>
        </row>
        <row r="722">
          <cell r="F722">
            <v>0</v>
          </cell>
          <cell r="H722">
            <v>0</v>
          </cell>
          <cell r="J722">
            <v>0</v>
          </cell>
          <cell r="AE722" t="str">
            <v>BPP HOSPITALITY</v>
          </cell>
        </row>
        <row r="723">
          <cell r="F723">
            <v>0</v>
          </cell>
          <cell r="H723">
            <v>0</v>
          </cell>
          <cell r="J723">
            <v>4000000</v>
          </cell>
          <cell r="AE723" t="str">
            <v>BPP HOSPITALITY</v>
          </cell>
        </row>
        <row r="724">
          <cell r="F724">
            <v>0</v>
          </cell>
          <cell r="H724">
            <v>0</v>
          </cell>
          <cell r="J724">
            <v>0</v>
          </cell>
          <cell r="AE724" t="str">
            <v>BPP HOSPITALITY</v>
          </cell>
        </row>
        <row r="725">
          <cell r="F725">
            <v>0</v>
          </cell>
          <cell r="H725">
            <v>0</v>
          </cell>
          <cell r="J725">
            <v>0</v>
          </cell>
          <cell r="AE725" t="str">
            <v>BPP HOSPITALITY</v>
          </cell>
        </row>
        <row r="726">
          <cell r="F726">
            <v>0</v>
          </cell>
          <cell r="H726">
            <v>0</v>
          </cell>
          <cell r="J726">
            <v>0</v>
          </cell>
          <cell r="AE726" t="str">
            <v>BPP HOSPITALITY</v>
          </cell>
        </row>
        <row r="727">
          <cell r="F727">
            <v>0</v>
          </cell>
          <cell r="H727">
            <v>0</v>
          </cell>
          <cell r="J727">
            <v>0</v>
          </cell>
          <cell r="AE727" t="str">
            <v>BPP HOSPITALITY</v>
          </cell>
        </row>
        <row r="728">
          <cell r="F728">
            <v>0</v>
          </cell>
          <cell r="H728">
            <v>0</v>
          </cell>
          <cell r="J728">
            <v>0</v>
          </cell>
          <cell r="AE728" t="str">
            <v>BPP HOSPITALITY</v>
          </cell>
        </row>
        <row r="729">
          <cell r="F729">
            <v>65000000</v>
          </cell>
          <cell r="H729">
            <v>59000000</v>
          </cell>
          <cell r="J729">
            <v>73100000</v>
          </cell>
          <cell r="AE729" t="str">
            <v>BPP HOSPITALITY</v>
          </cell>
        </row>
        <row r="730">
          <cell r="F730">
            <v>24000000</v>
          </cell>
          <cell r="H730">
            <v>26772727.5</v>
          </cell>
          <cell r="J730">
            <v>11500000</v>
          </cell>
          <cell r="AE730" t="str">
            <v>BPP HOSPITALITY</v>
          </cell>
        </row>
        <row r="731">
          <cell r="F731">
            <v>0</v>
          </cell>
          <cell r="H731">
            <v>0</v>
          </cell>
          <cell r="J731">
            <v>0</v>
          </cell>
          <cell r="AE731" t="str">
            <v>BPP HOSPITALITY</v>
          </cell>
        </row>
        <row r="732">
          <cell r="F732">
            <v>0</v>
          </cell>
          <cell r="H732">
            <v>0</v>
          </cell>
          <cell r="J732">
            <v>0</v>
          </cell>
          <cell r="AE732" t="str">
            <v>BPP HOSPITALITY</v>
          </cell>
        </row>
        <row r="733">
          <cell r="F733">
            <v>2030000</v>
          </cell>
          <cell r="H733">
            <v>154000</v>
          </cell>
          <cell r="J733">
            <v>0</v>
          </cell>
          <cell r="AE733" t="str">
            <v>BPP HOSPITALITY</v>
          </cell>
        </row>
        <row r="734">
          <cell r="F734">
            <v>0</v>
          </cell>
          <cell r="H734">
            <v>0</v>
          </cell>
          <cell r="J734">
            <v>0</v>
          </cell>
          <cell r="AE734" t="str">
            <v>BPP HOSPITALITY</v>
          </cell>
        </row>
        <row r="735">
          <cell r="F735">
            <v>23620087</v>
          </cell>
          <cell r="H735">
            <v>913000</v>
          </cell>
          <cell r="J735">
            <v>4555000</v>
          </cell>
          <cell r="AE735" t="str">
            <v>BPP HOSPITALITY</v>
          </cell>
        </row>
        <row r="736">
          <cell r="F736">
            <v>0</v>
          </cell>
          <cell r="H736">
            <v>0</v>
          </cell>
          <cell r="J736">
            <v>0</v>
          </cell>
          <cell r="AE736" t="str">
            <v>BPP HOSPITALITY</v>
          </cell>
        </row>
        <row r="737">
          <cell r="F737">
            <v>4696440</v>
          </cell>
          <cell r="H737">
            <v>0</v>
          </cell>
          <cell r="J737">
            <v>0</v>
          </cell>
          <cell r="AE737" t="str">
            <v>BPP HOSPITALITY</v>
          </cell>
        </row>
        <row r="738">
          <cell r="F738">
            <v>0</v>
          </cell>
          <cell r="H738">
            <v>0</v>
          </cell>
          <cell r="J738">
            <v>0</v>
          </cell>
          <cell r="AE738" t="str">
            <v>BPP HOSPITALITY</v>
          </cell>
        </row>
        <row r="739">
          <cell r="F739">
            <v>0</v>
          </cell>
          <cell r="H739">
            <v>0</v>
          </cell>
          <cell r="J739">
            <v>0</v>
          </cell>
          <cell r="AE739" t="str">
            <v>BPP HOSPITALITY</v>
          </cell>
        </row>
        <row r="740">
          <cell r="F740">
            <v>0</v>
          </cell>
          <cell r="H740">
            <v>0</v>
          </cell>
          <cell r="J740">
            <v>0</v>
          </cell>
          <cell r="AE740" t="str">
            <v>BPP HOSPITALITY</v>
          </cell>
        </row>
        <row r="741">
          <cell r="F741">
            <v>0</v>
          </cell>
          <cell r="H741">
            <v>0</v>
          </cell>
          <cell r="J741">
            <v>0</v>
          </cell>
          <cell r="AE741" t="str">
            <v>BPP HOSPITALITY</v>
          </cell>
        </row>
        <row r="742">
          <cell r="F742">
            <v>0</v>
          </cell>
          <cell r="H742">
            <v>0</v>
          </cell>
          <cell r="J742">
            <v>0</v>
          </cell>
          <cell r="AE742" t="str">
            <v>BPP HOSPITALITY</v>
          </cell>
        </row>
        <row r="743">
          <cell r="F743">
            <v>0</v>
          </cell>
          <cell r="H743">
            <v>0</v>
          </cell>
          <cell r="J743">
            <v>148000</v>
          </cell>
          <cell r="AE743" t="str">
            <v>BPP HOSPITALITY</v>
          </cell>
        </row>
        <row r="744">
          <cell r="F744">
            <v>8275000</v>
          </cell>
          <cell r="H744">
            <v>4999538</v>
          </cell>
          <cell r="J744">
            <v>340000</v>
          </cell>
          <cell r="AE744" t="str">
            <v>BPP HOSPITALITY</v>
          </cell>
        </row>
        <row r="745">
          <cell r="F745">
            <v>12556000</v>
          </cell>
          <cell r="H745">
            <v>0</v>
          </cell>
          <cell r="J745">
            <v>2000000</v>
          </cell>
          <cell r="AE745" t="str">
            <v>BPP HOSPITALITY</v>
          </cell>
        </row>
        <row r="746">
          <cell r="F746">
            <v>0</v>
          </cell>
          <cell r="H746">
            <v>0</v>
          </cell>
          <cell r="J746">
            <v>0</v>
          </cell>
          <cell r="AE746" t="str">
            <v>BPP HOSPITALITY</v>
          </cell>
        </row>
        <row r="747">
          <cell r="F747">
            <v>0</v>
          </cell>
          <cell r="H747">
            <v>0</v>
          </cell>
          <cell r="J747">
            <v>0</v>
          </cell>
          <cell r="AE747" t="str">
            <v>BPP HOSPITALITY</v>
          </cell>
        </row>
        <row r="748">
          <cell r="F748">
            <v>0</v>
          </cell>
          <cell r="H748">
            <v>0</v>
          </cell>
          <cell r="J748">
            <v>0</v>
          </cell>
          <cell r="AE748" t="str">
            <v>BPP HOSPITALITY</v>
          </cell>
        </row>
        <row r="749">
          <cell r="F749">
            <v>0</v>
          </cell>
          <cell r="H749">
            <v>0</v>
          </cell>
          <cell r="J749">
            <v>0</v>
          </cell>
          <cell r="AE749" t="str">
            <v>BPP HOSPITALITY</v>
          </cell>
        </row>
        <row r="750">
          <cell r="F750">
            <v>1175231</v>
          </cell>
          <cell r="H750">
            <v>1983091</v>
          </cell>
          <cell r="J750">
            <v>0</v>
          </cell>
          <cell r="AE750" t="str">
            <v>BPP HOSPITALITY</v>
          </cell>
        </row>
        <row r="751">
          <cell r="F751">
            <v>0</v>
          </cell>
          <cell r="H751">
            <v>0</v>
          </cell>
          <cell r="J751">
            <v>0</v>
          </cell>
          <cell r="AE751" t="str">
            <v>BPP HOSPITALITY</v>
          </cell>
        </row>
        <row r="752">
          <cell r="F752">
            <v>0</v>
          </cell>
          <cell r="H752">
            <v>0</v>
          </cell>
          <cell r="J752">
            <v>0</v>
          </cell>
          <cell r="AE752" t="str">
            <v>BPP HOSPITALITY</v>
          </cell>
        </row>
        <row r="753">
          <cell r="F753">
            <v>0</v>
          </cell>
          <cell r="H753">
            <v>0</v>
          </cell>
          <cell r="J753">
            <v>0</v>
          </cell>
          <cell r="AE753" t="str">
            <v>BPP HOSPITALITY</v>
          </cell>
        </row>
        <row r="754">
          <cell r="F754">
            <v>0</v>
          </cell>
          <cell r="H754">
            <v>0</v>
          </cell>
          <cell r="J754">
            <v>0</v>
          </cell>
          <cell r="AE754" t="str">
            <v>BPP HOSPITALITY</v>
          </cell>
        </row>
        <row r="755">
          <cell r="F755">
            <v>0</v>
          </cell>
          <cell r="H755">
            <v>0</v>
          </cell>
          <cell r="J755">
            <v>0</v>
          </cell>
          <cell r="AE755" t="str">
            <v>BPP HOSPITALITY</v>
          </cell>
        </row>
        <row r="756">
          <cell r="F756">
            <v>0</v>
          </cell>
          <cell r="H756">
            <v>0</v>
          </cell>
          <cell r="J756">
            <v>0</v>
          </cell>
          <cell r="AE756" t="str">
            <v>BPP HOSPITALITY</v>
          </cell>
        </row>
        <row r="757">
          <cell r="F757">
            <v>0</v>
          </cell>
          <cell r="H757">
            <v>0</v>
          </cell>
          <cell r="J757">
            <v>0</v>
          </cell>
          <cell r="AE757" t="str">
            <v>BPP HOSPITALITY</v>
          </cell>
        </row>
        <row r="758">
          <cell r="F758">
            <v>0</v>
          </cell>
          <cell r="H758">
            <v>0</v>
          </cell>
          <cell r="J758">
            <v>0</v>
          </cell>
          <cell r="AE758" t="str">
            <v>BPP HOSPITALITY</v>
          </cell>
        </row>
        <row r="759">
          <cell r="F759">
            <v>7625200</v>
          </cell>
          <cell r="H759">
            <v>7031800</v>
          </cell>
          <cell r="J759">
            <v>7651000</v>
          </cell>
          <cell r="AE759" t="str">
            <v>BPP HOSPITALITY</v>
          </cell>
        </row>
        <row r="760">
          <cell r="F760">
            <v>0</v>
          </cell>
          <cell r="H760">
            <v>0</v>
          </cell>
          <cell r="J760">
            <v>0</v>
          </cell>
          <cell r="AE760" t="str">
            <v>BPP HOSPITALITY</v>
          </cell>
        </row>
        <row r="761">
          <cell r="F761">
            <v>0</v>
          </cell>
          <cell r="H761">
            <v>0</v>
          </cell>
          <cell r="J761">
            <v>0</v>
          </cell>
          <cell r="AE761" t="str">
            <v>BPP HOSPITALITY</v>
          </cell>
        </row>
        <row r="762">
          <cell r="F762">
            <v>0</v>
          </cell>
          <cell r="H762">
            <v>0</v>
          </cell>
          <cell r="J762">
            <v>4500000</v>
          </cell>
          <cell r="AE762" t="str">
            <v>BPP HOSPITALITY</v>
          </cell>
        </row>
        <row r="763">
          <cell r="F763">
            <v>300000</v>
          </cell>
          <cell r="H763">
            <v>0</v>
          </cell>
          <cell r="J763">
            <v>300000</v>
          </cell>
          <cell r="AE763" t="str">
            <v>BPP HOSPITALITY</v>
          </cell>
        </row>
        <row r="764">
          <cell r="F764">
            <v>0</v>
          </cell>
          <cell r="H764">
            <v>0</v>
          </cell>
          <cell r="J764">
            <v>0</v>
          </cell>
          <cell r="AE764" t="str">
            <v>BPP HOSPITALITY</v>
          </cell>
        </row>
        <row r="765">
          <cell r="F765">
            <v>31362771</v>
          </cell>
          <cell r="H765">
            <v>18588041</v>
          </cell>
          <cell r="J765">
            <v>17984995</v>
          </cell>
          <cell r="AE765" t="str">
            <v>BPP HOSPITALITY</v>
          </cell>
        </row>
        <row r="766">
          <cell r="F766">
            <v>0</v>
          </cell>
          <cell r="H766">
            <v>0</v>
          </cell>
          <cell r="J766">
            <v>0</v>
          </cell>
          <cell r="AE766" t="str">
            <v>BPP HOSPITALITY</v>
          </cell>
        </row>
        <row r="767">
          <cell r="F767">
            <v>0</v>
          </cell>
          <cell r="H767">
            <v>0</v>
          </cell>
          <cell r="J767">
            <v>0</v>
          </cell>
          <cell r="AE767" t="str">
            <v>BPP HOSPITALITY</v>
          </cell>
        </row>
        <row r="768">
          <cell r="F768">
            <v>0</v>
          </cell>
          <cell r="H768">
            <v>0</v>
          </cell>
          <cell r="J768">
            <v>0</v>
          </cell>
          <cell r="AE768" t="str">
            <v>BPP HOSPITALITY</v>
          </cell>
        </row>
        <row r="769">
          <cell r="F769">
            <v>0</v>
          </cell>
          <cell r="H769">
            <v>0</v>
          </cell>
          <cell r="J769">
            <v>0</v>
          </cell>
          <cell r="AE769" t="str">
            <v>BPP HOSPITALITY</v>
          </cell>
        </row>
        <row r="770">
          <cell r="F770">
            <v>0</v>
          </cell>
          <cell r="H770">
            <v>0</v>
          </cell>
          <cell r="J770">
            <v>0</v>
          </cell>
          <cell r="AE770" t="str">
            <v>BPP HOSPITALITY</v>
          </cell>
        </row>
        <row r="771">
          <cell r="F771">
            <v>0</v>
          </cell>
          <cell r="H771">
            <v>0</v>
          </cell>
          <cell r="J771">
            <v>0</v>
          </cell>
          <cell r="AE771" t="str">
            <v>BPP HOSPITALITY</v>
          </cell>
        </row>
        <row r="772">
          <cell r="F772">
            <v>0</v>
          </cell>
          <cell r="H772">
            <v>0</v>
          </cell>
          <cell r="J772">
            <v>0</v>
          </cell>
          <cell r="AE772" t="str">
            <v>BPP HOSPITALITY</v>
          </cell>
        </row>
        <row r="773">
          <cell r="F773">
            <v>0</v>
          </cell>
          <cell r="H773">
            <v>0</v>
          </cell>
          <cell r="J773">
            <v>0</v>
          </cell>
          <cell r="AE773" t="str">
            <v>BPP HOSPITALITY</v>
          </cell>
        </row>
        <row r="774">
          <cell r="F774">
            <v>0</v>
          </cell>
          <cell r="H774">
            <v>0</v>
          </cell>
          <cell r="J774">
            <v>0</v>
          </cell>
          <cell r="AE774" t="str">
            <v>BPP HOSPITALITY</v>
          </cell>
        </row>
        <row r="775">
          <cell r="F775">
            <v>0</v>
          </cell>
          <cell r="H775">
            <v>0</v>
          </cell>
          <cell r="J775">
            <v>0</v>
          </cell>
          <cell r="AE775" t="str">
            <v>BPP HOSPITALITY</v>
          </cell>
        </row>
        <row r="776">
          <cell r="F776">
            <v>0</v>
          </cell>
          <cell r="H776">
            <v>0</v>
          </cell>
          <cell r="J776">
            <v>0</v>
          </cell>
          <cell r="AE776" t="str">
            <v>BPP HOSPITALITY</v>
          </cell>
        </row>
        <row r="777">
          <cell r="F777">
            <v>0</v>
          </cell>
          <cell r="H777">
            <v>0</v>
          </cell>
          <cell r="J777">
            <v>0</v>
          </cell>
          <cell r="AE777" t="str">
            <v>BPP HOSPITALITY</v>
          </cell>
        </row>
        <row r="778">
          <cell r="F778">
            <v>0</v>
          </cell>
          <cell r="H778">
            <v>0</v>
          </cell>
          <cell r="J778">
            <v>0</v>
          </cell>
          <cell r="AE778" t="str">
            <v>BPP HOSPITALITY</v>
          </cell>
        </row>
        <row r="779">
          <cell r="F779">
            <v>0</v>
          </cell>
          <cell r="H779">
            <v>0</v>
          </cell>
          <cell r="J779">
            <v>0</v>
          </cell>
          <cell r="AE779" t="str">
            <v>BPP HOSPITALITY</v>
          </cell>
        </row>
        <row r="780">
          <cell r="F780">
            <v>0</v>
          </cell>
          <cell r="H780">
            <v>0</v>
          </cell>
          <cell r="J780">
            <v>0</v>
          </cell>
          <cell r="AE780" t="str">
            <v>BPP HOSPITALITY</v>
          </cell>
        </row>
        <row r="781">
          <cell r="F781">
            <v>0</v>
          </cell>
          <cell r="H781">
            <v>0</v>
          </cell>
          <cell r="J781">
            <v>0</v>
          </cell>
          <cell r="AE781" t="str">
            <v>BPP HOSPITALITY</v>
          </cell>
        </row>
        <row r="782">
          <cell r="F782">
            <v>9457636.3499999996</v>
          </cell>
          <cell r="H782">
            <v>5454545.4500000002</v>
          </cell>
          <cell r="J782">
            <v>5386363.6199999992</v>
          </cell>
          <cell r="AE782" t="str">
            <v>BPP HOSPITALITY</v>
          </cell>
        </row>
        <row r="783">
          <cell r="F783">
            <v>0</v>
          </cell>
          <cell r="H783">
            <v>0</v>
          </cell>
          <cell r="J783">
            <v>0</v>
          </cell>
          <cell r="AE783" t="str">
            <v>BPP HOSPITALITY</v>
          </cell>
        </row>
        <row r="784">
          <cell r="F784">
            <v>0</v>
          </cell>
          <cell r="H784">
            <v>0</v>
          </cell>
          <cell r="J784">
            <v>0</v>
          </cell>
          <cell r="AE784" t="str">
            <v>BPP HOSPITALITY</v>
          </cell>
        </row>
        <row r="785">
          <cell r="F785">
            <v>0</v>
          </cell>
          <cell r="H785">
            <v>0</v>
          </cell>
          <cell r="J785">
            <v>0</v>
          </cell>
          <cell r="AE785" t="str">
            <v>BPP HOSPITALITY</v>
          </cell>
        </row>
        <row r="786">
          <cell r="F786">
            <v>0</v>
          </cell>
          <cell r="H786">
            <v>0</v>
          </cell>
          <cell r="J786">
            <v>0</v>
          </cell>
          <cell r="AE786" t="str">
            <v>BPP HOSPITALITY</v>
          </cell>
        </row>
        <row r="787">
          <cell r="F787">
            <v>23126841.649999999</v>
          </cell>
          <cell r="H787">
            <v>23126841.649999999</v>
          </cell>
          <cell r="J787">
            <v>29027635</v>
          </cell>
          <cell r="AE787" t="str">
            <v>BPP HOSPITALITY</v>
          </cell>
        </row>
        <row r="788">
          <cell r="F788">
            <v>0</v>
          </cell>
          <cell r="H788">
            <v>0</v>
          </cell>
          <cell r="J788">
            <v>0</v>
          </cell>
          <cell r="AE788" t="str">
            <v>BPP HOSPITALITY</v>
          </cell>
        </row>
        <row r="789">
          <cell r="F789">
            <v>0</v>
          </cell>
          <cell r="H789">
            <v>0</v>
          </cell>
          <cell r="J789">
            <v>0</v>
          </cell>
          <cell r="AE789" t="str">
            <v>BPP HOSPITALITY</v>
          </cell>
        </row>
        <row r="790">
          <cell r="F790">
            <v>0</v>
          </cell>
          <cell r="H790">
            <v>0</v>
          </cell>
          <cell r="J790">
            <v>0</v>
          </cell>
          <cell r="AE790" t="str">
            <v>BPP HOSPITALITY</v>
          </cell>
        </row>
        <row r="791">
          <cell r="F791">
            <v>0</v>
          </cell>
          <cell r="H791">
            <v>0</v>
          </cell>
          <cell r="J791">
            <v>0</v>
          </cell>
          <cell r="AE791" t="str">
            <v>BPP HOSPITALITY</v>
          </cell>
        </row>
        <row r="792">
          <cell r="F792">
            <v>25785310</v>
          </cell>
          <cell r="H792">
            <v>15251273</v>
          </cell>
          <cell r="J792">
            <v>0</v>
          </cell>
          <cell r="AE792" t="str">
            <v>BPP HOSPITALITY</v>
          </cell>
        </row>
        <row r="793">
          <cell r="F793">
            <v>0</v>
          </cell>
          <cell r="H793">
            <v>0</v>
          </cell>
          <cell r="J793">
            <v>0</v>
          </cell>
          <cell r="AE793" t="str">
            <v>BPP HOSPITALITY</v>
          </cell>
        </row>
        <row r="794">
          <cell r="F794">
            <v>0</v>
          </cell>
          <cell r="H794">
            <v>0</v>
          </cell>
          <cell r="J794">
            <v>0</v>
          </cell>
          <cell r="AE794" t="str">
            <v>BPP HOSPITALITY</v>
          </cell>
        </row>
        <row r="795">
          <cell r="F795">
            <v>0</v>
          </cell>
          <cell r="H795">
            <v>0</v>
          </cell>
          <cell r="J795">
            <v>0</v>
          </cell>
          <cell r="AE795" t="str">
            <v>BPP HOSPITALITY</v>
          </cell>
        </row>
        <row r="796">
          <cell r="F796">
            <v>0</v>
          </cell>
          <cell r="H796">
            <v>0</v>
          </cell>
          <cell r="J796">
            <v>0</v>
          </cell>
          <cell r="AE796" t="str">
            <v>BPP HOSPITALITY</v>
          </cell>
        </row>
        <row r="797">
          <cell r="F797">
            <v>0</v>
          </cell>
          <cell r="H797">
            <v>0</v>
          </cell>
          <cell r="J797">
            <v>0</v>
          </cell>
          <cell r="AE797" t="str">
            <v>BPP HOSPITALITY</v>
          </cell>
        </row>
        <row r="798">
          <cell r="F798">
            <v>0</v>
          </cell>
          <cell r="H798">
            <v>0</v>
          </cell>
          <cell r="J798">
            <v>0</v>
          </cell>
          <cell r="AE798" t="str">
            <v>BPP HOSPITALITY</v>
          </cell>
        </row>
        <row r="799">
          <cell r="F799">
            <v>0</v>
          </cell>
          <cell r="H799">
            <v>0</v>
          </cell>
          <cell r="J799">
            <v>0</v>
          </cell>
          <cell r="AE799" t="str">
            <v>BPP HOSPITALITY</v>
          </cell>
        </row>
        <row r="800">
          <cell r="F800">
            <v>0</v>
          </cell>
          <cell r="H800">
            <v>0</v>
          </cell>
          <cell r="J800">
            <v>0</v>
          </cell>
          <cell r="AE800" t="str">
            <v>BPP HOSPITALITY</v>
          </cell>
        </row>
        <row r="801">
          <cell r="F801">
            <v>0</v>
          </cell>
          <cell r="H801">
            <v>0</v>
          </cell>
          <cell r="J801">
            <v>0</v>
          </cell>
          <cell r="AE801" t="str">
            <v>BPP HOSPITALITY</v>
          </cell>
        </row>
        <row r="802">
          <cell r="F802">
            <v>0</v>
          </cell>
          <cell r="H802">
            <v>0</v>
          </cell>
          <cell r="J802">
            <v>0</v>
          </cell>
          <cell r="AE802" t="str">
            <v>BPP HOSPITALITY</v>
          </cell>
        </row>
        <row r="803">
          <cell r="F803">
            <v>0</v>
          </cell>
          <cell r="H803">
            <v>0</v>
          </cell>
          <cell r="J803">
            <v>0</v>
          </cell>
          <cell r="AE803" t="str">
            <v>BPP HOSPITALITY</v>
          </cell>
        </row>
        <row r="804">
          <cell r="F804">
            <v>0</v>
          </cell>
          <cell r="H804">
            <v>0</v>
          </cell>
          <cell r="J804">
            <v>0</v>
          </cell>
          <cell r="AE804" t="str">
            <v>BPP HOSPITALITY</v>
          </cell>
        </row>
        <row r="805">
          <cell r="F805">
            <v>0</v>
          </cell>
          <cell r="H805">
            <v>0</v>
          </cell>
          <cell r="J805">
            <v>0</v>
          </cell>
          <cell r="AE805" t="str">
            <v>BPP HOSPITALITY</v>
          </cell>
        </row>
        <row r="806">
          <cell r="F806">
            <v>0</v>
          </cell>
          <cell r="H806">
            <v>0</v>
          </cell>
          <cell r="J806">
            <v>0</v>
          </cell>
          <cell r="AE806" t="str">
            <v>BPP HOSPITALITY</v>
          </cell>
        </row>
        <row r="807">
          <cell r="F807">
            <v>0</v>
          </cell>
          <cell r="H807">
            <v>0</v>
          </cell>
          <cell r="J807">
            <v>0</v>
          </cell>
          <cell r="AE807" t="str">
            <v>BPP HOSPITALITY</v>
          </cell>
        </row>
        <row r="808">
          <cell r="F808">
            <v>0</v>
          </cell>
          <cell r="H808">
            <v>0</v>
          </cell>
          <cell r="J808">
            <v>0</v>
          </cell>
          <cell r="AE808" t="str">
            <v>BPP HOSPITALITY</v>
          </cell>
        </row>
        <row r="809">
          <cell r="F809">
            <v>0</v>
          </cell>
          <cell r="H809">
            <v>0</v>
          </cell>
          <cell r="J809">
            <v>0</v>
          </cell>
          <cell r="AE809" t="str">
            <v>BPP HOSPITALITY</v>
          </cell>
        </row>
        <row r="810">
          <cell r="F810">
            <v>0</v>
          </cell>
          <cell r="H810">
            <v>0</v>
          </cell>
          <cell r="J810">
            <v>0</v>
          </cell>
          <cell r="AE810" t="str">
            <v>BPP HOSPITALITY</v>
          </cell>
        </row>
        <row r="811">
          <cell r="F811">
            <v>0</v>
          </cell>
          <cell r="H811">
            <v>0</v>
          </cell>
          <cell r="J811">
            <v>0</v>
          </cell>
          <cell r="AE811" t="str">
            <v>BPP HOSPITALITY</v>
          </cell>
        </row>
        <row r="812">
          <cell r="F812">
            <v>0</v>
          </cell>
          <cell r="H812">
            <v>0</v>
          </cell>
          <cell r="J812">
            <v>0</v>
          </cell>
          <cell r="AE812" t="str">
            <v>BPP HOSPITALITY</v>
          </cell>
        </row>
        <row r="813">
          <cell r="F813">
            <v>0</v>
          </cell>
          <cell r="H813">
            <v>0</v>
          </cell>
          <cell r="J813">
            <v>0</v>
          </cell>
          <cell r="AE813" t="str">
            <v>BPP HOSPITALITY</v>
          </cell>
        </row>
        <row r="814">
          <cell r="F814">
            <v>0</v>
          </cell>
          <cell r="H814">
            <v>0</v>
          </cell>
          <cell r="J814">
            <v>0</v>
          </cell>
          <cell r="AE814" t="str">
            <v>BPP HOSPITALITY</v>
          </cell>
        </row>
        <row r="815">
          <cell r="F815">
            <v>0</v>
          </cell>
          <cell r="H815">
            <v>0</v>
          </cell>
          <cell r="J815">
            <v>0</v>
          </cell>
          <cell r="AE815" t="str">
            <v>BPP HOSPITALITY</v>
          </cell>
        </row>
        <row r="816">
          <cell r="F816">
            <v>0</v>
          </cell>
          <cell r="H816">
            <v>0</v>
          </cell>
          <cell r="J816">
            <v>0</v>
          </cell>
          <cell r="AE816" t="str">
            <v>BPP HOSPITALITY</v>
          </cell>
        </row>
        <row r="817">
          <cell r="F817">
            <v>0</v>
          </cell>
          <cell r="H817">
            <v>0</v>
          </cell>
          <cell r="J817">
            <v>0</v>
          </cell>
          <cell r="AE817" t="str">
            <v>BPP HOSPITALITY</v>
          </cell>
        </row>
        <row r="818">
          <cell r="F818">
            <v>0</v>
          </cell>
          <cell r="H818">
            <v>0</v>
          </cell>
          <cell r="J818">
            <v>0</v>
          </cell>
          <cell r="AE818" t="str">
            <v>BPP HOSPITALITY</v>
          </cell>
        </row>
        <row r="819">
          <cell r="F819">
            <v>0</v>
          </cell>
          <cell r="H819">
            <v>0</v>
          </cell>
          <cell r="J819">
            <v>0</v>
          </cell>
          <cell r="AE819" t="str">
            <v>BPP HOSPITALITY</v>
          </cell>
        </row>
        <row r="820">
          <cell r="F820">
            <v>0</v>
          </cell>
          <cell r="H820">
            <v>0</v>
          </cell>
          <cell r="J820">
            <v>0</v>
          </cell>
          <cell r="AE820" t="str">
            <v>BPP HOSPITALITY</v>
          </cell>
        </row>
        <row r="821">
          <cell r="F821">
            <v>0</v>
          </cell>
          <cell r="H821">
            <v>0</v>
          </cell>
          <cell r="J821">
            <v>0</v>
          </cell>
          <cell r="AE821" t="str">
            <v>BPP HOSPITALITY</v>
          </cell>
        </row>
        <row r="822">
          <cell r="F822">
            <v>0</v>
          </cell>
          <cell r="H822">
            <v>0</v>
          </cell>
          <cell r="J822">
            <v>0</v>
          </cell>
          <cell r="AE822" t="str">
            <v>BPP ASSET MANAGEMENT</v>
          </cell>
        </row>
        <row r="823">
          <cell r="F823">
            <v>0</v>
          </cell>
          <cell r="H823">
            <v>0</v>
          </cell>
          <cell r="J823">
            <v>0</v>
          </cell>
          <cell r="AE823" t="str">
            <v>BPP ASSET MANAGEMENT</v>
          </cell>
        </row>
        <row r="824">
          <cell r="F824">
            <v>0</v>
          </cell>
          <cell r="H824">
            <v>0</v>
          </cell>
          <cell r="J824">
            <v>0</v>
          </cell>
          <cell r="AE824" t="str">
            <v>BPP ASSET MANAGEMENT</v>
          </cell>
        </row>
        <row r="825">
          <cell r="F825">
            <v>219755833.36999997</v>
          </cell>
          <cell r="H825">
            <v>284919560.03999996</v>
          </cell>
          <cell r="J825">
            <v>284503726.67000002</v>
          </cell>
          <cell r="AE825" t="str">
            <v>BPP ASSET MANAGEMENT</v>
          </cell>
        </row>
        <row r="826">
          <cell r="F826">
            <v>0</v>
          </cell>
          <cell r="H826">
            <v>0</v>
          </cell>
          <cell r="J826">
            <v>0</v>
          </cell>
          <cell r="AE826" t="str">
            <v>BPP ASSET MANAGEMENT</v>
          </cell>
        </row>
        <row r="827">
          <cell r="F827">
            <v>1905897</v>
          </cell>
          <cell r="H827">
            <v>7813053.3200000003</v>
          </cell>
          <cell r="J827">
            <v>26344188.309999999</v>
          </cell>
          <cell r="AE827" t="str">
            <v>BPP ASSET MANAGEMENT</v>
          </cell>
        </row>
        <row r="828">
          <cell r="F828">
            <v>0</v>
          </cell>
          <cell r="H828">
            <v>0</v>
          </cell>
          <cell r="J828">
            <v>0</v>
          </cell>
          <cell r="AE828" t="str">
            <v>BPP ASSET MANAGEMENT</v>
          </cell>
        </row>
        <row r="829">
          <cell r="F829">
            <v>56498727</v>
          </cell>
          <cell r="H829">
            <v>0</v>
          </cell>
          <cell r="J829">
            <v>0</v>
          </cell>
          <cell r="AE829" t="str">
            <v>BPP ASSET MANAGEMENT</v>
          </cell>
        </row>
        <row r="830">
          <cell r="F830">
            <v>0</v>
          </cell>
          <cell r="H830">
            <v>0</v>
          </cell>
          <cell r="J830">
            <v>0</v>
          </cell>
          <cell r="AE830" t="str">
            <v>BPP ASSET MANAGEMENT</v>
          </cell>
        </row>
        <row r="831">
          <cell r="F831">
            <v>0</v>
          </cell>
          <cell r="H831">
            <v>736000</v>
          </cell>
          <cell r="J831">
            <v>0</v>
          </cell>
          <cell r="AE831" t="str">
            <v>BPP ASSET MANAGEMENT</v>
          </cell>
        </row>
        <row r="832">
          <cell r="F832">
            <v>0</v>
          </cell>
          <cell r="H832">
            <v>0</v>
          </cell>
          <cell r="J832">
            <v>0</v>
          </cell>
          <cell r="AE832" t="str">
            <v>BPP ASSET MANAGEMENT</v>
          </cell>
        </row>
        <row r="833">
          <cell r="F833">
            <v>0</v>
          </cell>
          <cell r="H833">
            <v>0</v>
          </cell>
          <cell r="J833">
            <v>0</v>
          </cell>
          <cell r="AE833" t="str">
            <v>BPP ASSET MANAGEMENT</v>
          </cell>
        </row>
        <row r="834">
          <cell r="F834">
            <v>0</v>
          </cell>
          <cell r="H834">
            <v>0</v>
          </cell>
          <cell r="J834">
            <v>0</v>
          </cell>
          <cell r="AE834" t="str">
            <v>BPP ASSET MANAGEMENT</v>
          </cell>
        </row>
        <row r="835">
          <cell r="F835">
            <v>0</v>
          </cell>
          <cell r="H835">
            <v>0</v>
          </cell>
          <cell r="J835">
            <v>0</v>
          </cell>
          <cell r="AE835" t="str">
            <v>BPP ASSET MANAGEMENT</v>
          </cell>
        </row>
        <row r="836">
          <cell r="F836">
            <v>0</v>
          </cell>
          <cell r="H836">
            <v>0</v>
          </cell>
          <cell r="J836">
            <v>0</v>
          </cell>
          <cell r="AE836" t="str">
            <v>BPP ASSET MANAGEMENT</v>
          </cell>
        </row>
        <row r="837">
          <cell r="F837">
            <v>0</v>
          </cell>
          <cell r="H837">
            <v>0</v>
          </cell>
          <cell r="J837">
            <v>0</v>
          </cell>
          <cell r="AE837" t="str">
            <v>BPP ASSET MANAGEMENT</v>
          </cell>
        </row>
        <row r="838">
          <cell r="F838">
            <v>50000</v>
          </cell>
          <cell r="H838">
            <v>0</v>
          </cell>
          <cell r="J838">
            <v>40000</v>
          </cell>
          <cell r="AE838" t="str">
            <v>BPP ASSET MANAGEMENT</v>
          </cell>
        </row>
        <row r="839">
          <cell r="F839">
            <v>0</v>
          </cell>
          <cell r="H839">
            <v>0</v>
          </cell>
          <cell r="J839">
            <v>0</v>
          </cell>
          <cell r="AE839" t="str">
            <v>BPP ASSET MANAGEMENT</v>
          </cell>
        </row>
        <row r="840">
          <cell r="F840">
            <v>0</v>
          </cell>
          <cell r="H840">
            <v>0</v>
          </cell>
          <cell r="J840">
            <v>0</v>
          </cell>
          <cell r="AE840" t="str">
            <v>BPP ASSET MANAGEMENT</v>
          </cell>
        </row>
        <row r="841">
          <cell r="F841">
            <v>0</v>
          </cell>
          <cell r="H841">
            <v>0</v>
          </cell>
          <cell r="J841">
            <v>0</v>
          </cell>
          <cell r="AE841" t="str">
            <v>BPP ASSET MANAGEMENT</v>
          </cell>
        </row>
        <row r="842">
          <cell r="F842">
            <v>0</v>
          </cell>
          <cell r="H842">
            <v>0</v>
          </cell>
          <cell r="J842">
            <v>0</v>
          </cell>
          <cell r="AE842" t="str">
            <v>BPP ASSET MANAGEMENT</v>
          </cell>
        </row>
        <row r="843">
          <cell r="F843">
            <v>0</v>
          </cell>
          <cell r="H843">
            <v>0</v>
          </cell>
          <cell r="J843">
            <v>0</v>
          </cell>
          <cell r="AE843" t="str">
            <v>BPP ASSET MANAGEMENT</v>
          </cell>
        </row>
        <row r="844">
          <cell r="F844">
            <v>0</v>
          </cell>
          <cell r="H844">
            <v>0</v>
          </cell>
          <cell r="J844">
            <v>0</v>
          </cell>
          <cell r="AE844" t="str">
            <v>BPP ASSET MANAGEMENT</v>
          </cell>
        </row>
        <row r="845">
          <cell r="F845">
            <v>0</v>
          </cell>
          <cell r="H845">
            <v>0</v>
          </cell>
          <cell r="J845">
            <v>0</v>
          </cell>
          <cell r="AE845" t="str">
            <v>BPP ASSET MANAGEMENT</v>
          </cell>
        </row>
        <row r="846">
          <cell r="F846">
            <v>0</v>
          </cell>
          <cell r="H846">
            <v>0</v>
          </cell>
          <cell r="J846">
            <v>0</v>
          </cell>
          <cell r="AE846" t="str">
            <v>BPP ASSET MANAGEMENT</v>
          </cell>
        </row>
        <row r="847">
          <cell r="F847">
            <v>0</v>
          </cell>
          <cell r="H847">
            <v>0</v>
          </cell>
          <cell r="J847">
            <v>0</v>
          </cell>
          <cell r="AE847" t="str">
            <v>BPP ASSET MANAGEMENT</v>
          </cell>
        </row>
        <row r="848">
          <cell r="F848">
            <v>0</v>
          </cell>
          <cell r="H848">
            <v>0</v>
          </cell>
          <cell r="J848">
            <v>0</v>
          </cell>
          <cell r="AE848" t="str">
            <v>BPP ASSET MANAGEMENT</v>
          </cell>
        </row>
        <row r="849">
          <cell r="F849">
            <v>0</v>
          </cell>
          <cell r="H849">
            <v>0</v>
          </cell>
          <cell r="J849">
            <v>0</v>
          </cell>
          <cell r="AE849" t="str">
            <v>BPP ASSET MANAGEMENT</v>
          </cell>
        </row>
        <row r="850">
          <cell r="F850">
            <v>0</v>
          </cell>
          <cell r="H850">
            <v>0</v>
          </cell>
          <cell r="J850">
            <v>0</v>
          </cell>
          <cell r="AE850" t="str">
            <v>BPP ASSET MANAGEMENT</v>
          </cell>
        </row>
        <row r="851">
          <cell r="F851">
            <v>0</v>
          </cell>
          <cell r="H851">
            <v>0</v>
          </cell>
          <cell r="J851">
            <v>0</v>
          </cell>
          <cell r="AE851" t="str">
            <v>BPP ASSET MANAGEMENT</v>
          </cell>
        </row>
        <row r="852">
          <cell r="F852">
            <v>0</v>
          </cell>
          <cell r="H852">
            <v>0</v>
          </cell>
          <cell r="J852">
            <v>0</v>
          </cell>
          <cell r="AE852" t="str">
            <v>BPP ASSET MANAGEMENT</v>
          </cell>
        </row>
        <row r="853">
          <cell r="F853">
            <v>0</v>
          </cell>
          <cell r="H853">
            <v>0</v>
          </cell>
          <cell r="J853">
            <v>0</v>
          </cell>
          <cell r="AE853" t="str">
            <v>BPP ASSET MANAGEMENT</v>
          </cell>
        </row>
        <row r="854">
          <cell r="F854">
            <v>0</v>
          </cell>
          <cell r="H854">
            <v>0</v>
          </cell>
          <cell r="J854">
            <v>0</v>
          </cell>
          <cell r="AE854" t="str">
            <v>BPP ASSET MANAGEMENT</v>
          </cell>
        </row>
        <row r="855">
          <cell r="F855">
            <v>0</v>
          </cell>
          <cell r="H855">
            <v>0</v>
          </cell>
          <cell r="J855">
            <v>0</v>
          </cell>
          <cell r="AE855" t="str">
            <v>BPP ASSET MANAGEMENT</v>
          </cell>
        </row>
        <row r="856">
          <cell r="F856">
            <v>0</v>
          </cell>
          <cell r="H856">
            <v>0</v>
          </cell>
          <cell r="J856">
            <v>0</v>
          </cell>
          <cell r="AE856" t="str">
            <v>BPP ASSET MANAGEMENT</v>
          </cell>
        </row>
        <row r="857">
          <cell r="F857">
            <v>0</v>
          </cell>
          <cell r="H857">
            <v>0</v>
          </cell>
          <cell r="J857">
            <v>0</v>
          </cell>
          <cell r="AE857" t="str">
            <v>BPP ASSET MANAGEMENT</v>
          </cell>
        </row>
        <row r="858">
          <cell r="F858">
            <v>0</v>
          </cell>
          <cell r="H858">
            <v>0</v>
          </cell>
          <cell r="J858">
            <v>0</v>
          </cell>
          <cell r="AE858" t="str">
            <v>BPP ASSET MANAGEMENT</v>
          </cell>
        </row>
        <row r="859">
          <cell r="F859">
            <v>0</v>
          </cell>
          <cell r="H859">
            <v>0</v>
          </cell>
          <cell r="J859">
            <v>0</v>
          </cell>
          <cell r="AE859" t="str">
            <v>BPP ASSET MANAGEMENT</v>
          </cell>
        </row>
        <row r="860">
          <cell r="F860">
            <v>0</v>
          </cell>
          <cell r="H860">
            <v>0</v>
          </cell>
          <cell r="J860">
            <v>0</v>
          </cell>
          <cell r="AE860" t="str">
            <v>BPP ASSET MANAGEMENT</v>
          </cell>
        </row>
        <row r="861">
          <cell r="F861">
            <v>0</v>
          </cell>
          <cell r="H861">
            <v>0</v>
          </cell>
          <cell r="J861">
            <v>0</v>
          </cell>
          <cell r="AE861" t="str">
            <v>BPP ASSET MANAGEMENT</v>
          </cell>
        </row>
        <row r="862">
          <cell r="F862">
            <v>0</v>
          </cell>
          <cell r="H862">
            <v>0</v>
          </cell>
          <cell r="J862">
            <v>0</v>
          </cell>
          <cell r="AE862" t="str">
            <v>BPP ASSET MANAGEMENT</v>
          </cell>
        </row>
        <row r="863">
          <cell r="F863">
            <v>0</v>
          </cell>
          <cell r="H863">
            <v>0</v>
          </cell>
          <cell r="J863">
            <v>0</v>
          </cell>
          <cell r="AE863" t="str">
            <v>BPP ASSET MANAGEMENT</v>
          </cell>
        </row>
        <row r="864">
          <cell r="F864">
            <v>0</v>
          </cell>
          <cell r="H864">
            <v>0</v>
          </cell>
          <cell r="J864">
            <v>0</v>
          </cell>
          <cell r="AE864" t="str">
            <v>BPP ASSET MANAGEMENT</v>
          </cell>
        </row>
        <row r="865">
          <cell r="F865">
            <v>0</v>
          </cell>
          <cell r="H865">
            <v>0</v>
          </cell>
          <cell r="J865">
            <v>0</v>
          </cell>
          <cell r="AE865" t="str">
            <v>BPP ASSET MANAGEMENT</v>
          </cell>
        </row>
        <row r="866">
          <cell r="F866">
            <v>0</v>
          </cell>
          <cell r="H866">
            <v>675000</v>
          </cell>
          <cell r="J866">
            <v>0</v>
          </cell>
          <cell r="AE866" t="str">
            <v>BPP ASSET MANAGEMENT</v>
          </cell>
        </row>
        <row r="867">
          <cell r="F867">
            <v>0</v>
          </cell>
          <cell r="H867">
            <v>0</v>
          </cell>
          <cell r="J867">
            <v>0</v>
          </cell>
          <cell r="AE867" t="str">
            <v>BPP ASSET MANAGEMENT</v>
          </cell>
        </row>
        <row r="868">
          <cell r="F868">
            <v>0</v>
          </cell>
          <cell r="H868">
            <v>0</v>
          </cell>
          <cell r="J868">
            <v>0</v>
          </cell>
          <cell r="AE868" t="str">
            <v>BPP ASSET MANAGEMENT</v>
          </cell>
        </row>
        <row r="869">
          <cell r="F869">
            <v>0</v>
          </cell>
          <cell r="H869">
            <v>0</v>
          </cell>
          <cell r="J869">
            <v>0</v>
          </cell>
          <cell r="AE869" t="str">
            <v>BPP ASSET MANAGEMENT</v>
          </cell>
        </row>
        <row r="870">
          <cell r="F870">
            <v>0</v>
          </cell>
          <cell r="H870">
            <v>0</v>
          </cell>
          <cell r="J870">
            <v>0</v>
          </cell>
          <cell r="AE870" t="str">
            <v>BPP ASSET MANAGEMENT</v>
          </cell>
        </row>
        <row r="871">
          <cell r="F871">
            <v>0</v>
          </cell>
          <cell r="H871">
            <v>0</v>
          </cell>
          <cell r="J871">
            <v>0</v>
          </cell>
          <cell r="AE871" t="str">
            <v>BPP ASSET MANAGEMENT</v>
          </cell>
        </row>
        <row r="872">
          <cell r="F872">
            <v>0</v>
          </cell>
          <cell r="H872">
            <v>0</v>
          </cell>
          <cell r="J872">
            <v>0</v>
          </cell>
          <cell r="AE872" t="str">
            <v>BPP ASSET MANAGEMENT</v>
          </cell>
        </row>
        <row r="873">
          <cell r="F873">
            <v>0</v>
          </cell>
          <cell r="H873">
            <v>0</v>
          </cell>
          <cell r="J873">
            <v>0</v>
          </cell>
          <cell r="AE873" t="str">
            <v>BPP ASSET MANAGEMENT</v>
          </cell>
        </row>
        <row r="874">
          <cell r="F874">
            <v>0</v>
          </cell>
          <cell r="H874">
            <v>0</v>
          </cell>
          <cell r="J874">
            <v>0</v>
          </cell>
          <cell r="AE874" t="str">
            <v>BPP ASSET MANAGEMENT</v>
          </cell>
        </row>
        <row r="875">
          <cell r="F875">
            <v>0</v>
          </cell>
          <cell r="H875">
            <v>0</v>
          </cell>
          <cell r="J875">
            <v>0</v>
          </cell>
          <cell r="AE875" t="str">
            <v>BPP ASSET MANAGEMENT</v>
          </cell>
        </row>
        <row r="876">
          <cell r="F876">
            <v>0</v>
          </cell>
          <cell r="H876">
            <v>0</v>
          </cell>
          <cell r="J876">
            <v>0</v>
          </cell>
          <cell r="AE876" t="str">
            <v>BPP ASSET MANAGEMENT</v>
          </cell>
        </row>
        <row r="877">
          <cell r="F877">
            <v>0</v>
          </cell>
          <cell r="H877">
            <v>0</v>
          </cell>
          <cell r="J877">
            <v>0</v>
          </cell>
          <cell r="AE877" t="str">
            <v>BPP ASSET MANAGEMENT</v>
          </cell>
        </row>
        <row r="878">
          <cell r="F878">
            <v>0</v>
          </cell>
          <cell r="H878">
            <v>0</v>
          </cell>
          <cell r="J878">
            <v>0</v>
          </cell>
          <cell r="AE878" t="str">
            <v>BPP ASSET MANAGEMENT</v>
          </cell>
        </row>
        <row r="879">
          <cell r="F879">
            <v>0</v>
          </cell>
          <cell r="H879">
            <v>0</v>
          </cell>
          <cell r="J879">
            <v>0</v>
          </cell>
          <cell r="AE879" t="str">
            <v>BPP ASSET MANAGEMENT</v>
          </cell>
        </row>
        <row r="880">
          <cell r="F880">
            <v>0</v>
          </cell>
          <cell r="H880">
            <v>0</v>
          </cell>
          <cell r="J880">
            <v>0</v>
          </cell>
          <cell r="AE880" t="str">
            <v>BPP ASSET MANAGEMENT</v>
          </cell>
        </row>
        <row r="881">
          <cell r="F881">
            <v>0</v>
          </cell>
          <cell r="H881">
            <v>0</v>
          </cell>
          <cell r="J881">
            <v>0</v>
          </cell>
          <cell r="AE881" t="str">
            <v>BPP ASSET MANAGEMENT</v>
          </cell>
        </row>
        <row r="882">
          <cell r="F882">
            <v>2300000</v>
          </cell>
          <cell r="H882">
            <v>0</v>
          </cell>
          <cell r="J882">
            <v>0</v>
          </cell>
          <cell r="AE882" t="str">
            <v>BPP ASSET MANAGEMENT</v>
          </cell>
        </row>
        <row r="883">
          <cell r="F883">
            <v>0</v>
          </cell>
          <cell r="H883">
            <v>0</v>
          </cell>
          <cell r="J883">
            <v>0</v>
          </cell>
          <cell r="AE883" t="str">
            <v>BPP ASSET MANAGEMENT</v>
          </cell>
        </row>
        <row r="884">
          <cell r="F884">
            <v>0</v>
          </cell>
          <cell r="H884">
            <v>0</v>
          </cell>
          <cell r="J884">
            <v>0</v>
          </cell>
          <cell r="AE884" t="str">
            <v>BPP ASSET MANAGEMENT</v>
          </cell>
        </row>
        <row r="885">
          <cell r="F885">
            <v>0</v>
          </cell>
          <cell r="H885">
            <v>0</v>
          </cell>
          <cell r="J885">
            <v>0</v>
          </cell>
          <cell r="AE885" t="str">
            <v>BPP ASSET MANAGEMENT</v>
          </cell>
        </row>
        <row r="886">
          <cell r="F886">
            <v>0</v>
          </cell>
          <cell r="H886">
            <v>0</v>
          </cell>
          <cell r="J886">
            <v>0</v>
          </cell>
          <cell r="AE886" t="str">
            <v>BPP ASSET MANAGEMENT</v>
          </cell>
        </row>
        <row r="887">
          <cell r="F887">
            <v>0</v>
          </cell>
          <cell r="H887">
            <v>0</v>
          </cell>
          <cell r="J887">
            <v>0</v>
          </cell>
          <cell r="AE887" t="str">
            <v>BPP ASSET MANAGEMENT</v>
          </cell>
        </row>
        <row r="888">
          <cell r="F888">
            <v>0</v>
          </cell>
          <cell r="H888">
            <v>0</v>
          </cell>
          <cell r="J888">
            <v>0</v>
          </cell>
          <cell r="AE888" t="str">
            <v>BPP ASSET MANAGEMENT</v>
          </cell>
        </row>
        <row r="889">
          <cell r="F889">
            <v>0</v>
          </cell>
          <cell r="H889">
            <v>0</v>
          </cell>
          <cell r="J889">
            <v>0</v>
          </cell>
          <cell r="AE889" t="str">
            <v>BPP ASSET MANAGEMENT</v>
          </cell>
        </row>
        <row r="890">
          <cell r="F890">
            <v>0</v>
          </cell>
          <cell r="H890">
            <v>0</v>
          </cell>
          <cell r="J890">
            <v>0</v>
          </cell>
          <cell r="AE890" t="str">
            <v>BPP ASSET MANAGEMENT</v>
          </cell>
        </row>
        <row r="891">
          <cell r="F891">
            <v>440824813</v>
          </cell>
          <cell r="H891">
            <v>433240970</v>
          </cell>
          <cell r="J891">
            <v>415574808</v>
          </cell>
          <cell r="AE891" t="str">
            <v>BPP ASSET MANAGEMENT</v>
          </cell>
        </row>
        <row r="892">
          <cell r="F892">
            <v>218487357</v>
          </cell>
          <cell r="H892">
            <v>221062183</v>
          </cell>
          <cell r="J892">
            <v>217485193</v>
          </cell>
          <cell r="AE892" t="str">
            <v>BPP ASSET MANAGEMENT</v>
          </cell>
        </row>
        <row r="893">
          <cell r="F893">
            <v>0</v>
          </cell>
          <cell r="H893">
            <v>0</v>
          </cell>
          <cell r="J893">
            <v>0</v>
          </cell>
          <cell r="AE893" t="str">
            <v>BPP ASSET MANAGEMENT</v>
          </cell>
        </row>
        <row r="894">
          <cell r="F894">
            <v>0</v>
          </cell>
          <cell r="H894">
            <v>0</v>
          </cell>
          <cell r="J894">
            <v>0</v>
          </cell>
          <cell r="AE894" t="str">
            <v>BPP ASSET MANAGEMENT</v>
          </cell>
        </row>
        <row r="895">
          <cell r="F895">
            <v>193000</v>
          </cell>
          <cell r="H895">
            <v>155000</v>
          </cell>
          <cell r="J895">
            <v>0</v>
          </cell>
          <cell r="AE895" t="str">
            <v>BPP ASSET MANAGEMENT</v>
          </cell>
        </row>
        <row r="896">
          <cell r="F896">
            <v>0</v>
          </cell>
          <cell r="H896">
            <v>0</v>
          </cell>
          <cell r="J896">
            <v>0</v>
          </cell>
          <cell r="AE896" t="str">
            <v>BPP ASSET MANAGEMENT</v>
          </cell>
        </row>
        <row r="897">
          <cell r="F897">
            <v>4479900</v>
          </cell>
          <cell r="H897">
            <v>3605900</v>
          </cell>
          <cell r="J897">
            <v>1460000</v>
          </cell>
          <cell r="AE897" t="str">
            <v>BPP ASSET MANAGEMENT</v>
          </cell>
        </row>
        <row r="898">
          <cell r="F898">
            <v>0</v>
          </cell>
          <cell r="H898">
            <v>0</v>
          </cell>
          <cell r="J898">
            <v>0</v>
          </cell>
          <cell r="AE898" t="str">
            <v>BPP ASSET MANAGEMENT</v>
          </cell>
        </row>
        <row r="899">
          <cell r="F899">
            <v>0</v>
          </cell>
          <cell r="H899">
            <v>0</v>
          </cell>
          <cell r="J899">
            <v>0</v>
          </cell>
          <cell r="AE899" t="str">
            <v>BPP ASSET MANAGEMENT</v>
          </cell>
        </row>
        <row r="900">
          <cell r="F900">
            <v>0</v>
          </cell>
          <cell r="H900">
            <v>0</v>
          </cell>
          <cell r="J900">
            <v>0</v>
          </cell>
          <cell r="AE900" t="str">
            <v>BPP ASSET MANAGEMENT</v>
          </cell>
        </row>
        <row r="901">
          <cell r="F901">
            <v>0</v>
          </cell>
          <cell r="H901">
            <v>0</v>
          </cell>
          <cell r="J901">
            <v>0</v>
          </cell>
          <cell r="AE901" t="str">
            <v>BPP ASSET MANAGEMENT</v>
          </cell>
        </row>
        <row r="902">
          <cell r="F902">
            <v>0</v>
          </cell>
          <cell r="H902">
            <v>0</v>
          </cell>
          <cell r="J902">
            <v>0</v>
          </cell>
          <cell r="AE902" t="str">
            <v>BPP ASSET MANAGEMENT</v>
          </cell>
        </row>
        <row r="903">
          <cell r="F903">
            <v>0</v>
          </cell>
          <cell r="H903">
            <v>0</v>
          </cell>
          <cell r="J903">
            <v>0</v>
          </cell>
          <cell r="AE903" t="str">
            <v>BPP ASSET MANAGEMENT</v>
          </cell>
        </row>
        <row r="904">
          <cell r="F904">
            <v>0</v>
          </cell>
          <cell r="H904">
            <v>0</v>
          </cell>
          <cell r="J904">
            <v>0</v>
          </cell>
          <cell r="AE904" t="str">
            <v>BPP ASSET MANAGEMENT</v>
          </cell>
        </row>
        <row r="905">
          <cell r="F905">
            <v>0</v>
          </cell>
          <cell r="H905">
            <v>0</v>
          </cell>
          <cell r="J905">
            <v>0</v>
          </cell>
          <cell r="AE905" t="str">
            <v>BPP ASSET MANAGEMENT</v>
          </cell>
        </row>
        <row r="906">
          <cell r="F906">
            <v>6000000</v>
          </cell>
          <cell r="H906">
            <v>0</v>
          </cell>
          <cell r="J906">
            <v>0</v>
          </cell>
          <cell r="AE906" t="str">
            <v>BPP ASSET MANAGEMENT</v>
          </cell>
        </row>
        <row r="907">
          <cell r="F907">
            <v>0</v>
          </cell>
          <cell r="H907">
            <v>0</v>
          </cell>
          <cell r="J907">
            <v>0</v>
          </cell>
          <cell r="AE907" t="str">
            <v>BPP ASSET MANAGEMENT</v>
          </cell>
        </row>
        <row r="908">
          <cell r="F908">
            <v>0</v>
          </cell>
          <cell r="H908">
            <v>0</v>
          </cell>
          <cell r="J908">
            <v>0</v>
          </cell>
          <cell r="AE908" t="str">
            <v>BPP ASSET MANAGEMENT</v>
          </cell>
        </row>
        <row r="909">
          <cell r="F909">
            <v>0</v>
          </cell>
          <cell r="H909">
            <v>0</v>
          </cell>
          <cell r="J909">
            <v>0</v>
          </cell>
          <cell r="AE909" t="str">
            <v>BPP ASSET MANAGEMENT</v>
          </cell>
        </row>
        <row r="910">
          <cell r="F910">
            <v>0</v>
          </cell>
          <cell r="H910">
            <v>0</v>
          </cell>
          <cell r="J910">
            <v>0</v>
          </cell>
          <cell r="AE910" t="str">
            <v>BPP ASSET MANAGEMENT</v>
          </cell>
        </row>
        <row r="911">
          <cell r="F911">
            <v>491000</v>
          </cell>
          <cell r="H911">
            <v>560000</v>
          </cell>
          <cell r="J911">
            <v>300000</v>
          </cell>
          <cell r="AE911" t="str">
            <v>BPP ASSET MANAGEMENT</v>
          </cell>
        </row>
        <row r="912">
          <cell r="F912">
            <v>163000</v>
          </cell>
          <cell r="H912">
            <v>689100</v>
          </cell>
          <cell r="J912">
            <v>0</v>
          </cell>
          <cell r="AE912" t="str">
            <v>BPP ASSET MANAGEMENT</v>
          </cell>
        </row>
        <row r="913">
          <cell r="F913">
            <v>0</v>
          </cell>
          <cell r="H913">
            <v>0</v>
          </cell>
          <cell r="J913">
            <v>0</v>
          </cell>
          <cell r="AE913" t="str">
            <v>BPP ASSET MANAGEMENT</v>
          </cell>
        </row>
        <row r="914">
          <cell r="F914">
            <v>0</v>
          </cell>
          <cell r="H914">
            <v>0</v>
          </cell>
          <cell r="J914">
            <v>0</v>
          </cell>
          <cell r="AE914" t="str">
            <v>BPP ASSET MANAGEMENT</v>
          </cell>
        </row>
        <row r="915">
          <cell r="F915">
            <v>0</v>
          </cell>
          <cell r="H915">
            <v>0</v>
          </cell>
          <cell r="J915">
            <v>0</v>
          </cell>
          <cell r="AE915" t="str">
            <v>BPP ASSET MANAGEMENT</v>
          </cell>
        </row>
        <row r="916">
          <cell r="F916">
            <v>0</v>
          </cell>
          <cell r="H916">
            <v>0</v>
          </cell>
          <cell r="J916">
            <v>0</v>
          </cell>
          <cell r="AE916" t="str">
            <v>BPP ASSET MANAGEMENT</v>
          </cell>
        </row>
        <row r="917">
          <cell r="F917">
            <v>0</v>
          </cell>
          <cell r="H917">
            <v>0</v>
          </cell>
          <cell r="J917">
            <v>0</v>
          </cell>
          <cell r="AE917" t="str">
            <v>BPP ASSET MANAGEMENT</v>
          </cell>
        </row>
        <row r="918">
          <cell r="F918">
            <v>8335748</v>
          </cell>
          <cell r="H918">
            <v>8335748</v>
          </cell>
          <cell r="J918">
            <v>8335748</v>
          </cell>
          <cell r="AE918" t="str">
            <v>BPP ASSET MANAGEMENT</v>
          </cell>
        </row>
        <row r="919">
          <cell r="F919">
            <v>0</v>
          </cell>
          <cell r="H919">
            <v>0</v>
          </cell>
          <cell r="J919">
            <v>12000</v>
          </cell>
          <cell r="AE919" t="str">
            <v>BPP ASSET MANAGEMENT</v>
          </cell>
        </row>
        <row r="920">
          <cell r="F920">
            <v>0</v>
          </cell>
          <cell r="H920">
            <v>6000</v>
          </cell>
          <cell r="J920">
            <v>0</v>
          </cell>
          <cell r="AE920" t="str">
            <v>BPP ASSET MANAGEMENT</v>
          </cell>
        </row>
        <row r="921">
          <cell r="F921">
            <v>0</v>
          </cell>
          <cell r="H921">
            <v>0</v>
          </cell>
          <cell r="J921">
            <v>0</v>
          </cell>
          <cell r="AE921" t="str">
            <v>BPP ASSET MANAGEMENT</v>
          </cell>
        </row>
        <row r="922">
          <cell r="F922">
            <v>0</v>
          </cell>
          <cell r="H922">
            <v>0</v>
          </cell>
          <cell r="J922">
            <v>0</v>
          </cell>
          <cell r="AE922" t="str">
            <v>BPP ASSET MANAGEMENT</v>
          </cell>
        </row>
        <row r="923">
          <cell r="F923">
            <v>0</v>
          </cell>
          <cell r="H923">
            <v>0</v>
          </cell>
          <cell r="J923">
            <v>0</v>
          </cell>
          <cell r="AE923" t="str">
            <v>BPP ASSET MANAGEMENT</v>
          </cell>
        </row>
        <row r="924">
          <cell r="F924">
            <v>0</v>
          </cell>
          <cell r="H924">
            <v>0</v>
          </cell>
          <cell r="J924">
            <v>0</v>
          </cell>
          <cell r="AE924" t="str">
            <v>BPP ASSET MANAGEMENT</v>
          </cell>
        </row>
        <row r="925">
          <cell r="F925">
            <v>700000</v>
          </cell>
          <cell r="H925">
            <v>400000</v>
          </cell>
          <cell r="J925">
            <v>0</v>
          </cell>
          <cell r="AE925" t="str">
            <v>BPP ASSET MANAGEMENT</v>
          </cell>
        </row>
        <row r="926">
          <cell r="F926">
            <v>0</v>
          </cell>
          <cell r="H926">
            <v>0</v>
          </cell>
          <cell r="J926">
            <v>0</v>
          </cell>
          <cell r="AE926" t="str">
            <v>BPP ASSET MANAGEMENT</v>
          </cell>
        </row>
        <row r="927">
          <cell r="F927">
            <v>10557406</v>
          </cell>
          <cell r="H927">
            <v>8182142</v>
          </cell>
          <cell r="J927">
            <v>3650783</v>
          </cell>
          <cell r="AE927" t="str">
            <v>BPP ASSET MANAGEMENT</v>
          </cell>
        </row>
        <row r="928">
          <cell r="F928">
            <v>0</v>
          </cell>
          <cell r="H928">
            <v>0</v>
          </cell>
          <cell r="J928">
            <v>0</v>
          </cell>
          <cell r="AE928" t="str">
            <v>BPP ASSET MANAGEMENT</v>
          </cell>
        </row>
        <row r="929">
          <cell r="F929">
            <v>0</v>
          </cell>
          <cell r="H929">
            <v>0</v>
          </cell>
          <cell r="J929">
            <v>0</v>
          </cell>
          <cell r="AE929" t="str">
            <v>BPP ASSET MANAGEMENT</v>
          </cell>
        </row>
        <row r="930">
          <cell r="F930">
            <v>0</v>
          </cell>
          <cell r="H930">
            <v>0</v>
          </cell>
          <cell r="J930">
            <v>0</v>
          </cell>
          <cell r="AE930" t="str">
            <v>BPP ASSET MANAGEMENT</v>
          </cell>
        </row>
        <row r="931">
          <cell r="F931">
            <v>0</v>
          </cell>
          <cell r="H931">
            <v>0</v>
          </cell>
          <cell r="J931">
            <v>0</v>
          </cell>
          <cell r="AE931" t="str">
            <v>BPP ASSET MANAGEMENT</v>
          </cell>
        </row>
        <row r="932">
          <cell r="F932">
            <v>0</v>
          </cell>
          <cell r="H932">
            <v>0</v>
          </cell>
          <cell r="J932">
            <v>0</v>
          </cell>
          <cell r="AE932" t="str">
            <v>BPP ASSET MANAGEMENT</v>
          </cell>
        </row>
        <row r="933">
          <cell r="F933">
            <v>0</v>
          </cell>
          <cell r="H933">
            <v>0</v>
          </cell>
          <cell r="J933">
            <v>0</v>
          </cell>
          <cell r="AE933" t="str">
            <v>BPP ASSET MANAGEMENT</v>
          </cell>
        </row>
        <row r="934">
          <cell r="F934">
            <v>0</v>
          </cell>
          <cell r="H934">
            <v>0</v>
          </cell>
          <cell r="J934">
            <v>0</v>
          </cell>
          <cell r="AE934" t="str">
            <v>BPP ASSET MANAGEMENT</v>
          </cell>
        </row>
        <row r="935">
          <cell r="F935">
            <v>20000000</v>
          </cell>
          <cell r="H935">
            <v>0</v>
          </cell>
          <cell r="J935">
            <v>0</v>
          </cell>
          <cell r="AE935" t="str">
            <v>BPP ASSET MANAGEMENT</v>
          </cell>
        </row>
        <row r="936">
          <cell r="F936">
            <v>0</v>
          </cell>
          <cell r="H936">
            <v>0</v>
          </cell>
          <cell r="J936">
            <v>0</v>
          </cell>
          <cell r="AE936" t="str">
            <v>BPP ASSET MANAGEMENT</v>
          </cell>
        </row>
        <row r="937">
          <cell r="F937">
            <v>0</v>
          </cell>
          <cell r="H937">
            <v>0</v>
          </cell>
          <cell r="J937">
            <v>0</v>
          </cell>
          <cell r="AE937" t="str">
            <v>BPP ASSET MANAGEMENT</v>
          </cell>
        </row>
        <row r="938">
          <cell r="F938">
            <v>0</v>
          </cell>
          <cell r="H938">
            <v>0</v>
          </cell>
          <cell r="J938">
            <v>0</v>
          </cell>
          <cell r="AE938" t="str">
            <v>BPP ASSET MANAGEMENT</v>
          </cell>
        </row>
        <row r="939">
          <cell r="F939">
            <v>0</v>
          </cell>
          <cell r="H939">
            <v>0</v>
          </cell>
          <cell r="J939">
            <v>0</v>
          </cell>
          <cell r="AE939" t="str">
            <v>BPP ASSET MANAGEMENT</v>
          </cell>
        </row>
        <row r="940">
          <cell r="F940">
            <v>0</v>
          </cell>
          <cell r="H940">
            <v>0</v>
          </cell>
          <cell r="J940">
            <v>0</v>
          </cell>
          <cell r="AE940" t="str">
            <v>BPP ASSET MANAGEMENT</v>
          </cell>
        </row>
        <row r="941">
          <cell r="F941">
            <v>0</v>
          </cell>
          <cell r="H941">
            <v>0</v>
          </cell>
          <cell r="J941">
            <v>0</v>
          </cell>
          <cell r="AE941" t="str">
            <v>BPP ASSET MANAGEMENT</v>
          </cell>
        </row>
        <row r="942">
          <cell r="F942">
            <v>0</v>
          </cell>
          <cell r="H942">
            <v>0</v>
          </cell>
          <cell r="J942">
            <v>0</v>
          </cell>
          <cell r="AE942" t="str">
            <v>BPP ASSET MANAGEMENT</v>
          </cell>
        </row>
        <row r="943">
          <cell r="F943">
            <v>0</v>
          </cell>
          <cell r="H943">
            <v>0</v>
          </cell>
          <cell r="J943">
            <v>0</v>
          </cell>
          <cell r="AE943" t="str">
            <v>BPP ASSET MANAGEMENT</v>
          </cell>
        </row>
        <row r="944">
          <cell r="F944">
            <v>0</v>
          </cell>
          <cell r="H944">
            <v>2729436.67</v>
          </cell>
          <cell r="J944">
            <v>2729437</v>
          </cell>
          <cell r="AE944" t="str">
            <v>BPP ASSET MANAGEMENT</v>
          </cell>
        </row>
        <row r="945">
          <cell r="F945">
            <v>0</v>
          </cell>
          <cell r="H945">
            <v>0</v>
          </cell>
          <cell r="J945">
            <v>0</v>
          </cell>
          <cell r="AE945" t="str">
            <v>BPP ASSET MANAGEMENT</v>
          </cell>
        </row>
        <row r="946">
          <cell r="F946">
            <v>0</v>
          </cell>
          <cell r="H946">
            <v>0</v>
          </cell>
          <cell r="J946">
            <v>0</v>
          </cell>
          <cell r="AE946" t="str">
            <v>BPP ASSET MANAGEMENT</v>
          </cell>
        </row>
        <row r="947">
          <cell r="F947">
            <v>0</v>
          </cell>
          <cell r="H947">
            <v>0</v>
          </cell>
          <cell r="J947">
            <v>0</v>
          </cell>
          <cell r="AE947" t="str">
            <v>BPP ASSET MANAGEMENT</v>
          </cell>
        </row>
        <row r="948">
          <cell r="F948">
            <v>0</v>
          </cell>
          <cell r="H948">
            <v>0</v>
          </cell>
          <cell r="J948">
            <v>0</v>
          </cell>
          <cell r="AE948" t="str">
            <v>BPP ASSET MANAGEMENT</v>
          </cell>
        </row>
        <row r="949">
          <cell r="F949">
            <v>0</v>
          </cell>
          <cell r="H949">
            <v>0</v>
          </cell>
          <cell r="J949">
            <v>0</v>
          </cell>
          <cell r="AE949" t="str">
            <v>BPP ASSET MANAGEMENT</v>
          </cell>
        </row>
        <row r="950">
          <cell r="F950">
            <v>0</v>
          </cell>
          <cell r="H950">
            <v>0</v>
          </cell>
          <cell r="J950">
            <v>0</v>
          </cell>
          <cell r="AE950" t="str">
            <v>BPP ASSET MANAGEMENT</v>
          </cell>
        </row>
        <row r="951">
          <cell r="F951">
            <v>0</v>
          </cell>
          <cell r="H951">
            <v>0</v>
          </cell>
          <cell r="J951">
            <v>0</v>
          </cell>
          <cell r="AE951" t="str">
            <v>BPP ASSET MANAGEMENT</v>
          </cell>
        </row>
        <row r="952">
          <cell r="F952">
            <v>0</v>
          </cell>
          <cell r="H952">
            <v>0</v>
          </cell>
          <cell r="J952">
            <v>0</v>
          </cell>
          <cell r="AE952" t="str">
            <v>BPP ASSET MANAGEMENT</v>
          </cell>
        </row>
        <row r="953">
          <cell r="F953">
            <v>0</v>
          </cell>
          <cell r="H953">
            <v>0</v>
          </cell>
          <cell r="J953">
            <v>0</v>
          </cell>
          <cell r="AE953" t="str">
            <v>BPP ASSET MANAGEMENT</v>
          </cell>
        </row>
        <row r="954">
          <cell r="F954">
            <v>0</v>
          </cell>
          <cell r="H954">
            <v>0</v>
          </cell>
          <cell r="J954">
            <v>0</v>
          </cell>
          <cell r="AE954" t="str">
            <v>BPP ASSET MANAGEMENT</v>
          </cell>
        </row>
        <row r="955">
          <cell r="F955">
            <v>0</v>
          </cell>
          <cell r="H955">
            <v>0</v>
          </cell>
          <cell r="J955">
            <v>0</v>
          </cell>
          <cell r="AE955" t="str">
            <v>BPP ASSET MANAGEMENT</v>
          </cell>
        </row>
        <row r="956">
          <cell r="F956">
            <v>0</v>
          </cell>
          <cell r="H956">
            <v>0</v>
          </cell>
          <cell r="J956">
            <v>0</v>
          </cell>
          <cell r="AE956" t="str">
            <v>BPP ASSET MANAGEMENT</v>
          </cell>
        </row>
        <row r="957">
          <cell r="F957">
            <v>0</v>
          </cell>
          <cell r="H957">
            <v>0</v>
          </cell>
          <cell r="J957">
            <v>0</v>
          </cell>
          <cell r="AE957" t="str">
            <v>BPP ASSET MANAGEMENT</v>
          </cell>
        </row>
        <row r="958">
          <cell r="F958">
            <v>0</v>
          </cell>
          <cell r="H958">
            <v>0</v>
          </cell>
          <cell r="J958">
            <v>0</v>
          </cell>
          <cell r="AE958" t="str">
            <v>BPP ASSET MANAGEMENT</v>
          </cell>
        </row>
        <row r="959">
          <cell r="F959">
            <v>0</v>
          </cell>
          <cell r="H959">
            <v>0</v>
          </cell>
          <cell r="J959">
            <v>0</v>
          </cell>
          <cell r="AE959" t="str">
            <v>BPP ASSET MANAGEMENT</v>
          </cell>
        </row>
        <row r="960">
          <cell r="F960">
            <v>0</v>
          </cell>
          <cell r="H960">
            <v>0</v>
          </cell>
          <cell r="J960">
            <v>0</v>
          </cell>
          <cell r="AE960" t="str">
            <v>BPP ASSET MANAGEMENT</v>
          </cell>
        </row>
        <row r="961">
          <cell r="F961">
            <v>0</v>
          </cell>
          <cell r="H961">
            <v>0</v>
          </cell>
          <cell r="J961">
            <v>0</v>
          </cell>
          <cell r="AE961" t="str">
            <v>BPP ASSET MANAGEMENT</v>
          </cell>
        </row>
        <row r="962">
          <cell r="F962">
            <v>0</v>
          </cell>
          <cell r="H962">
            <v>0</v>
          </cell>
          <cell r="J962">
            <v>0</v>
          </cell>
          <cell r="AE962" t="str">
            <v>BPP ASSET MANAGEMENT</v>
          </cell>
        </row>
        <row r="963">
          <cell r="F963">
            <v>0</v>
          </cell>
          <cell r="H963">
            <v>0</v>
          </cell>
          <cell r="J963">
            <v>0</v>
          </cell>
          <cell r="AE963" t="str">
            <v>BPP ASSET MANAGEMENT</v>
          </cell>
        </row>
        <row r="964">
          <cell r="F964">
            <v>0</v>
          </cell>
          <cell r="H964">
            <v>0</v>
          </cell>
          <cell r="J964">
            <v>0</v>
          </cell>
          <cell r="AE964" t="str">
            <v>BPP ASSET MANAGEMENT</v>
          </cell>
        </row>
        <row r="965">
          <cell r="F965">
            <v>0</v>
          </cell>
          <cell r="H965">
            <v>0</v>
          </cell>
          <cell r="J965">
            <v>0</v>
          </cell>
          <cell r="AE965" t="str">
            <v>BPP ASSET MANAGEMENT</v>
          </cell>
        </row>
        <row r="966">
          <cell r="F966">
            <v>0</v>
          </cell>
          <cell r="H966">
            <v>0</v>
          </cell>
          <cell r="J966">
            <v>0</v>
          </cell>
          <cell r="AE966" t="str">
            <v>BPP ASSET MANAGEMENT</v>
          </cell>
        </row>
        <row r="967">
          <cell r="F967">
            <v>0</v>
          </cell>
          <cell r="H967">
            <v>0</v>
          </cell>
          <cell r="J967">
            <v>0</v>
          </cell>
          <cell r="AE967" t="str">
            <v>BPP ASSET MANAGEMENT</v>
          </cell>
        </row>
        <row r="968">
          <cell r="F968">
            <v>0</v>
          </cell>
          <cell r="H968">
            <v>0</v>
          </cell>
          <cell r="J968">
            <v>0</v>
          </cell>
          <cell r="AE968" t="str">
            <v>BPP ASSET MANAGEMENT</v>
          </cell>
        </row>
        <row r="969">
          <cell r="F969">
            <v>0</v>
          </cell>
          <cell r="H969">
            <v>0</v>
          </cell>
          <cell r="J969">
            <v>0</v>
          </cell>
          <cell r="AE969" t="str">
            <v>BPP ASSET MANAGEMENT</v>
          </cell>
        </row>
        <row r="970">
          <cell r="F970">
            <v>0</v>
          </cell>
          <cell r="H970">
            <v>0</v>
          </cell>
          <cell r="J970">
            <v>0</v>
          </cell>
          <cell r="AE970" t="str">
            <v>BPP ASSET MANAGEMENT</v>
          </cell>
        </row>
        <row r="971">
          <cell r="F971">
            <v>0</v>
          </cell>
          <cell r="H971">
            <v>0</v>
          </cell>
          <cell r="J971">
            <v>0</v>
          </cell>
          <cell r="AE971" t="str">
            <v>BPP ASSET MANAGEMENT</v>
          </cell>
        </row>
        <row r="972">
          <cell r="F972">
            <v>0</v>
          </cell>
          <cell r="H972">
            <v>0</v>
          </cell>
          <cell r="J972">
            <v>0</v>
          </cell>
          <cell r="AE972" t="str">
            <v>BPP ASSET MANAGEMENT</v>
          </cell>
        </row>
        <row r="973">
          <cell r="F973">
            <v>0</v>
          </cell>
          <cell r="H973">
            <v>0</v>
          </cell>
          <cell r="J973">
            <v>0</v>
          </cell>
          <cell r="AE973" t="str">
            <v>BPP ASSET MANAGEMENT</v>
          </cell>
        </row>
        <row r="974">
          <cell r="F974">
            <v>0</v>
          </cell>
          <cell r="H974">
            <v>0</v>
          </cell>
          <cell r="J974">
            <v>0</v>
          </cell>
          <cell r="AE974" t="str">
            <v>BPP ASSET MANAGEMENT</v>
          </cell>
        </row>
        <row r="975">
          <cell r="F975">
            <v>0</v>
          </cell>
          <cell r="H975">
            <v>0</v>
          </cell>
          <cell r="J975">
            <v>0</v>
          </cell>
          <cell r="AE975" t="str">
            <v>BPP ASSET MANAGEMENT</v>
          </cell>
        </row>
        <row r="976">
          <cell r="F976">
            <v>0</v>
          </cell>
          <cell r="H976">
            <v>0</v>
          </cell>
          <cell r="J976">
            <v>0</v>
          </cell>
          <cell r="AE976" t="str">
            <v>BPP ASSET MANAGEMENT</v>
          </cell>
        </row>
        <row r="977">
          <cell r="F977">
            <v>0</v>
          </cell>
          <cell r="H977">
            <v>0</v>
          </cell>
          <cell r="J977">
            <v>0</v>
          </cell>
          <cell r="AE977" t="str">
            <v>BPP ASSET MANAGEMENT</v>
          </cell>
        </row>
        <row r="978">
          <cell r="F978">
            <v>0</v>
          </cell>
          <cell r="H978">
            <v>0</v>
          </cell>
          <cell r="J978">
            <v>0</v>
          </cell>
          <cell r="AE978" t="str">
            <v>BPP ASSET MANAGEMENT</v>
          </cell>
        </row>
        <row r="979">
          <cell r="F979">
            <v>0</v>
          </cell>
          <cell r="H979">
            <v>0</v>
          </cell>
          <cell r="J979">
            <v>0</v>
          </cell>
          <cell r="AE979" t="str">
            <v>BPP ASSET MANAGEMENT</v>
          </cell>
        </row>
        <row r="980">
          <cell r="F980">
            <v>0</v>
          </cell>
          <cell r="H980">
            <v>0</v>
          </cell>
          <cell r="J980">
            <v>0</v>
          </cell>
          <cell r="AE980" t="str">
            <v>BPP ASSET MANAGEMENT</v>
          </cell>
        </row>
        <row r="981">
          <cell r="F981">
            <v>0</v>
          </cell>
          <cell r="H981">
            <v>0</v>
          </cell>
          <cell r="J981">
            <v>0</v>
          </cell>
          <cell r="AE981" t="str">
            <v>BPP ASSET MANAGEMENT</v>
          </cell>
        </row>
        <row r="982">
          <cell r="F982">
            <v>0</v>
          </cell>
          <cell r="H982">
            <v>0</v>
          </cell>
          <cell r="J982">
            <v>0</v>
          </cell>
          <cell r="AE982" t="str">
            <v>BPP ASSET MANAGEMENT</v>
          </cell>
        </row>
        <row r="983">
          <cell r="F983">
            <v>0</v>
          </cell>
          <cell r="H983">
            <v>0</v>
          </cell>
          <cell r="J983">
            <v>0</v>
          </cell>
          <cell r="AE983" t="str">
            <v>BPP PROPERTY</v>
          </cell>
        </row>
        <row r="984">
          <cell r="F984">
            <v>0</v>
          </cell>
          <cell r="H984">
            <v>0</v>
          </cell>
          <cell r="J984">
            <v>0</v>
          </cell>
          <cell r="AE984" t="str">
            <v>BPP PROPERTY</v>
          </cell>
        </row>
        <row r="985">
          <cell r="F985">
            <v>0</v>
          </cell>
          <cell r="H985">
            <v>0</v>
          </cell>
          <cell r="J985">
            <v>0</v>
          </cell>
          <cell r="AE985" t="str">
            <v>BPP PROPERTY</v>
          </cell>
        </row>
        <row r="986">
          <cell r="F986">
            <v>0</v>
          </cell>
          <cell r="H986">
            <v>13682706</v>
          </cell>
          <cell r="J986">
            <v>0</v>
          </cell>
          <cell r="AE986" t="str">
            <v>BPP PROPERTY</v>
          </cell>
        </row>
        <row r="987">
          <cell r="F987">
            <v>0</v>
          </cell>
          <cell r="H987">
            <v>225950</v>
          </cell>
          <cell r="J987">
            <v>0</v>
          </cell>
          <cell r="AE987" t="str">
            <v>BPP PROPERTY</v>
          </cell>
        </row>
        <row r="988">
          <cell r="F988">
            <v>0</v>
          </cell>
          <cell r="H988">
            <v>994328</v>
          </cell>
          <cell r="J988">
            <v>0</v>
          </cell>
          <cell r="AE988" t="str">
            <v>BPP PROPERTY</v>
          </cell>
        </row>
        <row r="989">
          <cell r="F989">
            <v>0</v>
          </cell>
          <cell r="H989">
            <v>569620</v>
          </cell>
          <cell r="J989">
            <v>0</v>
          </cell>
          <cell r="AE989" t="str">
            <v>BPP PROPERTY</v>
          </cell>
        </row>
        <row r="990">
          <cell r="F990">
            <v>0</v>
          </cell>
          <cell r="H990">
            <v>0</v>
          </cell>
          <cell r="J990">
            <v>0</v>
          </cell>
          <cell r="AE990" t="str">
            <v>BPP PROPERTY</v>
          </cell>
        </row>
        <row r="991">
          <cell r="F991">
            <v>0</v>
          </cell>
          <cell r="H991">
            <v>0</v>
          </cell>
          <cell r="J991">
            <v>0</v>
          </cell>
          <cell r="AE991" t="str">
            <v>BPP PROPERTY</v>
          </cell>
        </row>
        <row r="992">
          <cell r="F992">
            <v>0</v>
          </cell>
          <cell r="H992">
            <v>0</v>
          </cell>
          <cell r="J992">
            <v>0</v>
          </cell>
          <cell r="AE992" t="str">
            <v>BPP PROPERTY</v>
          </cell>
        </row>
        <row r="993">
          <cell r="F993">
            <v>0</v>
          </cell>
          <cell r="H993">
            <v>0</v>
          </cell>
          <cell r="J993">
            <v>0</v>
          </cell>
          <cell r="AE993" t="str">
            <v>BPP PROPERTY</v>
          </cell>
        </row>
        <row r="994">
          <cell r="F994">
            <v>0</v>
          </cell>
          <cell r="H994">
            <v>2045338</v>
          </cell>
          <cell r="J994">
            <v>0</v>
          </cell>
          <cell r="AE994" t="str">
            <v>BPP PROPERTY</v>
          </cell>
        </row>
        <row r="995">
          <cell r="F995">
            <v>0</v>
          </cell>
          <cell r="H995">
            <v>514874</v>
          </cell>
          <cell r="J995">
            <v>0</v>
          </cell>
          <cell r="AE995" t="str">
            <v>BPP PROPERTY</v>
          </cell>
        </row>
        <row r="996">
          <cell r="F996">
            <v>0</v>
          </cell>
          <cell r="H996">
            <v>0</v>
          </cell>
          <cell r="J996">
            <v>0</v>
          </cell>
          <cell r="AE996" t="str">
            <v>BPP PROPERTY</v>
          </cell>
        </row>
        <row r="997">
          <cell r="F997">
            <v>0</v>
          </cell>
          <cell r="H997">
            <v>0</v>
          </cell>
          <cell r="J997">
            <v>0</v>
          </cell>
          <cell r="AE997" t="str">
            <v>BPP PROPERTY</v>
          </cell>
        </row>
        <row r="998">
          <cell r="F998">
            <v>0</v>
          </cell>
          <cell r="H998">
            <v>0</v>
          </cell>
          <cell r="J998">
            <v>0</v>
          </cell>
          <cell r="AE998" t="str">
            <v>BPP PROPERTY</v>
          </cell>
        </row>
        <row r="999">
          <cell r="F999">
            <v>0</v>
          </cell>
          <cell r="H999">
            <v>0</v>
          </cell>
          <cell r="J999">
            <v>0</v>
          </cell>
          <cell r="AE999" t="str">
            <v>BPP PROPERTY</v>
          </cell>
        </row>
        <row r="1000">
          <cell r="F1000">
            <v>0</v>
          </cell>
          <cell r="H1000">
            <v>0</v>
          </cell>
          <cell r="J1000">
            <v>0</v>
          </cell>
          <cell r="AE1000" t="str">
            <v>BPP PROPERTY</v>
          </cell>
        </row>
        <row r="1001">
          <cell r="F1001">
            <v>0</v>
          </cell>
          <cell r="H1001">
            <v>0</v>
          </cell>
          <cell r="J1001">
            <v>0</v>
          </cell>
          <cell r="AE1001" t="str">
            <v>BPP PROPERTY</v>
          </cell>
        </row>
        <row r="1002">
          <cell r="F1002">
            <v>0</v>
          </cell>
          <cell r="H1002">
            <v>0</v>
          </cell>
          <cell r="J1002">
            <v>0</v>
          </cell>
          <cell r="AE1002" t="str">
            <v>BPP PROPERTY</v>
          </cell>
        </row>
        <row r="1003">
          <cell r="F1003">
            <v>0</v>
          </cell>
          <cell r="H1003">
            <v>0</v>
          </cell>
          <cell r="J1003">
            <v>0</v>
          </cell>
          <cell r="AE1003" t="str">
            <v>BPP PROPERTY</v>
          </cell>
        </row>
        <row r="1004">
          <cell r="F1004">
            <v>0</v>
          </cell>
          <cell r="H1004">
            <v>0</v>
          </cell>
          <cell r="J1004">
            <v>0</v>
          </cell>
          <cell r="AE1004" t="str">
            <v>BPP PROPERTY</v>
          </cell>
        </row>
        <row r="1005">
          <cell r="F1005">
            <v>0</v>
          </cell>
          <cell r="H1005">
            <v>0</v>
          </cell>
          <cell r="J1005">
            <v>0</v>
          </cell>
          <cell r="AE1005" t="str">
            <v>BPP PROPERTY</v>
          </cell>
        </row>
        <row r="1006">
          <cell r="F1006">
            <v>0</v>
          </cell>
          <cell r="H1006">
            <v>0</v>
          </cell>
          <cell r="J1006">
            <v>0</v>
          </cell>
          <cell r="AE1006" t="str">
            <v>BPP PROPERTY</v>
          </cell>
        </row>
        <row r="1007">
          <cell r="F1007">
            <v>0</v>
          </cell>
          <cell r="H1007">
            <v>550632</v>
          </cell>
          <cell r="J1007">
            <v>0</v>
          </cell>
          <cell r="AE1007" t="str">
            <v>BPP PROPERTY</v>
          </cell>
        </row>
        <row r="1008">
          <cell r="F1008">
            <v>0</v>
          </cell>
          <cell r="H1008">
            <v>253164</v>
          </cell>
          <cell r="J1008">
            <v>0</v>
          </cell>
          <cell r="AE1008" t="str">
            <v>BPP PROPERTY</v>
          </cell>
        </row>
        <row r="1009">
          <cell r="F1009">
            <v>0</v>
          </cell>
          <cell r="H1009">
            <v>0</v>
          </cell>
          <cell r="J1009">
            <v>0</v>
          </cell>
          <cell r="AE1009" t="str">
            <v>BPP PROPERTY</v>
          </cell>
        </row>
        <row r="1010">
          <cell r="F1010">
            <v>0</v>
          </cell>
          <cell r="H1010">
            <v>0</v>
          </cell>
          <cell r="J1010">
            <v>0</v>
          </cell>
          <cell r="AE1010" t="str">
            <v>BPP PROPERTY</v>
          </cell>
        </row>
        <row r="1011">
          <cell r="F1011">
            <v>0</v>
          </cell>
          <cell r="H1011">
            <v>0</v>
          </cell>
          <cell r="J1011">
            <v>0</v>
          </cell>
          <cell r="AE1011" t="str">
            <v>BPP PROPERTY</v>
          </cell>
        </row>
        <row r="1012">
          <cell r="F1012">
            <v>0</v>
          </cell>
          <cell r="H1012">
            <v>139130672</v>
          </cell>
          <cell r="J1012">
            <v>0</v>
          </cell>
          <cell r="AE1012" t="str">
            <v>BPP PROPERTY</v>
          </cell>
        </row>
        <row r="1013">
          <cell r="F1013">
            <v>0</v>
          </cell>
          <cell r="H1013">
            <v>6956534</v>
          </cell>
          <cell r="J1013">
            <v>0</v>
          </cell>
          <cell r="AE1013" t="str">
            <v>BPP PROPERTY</v>
          </cell>
        </row>
        <row r="1014">
          <cell r="F1014">
            <v>0</v>
          </cell>
          <cell r="H1014">
            <v>547446</v>
          </cell>
          <cell r="J1014">
            <v>0</v>
          </cell>
          <cell r="AE1014" t="str">
            <v>BPP PROPERTY</v>
          </cell>
        </row>
        <row r="1015">
          <cell r="F1015">
            <v>0</v>
          </cell>
          <cell r="H1015">
            <v>0</v>
          </cell>
          <cell r="J1015">
            <v>0</v>
          </cell>
          <cell r="AE1015" t="str">
            <v>BPP PROPERTY</v>
          </cell>
        </row>
        <row r="1016">
          <cell r="F1016">
            <v>0</v>
          </cell>
          <cell r="H1016">
            <v>0</v>
          </cell>
          <cell r="J1016">
            <v>0</v>
          </cell>
          <cell r="AE1016" t="str">
            <v>BPP PROPERTY</v>
          </cell>
        </row>
        <row r="1017">
          <cell r="F1017">
            <v>0</v>
          </cell>
          <cell r="H1017">
            <v>0</v>
          </cell>
          <cell r="J1017">
            <v>0</v>
          </cell>
          <cell r="AE1017" t="str">
            <v>BPP PROPERTY</v>
          </cell>
        </row>
        <row r="1018">
          <cell r="F1018">
            <v>0</v>
          </cell>
          <cell r="H1018">
            <v>241772</v>
          </cell>
          <cell r="J1018">
            <v>0</v>
          </cell>
          <cell r="AE1018" t="str">
            <v>BPP PROPERTY</v>
          </cell>
        </row>
        <row r="1019">
          <cell r="F1019">
            <v>0</v>
          </cell>
          <cell r="H1019">
            <v>647362</v>
          </cell>
          <cell r="J1019">
            <v>0</v>
          </cell>
          <cell r="AE1019" t="str">
            <v>BPP PROPERTY</v>
          </cell>
        </row>
        <row r="1020">
          <cell r="F1020">
            <v>0</v>
          </cell>
          <cell r="H1020">
            <v>158228</v>
          </cell>
          <cell r="J1020">
            <v>0</v>
          </cell>
          <cell r="AE1020" t="str">
            <v>BPP PROPERTY</v>
          </cell>
        </row>
        <row r="1021">
          <cell r="F1021">
            <v>0</v>
          </cell>
          <cell r="H1021">
            <v>0</v>
          </cell>
          <cell r="J1021">
            <v>0</v>
          </cell>
          <cell r="AE1021" t="str">
            <v>BPP PROPERTY</v>
          </cell>
        </row>
        <row r="1022">
          <cell r="F1022">
            <v>0</v>
          </cell>
          <cell r="H1022">
            <v>747252</v>
          </cell>
          <cell r="J1022">
            <v>0</v>
          </cell>
          <cell r="AE1022" t="str">
            <v>BPP PROPERTY</v>
          </cell>
        </row>
        <row r="1023">
          <cell r="F1023">
            <v>0</v>
          </cell>
          <cell r="H1023">
            <v>36724076</v>
          </cell>
          <cell r="J1023">
            <v>0</v>
          </cell>
          <cell r="AE1023" t="str">
            <v>BPP PROPERTY</v>
          </cell>
        </row>
        <row r="1024">
          <cell r="F1024">
            <v>0</v>
          </cell>
          <cell r="H1024">
            <v>0</v>
          </cell>
          <cell r="J1024">
            <v>0</v>
          </cell>
          <cell r="AE1024" t="str">
            <v>BPP PROPERTY</v>
          </cell>
        </row>
        <row r="1025">
          <cell r="F1025">
            <v>0</v>
          </cell>
          <cell r="H1025">
            <v>0</v>
          </cell>
          <cell r="J1025">
            <v>0</v>
          </cell>
          <cell r="AE1025" t="str">
            <v>BPP PROPERTY</v>
          </cell>
        </row>
        <row r="1026">
          <cell r="F1026">
            <v>0</v>
          </cell>
          <cell r="H1026">
            <v>0</v>
          </cell>
          <cell r="J1026">
            <v>0</v>
          </cell>
          <cell r="AE1026" t="str">
            <v>BPP PROPERTY</v>
          </cell>
        </row>
        <row r="1027">
          <cell r="F1027">
            <v>0</v>
          </cell>
          <cell r="H1027">
            <v>0</v>
          </cell>
          <cell r="J1027">
            <v>0</v>
          </cell>
          <cell r="AE1027" t="str">
            <v>BPP PROPERTY</v>
          </cell>
        </row>
        <row r="1028">
          <cell r="F1028">
            <v>0</v>
          </cell>
          <cell r="H1028">
            <v>0</v>
          </cell>
          <cell r="J1028">
            <v>0</v>
          </cell>
          <cell r="AE1028" t="str">
            <v>BPP PROPERTY</v>
          </cell>
        </row>
        <row r="1029">
          <cell r="F1029">
            <v>0</v>
          </cell>
          <cell r="H1029">
            <v>0</v>
          </cell>
          <cell r="J1029">
            <v>0</v>
          </cell>
          <cell r="AE1029" t="str">
            <v>BPP PROPERTY</v>
          </cell>
        </row>
        <row r="1030">
          <cell r="F1030">
            <v>0</v>
          </cell>
          <cell r="H1030">
            <v>0</v>
          </cell>
          <cell r="J1030">
            <v>0</v>
          </cell>
          <cell r="AE1030" t="str">
            <v>BPP PROPERTY</v>
          </cell>
        </row>
        <row r="1031">
          <cell r="F1031">
            <v>0</v>
          </cell>
          <cell r="H1031">
            <v>0</v>
          </cell>
          <cell r="J1031">
            <v>0</v>
          </cell>
          <cell r="AE1031" t="str">
            <v>BPP PROPERTY</v>
          </cell>
        </row>
        <row r="1032">
          <cell r="F1032">
            <v>0</v>
          </cell>
          <cell r="H1032">
            <v>0</v>
          </cell>
          <cell r="J1032">
            <v>0</v>
          </cell>
          <cell r="AE1032" t="str">
            <v>BPP PROPERTY</v>
          </cell>
        </row>
        <row r="1033">
          <cell r="F1033">
            <v>0</v>
          </cell>
          <cell r="H1033">
            <v>0</v>
          </cell>
          <cell r="J1033">
            <v>0</v>
          </cell>
          <cell r="AE1033" t="str">
            <v>BPP PROPERTY</v>
          </cell>
        </row>
        <row r="1034">
          <cell r="F1034">
            <v>0</v>
          </cell>
          <cell r="H1034">
            <v>0</v>
          </cell>
          <cell r="J1034">
            <v>0</v>
          </cell>
          <cell r="AE1034" t="str">
            <v>BPP PROPERTY</v>
          </cell>
        </row>
        <row r="1035">
          <cell r="F1035">
            <v>0</v>
          </cell>
          <cell r="H1035">
            <v>0</v>
          </cell>
          <cell r="J1035">
            <v>0</v>
          </cell>
          <cell r="AE1035" t="str">
            <v>BPP PROPERTY</v>
          </cell>
        </row>
        <row r="1036">
          <cell r="F1036">
            <v>0</v>
          </cell>
          <cell r="H1036">
            <v>0</v>
          </cell>
          <cell r="J1036">
            <v>0</v>
          </cell>
          <cell r="AE1036" t="str">
            <v>BPP PROPERTY</v>
          </cell>
        </row>
        <row r="1037">
          <cell r="F1037">
            <v>0</v>
          </cell>
          <cell r="H1037">
            <v>0</v>
          </cell>
          <cell r="J1037">
            <v>0</v>
          </cell>
          <cell r="AE1037" t="str">
            <v>BPP PROPERTY</v>
          </cell>
        </row>
        <row r="1038">
          <cell r="F1038">
            <v>0</v>
          </cell>
          <cell r="H1038">
            <v>0</v>
          </cell>
          <cell r="J1038">
            <v>0</v>
          </cell>
          <cell r="AE1038" t="str">
            <v>BPP PROPERTY</v>
          </cell>
        </row>
        <row r="1039">
          <cell r="F1039">
            <v>0</v>
          </cell>
          <cell r="H1039">
            <v>205632912</v>
          </cell>
          <cell r="J1039">
            <v>0</v>
          </cell>
          <cell r="AE1039" t="str">
            <v>BPP PROPERTY</v>
          </cell>
        </row>
        <row r="1040">
          <cell r="F1040">
            <v>0</v>
          </cell>
          <cell r="H1040">
            <v>0</v>
          </cell>
          <cell r="J1040">
            <v>0</v>
          </cell>
          <cell r="AE1040" t="str">
            <v>BPP PROPERTY</v>
          </cell>
        </row>
        <row r="1041">
          <cell r="F1041">
            <v>0</v>
          </cell>
          <cell r="H1041">
            <v>0</v>
          </cell>
          <cell r="J1041">
            <v>0</v>
          </cell>
          <cell r="AE1041" t="str">
            <v>BPP PROPERTY</v>
          </cell>
        </row>
        <row r="1042">
          <cell r="F1042">
            <v>0</v>
          </cell>
          <cell r="H1042">
            <v>0</v>
          </cell>
          <cell r="J1042">
            <v>0</v>
          </cell>
          <cell r="AE1042" t="str">
            <v>BPP PROPERTY</v>
          </cell>
        </row>
        <row r="1043">
          <cell r="F1043">
            <v>0</v>
          </cell>
          <cell r="H1043">
            <v>0</v>
          </cell>
          <cell r="J1043">
            <v>0</v>
          </cell>
          <cell r="AE1043" t="str">
            <v>BPP PROPERTY</v>
          </cell>
        </row>
        <row r="1044">
          <cell r="F1044">
            <v>0</v>
          </cell>
          <cell r="H1044">
            <v>0</v>
          </cell>
          <cell r="J1044">
            <v>0</v>
          </cell>
          <cell r="AE1044" t="str">
            <v>BPP PROPERTY</v>
          </cell>
        </row>
        <row r="1045">
          <cell r="F1045">
            <v>0</v>
          </cell>
          <cell r="H1045">
            <v>4852320</v>
          </cell>
          <cell r="J1045">
            <v>0</v>
          </cell>
          <cell r="AE1045" t="str">
            <v>BPP PROPERTY</v>
          </cell>
        </row>
        <row r="1046">
          <cell r="F1046">
            <v>0</v>
          </cell>
          <cell r="H1046">
            <v>0</v>
          </cell>
          <cell r="J1046">
            <v>0</v>
          </cell>
          <cell r="AE1046" t="str">
            <v>BPP PROPERTY</v>
          </cell>
        </row>
        <row r="1047">
          <cell r="F1047">
            <v>0</v>
          </cell>
          <cell r="H1047">
            <v>10171222</v>
          </cell>
          <cell r="J1047">
            <v>0</v>
          </cell>
          <cell r="AE1047" t="str">
            <v>BPP PROPERTY</v>
          </cell>
        </row>
        <row r="1048">
          <cell r="F1048">
            <v>0</v>
          </cell>
          <cell r="H1048">
            <v>0</v>
          </cell>
          <cell r="J1048">
            <v>0</v>
          </cell>
          <cell r="AE1048" t="str">
            <v>BPP PROPERTY</v>
          </cell>
        </row>
        <row r="1049">
          <cell r="F1049">
            <v>0</v>
          </cell>
          <cell r="H1049">
            <v>0</v>
          </cell>
          <cell r="J1049">
            <v>0</v>
          </cell>
          <cell r="AE1049" t="str">
            <v>BPP PROPERTY</v>
          </cell>
        </row>
        <row r="1050">
          <cell r="F1050">
            <v>0</v>
          </cell>
          <cell r="H1050">
            <v>0</v>
          </cell>
          <cell r="J1050">
            <v>0</v>
          </cell>
          <cell r="AE1050" t="str">
            <v>BPP PROPERTY</v>
          </cell>
        </row>
        <row r="1051">
          <cell r="F1051">
            <v>0</v>
          </cell>
          <cell r="H1051">
            <v>0</v>
          </cell>
          <cell r="J1051">
            <v>0</v>
          </cell>
          <cell r="AE1051" t="str">
            <v>BPP PROPERTY</v>
          </cell>
        </row>
        <row r="1052">
          <cell r="F1052">
            <v>0</v>
          </cell>
          <cell r="H1052">
            <v>0</v>
          </cell>
          <cell r="J1052">
            <v>0</v>
          </cell>
          <cell r="AE1052" t="str">
            <v>BPP PROPERTY</v>
          </cell>
        </row>
        <row r="1053">
          <cell r="F1053">
            <v>0</v>
          </cell>
          <cell r="H1053">
            <v>0</v>
          </cell>
          <cell r="J1053">
            <v>0</v>
          </cell>
          <cell r="AE1053" t="str">
            <v>BPP PROPERTY</v>
          </cell>
        </row>
        <row r="1054">
          <cell r="F1054">
            <v>0</v>
          </cell>
          <cell r="H1054">
            <v>0</v>
          </cell>
          <cell r="J1054">
            <v>0</v>
          </cell>
          <cell r="AE1054" t="str">
            <v>BPP PROPERTY</v>
          </cell>
        </row>
        <row r="1055">
          <cell r="F1055">
            <v>0</v>
          </cell>
          <cell r="H1055">
            <v>0</v>
          </cell>
          <cell r="J1055">
            <v>0</v>
          </cell>
          <cell r="AE1055" t="str">
            <v>BPP PROPERTY</v>
          </cell>
        </row>
        <row r="1056">
          <cell r="F1056">
            <v>0</v>
          </cell>
          <cell r="H1056">
            <v>0</v>
          </cell>
          <cell r="J1056">
            <v>0</v>
          </cell>
          <cell r="AE1056" t="str">
            <v>BPP PROPERTY</v>
          </cell>
        </row>
        <row r="1057">
          <cell r="F1057">
            <v>0</v>
          </cell>
          <cell r="H1057">
            <v>0</v>
          </cell>
          <cell r="J1057">
            <v>0</v>
          </cell>
          <cell r="AE1057" t="str">
            <v>BPP PROPERTY</v>
          </cell>
        </row>
        <row r="1058">
          <cell r="F1058">
            <v>0</v>
          </cell>
          <cell r="H1058">
            <v>0</v>
          </cell>
          <cell r="J1058">
            <v>0</v>
          </cell>
          <cell r="AE1058" t="str">
            <v>BPP PROPERTY</v>
          </cell>
        </row>
        <row r="1059">
          <cell r="F1059">
            <v>0</v>
          </cell>
          <cell r="H1059">
            <v>0</v>
          </cell>
          <cell r="J1059">
            <v>0</v>
          </cell>
          <cell r="AE1059" t="str">
            <v>BPP PROPERTY</v>
          </cell>
        </row>
        <row r="1060">
          <cell r="F1060">
            <v>0</v>
          </cell>
          <cell r="H1060">
            <v>0</v>
          </cell>
          <cell r="J1060">
            <v>0</v>
          </cell>
          <cell r="AE1060" t="str">
            <v>BPP PROPERTY</v>
          </cell>
        </row>
        <row r="1061">
          <cell r="F1061">
            <v>0</v>
          </cell>
          <cell r="H1061">
            <v>0</v>
          </cell>
          <cell r="J1061">
            <v>0</v>
          </cell>
          <cell r="AE1061" t="str">
            <v>BPP PROPERTY</v>
          </cell>
        </row>
        <row r="1062">
          <cell r="F1062">
            <v>0</v>
          </cell>
          <cell r="H1062">
            <v>0</v>
          </cell>
          <cell r="J1062">
            <v>0</v>
          </cell>
          <cell r="AE1062" t="str">
            <v>BPP PROPERTY</v>
          </cell>
        </row>
        <row r="1063">
          <cell r="F1063">
            <v>0</v>
          </cell>
          <cell r="H1063">
            <v>0</v>
          </cell>
          <cell r="J1063">
            <v>0</v>
          </cell>
          <cell r="AE1063" t="str">
            <v>BPP PROPERTY</v>
          </cell>
        </row>
        <row r="1064">
          <cell r="F1064">
            <v>0</v>
          </cell>
          <cell r="H1064">
            <v>2911392</v>
          </cell>
          <cell r="J1064">
            <v>0</v>
          </cell>
          <cell r="AE1064" t="str">
            <v>BPP PROPERTY</v>
          </cell>
        </row>
        <row r="1065">
          <cell r="F1065">
            <v>0</v>
          </cell>
          <cell r="H1065">
            <v>896624</v>
          </cell>
          <cell r="J1065">
            <v>0</v>
          </cell>
          <cell r="AE1065" t="str">
            <v>BPP PROPERTY</v>
          </cell>
        </row>
        <row r="1066">
          <cell r="F1066">
            <v>0</v>
          </cell>
          <cell r="H1066">
            <v>0</v>
          </cell>
          <cell r="J1066">
            <v>0</v>
          </cell>
          <cell r="AE1066" t="str">
            <v>BPP PROPERTY</v>
          </cell>
        </row>
        <row r="1067">
          <cell r="F1067">
            <v>0</v>
          </cell>
          <cell r="H1067">
            <v>2001132</v>
          </cell>
          <cell r="J1067">
            <v>0</v>
          </cell>
          <cell r="AE1067" t="str">
            <v>BPP PROPERTY</v>
          </cell>
        </row>
        <row r="1068">
          <cell r="F1068">
            <v>0</v>
          </cell>
          <cell r="H1068">
            <v>547446</v>
          </cell>
          <cell r="J1068">
            <v>0</v>
          </cell>
          <cell r="AE1068" t="str">
            <v>BPP PROPERTY</v>
          </cell>
        </row>
        <row r="1069">
          <cell r="F1069">
            <v>0</v>
          </cell>
          <cell r="H1069">
            <v>0</v>
          </cell>
          <cell r="J1069">
            <v>0</v>
          </cell>
          <cell r="AE1069" t="str">
            <v>BPP PROPERTY</v>
          </cell>
        </row>
        <row r="1070">
          <cell r="F1070">
            <v>0</v>
          </cell>
          <cell r="H1070">
            <v>0</v>
          </cell>
          <cell r="J1070">
            <v>0</v>
          </cell>
          <cell r="AE1070" t="str">
            <v>BPP PROPERTY</v>
          </cell>
        </row>
        <row r="1071">
          <cell r="F1071">
            <v>0</v>
          </cell>
          <cell r="H1071">
            <v>0</v>
          </cell>
          <cell r="J1071">
            <v>0</v>
          </cell>
          <cell r="AE1071" t="str">
            <v>BPP PROPERTY</v>
          </cell>
        </row>
        <row r="1072">
          <cell r="F1072">
            <v>0</v>
          </cell>
          <cell r="H1072">
            <v>0</v>
          </cell>
          <cell r="J1072">
            <v>0</v>
          </cell>
          <cell r="AE1072" t="str">
            <v>BPP PROPERTY</v>
          </cell>
        </row>
        <row r="1073">
          <cell r="F1073">
            <v>0</v>
          </cell>
          <cell r="H1073">
            <v>7051092</v>
          </cell>
          <cell r="J1073">
            <v>0</v>
          </cell>
          <cell r="AE1073" t="str">
            <v>BPP PROPERTY</v>
          </cell>
        </row>
        <row r="1074">
          <cell r="F1074">
            <v>0</v>
          </cell>
          <cell r="H1074">
            <v>0</v>
          </cell>
          <cell r="J1074">
            <v>0</v>
          </cell>
          <cell r="AE1074" t="str">
            <v>BPP PROPERTY</v>
          </cell>
        </row>
        <row r="1075">
          <cell r="F1075">
            <v>0</v>
          </cell>
          <cell r="H1075">
            <v>0</v>
          </cell>
          <cell r="J1075">
            <v>0</v>
          </cell>
          <cell r="AE1075" t="str">
            <v>BPP PROPERTY</v>
          </cell>
        </row>
        <row r="1076">
          <cell r="F1076">
            <v>0</v>
          </cell>
          <cell r="H1076">
            <v>0</v>
          </cell>
          <cell r="J1076">
            <v>0</v>
          </cell>
          <cell r="AE1076" t="str">
            <v>BPP PROPERTY</v>
          </cell>
        </row>
        <row r="1077">
          <cell r="F1077">
            <v>0</v>
          </cell>
          <cell r="H1077">
            <v>0</v>
          </cell>
          <cell r="J1077">
            <v>0</v>
          </cell>
          <cell r="AE1077" t="str">
            <v>BPP PROPERTY</v>
          </cell>
        </row>
        <row r="1078">
          <cell r="F1078">
            <v>0</v>
          </cell>
          <cell r="H1078">
            <v>0</v>
          </cell>
          <cell r="J1078">
            <v>0</v>
          </cell>
          <cell r="AE1078" t="str">
            <v>BPP PROPERTY</v>
          </cell>
        </row>
        <row r="1079">
          <cell r="F1079">
            <v>0</v>
          </cell>
          <cell r="H1079">
            <v>0</v>
          </cell>
          <cell r="J1079">
            <v>0</v>
          </cell>
          <cell r="AE1079" t="str">
            <v>BPP PROPERTY</v>
          </cell>
        </row>
        <row r="1080">
          <cell r="F1080">
            <v>0</v>
          </cell>
          <cell r="H1080">
            <v>0</v>
          </cell>
          <cell r="J1080">
            <v>0</v>
          </cell>
          <cell r="AE1080" t="str">
            <v>BPP PROPERTY</v>
          </cell>
        </row>
        <row r="1081">
          <cell r="F1081">
            <v>0</v>
          </cell>
          <cell r="H1081">
            <v>316456</v>
          </cell>
          <cell r="J1081">
            <v>0</v>
          </cell>
          <cell r="AE1081" t="str">
            <v>BPP PROPERTY</v>
          </cell>
        </row>
        <row r="1082">
          <cell r="F1082">
            <v>0</v>
          </cell>
          <cell r="H1082">
            <v>0</v>
          </cell>
          <cell r="J1082">
            <v>0</v>
          </cell>
          <cell r="AE1082" t="str">
            <v>BPP PROPERTY</v>
          </cell>
        </row>
        <row r="1083">
          <cell r="F1083">
            <v>0</v>
          </cell>
          <cell r="H1083">
            <v>0</v>
          </cell>
          <cell r="J1083">
            <v>0</v>
          </cell>
          <cell r="AE1083" t="str">
            <v>BPP PROPERTY</v>
          </cell>
        </row>
        <row r="1084">
          <cell r="F1084">
            <v>0</v>
          </cell>
          <cell r="H1084">
            <v>0</v>
          </cell>
          <cell r="J1084">
            <v>0</v>
          </cell>
          <cell r="AE1084" t="str">
            <v>BPP PROPERTY</v>
          </cell>
        </row>
        <row r="1085">
          <cell r="F1085">
            <v>0</v>
          </cell>
          <cell r="H1085">
            <v>0</v>
          </cell>
          <cell r="J1085">
            <v>0</v>
          </cell>
          <cell r="AE1085" t="str">
            <v>BPP PROPERTY</v>
          </cell>
        </row>
        <row r="1086">
          <cell r="F1086">
            <v>0</v>
          </cell>
          <cell r="H1086">
            <v>0</v>
          </cell>
          <cell r="J1086">
            <v>0</v>
          </cell>
          <cell r="AE1086" t="str">
            <v>BPP PROPERTY</v>
          </cell>
        </row>
        <row r="1087">
          <cell r="F1087">
            <v>0</v>
          </cell>
          <cell r="H1087">
            <v>0</v>
          </cell>
          <cell r="J1087">
            <v>0</v>
          </cell>
          <cell r="AE1087" t="str">
            <v>BPP PROPERTY</v>
          </cell>
        </row>
        <row r="1088">
          <cell r="F1088">
            <v>0</v>
          </cell>
          <cell r="H1088">
            <v>0</v>
          </cell>
          <cell r="J1088">
            <v>0</v>
          </cell>
          <cell r="AE1088" t="str">
            <v>BPP PROPERTY</v>
          </cell>
        </row>
        <row r="1089">
          <cell r="F1089">
            <v>0</v>
          </cell>
          <cell r="H1089">
            <v>0</v>
          </cell>
          <cell r="J1089">
            <v>0</v>
          </cell>
          <cell r="AE1089" t="str">
            <v>BPP PROPERTY</v>
          </cell>
        </row>
        <row r="1090">
          <cell r="F1090">
            <v>0</v>
          </cell>
          <cell r="H1090">
            <v>0</v>
          </cell>
          <cell r="J1090">
            <v>0</v>
          </cell>
          <cell r="AE1090" t="str">
            <v>BPP PROPERTY</v>
          </cell>
        </row>
        <row r="1091">
          <cell r="F1091">
            <v>0</v>
          </cell>
          <cell r="H1091">
            <v>0</v>
          </cell>
          <cell r="J1091">
            <v>0</v>
          </cell>
          <cell r="AE1091" t="str">
            <v>BPP PROPERTY</v>
          </cell>
        </row>
        <row r="1092">
          <cell r="F1092">
            <v>0</v>
          </cell>
          <cell r="H1092">
            <v>0</v>
          </cell>
          <cell r="J1092">
            <v>0</v>
          </cell>
          <cell r="AE1092" t="str">
            <v>BPP PROPERTY</v>
          </cell>
        </row>
        <row r="1093">
          <cell r="F1093">
            <v>0</v>
          </cell>
          <cell r="H1093">
            <v>0</v>
          </cell>
          <cell r="J1093">
            <v>0</v>
          </cell>
          <cell r="AE1093" t="str">
            <v>BPP PROPERTY</v>
          </cell>
        </row>
        <row r="1094">
          <cell r="F1094">
            <v>0</v>
          </cell>
          <cell r="H1094">
            <v>0</v>
          </cell>
          <cell r="J1094">
            <v>0</v>
          </cell>
          <cell r="AE1094" t="str">
            <v>BPP PROPERTY</v>
          </cell>
        </row>
        <row r="1095">
          <cell r="F1095">
            <v>0</v>
          </cell>
          <cell r="H1095">
            <v>0</v>
          </cell>
          <cell r="J1095">
            <v>0</v>
          </cell>
          <cell r="AE1095" t="str">
            <v>BPP PROPERTY</v>
          </cell>
        </row>
        <row r="1096">
          <cell r="F1096">
            <v>0</v>
          </cell>
          <cell r="H1096">
            <v>0</v>
          </cell>
          <cell r="J1096">
            <v>0</v>
          </cell>
          <cell r="AE1096" t="str">
            <v>BPP PROPERTY</v>
          </cell>
        </row>
        <row r="1097">
          <cell r="F1097">
            <v>0</v>
          </cell>
          <cell r="H1097">
            <v>0</v>
          </cell>
          <cell r="J1097">
            <v>0</v>
          </cell>
          <cell r="AE1097" t="str">
            <v>BPP PROPERTY</v>
          </cell>
        </row>
        <row r="1098">
          <cell r="F1098">
            <v>0</v>
          </cell>
          <cell r="H1098">
            <v>1265824</v>
          </cell>
          <cell r="J1098">
            <v>0</v>
          </cell>
          <cell r="AE1098" t="str">
            <v>BPP PROPERTY</v>
          </cell>
        </row>
        <row r="1099">
          <cell r="F1099">
            <v>0</v>
          </cell>
          <cell r="H1099">
            <v>0</v>
          </cell>
          <cell r="J1099">
            <v>0</v>
          </cell>
          <cell r="AE1099" t="str">
            <v>BPP PROPERTY</v>
          </cell>
        </row>
        <row r="1100">
          <cell r="F1100">
            <v>0</v>
          </cell>
          <cell r="H1100">
            <v>0</v>
          </cell>
          <cell r="J1100">
            <v>0</v>
          </cell>
          <cell r="AE1100" t="str">
            <v>BPP PROPERTY</v>
          </cell>
        </row>
        <row r="1101">
          <cell r="F1101">
            <v>0</v>
          </cell>
          <cell r="H1101">
            <v>0</v>
          </cell>
          <cell r="J1101">
            <v>0</v>
          </cell>
          <cell r="AE1101" t="str">
            <v>BPP PROPERTY</v>
          </cell>
        </row>
        <row r="1102">
          <cell r="F1102">
            <v>0</v>
          </cell>
          <cell r="H1102">
            <v>0</v>
          </cell>
          <cell r="J1102">
            <v>0</v>
          </cell>
          <cell r="AE1102" t="str">
            <v>BPP PROPERTY</v>
          </cell>
        </row>
        <row r="1103">
          <cell r="F1103">
            <v>0</v>
          </cell>
          <cell r="H1103">
            <v>4694092</v>
          </cell>
          <cell r="J1103">
            <v>0</v>
          </cell>
          <cell r="AE1103" t="str">
            <v>BPP PROPERTY</v>
          </cell>
        </row>
        <row r="1104">
          <cell r="F1104">
            <v>0</v>
          </cell>
          <cell r="H1104">
            <v>3797468</v>
          </cell>
          <cell r="J1104">
            <v>0</v>
          </cell>
          <cell r="AE1104" t="str">
            <v>BPP PROPERTY</v>
          </cell>
        </row>
        <row r="1105">
          <cell r="F1105">
            <v>0</v>
          </cell>
          <cell r="H1105">
            <v>0</v>
          </cell>
          <cell r="J1105">
            <v>0</v>
          </cell>
          <cell r="AE1105" t="str">
            <v>BPP PROPERTY</v>
          </cell>
        </row>
        <row r="1106">
          <cell r="F1106">
            <v>0</v>
          </cell>
          <cell r="H1106">
            <v>843882</v>
          </cell>
          <cell r="J1106">
            <v>0</v>
          </cell>
          <cell r="AE1106" t="str">
            <v>BPP PROPERTY</v>
          </cell>
        </row>
        <row r="1107">
          <cell r="F1107">
            <v>0</v>
          </cell>
          <cell r="H1107">
            <v>13833334</v>
          </cell>
          <cell r="J1107">
            <v>0</v>
          </cell>
          <cell r="AE1107" t="str">
            <v>BPP PROPERTY</v>
          </cell>
        </row>
        <row r="1108">
          <cell r="F1108">
            <v>0</v>
          </cell>
          <cell r="H1108">
            <v>0</v>
          </cell>
          <cell r="J1108">
            <v>0</v>
          </cell>
          <cell r="AE1108" t="str">
            <v>BPP PROPERTY</v>
          </cell>
        </row>
        <row r="1109">
          <cell r="F1109">
            <v>0</v>
          </cell>
          <cell r="H1109">
            <v>0</v>
          </cell>
          <cell r="J1109">
            <v>0</v>
          </cell>
          <cell r="AE1109" t="str">
            <v>BPP PROPERTY</v>
          </cell>
        </row>
        <row r="1110">
          <cell r="F1110">
            <v>0</v>
          </cell>
          <cell r="H1110">
            <v>0</v>
          </cell>
          <cell r="J1110">
            <v>0</v>
          </cell>
          <cell r="AE1110" t="str">
            <v>BPP PROPERTY</v>
          </cell>
        </row>
        <row r="1111">
          <cell r="F1111">
            <v>0</v>
          </cell>
          <cell r="H1111">
            <v>0</v>
          </cell>
          <cell r="J1111">
            <v>0</v>
          </cell>
          <cell r="AE1111" t="str">
            <v>BPP PROPERTY</v>
          </cell>
        </row>
        <row r="1112">
          <cell r="F1112">
            <v>0</v>
          </cell>
          <cell r="H1112">
            <v>5696202</v>
          </cell>
          <cell r="J1112">
            <v>0</v>
          </cell>
          <cell r="AE1112" t="str">
            <v>BPP PROPERTY</v>
          </cell>
        </row>
        <row r="1113">
          <cell r="F1113">
            <v>0</v>
          </cell>
          <cell r="H1113">
            <v>7763712</v>
          </cell>
          <cell r="J1113">
            <v>0</v>
          </cell>
          <cell r="AE1113" t="str">
            <v>BPP PROPERTY</v>
          </cell>
        </row>
        <row r="1114">
          <cell r="F1114">
            <v>0</v>
          </cell>
          <cell r="H1114">
            <v>1772152</v>
          </cell>
          <cell r="J1114">
            <v>0</v>
          </cell>
          <cell r="AE1114" t="str">
            <v>BPP PROPERTY</v>
          </cell>
        </row>
        <row r="1115">
          <cell r="F1115">
            <v>0</v>
          </cell>
          <cell r="H1115">
            <v>0</v>
          </cell>
          <cell r="J1115">
            <v>0</v>
          </cell>
          <cell r="AE1115" t="str">
            <v>BPP PROPERTY</v>
          </cell>
        </row>
        <row r="1116">
          <cell r="F1116">
            <v>0</v>
          </cell>
          <cell r="H1116">
            <v>0</v>
          </cell>
          <cell r="J1116">
            <v>0</v>
          </cell>
          <cell r="AE1116" t="str">
            <v>BPP PROPERTY</v>
          </cell>
        </row>
        <row r="1117">
          <cell r="F1117">
            <v>0</v>
          </cell>
          <cell r="H1117">
            <v>0</v>
          </cell>
          <cell r="J1117">
            <v>0</v>
          </cell>
          <cell r="AE1117" t="str">
            <v>BPP PROPERTY</v>
          </cell>
        </row>
        <row r="1118">
          <cell r="F1118">
            <v>0</v>
          </cell>
          <cell r="H1118">
            <v>0</v>
          </cell>
          <cell r="J1118">
            <v>0</v>
          </cell>
          <cell r="AE1118" t="str">
            <v>BPP PROPERTY</v>
          </cell>
        </row>
        <row r="1119">
          <cell r="F1119">
            <v>0</v>
          </cell>
          <cell r="H1119">
            <v>0</v>
          </cell>
          <cell r="J1119">
            <v>0</v>
          </cell>
          <cell r="AE1119" t="str">
            <v>BEBAN MATERIAL</v>
          </cell>
        </row>
        <row r="1120">
          <cell r="F1120">
            <v>0</v>
          </cell>
          <cell r="H1120">
            <v>0</v>
          </cell>
          <cell r="J1120">
            <v>0</v>
          </cell>
          <cell r="AE1120" t="str">
            <v>BEBAN MATERIAL</v>
          </cell>
        </row>
        <row r="1121">
          <cell r="F1121">
            <v>0</v>
          </cell>
          <cell r="H1121">
            <v>0</v>
          </cell>
          <cell r="J1121">
            <v>0</v>
          </cell>
          <cell r="AE1121" t="str">
            <v>BEBAN MATERIAL</v>
          </cell>
        </row>
        <row r="1122">
          <cell r="F1122">
            <v>0</v>
          </cell>
          <cell r="H1122">
            <v>0</v>
          </cell>
          <cell r="J1122">
            <v>0</v>
          </cell>
          <cell r="AE1122" t="str">
            <v>BEBAN MATERIAL</v>
          </cell>
        </row>
        <row r="1123">
          <cell r="F1123">
            <v>0</v>
          </cell>
          <cell r="H1123">
            <v>0</v>
          </cell>
          <cell r="J1123">
            <v>0</v>
          </cell>
          <cell r="AE1123" t="str">
            <v>BEBAN MATERIAL</v>
          </cell>
        </row>
        <row r="1124">
          <cell r="F1124">
            <v>0</v>
          </cell>
          <cell r="H1124">
            <v>0</v>
          </cell>
          <cell r="J1124">
            <v>0</v>
          </cell>
          <cell r="AE1124" t="str">
            <v>BEBAN MATERIAL</v>
          </cell>
        </row>
        <row r="1125">
          <cell r="F1125">
            <v>0</v>
          </cell>
          <cell r="H1125">
            <v>0</v>
          </cell>
          <cell r="J1125">
            <v>0</v>
          </cell>
          <cell r="AE1125" t="str">
            <v>BEBAN MATERIAL</v>
          </cell>
        </row>
        <row r="1126">
          <cell r="F1126">
            <v>0</v>
          </cell>
          <cell r="H1126">
            <v>0</v>
          </cell>
          <cell r="J1126">
            <v>0</v>
          </cell>
          <cell r="AE1126" t="str">
            <v>BEBAN MATERIAL</v>
          </cell>
        </row>
        <row r="1127">
          <cell r="F1127">
            <v>0</v>
          </cell>
          <cell r="H1127">
            <v>0</v>
          </cell>
          <cell r="J1127">
            <v>0</v>
          </cell>
          <cell r="AE1127" t="str">
            <v>BEBAN MATERIAL</v>
          </cell>
        </row>
        <row r="1128">
          <cell r="F1128">
            <v>0</v>
          </cell>
          <cell r="H1128">
            <v>0</v>
          </cell>
          <cell r="J1128">
            <v>0</v>
          </cell>
          <cell r="AE1128" t="str">
            <v>BEBAN UMUM &amp; ADM</v>
          </cell>
        </row>
        <row r="1129">
          <cell r="F1129">
            <v>0</v>
          </cell>
          <cell r="H1129">
            <v>0</v>
          </cell>
          <cell r="J1129">
            <v>0</v>
          </cell>
          <cell r="AE1129" t="str">
            <v>BEBAN UMUM &amp; ADM</v>
          </cell>
        </row>
        <row r="1130">
          <cell r="F1130">
            <v>0</v>
          </cell>
          <cell r="H1130">
            <v>0</v>
          </cell>
          <cell r="J1130">
            <v>0</v>
          </cell>
          <cell r="AE1130" t="str">
            <v>BEBAN UMUM &amp; ADM</v>
          </cell>
        </row>
        <row r="1131">
          <cell r="F1131">
            <v>0</v>
          </cell>
          <cell r="H1131">
            <v>0</v>
          </cell>
          <cell r="J1131">
            <v>0</v>
          </cell>
          <cell r="AE1131" t="str">
            <v>BEBAN UMUM &amp; ADM</v>
          </cell>
        </row>
        <row r="1132">
          <cell r="F1132">
            <v>0</v>
          </cell>
          <cell r="H1132">
            <v>0</v>
          </cell>
          <cell r="J1132">
            <v>0</v>
          </cell>
          <cell r="AE1132" t="str">
            <v>BEBAN SHIPPING &amp; HANDLING</v>
          </cell>
        </row>
        <row r="1133">
          <cell r="F1133">
            <v>0</v>
          </cell>
          <cell r="H1133">
            <v>0</v>
          </cell>
          <cell r="J1133">
            <v>0</v>
          </cell>
          <cell r="AE1133" t="str">
            <v>BEBAN UMUM &amp; ADM</v>
          </cell>
        </row>
        <row r="1134">
          <cell r="F1134">
            <v>0</v>
          </cell>
          <cell r="H1134">
            <v>0</v>
          </cell>
          <cell r="J1134">
            <v>0</v>
          </cell>
          <cell r="AE1134" t="str">
            <v>BEBAN UMUM &amp; ADM</v>
          </cell>
        </row>
        <row r="1135">
          <cell r="F1135">
            <v>0</v>
          </cell>
          <cell r="H1135">
            <v>0</v>
          </cell>
          <cell r="J1135">
            <v>0</v>
          </cell>
          <cell r="AE1135" t="str">
            <v>BEBAN SHIPPING &amp; HANDLING</v>
          </cell>
        </row>
        <row r="1136">
          <cell r="F1136">
            <v>0</v>
          </cell>
          <cell r="H1136">
            <v>0</v>
          </cell>
          <cell r="J1136">
            <v>0</v>
          </cell>
          <cell r="AE1136" t="str">
            <v>BEBAN SHIPPING &amp; HANDLING</v>
          </cell>
        </row>
        <row r="1137">
          <cell r="F1137">
            <v>0</v>
          </cell>
          <cell r="H1137">
            <v>0</v>
          </cell>
          <cell r="J1137">
            <v>0</v>
          </cell>
          <cell r="AE1137" t="str">
            <v>BEBAN MATERIAL</v>
          </cell>
        </row>
        <row r="1138">
          <cell r="F1138">
            <v>0</v>
          </cell>
          <cell r="H1138">
            <v>0</v>
          </cell>
          <cell r="J1138">
            <v>0</v>
          </cell>
          <cell r="AE1138" t="str">
            <v>BAHAN BAKAR, LISTRIK &amp; AIR</v>
          </cell>
        </row>
        <row r="1139">
          <cell r="F1139">
            <v>0</v>
          </cell>
          <cell r="H1139">
            <v>0</v>
          </cell>
          <cell r="J1139">
            <v>0</v>
          </cell>
          <cell r="AE1139" t="str">
            <v>BAHAN BAKAR, LISTRIK &amp; AIR</v>
          </cell>
        </row>
        <row r="1140">
          <cell r="F1140">
            <v>0</v>
          </cell>
          <cell r="H1140">
            <v>0</v>
          </cell>
          <cell r="J1140">
            <v>0</v>
          </cell>
          <cell r="AE1140" t="str">
            <v>BAHAN BAKAR, LISTRIK &amp; AIR</v>
          </cell>
        </row>
        <row r="1141">
          <cell r="F1141">
            <v>0</v>
          </cell>
          <cell r="H1141">
            <v>0</v>
          </cell>
          <cell r="J1141">
            <v>0</v>
          </cell>
          <cell r="AE1141" t="str">
            <v>BAHAN BAKAR, LISTRIK &amp; AIR</v>
          </cell>
        </row>
        <row r="1142">
          <cell r="F1142">
            <v>0</v>
          </cell>
          <cell r="H1142">
            <v>0</v>
          </cell>
          <cell r="J1142">
            <v>0</v>
          </cell>
          <cell r="AE1142" t="str">
            <v>BAHAN BAKAR, LISTRIK &amp; AIR</v>
          </cell>
        </row>
        <row r="1143">
          <cell r="F1143">
            <v>0</v>
          </cell>
          <cell r="H1143">
            <v>0</v>
          </cell>
          <cell r="J1143">
            <v>0</v>
          </cell>
          <cell r="AE1143" t="str">
            <v>BAHAN BAKAR, LISTRIK &amp; AIR</v>
          </cell>
        </row>
        <row r="1144">
          <cell r="F1144">
            <v>0</v>
          </cell>
          <cell r="H1144">
            <v>0</v>
          </cell>
          <cell r="J1144">
            <v>0</v>
          </cell>
          <cell r="AE1144" t="str">
            <v>BAHAN BAKAR, LISTRIK &amp; AIR</v>
          </cell>
        </row>
        <row r="1145">
          <cell r="F1145">
            <v>0</v>
          </cell>
          <cell r="H1145">
            <v>0</v>
          </cell>
          <cell r="J1145">
            <v>0</v>
          </cell>
          <cell r="AE1145" t="str">
            <v>BAHAN BAKAR, LISTRIK &amp; AIR</v>
          </cell>
        </row>
        <row r="1146">
          <cell r="F1146">
            <v>0</v>
          </cell>
          <cell r="H1146">
            <v>0</v>
          </cell>
          <cell r="J1146">
            <v>0</v>
          </cell>
          <cell r="AE1146" t="str">
            <v>BAHAN BAKAR, LISTRIK &amp; AIR</v>
          </cell>
        </row>
        <row r="1147">
          <cell r="F1147">
            <v>0</v>
          </cell>
          <cell r="H1147">
            <v>0</v>
          </cell>
          <cell r="J1147">
            <v>0</v>
          </cell>
          <cell r="AE1147" t="str">
            <v>BAHAN BAKAR, LISTRIK &amp; AIR</v>
          </cell>
        </row>
        <row r="1148">
          <cell r="F1148">
            <v>4849935</v>
          </cell>
          <cell r="H1148">
            <v>7733679</v>
          </cell>
          <cell r="J1148">
            <v>0</v>
          </cell>
          <cell r="AE1148" t="str">
            <v>BBM</v>
          </cell>
        </row>
        <row r="1149">
          <cell r="F1149">
            <v>0</v>
          </cell>
          <cell r="H1149">
            <v>0</v>
          </cell>
          <cell r="J1149">
            <v>0</v>
          </cell>
          <cell r="AE1149" t="str">
            <v>BAHAN BAKAR, LISTRIK &amp; AIR</v>
          </cell>
        </row>
        <row r="1150">
          <cell r="F1150">
            <v>0</v>
          </cell>
          <cell r="H1150">
            <v>0</v>
          </cell>
          <cell r="J1150">
            <v>0</v>
          </cell>
          <cell r="AE1150" t="str">
            <v>BAHAN BAKAR, LISTRIK &amp; AIR</v>
          </cell>
        </row>
        <row r="1151">
          <cell r="F1151">
            <v>0</v>
          </cell>
          <cell r="H1151">
            <v>0</v>
          </cell>
          <cell r="J1151">
            <v>0</v>
          </cell>
          <cell r="AE1151" t="str">
            <v>BAHAN BAKAR, LISTRIK &amp; AIR</v>
          </cell>
        </row>
        <row r="1152">
          <cell r="F1152">
            <v>0</v>
          </cell>
          <cell r="H1152">
            <v>0</v>
          </cell>
          <cell r="J1152">
            <v>0</v>
          </cell>
          <cell r="AE1152" t="str">
            <v>BAHAN BAKAR, LISTRIK &amp; AIR</v>
          </cell>
        </row>
        <row r="1153">
          <cell r="F1153">
            <v>0</v>
          </cell>
          <cell r="H1153">
            <v>0</v>
          </cell>
          <cell r="J1153">
            <v>0</v>
          </cell>
          <cell r="AE1153" t="str">
            <v>BAHAN BAKAR, LISTRIK &amp; AIR</v>
          </cell>
        </row>
        <row r="1154">
          <cell r="F1154">
            <v>6471902</v>
          </cell>
          <cell r="H1154">
            <v>5619227</v>
          </cell>
          <cell r="J1154">
            <v>4988882</v>
          </cell>
          <cell r="AE1154" t="str">
            <v>LISTRIK</v>
          </cell>
        </row>
        <row r="1155">
          <cell r="F1155">
            <v>0</v>
          </cell>
          <cell r="H1155">
            <v>0</v>
          </cell>
          <cell r="J1155">
            <v>0</v>
          </cell>
          <cell r="AE1155" t="str">
            <v>BAHAN BAKAR, LISTRIK &amp; AIR</v>
          </cell>
        </row>
        <row r="1156">
          <cell r="F1156">
            <v>0</v>
          </cell>
          <cell r="H1156">
            <v>0</v>
          </cell>
          <cell r="J1156">
            <v>0</v>
          </cell>
          <cell r="AE1156" t="str">
            <v>BAHAN BAKAR, LISTRIK &amp; AIR</v>
          </cell>
        </row>
        <row r="1157">
          <cell r="F1157">
            <v>0</v>
          </cell>
          <cell r="H1157">
            <v>0</v>
          </cell>
          <cell r="J1157">
            <v>0</v>
          </cell>
          <cell r="AE1157" t="str">
            <v>BEBAN MATERIAL</v>
          </cell>
        </row>
        <row r="1158">
          <cell r="F1158">
            <v>0</v>
          </cell>
          <cell r="H1158">
            <v>0</v>
          </cell>
          <cell r="J1158">
            <v>0</v>
          </cell>
          <cell r="AE1158" t="str">
            <v>BEBAN MATERIAL</v>
          </cell>
        </row>
        <row r="1159">
          <cell r="F1159">
            <v>0</v>
          </cell>
          <cell r="H1159">
            <v>0</v>
          </cell>
          <cell r="J1159">
            <v>0</v>
          </cell>
          <cell r="AE1159" t="str">
            <v>BEBAN MATERIAL</v>
          </cell>
        </row>
        <row r="1160">
          <cell r="F1160">
            <v>0</v>
          </cell>
          <cell r="H1160">
            <v>0</v>
          </cell>
          <cell r="J1160">
            <v>0</v>
          </cell>
          <cell r="AE1160" t="str">
            <v>TENAGA KERJA</v>
          </cell>
        </row>
        <row r="1161">
          <cell r="F1161">
            <v>0</v>
          </cell>
          <cell r="H1161">
            <v>0</v>
          </cell>
          <cell r="J1161">
            <v>0</v>
          </cell>
          <cell r="AE1161" t="str">
            <v>GAJI DAN TUNJANGAN</v>
          </cell>
        </row>
        <row r="1162">
          <cell r="F1162">
            <v>0</v>
          </cell>
          <cell r="H1162">
            <v>0</v>
          </cell>
          <cell r="J1162">
            <v>0</v>
          </cell>
          <cell r="AE1162" t="str">
            <v>GAJI DAN TUNJANGAN</v>
          </cell>
        </row>
        <row r="1163">
          <cell r="F1163">
            <v>0</v>
          </cell>
          <cell r="H1163">
            <v>0</v>
          </cell>
          <cell r="J1163">
            <v>0</v>
          </cell>
          <cell r="AE1163" t="str">
            <v>GAJI DAN TUNJANGAN</v>
          </cell>
        </row>
        <row r="1164">
          <cell r="F1164">
            <v>68765746</v>
          </cell>
          <cell r="H1164">
            <v>66472349</v>
          </cell>
          <cell r="J1164">
            <v>61515748</v>
          </cell>
          <cell r="AE1164" t="str">
            <v>GAJI DAN TUNJANGAN</v>
          </cell>
        </row>
        <row r="1165">
          <cell r="F1165">
            <v>0</v>
          </cell>
          <cell r="H1165">
            <v>0</v>
          </cell>
          <cell r="J1165">
            <v>0</v>
          </cell>
          <cell r="AE1165" t="str">
            <v>GAJI DAN TUNJANGAN</v>
          </cell>
        </row>
        <row r="1166">
          <cell r="F1166">
            <v>41508887</v>
          </cell>
          <cell r="H1166">
            <v>42414487</v>
          </cell>
          <cell r="J1166">
            <v>41152288</v>
          </cell>
          <cell r="AE1166" t="str">
            <v>GAJI DAN TUNJANGAN</v>
          </cell>
        </row>
        <row r="1167">
          <cell r="F1167">
            <v>255415296</v>
          </cell>
          <cell r="H1167">
            <v>286792876</v>
          </cell>
          <cell r="J1167">
            <v>253969853</v>
          </cell>
          <cell r="AE1167" t="str">
            <v>GAJI DAN TUNJANGAN</v>
          </cell>
        </row>
        <row r="1168">
          <cell r="F1168">
            <v>0</v>
          </cell>
          <cell r="H1168">
            <v>0</v>
          </cell>
          <cell r="J1168">
            <v>0</v>
          </cell>
          <cell r="AE1168" t="str">
            <v>GAJI DAN TUNJANGAN</v>
          </cell>
        </row>
        <row r="1169">
          <cell r="F1169">
            <v>0</v>
          </cell>
          <cell r="H1169">
            <v>0</v>
          </cell>
          <cell r="J1169">
            <v>0</v>
          </cell>
          <cell r="AE1169" t="str">
            <v>GAJI DAN TUNJANGAN</v>
          </cell>
        </row>
        <row r="1170">
          <cell r="F1170">
            <v>0</v>
          </cell>
          <cell r="H1170">
            <v>0</v>
          </cell>
          <cell r="J1170">
            <v>0</v>
          </cell>
          <cell r="AE1170" t="str">
            <v>GAJI DAN TUNJANGAN</v>
          </cell>
        </row>
        <row r="1171">
          <cell r="F1171">
            <v>0</v>
          </cell>
          <cell r="H1171">
            <v>0</v>
          </cell>
          <cell r="J1171">
            <v>0</v>
          </cell>
          <cell r="AE1171" t="str">
            <v>GAJI DAN TUNJANGAN</v>
          </cell>
        </row>
        <row r="1172">
          <cell r="F1172">
            <v>0</v>
          </cell>
          <cell r="H1172">
            <v>0</v>
          </cell>
          <cell r="J1172">
            <v>0</v>
          </cell>
          <cell r="AE1172" t="str">
            <v>GAJI DAN TUNJANGAN</v>
          </cell>
        </row>
        <row r="1173">
          <cell r="F1173">
            <v>0</v>
          </cell>
          <cell r="H1173">
            <v>0</v>
          </cell>
          <cell r="J1173">
            <v>0</v>
          </cell>
          <cell r="AE1173" t="str">
            <v>GAJI DAN TUNJANGAN</v>
          </cell>
        </row>
        <row r="1174">
          <cell r="F1174">
            <v>0</v>
          </cell>
          <cell r="H1174">
            <v>0</v>
          </cell>
          <cell r="J1174">
            <v>0</v>
          </cell>
          <cell r="AE1174" t="str">
            <v>GAJI DAN TUNJANGAN</v>
          </cell>
        </row>
        <row r="1175">
          <cell r="F1175">
            <v>0</v>
          </cell>
          <cell r="H1175">
            <v>0</v>
          </cell>
          <cell r="J1175">
            <v>0</v>
          </cell>
          <cell r="AE1175" t="str">
            <v>GAJI DAN TUNJANGAN</v>
          </cell>
        </row>
        <row r="1176">
          <cell r="F1176">
            <v>0</v>
          </cell>
          <cell r="H1176">
            <v>0</v>
          </cell>
          <cell r="J1176">
            <v>0</v>
          </cell>
          <cell r="AE1176" t="str">
            <v>GAJI DAN TUNJANGAN</v>
          </cell>
        </row>
        <row r="1177">
          <cell r="F1177">
            <v>0</v>
          </cell>
          <cell r="H1177">
            <v>0</v>
          </cell>
          <cell r="J1177">
            <v>0</v>
          </cell>
          <cell r="AE1177" t="str">
            <v>GAJI DAN TUNJANGAN</v>
          </cell>
        </row>
        <row r="1178">
          <cell r="F1178">
            <v>0</v>
          </cell>
          <cell r="H1178">
            <v>0</v>
          </cell>
          <cell r="J1178">
            <v>0</v>
          </cell>
          <cell r="AE1178" t="str">
            <v>GAJI DAN TUNJANGAN</v>
          </cell>
        </row>
        <row r="1179">
          <cell r="F1179">
            <v>0</v>
          </cell>
          <cell r="H1179">
            <v>0</v>
          </cell>
          <cell r="J1179">
            <v>0</v>
          </cell>
          <cell r="AE1179" t="str">
            <v>GAJI DAN TUNJANGAN</v>
          </cell>
        </row>
        <row r="1180">
          <cell r="F1180">
            <v>0</v>
          </cell>
          <cell r="H1180">
            <v>0</v>
          </cell>
          <cell r="J1180">
            <v>0</v>
          </cell>
          <cell r="AE1180" t="str">
            <v>GAJI DAN TUNJANGAN</v>
          </cell>
        </row>
        <row r="1181">
          <cell r="F1181">
            <v>0</v>
          </cell>
          <cell r="H1181">
            <v>0</v>
          </cell>
          <cell r="J1181">
            <v>0</v>
          </cell>
          <cell r="AE1181" t="str">
            <v>GAJI DAN TUNJANGAN</v>
          </cell>
        </row>
        <row r="1182">
          <cell r="F1182">
            <v>0</v>
          </cell>
          <cell r="H1182">
            <v>0</v>
          </cell>
          <cell r="J1182">
            <v>0</v>
          </cell>
          <cell r="AE1182" t="str">
            <v>GAJI DAN TUNJANGAN</v>
          </cell>
        </row>
        <row r="1183">
          <cell r="F1183">
            <v>0</v>
          </cell>
          <cell r="H1183">
            <v>0</v>
          </cell>
          <cell r="J1183">
            <v>34706080</v>
          </cell>
          <cell r="AE1183" t="str">
            <v>GAJI DAN TUNJANGAN</v>
          </cell>
        </row>
        <row r="1184">
          <cell r="F1184">
            <v>62674044</v>
          </cell>
          <cell r="H1184">
            <v>62674044</v>
          </cell>
          <cell r="J1184">
            <v>44421041.670000002</v>
          </cell>
          <cell r="AE1184" t="str">
            <v>TUNJANGAN PAJAK</v>
          </cell>
        </row>
        <row r="1185">
          <cell r="F1185">
            <v>0</v>
          </cell>
          <cell r="H1185">
            <v>0</v>
          </cell>
          <cell r="J1185">
            <v>0</v>
          </cell>
          <cell r="AE1185" t="str">
            <v>TUNJANGAN PAJAK</v>
          </cell>
        </row>
        <row r="1186">
          <cell r="F1186">
            <v>0</v>
          </cell>
          <cell r="H1186">
            <v>0</v>
          </cell>
          <cell r="J1186">
            <v>0</v>
          </cell>
          <cell r="AE1186" t="str">
            <v>GAJI DAN TUNJANGAN</v>
          </cell>
        </row>
        <row r="1187">
          <cell r="F1187">
            <v>0</v>
          </cell>
          <cell r="H1187">
            <v>0</v>
          </cell>
          <cell r="J1187">
            <v>0</v>
          </cell>
          <cell r="AE1187" t="str">
            <v>GAJI DAN TUNJANGAN</v>
          </cell>
        </row>
        <row r="1188">
          <cell r="F1188">
            <v>0</v>
          </cell>
          <cell r="H1188">
            <v>0</v>
          </cell>
          <cell r="J1188">
            <v>0</v>
          </cell>
          <cell r="AE1188" t="str">
            <v>GAJI DAN TUNJANGAN</v>
          </cell>
        </row>
        <row r="1189">
          <cell r="F1189">
            <v>0</v>
          </cell>
          <cell r="H1189">
            <v>0</v>
          </cell>
          <cell r="J1189">
            <v>0</v>
          </cell>
          <cell r="AE1189" t="str">
            <v>GAJI DAN TUNJANGAN</v>
          </cell>
        </row>
        <row r="1190">
          <cell r="F1190">
            <v>0</v>
          </cell>
          <cell r="H1190">
            <v>0</v>
          </cell>
          <cell r="J1190">
            <v>0</v>
          </cell>
          <cell r="AE1190" t="str">
            <v>GAJI DAN TUNJANGAN</v>
          </cell>
        </row>
        <row r="1191">
          <cell r="F1191">
            <v>0</v>
          </cell>
          <cell r="H1191">
            <v>0</v>
          </cell>
          <cell r="J1191">
            <v>0</v>
          </cell>
          <cell r="AE1191" t="str">
            <v>GAJI DAN TUNJANGAN</v>
          </cell>
        </row>
        <row r="1192">
          <cell r="F1192">
            <v>0</v>
          </cell>
          <cell r="H1192">
            <v>0</v>
          </cell>
          <cell r="J1192">
            <v>0</v>
          </cell>
          <cell r="AE1192" t="str">
            <v>GAJI DAN TUNJANGAN</v>
          </cell>
        </row>
        <row r="1193">
          <cell r="F1193">
            <v>11024108</v>
          </cell>
          <cell r="H1193">
            <v>11024108</v>
          </cell>
          <cell r="J1193">
            <v>10539243</v>
          </cell>
          <cell r="AE1193" t="str">
            <v>GAJI DAN TUNJANGAN</v>
          </cell>
        </row>
        <row r="1194">
          <cell r="F1194">
            <v>0</v>
          </cell>
          <cell r="H1194">
            <v>2617600</v>
          </cell>
          <cell r="J1194">
            <v>2617600</v>
          </cell>
          <cell r="AE1194" t="str">
            <v>GAJI DAN TUNJANGAN</v>
          </cell>
        </row>
        <row r="1195">
          <cell r="F1195">
            <v>0</v>
          </cell>
          <cell r="H1195">
            <v>0</v>
          </cell>
          <cell r="J1195">
            <v>0</v>
          </cell>
          <cell r="AE1195" t="str">
            <v>GAJI DAN TUNJANGAN</v>
          </cell>
        </row>
        <row r="1196">
          <cell r="F1196">
            <v>0</v>
          </cell>
          <cell r="H1196">
            <v>0</v>
          </cell>
          <cell r="J1196">
            <v>0</v>
          </cell>
          <cell r="AE1196" t="str">
            <v>GAJI DAN TUNJANGAN</v>
          </cell>
        </row>
        <row r="1197">
          <cell r="F1197">
            <v>0</v>
          </cell>
          <cell r="H1197">
            <v>0</v>
          </cell>
          <cell r="J1197">
            <v>0</v>
          </cell>
          <cell r="AE1197" t="str">
            <v>GAJI DAN TUNJANGAN</v>
          </cell>
        </row>
        <row r="1198">
          <cell r="F1198">
            <v>0</v>
          </cell>
          <cell r="H1198">
            <v>0</v>
          </cell>
          <cell r="J1198">
            <v>0</v>
          </cell>
          <cell r="AE1198" t="str">
            <v>GAJI DAN TUNJANGAN</v>
          </cell>
        </row>
        <row r="1199">
          <cell r="F1199">
            <v>0</v>
          </cell>
          <cell r="H1199">
            <v>0</v>
          </cell>
          <cell r="J1199">
            <v>0</v>
          </cell>
          <cell r="AE1199" t="str">
            <v>GAJI DAN TUNJANGAN</v>
          </cell>
        </row>
        <row r="1200">
          <cell r="F1200">
            <v>0</v>
          </cell>
          <cell r="H1200">
            <v>0</v>
          </cell>
          <cell r="J1200">
            <v>0</v>
          </cell>
          <cell r="AE1200" t="str">
            <v>GAJI DAN TUNJANGAN</v>
          </cell>
        </row>
        <row r="1201">
          <cell r="F1201">
            <v>0</v>
          </cell>
          <cell r="H1201">
            <v>0</v>
          </cell>
          <cell r="J1201">
            <v>0</v>
          </cell>
          <cell r="AE1201" t="str">
            <v>GAJI DAN TUNJANGAN</v>
          </cell>
        </row>
        <row r="1202">
          <cell r="F1202">
            <v>0</v>
          </cell>
          <cell r="H1202">
            <v>0</v>
          </cell>
          <cell r="J1202">
            <v>0</v>
          </cell>
          <cell r="AE1202" t="str">
            <v>GAJI DAN TUNJANGAN</v>
          </cell>
        </row>
        <row r="1203">
          <cell r="F1203">
            <v>0</v>
          </cell>
          <cell r="H1203">
            <v>0</v>
          </cell>
          <cell r="J1203">
            <v>0</v>
          </cell>
          <cell r="AE1203" t="str">
            <v>GAJI DAN TUNJANGAN</v>
          </cell>
        </row>
        <row r="1204">
          <cell r="F1204">
            <v>28369128.5</v>
          </cell>
          <cell r="H1204">
            <v>0</v>
          </cell>
          <cell r="J1204">
            <v>14309760</v>
          </cell>
          <cell r="AE1204" t="str">
            <v>GAJI DAN TUNJANGAN</v>
          </cell>
        </row>
        <row r="1205">
          <cell r="F1205">
            <v>29862000</v>
          </cell>
          <cell r="H1205">
            <v>0</v>
          </cell>
          <cell r="J1205">
            <v>47602400</v>
          </cell>
          <cell r="AE1205" t="str">
            <v>GAJI DAN TUNJANGAN</v>
          </cell>
        </row>
        <row r="1206">
          <cell r="F1206">
            <v>0</v>
          </cell>
          <cell r="H1206">
            <v>0</v>
          </cell>
          <cell r="J1206">
            <v>0</v>
          </cell>
          <cell r="AE1206" t="str">
            <v>GAJI DAN TUNJANGAN</v>
          </cell>
        </row>
        <row r="1207">
          <cell r="F1207">
            <v>0</v>
          </cell>
          <cell r="H1207">
            <v>0</v>
          </cell>
          <cell r="J1207">
            <v>0</v>
          </cell>
          <cell r="AE1207" t="str">
            <v>GAJI DAN TUNJANGAN</v>
          </cell>
        </row>
        <row r="1208">
          <cell r="F1208">
            <v>0</v>
          </cell>
          <cell r="H1208">
            <v>0</v>
          </cell>
          <cell r="J1208">
            <v>0</v>
          </cell>
          <cell r="AE1208" t="str">
            <v>GAJI DAN TUNJANGAN</v>
          </cell>
        </row>
        <row r="1209">
          <cell r="F1209">
            <v>0</v>
          </cell>
          <cell r="H1209">
            <v>0</v>
          </cell>
          <cell r="J1209">
            <v>0</v>
          </cell>
          <cell r="AE1209" t="str">
            <v>KESEJAHTERAAN</v>
          </cell>
        </row>
        <row r="1210">
          <cell r="F1210">
            <v>0</v>
          </cell>
          <cell r="H1210">
            <v>0</v>
          </cell>
          <cell r="J1210">
            <v>0</v>
          </cell>
          <cell r="AE1210" t="str">
            <v>KESEJAHTERAAN</v>
          </cell>
        </row>
        <row r="1211">
          <cell r="F1211">
            <v>0</v>
          </cell>
          <cell r="H1211">
            <v>970000</v>
          </cell>
          <cell r="J1211">
            <v>982500</v>
          </cell>
          <cell r="AE1211" t="str">
            <v>KESEJAHTERAAN</v>
          </cell>
        </row>
        <row r="1212">
          <cell r="F1212">
            <v>0</v>
          </cell>
          <cell r="H1212">
            <v>0</v>
          </cell>
          <cell r="J1212">
            <v>0</v>
          </cell>
          <cell r="AE1212" t="str">
            <v>KESEJAHTERAAN</v>
          </cell>
        </row>
        <row r="1213">
          <cell r="F1213">
            <v>0</v>
          </cell>
          <cell r="H1213">
            <v>0</v>
          </cell>
          <cell r="J1213">
            <v>0</v>
          </cell>
          <cell r="AE1213" t="str">
            <v>KESEJAHTERAAN</v>
          </cell>
        </row>
        <row r="1214">
          <cell r="F1214">
            <v>0</v>
          </cell>
          <cell r="H1214">
            <v>0</v>
          </cell>
          <cell r="J1214">
            <v>0</v>
          </cell>
          <cell r="AE1214" t="str">
            <v>KESEJAHTERAAN</v>
          </cell>
        </row>
        <row r="1215">
          <cell r="F1215">
            <v>0</v>
          </cell>
          <cell r="H1215">
            <v>0</v>
          </cell>
          <cell r="J1215">
            <v>0</v>
          </cell>
          <cell r="AE1215" t="str">
            <v>KESEJAHTERAAN</v>
          </cell>
        </row>
        <row r="1216">
          <cell r="F1216">
            <v>0</v>
          </cell>
          <cell r="H1216">
            <v>0</v>
          </cell>
          <cell r="J1216">
            <v>0</v>
          </cell>
          <cell r="AE1216" t="str">
            <v>KESEJAHTERAAN</v>
          </cell>
        </row>
        <row r="1217">
          <cell r="F1217">
            <v>0</v>
          </cell>
          <cell r="H1217">
            <v>0</v>
          </cell>
          <cell r="J1217">
            <v>0</v>
          </cell>
          <cell r="AE1217" t="str">
            <v>KESEJAHTERAAN</v>
          </cell>
        </row>
        <row r="1218">
          <cell r="F1218">
            <v>0</v>
          </cell>
          <cell r="H1218">
            <v>0</v>
          </cell>
          <cell r="J1218">
            <v>0</v>
          </cell>
          <cell r="AE1218" t="str">
            <v>KESEJAHTERAAN</v>
          </cell>
        </row>
        <row r="1219">
          <cell r="F1219">
            <v>2750864</v>
          </cell>
          <cell r="H1219">
            <v>0</v>
          </cell>
          <cell r="J1219">
            <v>2964000</v>
          </cell>
          <cell r="AE1219" t="str">
            <v>KESEJAHTERAAN</v>
          </cell>
        </row>
        <row r="1220">
          <cell r="F1220">
            <v>0</v>
          </cell>
          <cell r="H1220">
            <v>0</v>
          </cell>
          <cell r="J1220">
            <v>0</v>
          </cell>
          <cell r="AE1220" t="str">
            <v>KESEJAHTERAAN</v>
          </cell>
        </row>
        <row r="1221">
          <cell r="F1221">
            <v>0</v>
          </cell>
          <cell r="H1221">
            <v>0</v>
          </cell>
          <cell r="J1221">
            <v>0</v>
          </cell>
          <cell r="AE1221" t="str">
            <v>KESEJAHTERAAN</v>
          </cell>
        </row>
        <row r="1222">
          <cell r="F1222">
            <v>0</v>
          </cell>
          <cell r="H1222">
            <v>0</v>
          </cell>
          <cell r="J1222">
            <v>0</v>
          </cell>
          <cell r="AE1222" t="str">
            <v>KESEJAHTERAAN</v>
          </cell>
        </row>
        <row r="1223">
          <cell r="F1223">
            <v>664000</v>
          </cell>
          <cell r="H1223">
            <v>105000</v>
          </cell>
          <cell r="J1223">
            <v>1126500</v>
          </cell>
          <cell r="AE1223" t="str">
            <v>KESEJAHTERAAN</v>
          </cell>
        </row>
        <row r="1224">
          <cell r="F1224">
            <v>0</v>
          </cell>
          <cell r="H1224">
            <v>0</v>
          </cell>
          <cell r="J1224">
            <v>0</v>
          </cell>
          <cell r="AE1224" t="str">
            <v>KESEJAHTERAAN</v>
          </cell>
        </row>
        <row r="1225">
          <cell r="F1225">
            <v>0</v>
          </cell>
          <cell r="H1225">
            <v>0</v>
          </cell>
          <cell r="J1225">
            <v>0</v>
          </cell>
          <cell r="AE1225" t="str">
            <v>KESEJAHTERAAN</v>
          </cell>
        </row>
        <row r="1226">
          <cell r="F1226">
            <v>0</v>
          </cell>
          <cell r="H1226">
            <v>0</v>
          </cell>
          <cell r="J1226">
            <v>0</v>
          </cell>
          <cell r="AE1226" t="str">
            <v>KESEJAHTERAAN</v>
          </cell>
        </row>
        <row r="1227">
          <cell r="F1227">
            <v>0</v>
          </cell>
          <cell r="H1227">
            <v>0</v>
          </cell>
          <cell r="J1227">
            <v>0</v>
          </cell>
          <cell r="AE1227" t="str">
            <v>KESEJAHTERAAN</v>
          </cell>
        </row>
        <row r="1228">
          <cell r="F1228">
            <v>0</v>
          </cell>
          <cell r="H1228">
            <v>0</v>
          </cell>
          <cell r="J1228">
            <v>0</v>
          </cell>
          <cell r="AE1228" t="str">
            <v>KESEJAHTERAAN</v>
          </cell>
        </row>
        <row r="1229">
          <cell r="F1229">
            <v>0</v>
          </cell>
          <cell r="H1229">
            <v>0</v>
          </cell>
          <cell r="J1229">
            <v>0</v>
          </cell>
          <cell r="AE1229" t="str">
            <v>KESEJAHTERAAN</v>
          </cell>
        </row>
        <row r="1230">
          <cell r="F1230">
            <v>0</v>
          </cell>
          <cell r="H1230">
            <v>0</v>
          </cell>
          <cell r="J1230">
            <v>0</v>
          </cell>
          <cell r="AE1230" t="str">
            <v>KESEJAHTERAAN</v>
          </cell>
        </row>
        <row r="1231">
          <cell r="F1231">
            <v>0</v>
          </cell>
          <cell r="H1231">
            <v>0</v>
          </cell>
          <cell r="J1231">
            <v>0</v>
          </cell>
          <cell r="AE1231" t="str">
            <v>GAJI DAN TUNJANGAN</v>
          </cell>
        </row>
        <row r="1232">
          <cell r="F1232">
            <v>0</v>
          </cell>
          <cell r="H1232">
            <v>0</v>
          </cell>
          <cell r="J1232">
            <v>0</v>
          </cell>
          <cell r="AE1232" t="str">
            <v>GAJI DAN TUNJANGAN</v>
          </cell>
        </row>
        <row r="1233">
          <cell r="F1233">
            <v>0</v>
          </cell>
          <cell r="H1233">
            <v>0</v>
          </cell>
          <cell r="J1233">
            <v>0</v>
          </cell>
          <cell r="AE1233" t="str">
            <v>GAJI DAN TUNJANGAN</v>
          </cell>
        </row>
        <row r="1234">
          <cell r="F1234">
            <v>0</v>
          </cell>
          <cell r="H1234">
            <v>0</v>
          </cell>
          <cell r="J1234">
            <v>0</v>
          </cell>
          <cell r="AE1234" t="str">
            <v>GAJI DAN TUNJANGAN</v>
          </cell>
        </row>
        <row r="1235">
          <cell r="F1235">
            <v>0</v>
          </cell>
          <cell r="H1235">
            <v>0</v>
          </cell>
          <cell r="J1235">
            <v>0</v>
          </cell>
          <cell r="AE1235" t="str">
            <v>GAJI DAN TUNJANGAN</v>
          </cell>
        </row>
        <row r="1236">
          <cell r="F1236">
            <v>0</v>
          </cell>
          <cell r="H1236">
            <v>0</v>
          </cell>
          <cell r="J1236">
            <v>0</v>
          </cell>
          <cell r="AE1236" t="str">
            <v>KESELAMATAN KERJA</v>
          </cell>
        </row>
        <row r="1237">
          <cell r="F1237">
            <v>0</v>
          </cell>
          <cell r="H1237">
            <v>0</v>
          </cell>
          <cell r="J1237">
            <v>0</v>
          </cell>
          <cell r="AE1237" t="str">
            <v>KESELAMATAN KERJA</v>
          </cell>
        </row>
        <row r="1238">
          <cell r="F1238">
            <v>0</v>
          </cell>
          <cell r="H1238">
            <v>0</v>
          </cell>
          <cell r="J1238">
            <v>0</v>
          </cell>
          <cell r="AE1238" t="str">
            <v>KESELAMATAN KERJA</v>
          </cell>
        </row>
        <row r="1239">
          <cell r="F1239">
            <v>0</v>
          </cell>
          <cell r="H1239">
            <v>0</v>
          </cell>
          <cell r="J1239">
            <v>0</v>
          </cell>
          <cell r="AE1239" t="str">
            <v>KESELAMATAN KERJA</v>
          </cell>
        </row>
        <row r="1240">
          <cell r="F1240">
            <v>0</v>
          </cell>
          <cell r="H1240">
            <v>0</v>
          </cell>
          <cell r="J1240">
            <v>0</v>
          </cell>
          <cell r="AE1240" t="str">
            <v>KESELAMATAN KERJA</v>
          </cell>
        </row>
        <row r="1241">
          <cell r="F1241">
            <v>0</v>
          </cell>
          <cell r="H1241">
            <v>0</v>
          </cell>
          <cell r="J1241">
            <v>0</v>
          </cell>
          <cell r="AE1241" t="str">
            <v>KESELAMATAN KERJA</v>
          </cell>
        </row>
        <row r="1242">
          <cell r="F1242">
            <v>0</v>
          </cell>
          <cell r="H1242">
            <v>0</v>
          </cell>
          <cell r="J1242">
            <v>0</v>
          </cell>
          <cell r="AE1242" t="str">
            <v>GAJI DAN TUNJANGAN</v>
          </cell>
        </row>
        <row r="1243">
          <cell r="F1243">
            <v>0</v>
          </cell>
          <cell r="H1243">
            <v>0</v>
          </cell>
          <cell r="J1243">
            <v>0</v>
          </cell>
          <cell r="AE1243" t="str">
            <v>GAJI DAN TUNJANGAN</v>
          </cell>
        </row>
        <row r="1244">
          <cell r="F1244">
            <v>0</v>
          </cell>
          <cell r="H1244">
            <v>0</v>
          </cell>
          <cell r="J1244">
            <v>0</v>
          </cell>
          <cell r="AE1244" t="str">
            <v>GAJI DAN TUNJANGAN</v>
          </cell>
        </row>
        <row r="1245">
          <cell r="F1245">
            <v>0</v>
          </cell>
          <cell r="H1245">
            <v>0</v>
          </cell>
          <cell r="J1245">
            <v>0</v>
          </cell>
          <cell r="AE1245" t="str">
            <v>STANDARISASI DAN JASA KONSULTAN</v>
          </cell>
        </row>
        <row r="1246">
          <cell r="F1246">
            <v>0</v>
          </cell>
          <cell r="H1246">
            <v>0</v>
          </cell>
          <cell r="J1246">
            <v>0</v>
          </cell>
          <cell r="AE1246" t="str">
            <v>STANDARISASI DAN JASA KONSULTAN</v>
          </cell>
        </row>
        <row r="1247">
          <cell r="F1247">
            <v>0</v>
          </cell>
          <cell r="H1247">
            <v>0</v>
          </cell>
          <cell r="J1247">
            <v>0</v>
          </cell>
          <cell r="AE1247" t="str">
            <v>STANDARISASI DAN JASA KONSULTAN</v>
          </cell>
        </row>
        <row r="1248">
          <cell r="F1248">
            <v>0</v>
          </cell>
          <cell r="H1248">
            <v>0</v>
          </cell>
          <cell r="J1248">
            <v>0</v>
          </cell>
          <cell r="AE1248" t="str">
            <v>STANDARISASI DAN JASA KONSULTAN</v>
          </cell>
        </row>
        <row r="1249">
          <cell r="F1249">
            <v>0</v>
          </cell>
          <cell r="H1249">
            <v>0</v>
          </cell>
          <cell r="J1249">
            <v>0</v>
          </cell>
          <cell r="AE1249" t="str">
            <v>STANDARISASI DAN JASA KONSULTAN</v>
          </cell>
        </row>
        <row r="1250">
          <cell r="F1250">
            <v>0</v>
          </cell>
          <cell r="H1250">
            <v>0</v>
          </cell>
          <cell r="J1250">
            <v>0</v>
          </cell>
          <cell r="AE1250" t="str">
            <v>STANDARISASI DAN JASA KONSULTAN</v>
          </cell>
        </row>
        <row r="1251">
          <cell r="F1251">
            <v>0</v>
          </cell>
          <cell r="H1251">
            <v>0</v>
          </cell>
          <cell r="J1251">
            <v>0</v>
          </cell>
          <cell r="AE1251" t="str">
            <v>STANDARISASI DAN JASA KONSULTAN</v>
          </cell>
        </row>
        <row r="1252">
          <cell r="F1252">
            <v>0</v>
          </cell>
          <cell r="H1252">
            <v>0</v>
          </cell>
          <cell r="J1252">
            <v>0</v>
          </cell>
          <cell r="AE1252" t="str">
            <v>STANDARISASI DAN JASA KONSULTAN</v>
          </cell>
        </row>
        <row r="1253">
          <cell r="F1253">
            <v>0</v>
          </cell>
          <cell r="H1253">
            <v>0</v>
          </cell>
          <cell r="J1253">
            <v>0</v>
          </cell>
          <cell r="AE1253" t="str">
            <v>STANDARISASI DAN JASA KONSULTAN</v>
          </cell>
        </row>
        <row r="1254">
          <cell r="F1254">
            <v>0</v>
          </cell>
          <cell r="H1254">
            <v>0</v>
          </cell>
          <cell r="J1254">
            <v>0</v>
          </cell>
          <cell r="AE1254" t="str">
            <v>STANDARISASI DAN JASA KONSULTAN</v>
          </cell>
        </row>
        <row r="1255">
          <cell r="F1255">
            <v>0</v>
          </cell>
          <cell r="H1255">
            <v>0</v>
          </cell>
          <cell r="J1255">
            <v>0</v>
          </cell>
          <cell r="AE1255" t="str">
            <v>STANDARISASI DAN JASA KONSULTAN</v>
          </cell>
        </row>
        <row r="1256">
          <cell r="F1256">
            <v>0</v>
          </cell>
          <cell r="H1256">
            <v>0</v>
          </cell>
          <cell r="J1256">
            <v>0</v>
          </cell>
          <cell r="AE1256" t="str">
            <v>STANDARISASI DAN JASA KONSULTAN</v>
          </cell>
        </row>
        <row r="1257">
          <cell r="F1257">
            <v>0</v>
          </cell>
          <cell r="H1257">
            <v>0</v>
          </cell>
          <cell r="J1257">
            <v>0</v>
          </cell>
          <cell r="AE1257" t="str">
            <v>STANDARISASI DAN JASA KONSULTAN</v>
          </cell>
        </row>
        <row r="1258">
          <cell r="F1258">
            <v>0</v>
          </cell>
          <cell r="H1258">
            <v>0</v>
          </cell>
          <cell r="J1258">
            <v>0</v>
          </cell>
          <cell r="AE1258" t="str">
            <v>STANDARISASI DAN JASA KONSULTAN</v>
          </cell>
        </row>
        <row r="1259">
          <cell r="F1259">
            <v>0</v>
          </cell>
          <cell r="H1259">
            <v>0</v>
          </cell>
          <cell r="J1259">
            <v>0</v>
          </cell>
          <cell r="AE1259" t="str">
            <v>STANDARISASI DAN JASA KONSULTAN</v>
          </cell>
        </row>
        <row r="1260">
          <cell r="F1260">
            <v>0</v>
          </cell>
          <cell r="H1260">
            <v>0</v>
          </cell>
          <cell r="J1260">
            <v>0</v>
          </cell>
          <cell r="AE1260" t="str">
            <v>STANDARISASI DAN JASA KONSULTAN</v>
          </cell>
        </row>
        <row r="1261">
          <cell r="F1261">
            <v>0</v>
          </cell>
          <cell r="H1261">
            <v>0</v>
          </cell>
          <cell r="J1261">
            <v>0</v>
          </cell>
          <cell r="AE1261" t="str">
            <v>STANDARISASI DAN JASA KONSULTAN</v>
          </cell>
        </row>
        <row r="1262">
          <cell r="F1262">
            <v>0</v>
          </cell>
          <cell r="H1262">
            <v>0</v>
          </cell>
          <cell r="J1262">
            <v>0</v>
          </cell>
          <cell r="AE1262" t="str">
            <v>STANDARISASI DAN JASA KONSULTAN</v>
          </cell>
        </row>
        <row r="1263">
          <cell r="F1263">
            <v>0</v>
          </cell>
          <cell r="H1263">
            <v>0</v>
          </cell>
          <cell r="J1263">
            <v>0</v>
          </cell>
          <cell r="AE1263" t="str">
            <v>STANDARISASI DAN JASA KONSULTAN</v>
          </cell>
        </row>
        <row r="1264">
          <cell r="F1264">
            <v>0</v>
          </cell>
          <cell r="H1264">
            <v>0</v>
          </cell>
          <cell r="J1264">
            <v>0</v>
          </cell>
          <cell r="AE1264" t="str">
            <v>STANDARISASI DAN JASA KONSULTAN</v>
          </cell>
        </row>
        <row r="1265">
          <cell r="F1265">
            <v>0</v>
          </cell>
          <cell r="H1265">
            <v>0</v>
          </cell>
          <cell r="J1265">
            <v>0</v>
          </cell>
          <cell r="AE1265" t="str">
            <v>STANDARISASI DAN JASA KONSULTAN</v>
          </cell>
        </row>
        <row r="1266">
          <cell r="F1266">
            <v>0</v>
          </cell>
          <cell r="H1266">
            <v>0</v>
          </cell>
          <cell r="J1266">
            <v>0</v>
          </cell>
          <cell r="AE1266" t="str">
            <v>STANDARISASI DAN JASA KONSULTAN</v>
          </cell>
        </row>
        <row r="1267">
          <cell r="F1267">
            <v>0</v>
          </cell>
          <cell r="H1267">
            <v>0</v>
          </cell>
          <cell r="J1267">
            <v>0</v>
          </cell>
          <cell r="AE1267" t="str">
            <v>STANDARISASI DAN JASA KONSULTAN</v>
          </cell>
        </row>
        <row r="1268">
          <cell r="F1268">
            <v>0</v>
          </cell>
          <cell r="H1268">
            <v>0</v>
          </cell>
          <cell r="J1268">
            <v>0</v>
          </cell>
          <cell r="AE1268" t="str">
            <v>STANDARISASI DAN JASA KONSULTAN</v>
          </cell>
        </row>
        <row r="1269">
          <cell r="F1269">
            <v>0</v>
          </cell>
          <cell r="H1269">
            <v>0</v>
          </cell>
          <cell r="J1269">
            <v>0</v>
          </cell>
          <cell r="AE1269" t="str">
            <v>STANDARISASI DAN JASA KONSULTAN</v>
          </cell>
        </row>
        <row r="1270">
          <cell r="F1270">
            <v>0</v>
          </cell>
          <cell r="H1270">
            <v>2386363</v>
          </cell>
          <cell r="J1270">
            <v>2386363</v>
          </cell>
          <cell r="AE1270" t="str">
            <v>STANDARISASI DAN JASA KONSULTAN</v>
          </cell>
        </row>
        <row r="1271">
          <cell r="F1271">
            <v>7494551.0199999996</v>
          </cell>
          <cell r="H1271">
            <v>3000000</v>
          </cell>
          <cell r="J1271">
            <v>0</v>
          </cell>
          <cell r="AE1271" t="str">
            <v>STANDARISASI DAN JASA KONSULTAN</v>
          </cell>
        </row>
        <row r="1272">
          <cell r="F1272">
            <v>25066666.670000002</v>
          </cell>
          <cell r="H1272">
            <v>35703029.670000002</v>
          </cell>
          <cell r="J1272">
            <v>28703030.300000001</v>
          </cell>
          <cell r="AE1272" t="str">
            <v>STANDARISASI DAN JASA KONSULTAN</v>
          </cell>
        </row>
        <row r="1273">
          <cell r="F1273">
            <v>0</v>
          </cell>
          <cell r="H1273">
            <v>0</v>
          </cell>
          <cell r="J1273">
            <v>0</v>
          </cell>
          <cell r="AE1273" t="str">
            <v>STANDARISASI DAN JASA KONSULTAN</v>
          </cell>
        </row>
        <row r="1274">
          <cell r="F1274">
            <v>0</v>
          </cell>
          <cell r="H1274">
            <v>0</v>
          </cell>
          <cell r="J1274">
            <v>0</v>
          </cell>
          <cell r="AE1274" t="str">
            <v>STANDARISASI DAN JASA KONSULTAN</v>
          </cell>
        </row>
        <row r="1275">
          <cell r="F1275">
            <v>0</v>
          </cell>
          <cell r="H1275">
            <v>0</v>
          </cell>
          <cell r="J1275">
            <v>0</v>
          </cell>
          <cell r="AE1275" t="str">
            <v>STANDARISASI DAN JASA KONSULTAN</v>
          </cell>
        </row>
        <row r="1276">
          <cell r="F1276">
            <v>0</v>
          </cell>
          <cell r="H1276">
            <v>0</v>
          </cell>
          <cell r="J1276">
            <v>0</v>
          </cell>
          <cell r="AE1276" t="str">
            <v>STANDARISASI DAN JASA KONSULTAN</v>
          </cell>
        </row>
        <row r="1277">
          <cell r="F1277">
            <v>0</v>
          </cell>
          <cell r="H1277">
            <v>0</v>
          </cell>
          <cell r="J1277">
            <v>0</v>
          </cell>
          <cell r="AE1277" t="str">
            <v>DIKLAT TENAGA KERJA</v>
          </cell>
        </row>
        <row r="1278">
          <cell r="F1278">
            <v>0</v>
          </cell>
          <cell r="H1278">
            <v>0</v>
          </cell>
          <cell r="J1278">
            <v>0</v>
          </cell>
          <cell r="AE1278" t="str">
            <v>DIKLAT TENAGA KERJA</v>
          </cell>
        </row>
        <row r="1279">
          <cell r="F1279">
            <v>0</v>
          </cell>
          <cell r="H1279">
            <v>0</v>
          </cell>
          <cell r="J1279">
            <v>0</v>
          </cell>
          <cell r="AE1279" t="str">
            <v>DIKLAT TENAGA KERJA</v>
          </cell>
        </row>
        <row r="1280">
          <cell r="F1280">
            <v>0</v>
          </cell>
          <cell r="H1280">
            <v>0</v>
          </cell>
          <cell r="J1280">
            <v>0</v>
          </cell>
          <cell r="AE1280" t="str">
            <v>DIKLAT TENAGA KERJA</v>
          </cell>
        </row>
        <row r="1281">
          <cell r="F1281">
            <v>0</v>
          </cell>
          <cell r="H1281">
            <v>0</v>
          </cell>
          <cell r="J1281">
            <v>0</v>
          </cell>
          <cell r="AE1281" t="str">
            <v>DIKLAT TENAGA KERJA</v>
          </cell>
        </row>
        <row r="1282">
          <cell r="F1282">
            <v>0</v>
          </cell>
          <cell r="H1282">
            <v>0</v>
          </cell>
          <cell r="J1282">
            <v>0</v>
          </cell>
          <cell r="AE1282" t="str">
            <v>DIKLAT TENAGA KERJA</v>
          </cell>
        </row>
        <row r="1283">
          <cell r="F1283">
            <v>0</v>
          </cell>
          <cell r="H1283">
            <v>0</v>
          </cell>
          <cell r="J1283">
            <v>0</v>
          </cell>
          <cell r="AE1283" t="str">
            <v>DIKLAT TENAGA KERJA</v>
          </cell>
        </row>
        <row r="1284">
          <cell r="F1284">
            <v>0</v>
          </cell>
          <cell r="H1284">
            <v>0</v>
          </cell>
          <cell r="J1284">
            <v>0</v>
          </cell>
          <cell r="AE1284" t="str">
            <v>DIKLAT TENAGA KERJA</v>
          </cell>
        </row>
        <row r="1285">
          <cell r="F1285">
            <v>0</v>
          </cell>
          <cell r="H1285">
            <v>0</v>
          </cell>
          <cell r="J1285">
            <v>0</v>
          </cell>
          <cell r="AE1285" t="str">
            <v>DIKLAT TENAGA KERJA</v>
          </cell>
        </row>
        <row r="1286">
          <cell r="F1286">
            <v>0</v>
          </cell>
          <cell r="H1286">
            <v>0</v>
          </cell>
          <cell r="J1286">
            <v>0</v>
          </cell>
          <cell r="AE1286" t="str">
            <v>DIKLAT TENAGA KERJA</v>
          </cell>
        </row>
        <row r="1287">
          <cell r="F1287">
            <v>0</v>
          </cell>
          <cell r="H1287">
            <v>0</v>
          </cell>
          <cell r="J1287">
            <v>0</v>
          </cell>
          <cell r="AE1287" t="str">
            <v>DIKLAT TENAGA KERJA</v>
          </cell>
        </row>
        <row r="1288">
          <cell r="F1288">
            <v>0</v>
          </cell>
          <cell r="H1288">
            <v>0</v>
          </cell>
          <cell r="J1288">
            <v>0</v>
          </cell>
          <cell r="AE1288" t="str">
            <v>DIKLAT TENAGA KERJA</v>
          </cell>
        </row>
        <row r="1289">
          <cell r="F1289">
            <v>0</v>
          </cell>
          <cell r="H1289">
            <v>0</v>
          </cell>
          <cell r="J1289">
            <v>0</v>
          </cell>
          <cell r="AE1289" t="str">
            <v>DIKLAT TENAGA KERJA</v>
          </cell>
        </row>
        <row r="1290">
          <cell r="F1290">
            <v>0</v>
          </cell>
          <cell r="H1290">
            <v>0</v>
          </cell>
          <cell r="J1290">
            <v>0</v>
          </cell>
          <cell r="AE1290" t="str">
            <v>DIKLAT TENAGA KERJA</v>
          </cell>
        </row>
        <row r="1291">
          <cell r="F1291">
            <v>0</v>
          </cell>
          <cell r="H1291">
            <v>0</v>
          </cell>
          <cell r="J1291">
            <v>0</v>
          </cell>
          <cell r="AE1291" t="str">
            <v>DIKLAT TENAGA KERJA</v>
          </cell>
        </row>
        <row r="1292">
          <cell r="F1292">
            <v>0</v>
          </cell>
          <cell r="H1292">
            <v>0</v>
          </cell>
          <cell r="J1292">
            <v>0</v>
          </cell>
          <cell r="AE1292" t="str">
            <v>PEMELIHARAAN AKTIVA TETAP</v>
          </cell>
        </row>
        <row r="1293">
          <cell r="F1293">
            <v>0</v>
          </cell>
          <cell r="H1293">
            <v>0</v>
          </cell>
          <cell r="J1293">
            <v>0</v>
          </cell>
          <cell r="AE1293" t="str">
            <v>PEMELIHARAAN TANAH</v>
          </cell>
        </row>
        <row r="1294">
          <cell r="F1294">
            <v>0</v>
          </cell>
          <cell r="H1294">
            <v>0</v>
          </cell>
          <cell r="J1294">
            <v>0</v>
          </cell>
          <cell r="AE1294" t="str">
            <v>PEMELIHARAAN TANAH</v>
          </cell>
        </row>
        <row r="1295">
          <cell r="F1295">
            <v>0</v>
          </cell>
          <cell r="H1295">
            <v>0</v>
          </cell>
          <cell r="J1295">
            <v>0</v>
          </cell>
          <cell r="AE1295" t="str">
            <v>PEMELIHARAAN TANAH</v>
          </cell>
        </row>
        <row r="1296">
          <cell r="F1296">
            <v>0</v>
          </cell>
          <cell r="H1296">
            <v>0</v>
          </cell>
          <cell r="J1296">
            <v>0</v>
          </cell>
          <cell r="AE1296" t="str">
            <v>PEMELIHARAAN TANAH</v>
          </cell>
        </row>
        <row r="1297">
          <cell r="F1297">
            <v>0</v>
          </cell>
          <cell r="H1297">
            <v>0</v>
          </cell>
          <cell r="J1297">
            <v>0</v>
          </cell>
          <cell r="AE1297" t="str">
            <v>PEMELIHARAAN TANAH</v>
          </cell>
        </row>
        <row r="1298">
          <cell r="F1298">
            <v>0</v>
          </cell>
          <cell r="H1298">
            <v>0</v>
          </cell>
          <cell r="J1298">
            <v>0</v>
          </cell>
          <cell r="AE1298" t="str">
            <v>PEMELIHARAAN TANAH</v>
          </cell>
        </row>
        <row r="1299">
          <cell r="F1299">
            <v>0</v>
          </cell>
          <cell r="H1299">
            <v>0</v>
          </cell>
          <cell r="J1299">
            <v>0</v>
          </cell>
          <cell r="AE1299" t="str">
            <v>PEMELIHARAAN TANAH</v>
          </cell>
        </row>
        <row r="1300">
          <cell r="F1300">
            <v>0</v>
          </cell>
          <cell r="H1300">
            <v>0</v>
          </cell>
          <cell r="J1300">
            <v>0</v>
          </cell>
          <cell r="AE1300" t="str">
            <v>PEMELIHARAAN BANGUNAN DAN PRASARANA</v>
          </cell>
        </row>
        <row r="1301">
          <cell r="F1301">
            <v>0</v>
          </cell>
          <cell r="H1301">
            <v>0</v>
          </cell>
          <cell r="J1301">
            <v>0</v>
          </cell>
          <cell r="AE1301" t="str">
            <v>PEMELIHARAAN BANGUNAN DAN PRASARANA</v>
          </cell>
        </row>
        <row r="1302">
          <cell r="F1302">
            <v>0</v>
          </cell>
          <cell r="H1302">
            <v>0</v>
          </cell>
          <cell r="J1302">
            <v>0</v>
          </cell>
          <cell r="AE1302" t="str">
            <v>PEMELIHARAAN BANGUNAN DAN PRASARANA</v>
          </cell>
        </row>
        <row r="1303">
          <cell r="F1303">
            <v>0</v>
          </cell>
          <cell r="H1303">
            <v>0</v>
          </cell>
          <cell r="J1303">
            <v>0</v>
          </cell>
          <cell r="AE1303" t="str">
            <v>PEMELIHARAAN BANGUNAN DAN PRASARANA</v>
          </cell>
        </row>
        <row r="1304">
          <cell r="F1304">
            <v>0</v>
          </cell>
          <cell r="H1304">
            <v>0</v>
          </cell>
          <cell r="J1304">
            <v>0</v>
          </cell>
          <cell r="AE1304" t="str">
            <v>PEMELIHARAAN BANGUNAN DAN PRASARANA</v>
          </cell>
        </row>
        <row r="1305">
          <cell r="F1305">
            <v>0</v>
          </cell>
          <cell r="H1305">
            <v>0</v>
          </cell>
          <cell r="J1305">
            <v>0</v>
          </cell>
          <cell r="AE1305" t="str">
            <v>PEMELIHARAAN BANGUNAN DAN PRASARANA</v>
          </cell>
        </row>
        <row r="1306">
          <cell r="F1306">
            <v>0</v>
          </cell>
          <cell r="H1306">
            <v>0</v>
          </cell>
          <cell r="J1306">
            <v>0</v>
          </cell>
          <cell r="AE1306" t="str">
            <v>PEMELIHARAAN MESIN</v>
          </cell>
        </row>
        <row r="1307">
          <cell r="F1307">
            <v>0</v>
          </cell>
          <cell r="H1307">
            <v>0</v>
          </cell>
          <cell r="J1307">
            <v>0</v>
          </cell>
          <cell r="AE1307" t="str">
            <v>PEMELIHARAAN MESIN</v>
          </cell>
        </row>
        <row r="1308">
          <cell r="F1308">
            <v>0</v>
          </cell>
          <cell r="H1308">
            <v>0</v>
          </cell>
          <cell r="J1308">
            <v>0</v>
          </cell>
          <cell r="AE1308" t="str">
            <v>PEMELIHARAAN MESIN</v>
          </cell>
        </row>
        <row r="1309">
          <cell r="F1309">
            <v>0</v>
          </cell>
          <cell r="H1309">
            <v>0</v>
          </cell>
          <cell r="J1309">
            <v>0</v>
          </cell>
          <cell r="AE1309" t="str">
            <v>PEMELIHARAAN MESIN</v>
          </cell>
        </row>
        <row r="1310">
          <cell r="F1310">
            <v>0</v>
          </cell>
          <cell r="H1310">
            <v>0</v>
          </cell>
          <cell r="J1310">
            <v>0</v>
          </cell>
          <cell r="AE1310" t="str">
            <v>PEMELIHARAAN MESIN</v>
          </cell>
        </row>
        <row r="1311">
          <cell r="F1311">
            <v>0</v>
          </cell>
          <cell r="H1311">
            <v>0</v>
          </cell>
          <cell r="J1311">
            <v>0</v>
          </cell>
          <cell r="AE1311" t="str">
            <v>PEMELIHARAAN MESIN</v>
          </cell>
        </row>
        <row r="1312">
          <cell r="F1312">
            <v>0</v>
          </cell>
          <cell r="H1312">
            <v>0</v>
          </cell>
          <cell r="J1312">
            <v>0</v>
          </cell>
          <cell r="AE1312" t="str">
            <v>PEMELIHARAAN MESIN</v>
          </cell>
        </row>
        <row r="1313">
          <cell r="F1313">
            <v>0</v>
          </cell>
          <cell r="H1313">
            <v>0</v>
          </cell>
          <cell r="J1313">
            <v>0</v>
          </cell>
          <cell r="AE1313" t="str">
            <v>PEMELIHARAAN MESIN</v>
          </cell>
        </row>
        <row r="1314">
          <cell r="F1314">
            <v>0</v>
          </cell>
          <cell r="H1314">
            <v>0</v>
          </cell>
          <cell r="J1314">
            <v>0</v>
          </cell>
          <cell r="AE1314" t="str">
            <v>PEMELIHARAAN MESIN</v>
          </cell>
        </row>
        <row r="1315">
          <cell r="F1315">
            <v>0</v>
          </cell>
          <cell r="H1315">
            <v>0</v>
          </cell>
          <cell r="J1315">
            <v>0</v>
          </cell>
          <cell r="AE1315" t="str">
            <v>PEMELIHARAAN AAB &amp; KENDARAAN</v>
          </cell>
        </row>
        <row r="1316">
          <cell r="F1316">
            <v>0</v>
          </cell>
          <cell r="H1316">
            <v>0</v>
          </cell>
          <cell r="J1316">
            <v>0</v>
          </cell>
          <cell r="AE1316" t="str">
            <v>PEMELIHARAAN AAB &amp; KENDARAAN</v>
          </cell>
        </row>
        <row r="1317">
          <cell r="F1317">
            <v>0</v>
          </cell>
          <cell r="H1317">
            <v>0</v>
          </cell>
          <cell r="J1317">
            <v>0</v>
          </cell>
          <cell r="AE1317" t="str">
            <v>PEMELIHARAAN AAB &amp; KENDARAAN</v>
          </cell>
        </row>
        <row r="1318">
          <cell r="F1318">
            <v>0</v>
          </cell>
          <cell r="H1318">
            <v>0</v>
          </cell>
          <cell r="J1318">
            <v>0</v>
          </cell>
          <cell r="AE1318" t="str">
            <v>PEMELIHARAAN AAB &amp; KENDARAAN</v>
          </cell>
        </row>
        <row r="1319">
          <cell r="F1319">
            <v>0</v>
          </cell>
          <cell r="H1319">
            <v>0</v>
          </cell>
          <cell r="J1319">
            <v>0</v>
          </cell>
          <cell r="AE1319" t="str">
            <v>PEMELIHARAAN AAB &amp; KENDARAAN</v>
          </cell>
        </row>
        <row r="1320">
          <cell r="F1320">
            <v>0</v>
          </cell>
          <cell r="H1320">
            <v>584000</v>
          </cell>
          <cell r="J1320">
            <v>0</v>
          </cell>
          <cell r="AE1320" t="str">
            <v>PEMELIHARAAN PERALATAN &amp; PERLENGKAPAN</v>
          </cell>
        </row>
        <row r="1321">
          <cell r="F1321">
            <v>0</v>
          </cell>
          <cell r="H1321">
            <v>0</v>
          </cell>
          <cell r="J1321">
            <v>0</v>
          </cell>
          <cell r="AE1321" t="str">
            <v>PEMELIHARAAN PERALATAN &amp; PERLENGKAPAN</v>
          </cell>
        </row>
        <row r="1322">
          <cell r="F1322">
            <v>0</v>
          </cell>
          <cell r="H1322">
            <v>0</v>
          </cell>
          <cell r="J1322">
            <v>0</v>
          </cell>
          <cell r="AE1322" t="str">
            <v>PEMELIHARAAN PERALATAN &amp; PERLENGKAPAN</v>
          </cell>
        </row>
        <row r="1323">
          <cell r="F1323">
            <v>0</v>
          </cell>
          <cell r="H1323">
            <v>0</v>
          </cell>
          <cell r="J1323">
            <v>0</v>
          </cell>
          <cell r="AE1323" t="str">
            <v>PEMELIHARAAN PERALATAN &amp; PERLENGKAPAN</v>
          </cell>
        </row>
        <row r="1324">
          <cell r="F1324">
            <v>0</v>
          </cell>
          <cell r="H1324">
            <v>0</v>
          </cell>
          <cell r="J1324">
            <v>0</v>
          </cell>
          <cell r="AE1324" t="str">
            <v>PEMELIHARAAN PERALATAN &amp; PERLENGKAPAN</v>
          </cell>
        </row>
        <row r="1325">
          <cell r="F1325">
            <v>0</v>
          </cell>
          <cell r="H1325">
            <v>0</v>
          </cell>
          <cell r="J1325">
            <v>0</v>
          </cell>
          <cell r="AE1325" t="str">
            <v>PEMELIHARAAN PERALATAN &amp; PERLENGKAPAN</v>
          </cell>
        </row>
        <row r="1326">
          <cell r="F1326">
            <v>0</v>
          </cell>
          <cell r="H1326">
            <v>0</v>
          </cell>
          <cell r="J1326">
            <v>0</v>
          </cell>
          <cell r="AE1326" t="str">
            <v>PEMELIHARAAN PERALATAN &amp; PERLENGKAPAN</v>
          </cell>
        </row>
        <row r="1327">
          <cell r="F1327">
            <v>0</v>
          </cell>
          <cell r="H1327">
            <v>0</v>
          </cell>
          <cell r="J1327">
            <v>0</v>
          </cell>
          <cell r="AE1327" t="str">
            <v>PEMAKAIAN SUKU CADANG GENERAL USE</v>
          </cell>
        </row>
        <row r="1328">
          <cell r="F1328">
            <v>0</v>
          </cell>
          <cell r="H1328">
            <v>0</v>
          </cell>
          <cell r="J1328">
            <v>0</v>
          </cell>
          <cell r="AE1328" t="str">
            <v>PEMAKAIAN SUKU CADANG GENERAL USE</v>
          </cell>
        </row>
        <row r="1329">
          <cell r="F1329">
            <v>0</v>
          </cell>
          <cell r="H1329">
            <v>0</v>
          </cell>
          <cell r="J1329">
            <v>0</v>
          </cell>
          <cell r="AE1329" t="str">
            <v>PEMAKAIAN SUKU CADANG GENERAL USE</v>
          </cell>
        </row>
        <row r="1330">
          <cell r="F1330">
            <v>0</v>
          </cell>
          <cell r="H1330">
            <v>0</v>
          </cell>
          <cell r="J1330">
            <v>0</v>
          </cell>
          <cell r="AE1330" t="str">
            <v>PEMAKAIAN SUKU CADANG GENERAL USE</v>
          </cell>
        </row>
        <row r="1331">
          <cell r="F1331">
            <v>0</v>
          </cell>
          <cell r="H1331">
            <v>0</v>
          </cell>
          <cell r="J1331">
            <v>0</v>
          </cell>
          <cell r="AE1331" t="str">
            <v>PEMAKAIAN SUKU CADANG GENERAL USE</v>
          </cell>
        </row>
        <row r="1332">
          <cell r="F1332">
            <v>0</v>
          </cell>
          <cell r="H1332">
            <v>0</v>
          </cell>
          <cell r="J1332">
            <v>0</v>
          </cell>
          <cell r="AE1332" t="str">
            <v>PEMAKAIAN SUKU CADANG GENERAL USE</v>
          </cell>
        </row>
        <row r="1333">
          <cell r="F1333">
            <v>0</v>
          </cell>
          <cell r="H1333">
            <v>0</v>
          </cell>
          <cell r="J1333">
            <v>0</v>
          </cell>
          <cell r="AE1333" t="str">
            <v>PEMAKAIAN SUKU CADANG GENERAL USE</v>
          </cell>
        </row>
        <row r="1334">
          <cell r="F1334">
            <v>0</v>
          </cell>
          <cell r="H1334">
            <v>0</v>
          </cell>
          <cell r="J1334">
            <v>0</v>
          </cell>
          <cell r="AE1334" t="str">
            <v>DEPLESI, PENYUSUTAN, AMORTISASI</v>
          </cell>
        </row>
        <row r="1335">
          <cell r="F1335">
            <v>0</v>
          </cell>
          <cell r="H1335">
            <v>0</v>
          </cell>
          <cell r="J1335">
            <v>0</v>
          </cell>
          <cell r="AE1335" t="str">
            <v>PENYUSUTAN</v>
          </cell>
        </row>
        <row r="1336">
          <cell r="F1336">
            <v>0</v>
          </cell>
          <cell r="H1336">
            <v>0</v>
          </cell>
          <cell r="J1336">
            <v>0</v>
          </cell>
          <cell r="AE1336" t="str">
            <v>PENYUSUTAN</v>
          </cell>
        </row>
        <row r="1337">
          <cell r="F1337">
            <v>45727131.390000001</v>
          </cell>
          <cell r="H1337">
            <v>45727131.390000001</v>
          </cell>
          <cell r="J1337">
            <v>45727131.390000001</v>
          </cell>
          <cell r="AE1337" t="str">
            <v>PENYUSUTAN</v>
          </cell>
        </row>
        <row r="1338">
          <cell r="F1338">
            <v>0</v>
          </cell>
          <cell r="H1338">
            <v>0</v>
          </cell>
          <cell r="J1338">
            <v>0</v>
          </cell>
          <cell r="AE1338" t="str">
            <v>PENYUSUTAN</v>
          </cell>
        </row>
        <row r="1339">
          <cell r="F1339">
            <v>0</v>
          </cell>
          <cell r="H1339">
            <v>0</v>
          </cell>
          <cell r="J1339">
            <v>0</v>
          </cell>
          <cell r="AE1339" t="str">
            <v>PENYUSUTAN</v>
          </cell>
        </row>
        <row r="1340">
          <cell r="F1340">
            <v>0</v>
          </cell>
          <cell r="H1340">
            <v>0</v>
          </cell>
          <cell r="J1340">
            <v>0</v>
          </cell>
          <cell r="AE1340" t="str">
            <v>PENYUSUTAN</v>
          </cell>
        </row>
        <row r="1341">
          <cell r="F1341">
            <v>0</v>
          </cell>
          <cell r="H1341">
            <v>0</v>
          </cell>
          <cell r="J1341">
            <v>0</v>
          </cell>
          <cell r="AE1341" t="str">
            <v>PENYUSUTAN</v>
          </cell>
        </row>
        <row r="1342">
          <cell r="F1342">
            <v>0</v>
          </cell>
          <cell r="H1342">
            <v>0</v>
          </cell>
          <cell r="J1342">
            <v>0</v>
          </cell>
          <cell r="AE1342" t="str">
            <v>PENYUSUTAN</v>
          </cell>
        </row>
        <row r="1343">
          <cell r="F1343">
            <v>0</v>
          </cell>
          <cell r="H1343">
            <v>0</v>
          </cell>
          <cell r="J1343">
            <v>0</v>
          </cell>
          <cell r="AE1343" t="str">
            <v>PENYUSUTAN</v>
          </cell>
        </row>
        <row r="1344">
          <cell r="F1344">
            <v>0</v>
          </cell>
          <cell r="H1344">
            <v>0</v>
          </cell>
          <cell r="J1344">
            <v>0</v>
          </cell>
          <cell r="AE1344" t="str">
            <v>PENYUSUTAN</v>
          </cell>
        </row>
        <row r="1345">
          <cell r="F1345">
            <v>8831250.0099999998</v>
          </cell>
          <cell r="H1345">
            <v>8831250.0099999998</v>
          </cell>
          <cell r="J1345">
            <v>8831250.0099999998</v>
          </cell>
          <cell r="AE1345" t="str">
            <v>PENYUSUTAN</v>
          </cell>
        </row>
        <row r="1346">
          <cell r="F1346">
            <v>0</v>
          </cell>
          <cell r="H1346">
            <v>0</v>
          </cell>
          <cell r="J1346">
            <v>0</v>
          </cell>
          <cell r="AE1346" t="str">
            <v>PENYUSUTAN</v>
          </cell>
        </row>
        <row r="1347">
          <cell r="F1347">
            <v>3638456.9999999995</v>
          </cell>
          <cell r="H1347">
            <v>3638456.9999999995</v>
          </cell>
          <cell r="J1347">
            <v>3638457.0000000005</v>
          </cell>
          <cell r="AE1347" t="str">
            <v>PENYUSUTAN</v>
          </cell>
        </row>
        <row r="1348">
          <cell r="F1348">
            <v>0</v>
          </cell>
          <cell r="H1348">
            <v>0</v>
          </cell>
          <cell r="J1348">
            <v>0</v>
          </cell>
          <cell r="AE1348" t="str">
            <v>PENYUSUTAN</v>
          </cell>
        </row>
        <row r="1349">
          <cell r="F1349">
            <v>0</v>
          </cell>
          <cell r="H1349">
            <v>0</v>
          </cell>
          <cell r="J1349">
            <v>0</v>
          </cell>
          <cell r="AE1349" t="str">
            <v>PENYUSUTAN</v>
          </cell>
        </row>
        <row r="1350">
          <cell r="F1350">
            <v>0</v>
          </cell>
          <cell r="H1350">
            <v>0</v>
          </cell>
          <cell r="J1350">
            <v>0</v>
          </cell>
          <cell r="AE1350" t="str">
            <v>PENYUSUTAN</v>
          </cell>
        </row>
        <row r="1351">
          <cell r="F1351">
            <v>0</v>
          </cell>
          <cell r="H1351">
            <v>0</v>
          </cell>
          <cell r="J1351">
            <v>0</v>
          </cell>
          <cell r="AE1351" t="str">
            <v>PENYUSUTAN</v>
          </cell>
        </row>
        <row r="1352">
          <cell r="F1352">
            <v>0</v>
          </cell>
          <cell r="H1352">
            <v>0</v>
          </cell>
          <cell r="J1352">
            <v>0</v>
          </cell>
          <cell r="AE1352" t="str">
            <v>PENYUSUTAN</v>
          </cell>
        </row>
        <row r="1353">
          <cell r="F1353">
            <v>0</v>
          </cell>
          <cell r="H1353">
            <v>0</v>
          </cell>
          <cell r="J1353">
            <v>0</v>
          </cell>
          <cell r="AE1353" t="str">
            <v>PENYUSUTAN</v>
          </cell>
        </row>
        <row r="1354">
          <cell r="F1354">
            <v>0</v>
          </cell>
          <cell r="H1354">
            <v>0</v>
          </cell>
          <cell r="J1354">
            <v>0</v>
          </cell>
          <cell r="AE1354" t="str">
            <v>PENYUSUTAN</v>
          </cell>
        </row>
        <row r="1355">
          <cell r="F1355">
            <v>0</v>
          </cell>
          <cell r="H1355">
            <v>0</v>
          </cell>
          <cell r="J1355">
            <v>0</v>
          </cell>
          <cell r="AE1355" t="str">
            <v>AMORTISASI</v>
          </cell>
        </row>
        <row r="1356">
          <cell r="F1356">
            <v>0</v>
          </cell>
          <cell r="H1356">
            <v>0</v>
          </cell>
          <cell r="J1356">
            <v>0</v>
          </cell>
          <cell r="AE1356" t="str">
            <v>AMORTISASI</v>
          </cell>
        </row>
        <row r="1357">
          <cell r="F1357">
            <v>0</v>
          </cell>
          <cell r="H1357">
            <v>0</v>
          </cell>
          <cell r="J1357">
            <v>0</v>
          </cell>
          <cell r="AE1357" t="str">
            <v>AMORTISASI</v>
          </cell>
        </row>
        <row r="1358">
          <cell r="F1358">
            <v>0</v>
          </cell>
          <cell r="H1358">
            <v>0</v>
          </cell>
          <cell r="J1358">
            <v>0</v>
          </cell>
          <cell r="AE1358" t="str">
            <v>AMORTISASI</v>
          </cell>
        </row>
        <row r="1359">
          <cell r="F1359">
            <v>0</v>
          </cell>
          <cell r="H1359">
            <v>0</v>
          </cell>
          <cell r="J1359">
            <v>0</v>
          </cell>
          <cell r="AE1359" t="str">
            <v>AMORTISASI</v>
          </cell>
        </row>
        <row r="1360">
          <cell r="F1360">
            <v>0</v>
          </cell>
          <cell r="H1360">
            <v>0</v>
          </cell>
          <cell r="J1360">
            <v>0</v>
          </cell>
          <cell r="AE1360" t="str">
            <v>AMORTISASI</v>
          </cell>
        </row>
        <row r="1361">
          <cell r="F1361">
            <v>0</v>
          </cell>
          <cell r="H1361">
            <v>0</v>
          </cell>
          <cell r="J1361">
            <v>0</v>
          </cell>
          <cell r="AE1361" t="str">
            <v>URUSAN UMUM DAN ADMINISTRASI</v>
          </cell>
        </row>
        <row r="1362">
          <cell r="F1362">
            <v>0</v>
          </cell>
          <cell r="H1362">
            <v>0</v>
          </cell>
          <cell r="J1362">
            <v>0</v>
          </cell>
          <cell r="AE1362" t="str">
            <v>PERJALANAN DINAS</v>
          </cell>
        </row>
        <row r="1363">
          <cell r="F1363">
            <v>0</v>
          </cell>
          <cell r="H1363">
            <v>0</v>
          </cell>
          <cell r="J1363">
            <v>0</v>
          </cell>
          <cell r="AE1363" t="str">
            <v>PERJALANAN DINAS</v>
          </cell>
        </row>
        <row r="1364">
          <cell r="F1364">
            <v>17475487</v>
          </cell>
          <cell r="H1364">
            <v>23618531</v>
          </cell>
          <cell r="J1364">
            <v>30042972</v>
          </cell>
          <cell r="AE1364" t="str">
            <v>PERJALANAN DINAS</v>
          </cell>
        </row>
        <row r="1365">
          <cell r="F1365">
            <v>0</v>
          </cell>
          <cell r="H1365">
            <v>0</v>
          </cell>
          <cell r="J1365">
            <v>0</v>
          </cell>
          <cell r="AE1365" t="str">
            <v>PERJALANAN DINAS</v>
          </cell>
        </row>
        <row r="1366">
          <cell r="F1366">
            <v>0</v>
          </cell>
          <cell r="H1366">
            <v>0</v>
          </cell>
          <cell r="J1366">
            <v>0</v>
          </cell>
          <cell r="AE1366" t="str">
            <v>PERJALANAN DINAS</v>
          </cell>
        </row>
        <row r="1367">
          <cell r="F1367">
            <v>4350706</v>
          </cell>
          <cell r="H1367">
            <v>7543779</v>
          </cell>
          <cell r="J1367">
            <v>3735470</v>
          </cell>
          <cell r="AE1367" t="str">
            <v>PERJALANAN DINAS</v>
          </cell>
        </row>
        <row r="1368">
          <cell r="F1368">
            <v>0</v>
          </cell>
          <cell r="H1368">
            <v>0</v>
          </cell>
          <cell r="J1368">
            <v>0</v>
          </cell>
          <cell r="AE1368" t="str">
            <v>PERJALANAN DINAS</v>
          </cell>
        </row>
        <row r="1369">
          <cell r="F1369">
            <v>0</v>
          </cell>
          <cell r="H1369">
            <v>0</v>
          </cell>
          <cell r="J1369">
            <v>0</v>
          </cell>
          <cell r="AE1369" t="str">
            <v>PEMBINAAN LINGKUNGAN DAN KEGIATAN WARGA</v>
          </cell>
        </row>
        <row r="1370">
          <cell r="F1370">
            <v>0</v>
          </cell>
          <cell r="H1370">
            <v>0</v>
          </cell>
          <cell r="J1370">
            <v>0</v>
          </cell>
          <cell r="AE1370" t="str">
            <v>PEMBINAAN LINGKUNGAN DAN KEGIATAN WARGA</v>
          </cell>
        </row>
        <row r="1371">
          <cell r="F1371">
            <v>0</v>
          </cell>
          <cell r="H1371">
            <v>0</v>
          </cell>
          <cell r="J1371">
            <v>0</v>
          </cell>
          <cell r="AE1371" t="str">
            <v>PEMBINAAN LINGKUNGAN DAN KEGIATAN WARGA</v>
          </cell>
        </row>
        <row r="1372">
          <cell r="F1372">
            <v>0</v>
          </cell>
          <cell r="H1372">
            <v>0</v>
          </cell>
          <cell r="J1372">
            <v>0</v>
          </cell>
          <cell r="AE1372" t="str">
            <v>PEMBINAAN LINGKUNGAN DAN KEGIATAN WARGA</v>
          </cell>
        </row>
        <row r="1373">
          <cell r="F1373">
            <v>0</v>
          </cell>
          <cell r="H1373">
            <v>0</v>
          </cell>
          <cell r="J1373">
            <v>0</v>
          </cell>
          <cell r="AE1373" t="str">
            <v>PEMBINAAN LINGKUNGAN DAN KEGIATAN WARGA</v>
          </cell>
        </row>
        <row r="1374">
          <cell r="F1374">
            <v>0</v>
          </cell>
          <cell r="H1374">
            <v>0</v>
          </cell>
          <cell r="J1374">
            <v>0</v>
          </cell>
          <cell r="AE1374" t="str">
            <v>PEMBINAAN LINGKUNGAN DAN KEGIATAN WARGA</v>
          </cell>
        </row>
        <row r="1375">
          <cell r="F1375">
            <v>0</v>
          </cell>
          <cell r="H1375">
            <v>0</v>
          </cell>
          <cell r="J1375">
            <v>0</v>
          </cell>
          <cell r="AE1375" t="str">
            <v>PEMBINAAN LINGKUNGAN DAN KEGIATAN WARGA</v>
          </cell>
        </row>
        <row r="1376">
          <cell r="F1376">
            <v>0</v>
          </cell>
          <cell r="H1376">
            <v>0</v>
          </cell>
          <cell r="J1376">
            <v>0</v>
          </cell>
          <cell r="AE1376" t="str">
            <v>PEMBINAAN LINGKUNGAN DAN KEGIATAN WARGA</v>
          </cell>
        </row>
        <row r="1377">
          <cell r="F1377">
            <v>0</v>
          </cell>
          <cell r="H1377">
            <v>0</v>
          </cell>
          <cell r="J1377">
            <v>0</v>
          </cell>
          <cell r="AE1377" t="str">
            <v>PEMBINAAN LINGKUNGAN DAN KEGIATAN WARGA</v>
          </cell>
        </row>
        <row r="1378">
          <cell r="F1378">
            <v>0</v>
          </cell>
          <cell r="H1378">
            <v>0</v>
          </cell>
          <cell r="J1378">
            <v>0</v>
          </cell>
          <cell r="AE1378" t="str">
            <v>PEMBINAAN LINGKUNGAN DAN KEGIATAN WARGA</v>
          </cell>
        </row>
        <row r="1379">
          <cell r="F1379">
            <v>0</v>
          </cell>
          <cell r="H1379">
            <v>0</v>
          </cell>
          <cell r="J1379">
            <v>0</v>
          </cell>
          <cell r="AE1379" t="str">
            <v>PEMBINAAN LINGKUNGAN DAN KEGIATAN WARGA</v>
          </cell>
        </row>
        <row r="1380">
          <cell r="F1380">
            <v>0</v>
          </cell>
          <cell r="H1380">
            <v>0</v>
          </cell>
          <cell r="J1380">
            <v>0</v>
          </cell>
          <cell r="AE1380" t="str">
            <v>PEMBINAAN LINGKUNGAN DAN KEGIATAN WARGA</v>
          </cell>
        </row>
        <row r="1381">
          <cell r="F1381">
            <v>0</v>
          </cell>
          <cell r="H1381">
            <v>0</v>
          </cell>
          <cell r="J1381">
            <v>0</v>
          </cell>
          <cell r="AE1381" t="str">
            <v>PEMBINAAN LINGKUNGAN DAN KEGIATAN WARGA</v>
          </cell>
        </row>
        <row r="1382">
          <cell r="F1382">
            <v>0</v>
          </cell>
          <cell r="H1382">
            <v>0</v>
          </cell>
          <cell r="J1382">
            <v>0</v>
          </cell>
          <cell r="AE1382" t="str">
            <v>PERIJINAN &amp; PENGURUSAN PERUSAHAAN</v>
          </cell>
        </row>
        <row r="1383">
          <cell r="F1383">
            <v>0</v>
          </cell>
          <cell r="H1383">
            <v>0</v>
          </cell>
          <cell r="J1383">
            <v>0</v>
          </cell>
          <cell r="AE1383" t="str">
            <v>PERIJINAN &amp; PENGURUSAN PERUSAHAAN</v>
          </cell>
        </row>
        <row r="1384">
          <cell r="F1384">
            <v>0</v>
          </cell>
          <cell r="H1384">
            <v>0</v>
          </cell>
          <cell r="J1384">
            <v>0</v>
          </cell>
          <cell r="AE1384" t="str">
            <v>PERIJINAN &amp; PENGURUSAN PERUSAHAAN</v>
          </cell>
        </row>
        <row r="1385">
          <cell r="F1385">
            <v>0</v>
          </cell>
          <cell r="H1385">
            <v>0</v>
          </cell>
          <cell r="J1385">
            <v>0</v>
          </cell>
          <cell r="AE1385" t="str">
            <v>PERIJINAN &amp; PENGURUSAN PERUSAHAAN</v>
          </cell>
        </row>
        <row r="1386">
          <cell r="F1386">
            <v>0</v>
          </cell>
          <cell r="H1386">
            <v>0</v>
          </cell>
          <cell r="J1386">
            <v>0</v>
          </cell>
          <cell r="AE1386" t="str">
            <v>PERIJINAN &amp; PENGURUSAN PERUSAHAAN</v>
          </cell>
        </row>
        <row r="1387">
          <cell r="F1387">
            <v>0</v>
          </cell>
          <cell r="H1387">
            <v>0</v>
          </cell>
          <cell r="J1387">
            <v>0</v>
          </cell>
          <cell r="AE1387" t="str">
            <v>PERIJINAN &amp; PENGURUSAN PERUSAHAAN</v>
          </cell>
        </row>
        <row r="1388">
          <cell r="F1388">
            <v>0</v>
          </cell>
          <cell r="H1388">
            <v>0</v>
          </cell>
          <cell r="J1388">
            <v>0</v>
          </cell>
          <cell r="AE1388" t="str">
            <v>PERIJINAN &amp; PENGURUSAN PERUSAHAAN</v>
          </cell>
        </row>
        <row r="1389">
          <cell r="F1389">
            <v>0</v>
          </cell>
          <cell r="H1389">
            <v>0</v>
          </cell>
          <cell r="J1389">
            <v>0</v>
          </cell>
          <cell r="AE1389" t="str">
            <v>PERIJINAN &amp; PENGURUSAN PERUSAHAAN</v>
          </cell>
        </row>
        <row r="1390">
          <cell r="F1390">
            <v>0</v>
          </cell>
          <cell r="H1390">
            <v>0</v>
          </cell>
          <cell r="J1390">
            <v>0</v>
          </cell>
          <cell r="AE1390" t="str">
            <v>PERIJINAN &amp; PENGURUSAN PERUSAHAAN</v>
          </cell>
        </row>
        <row r="1391">
          <cell r="F1391">
            <v>0</v>
          </cell>
          <cell r="H1391">
            <v>0</v>
          </cell>
          <cell r="J1391">
            <v>0</v>
          </cell>
          <cell r="AE1391" t="str">
            <v>SEKRETARIAT &amp; PERLENGKAPAN KANTOR</v>
          </cell>
        </row>
        <row r="1392">
          <cell r="F1392">
            <v>0</v>
          </cell>
          <cell r="H1392">
            <v>0</v>
          </cell>
          <cell r="J1392">
            <v>0</v>
          </cell>
          <cell r="AE1392" t="str">
            <v>SEKRETARIAT &amp; PERLENGKAPAN KANTOR</v>
          </cell>
        </row>
        <row r="1393">
          <cell r="F1393">
            <v>0</v>
          </cell>
          <cell r="H1393">
            <v>1651000</v>
          </cell>
          <cell r="J1393">
            <v>0</v>
          </cell>
          <cell r="AE1393" t="str">
            <v>SEKRETARIAT &amp; PERLENGKAPAN KANTOR</v>
          </cell>
        </row>
        <row r="1394">
          <cell r="F1394">
            <v>0</v>
          </cell>
          <cell r="H1394">
            <v>0</v>
          </cell>
          <cell r="J1394">
            <v>0</v>
          </cell>
          <cell r="AE1394" t="str">
            <v>SEKRETARIAT &amp; PERLENGKAPAN KANTOR</v>
          </cell>
        </row>
        <row r="1395">
          <cell r="F1395">
            <v>0</v>
          </cell>
          <cell r="H1395">
            <v>3024510</v>
          </cell>
          <cell r="J1395">
            <v>2257300</v>
          </cell>
          <cell r="AE1395" t="str">
            <v>SEKRETARIAT &amp; PERLENGKAPAN KANTOR</v>
          </cell>
        </row>
        <row r="1396">
          <cell r="F1396">
            <v>0</v>
          </cell>
          <cell r="H1396">
            <v>0</v>
          </cell>
          <cell r="J1396">
            <v>0</v>
          </cell>
          <cell r="AE1396" t="str">
            <v>SEKRETARIAT &amp; PERLENGKAPAN KANTOR</v>
          </cell>
        </row>
        <row r="1397">
          <cell r="F1397">
            <v>10550000</v>
          </cell>
          <cell r="H1397">
            <v>150000</v>
          </cell>
          <cell r="J1397">
            <v>0</v>
          </cell>
          <cell r="AE1397" t="str">
            <v>SEKRETARIAT &amp; PERLENGKAPAN KANTOR</v>
          </cell>
        </row>
        <row r="1398">
          <cell r="F1398">
            <v>0</v>
          </cell>
          <cell r="H1398">
            <v>0</v>
          </cell>
          <cell r="J1398">
            <v>0</v>
          </cell>
          <cell r="AE1398" t="str">
            <v>KOMUNIKASI DAN PUBLIKASI</v>
          </cell>
        </row>
        <row r="1399">
          <cell r="F1399">
            <v>0</v>
          </cell>
          <cell r="H1399">
            <v>409000</v>
          </cell>
          <cell r="J1399">
            <v>0</v>
          </cell>
          <cell r="AE1399" t="str">
            <v>KOMUNIKASI DAN PUBLIKASI</v>
          </cell>
        </row>
        <row r="1400">
          <cell r="F1400">
            <v>0</v>
          </cell>
          <cell r="H1400">
            <v>0</v>
          </cell>
          <cell r="J1400">
            <v>0</v>
          </cell>
          <cell r="AE1400" t="str">
            <v>KOMUNIKASI DAN PUBLIKASI</v>
          </cell>
        </row>
        <row r="1401">
          <cell r="F1401">
            <v>0</v>
          </cell>
          <cell r="H1401">
            <v>0</v>
          </cell>
          <cell r="J1401">
            <v>0</v>
          </cell>
          <cell r="AE1401" t="str">
            <v>KOMUNIKASI DAN PUBLIKASI</v>
          </cell>
        </row>
        <row r="1402">
          <cell r="F1402">
            <v>749925</v>
          </cell>
          <cell r="H1402">
            <v>8383079</v>
          </cell>
          <cell r="J1402">
            <v>0</v>
          </cell>
          <cell r="AE1402" t="str">
            <v>KOMUNIKASI DAN PUBLIKASI</v>
          </cell>
        </row>
        <row r="1403">
          <cell r="F1403">
            <v>0</v>
          </cell>
          <cell r="H1403">
            <v>0</v>
          </cell>
          <cell r="J1403">
            <v>0</v>
          </cell>
          <cell r="AE1403" t="str">
            <v>KOMUNIKASI DAN PUBLIKASI</v>
          </cell>
        </row>
        <row r="1404">
          <cell r="F1404">
            <v>0</v>
          </cell>
          <cell r="H1404">
            <v>0</v>
          </cell>
          <cell r="J1404">
            <v>0</v>
          </cell>
          <cell r="AE1404" t="str">
            <v>KOMUNIKASI DAN PUBLIKASI</v>
          </cell>
        </row>
        <row r="1405">
          <cell r="F1405">
            <v>0</v>
          </cell>
          <cell r="H1405">
            <v>0</v>
          </cell>
          <cell r="J1405">
            <v>0</v>
          </cell>
          <cell r="AE1405" t="str">
            <v>KOMUNIKASI DAN PUBLIKASI</v>
          </cell>
        </row>
        <row r="1406">
          <cell r="F1406">
            <v>0</v>
          </cell>
          <cell r="H1406">
            <v>0</v>
          </cell>
          <cell r="J1406">
            <v>2500000</v>
          </cell>
          <cell r="AE1406" t="str">
            <v>KOMUNIKASI DAN PUBLIKASI</v>
          </cell>
        </row>
        <row r="1407">
          <cell r="F1407">
            <v>0</v>
          </cell>
          <cell r="H1407">
            <v>0</v>
          </cell>
          <cell r="J1407">
            <v>0</v>
          </cell>
          <cell r="AE1407" t="str">
            <v>PAJAK, ASURANSI DAN RETRIBUSI</v>
          </cell>
        </row>
        <row r="1408">
          <cell r="F1408">
            <v>0</v>
          </cell>
          <cell r="H1408">
            <v>0</v>
          </cell>
          <cell r="J1408">
            <v>0</v>
          </cell>
          <cell r="AE1408" t="str">
            <v>PAJAK, ASURANSI DAN RETRIBUSI</v>
          </cell>
        </row>
        <row r="1409">
          <cell r="F1409">
            <v>0</v>
          </cell>
          <cell r="H1409">
            <v>0</v>
          </cell>
          <cell r="J1409">
            <v>0</v>
          </cell>
          <cell r="AE1409" t="str">
            <v>PAJAK, ASURANSI DAN RETRIBUSI</v>
          </cell>
        </row>
        <row r="1410">
          <cell r="F1410">
            <v>0</v>
          </cell>
          <cell r="H1410">
            <v>0</v>
          </cell>
          <cell r="J1410">
            <v>0</v>
          </cell>
          <cell r="AE1410" t="str">
            <v>PAJAK, ASURANSI DAN RETRIBUSI</v>
          </cell>
        </row>
        <row r="1411">
          <cell r="F1411">
            <v>0</v>
          </cell>
          <cell r="H1411">
            <v>0</v>
          </cell>
          <cell r="J1411">
            <v>0</v>
          </cell>
          <cell r="AE1411" t="str">
            <v>PAJAK, ASURANSI DAN RETRIBUSI</v>
          </cell>
        </row>
        <row r="1412">
          <cell r="F1412">
            <v>0</v>
          </cell>
          <cell r="H1412">
            <v>0</v>
          </cell>
          <cell r="J1412">
            <v>0</v>
          </cell>
          <cell r="AE1412" t="str">
            <v>PAJAK, ASURANSI DAN RETRIBUSI</v>
          </cell>
        </row>
        <row r="1413">
          <cell r="F1413">
            <v>12000</v>
          </cell>
          <cell r="H1413">
            <v>501000</v>
          </cell>
          <cell r="J1413">
            <v>0</v>
          </cell>
          <cell r="AE1413" t="str">
            <v>PAJAK, ASURANSI DAN RETRIBUSI</v>
          </cell>
        </row>
        <row r="1414">
          <cell r="F1414">
            <v>0</v>
          </cell>
          <cell r="H1414">
            <v>0</v>
          </cell>
          <cell r="J1414">
            <v>0</v>
          </cell>
          <cell r="AE1414" t="str">
            <v>PAJAK, ASURANSI DAN RETRIBUSI</v>
          </cell>
        </row>
        <row r="1415">
          <cell r="F1415">
            <v>0</v>
          </cell>
          <cell r="H1415">
            <v>0</v>
          </cell>
          <cell r="J1415">
            <v>0</v>
          </cell>
          <cell r="AE1415" t="str">
            <v>PAJAK, ASURANSI DAN RETRIBUSI</v>
          </cell>
        </row>
        <row r="1416">
          <cell r="F1416">
            <v>0</v>
          </cell>
          <cell r="H1416">
            <v>0</v>
          </cell>
          <cell r="J1416">
            <v>0</v>
          </cell>
          <cell r="AE1416" t="str">
            <v>PAJAK, ASURANSI DAN RETRIBUSI</v>
          </cell>
        </row>
        <row r="1417">
          <cell r="F1417">
            <v>0</v>
          </cell>
          <cell r="H1417">
            <v>0</v>
          </cell>
          <cell r="J1417">
            <v>0</v>
          </cell>
          <cell r="AE1417" t="str">
            <v>PAJAK, ASURANSI DAN RETRIBUSI</v>
          </cell>
        </row>
        <row r="1418">
          <cell r="F1418">
            <v>0</v>
          </cell>
          <cell r="H1418">
            <v>0</v>
          </cell>
          <cell r="J1418">
            <v>0</v>
          </cell>
          <cell r="AE1418" t="str">
            <v>PAJAK, ASURANSI DAN RETRIBUSI</v>
          </cell>
        </row>
        <row r="1419">
          <cell r="F1419">
            <v>0</v>
          </cell>
          <cell r="H1419">
            <v>0</v>
          </cell>
          <cell r="J1419">
            <v>0</v>
          </cell>
          <cell r="AE1419" t="str">
            <v>PAJAK, ASURANSI DAN RETRIBUSI</v>
          </cell>
        </row>
        <row r="1420">
          <cell r="F1420">
            <v>0</v>
          </cell>
          <cell r="H1420">
            <v>0</v>
          </cell>
          <cell r="J1420">
            <v>0</v>
          </cell>
          <cell r="AE1420" t="str">
            <v>PAJAK, ASURANSI DAN RETRIBUSI</v>
          </cell>
        </row>
        <row r="1421">
          <cell r="F1421">
            <v>0</v>
          </cell>
          <cell r="H1421">
            <v>0</v>
          </cell>
          <cell r="J1421">
            <v>0</v>
          </cell>
          <cell r="AE1421" t="str">
            <v>PAJAK, ASURANSI DAN RETRIBUSI</v>
          </cell>
        </row>
        <row r="1422">
          <cell r="F1422">
            <v>0</v>
          </cell>
          <cell r="H1422">
            <v>0</v>
          </cell>
          <cell r="J1422">
            <v>0</v>
          </cell>
          <cell r="AE1422" t="str">
            <v>PAJAK, ASURANSI DAN RETRIBUSI</v>
          </cell>
        </row>
        <row r="1423">
          <cell r="F1423">
            <v>0</v>
          </cell>
          <cell r="H1423">
            <v>1701000</v>
          </cell>
          <cell r="J1423">
            <v>0</v>
          </cell>
          <cell r="AE1423" t="str">
            <v>PAJAK, ASURANSI DAN RETRIBUSI</v>
          </cell>
        </row>
        <row r="1424">
          <cell r="F1424">
            <v>0</v>
          </cell>
          <cell r="H1424">
            <v>0</v>
          </cell>
          <cell r="J1424">
            <v>0</v>
          </cell>
          <cell r="AE1424" t="str">
            <v>PAJAK, ASURANSI DAN RETRIBUSI</v>
          </cell>
        </row>
        <row r="1425">
          <cell r="F1425">
            <v>532800</v>
          </cell>
          <cell r="H1425">
            <v>1320160</v>
          </cell>
          <cell r="J1425">
            <v>1562880</v>
          </cell>
          <cell r="AE1425" t="str">
            <v>PAJAK, ASURANSI DAN RETRIBUSI</v>
          </cell>
        </row>
        <row r="1426">
          <cell r="F1426">
            <v>0</v>
          </cell>
          <cell r="H1426">
            <v>0</v>
          </cell>
          <cell r="J1426">
            <v>0</v>
          </cell>
          <cell r="AE1426" t="str">
            <v>SEWA ASET</v>
          </cell>
        </row>
        <row r="1427">
          <cell r="F1427">
            <v>0</v>
          </cell>
          <cell r="H1427">
            <v>0</v>
          </cell>
          <cell r="J1427">
            <v>0</v>
          </cell>
          <cell r="AE1427" t="str">
            <v>SEWA ASET</v>
          </cell>
        </row>
        <row r="1428">
          <cell r="F1428">
            <v>0</v>
          </cell>
          <cell r="H1428">
            <v>0</v>
          </cell>
          <cell r="J1428">
            <v>0</v>
          </cell>
          <cell r="AE1428" t="str">
            <v>SEWA ASET</v>
          </cell>
        </row>
        <row r="1429">
          <cell r="F1429">
            <v>0</v>
          </cell>
          <cell r="H1429">
            <v>0</v>
          </cell>
          <cell r="J1429">
            <v>0</v>
          </cell>
          <cell r="AE1429" t="str">
            <v>SEWA ASET</v>
          </cell>
        </row>
        <row r="1430">
          <cell r="F1430">
            <v>0</v>
          </cell>
          <cell r="H1430">
            <v>0</v>
          </cell>
          <cell r="J1430">
            <v>0</v>
          </cell>
          <cell r="AE1430" t="str">
            <v>SEWA ASET</v>
          </cell>
        </row>
        <row r="1431">
          <cell r="F1431">
            <v>0</v>
          </cell>
          <cell r="H1431">
            <v>0</v>
          </cell>
          <cell r="J1431">
            <v>0</v>
          </cell>
          <cell r="AE1431" t="str">
            <v>SEWA ASET</v>
          </cell>
        </row>
        <row r="1432">
          <cell r="F1432">
            <v>24118721</v>
          </cell>
          <cell r="H1432">
            <v>22087000</v>
          </cell>
          <cell r="J1432">
            <v>25280453</v>
          </cell>
          <cell r="AE1432" t="str">
            <v>SEWA ASET</v>
          </cell>
        </row>
        <row r="1433">
          <cell r="F1433">
            <v>0</v>
          </cell>
          <cell r="H1433">
            <v>0</v>
          </cell>
          <cell r="J1433">
            <v>0</v>
          </cell>
          <cell r="AE1433" t="str">
            <v>SEWA ASET</v>
          </cell>
        </row>
        <row r="1434">
          <cell r="F1434">
            <v>0</v>
          </cell>
          <cell r="H1434">
            <v>0</v>
          </cell>
          <cell r="J1434">
            <v>0</v>
          </cell>
          <cell r="AE1434" t="str">
            <v>UMUM OPERASIONAL LAINNYA</v>
          </cell>
        </row>
        <row r="1435">
          <cell r="F1435">
            <v>0</v>
          </cell>
          <cell r="H1435">
            <v>0</v>
          </cell>
          <cell r="J1435">
            <v>0</v>
          </cell>
          <cell r="AE1435" t="str">
            <v>UMUM OPERASIONAL LAINNYA</v>
          </cell>
        </row>
        <row r="1436">
          <cell r="F1436">
            <v>0</v>
          </cell>
          <cell r="H1436">
            <v>0</v>
          </cell>
          <cell r="J1436">
            <v>0</v>
          </cell>
          <cell r="AE1436" t="str">
            <v>UMUM OPERASIONAL LAINNYA</v>
          </cell>
        </row>
        <row r="1437">
          <cell r="F1437">
            <v>0</v>
          </cell>
          <cell r="H1437">
            <v>2113600</v>
          </cell>
          <cell r="J1437">
            <v>0</v>
          </cell>
          <cell r="AE1437" t="str">
            <v>UMUM OPERASIONAL LAINNYA</v>
          </cell>
        </row>
        <row r="1438">
          <cell r="F1438">
            <v>0</v>
          </cell>
          <cell r="H1438">
            <v>0</v>
          </cell>
          <cell r="J1438">
            <v>4000000</v>
          </cell>
          <cell r="AE1438" t="str">
            <v>UMUM OPERASIONAL LAINNYA</v>
          </cell>
        </row>
        <row r="1439">
          <cell r="F1439">
            <v>0</v>
          </cell>
          <cell r="H1439">
            <v>0</v>
          </cell>
          <cell r="J1439">
            <v>0</v>
          </cell>
          <cell r="AE1439" t="str">
            <v>UMUM OPERASIONAL LAINNYA</v>
          </cell>
        </row>
        <row r="1440">
          <cell r="F1440">
            <v>0</v>
          </cell>
          <cell r="H1440">
            <v>0</v>
          </cell>
          <cell r="J1440">
            <v>0</v>
          </cell>
          <cell r="AE1440" t="str">
            <v>UMUM OPERASIONAL LAINNYA</v>
          </cell>
        </row>
        <row r="1441">
          <cell r="F1441">
            <v>0</v>
          </cell>
          <cell r="H1441">
            <v>0</v>
          </cell>
          <cell r="J1441">
            <v>0</v>
          </cell>
          <cell r="AE1441" t="str">
            <v>UMUM OPERASIONAL LAINNYA</v>
          </cell>
        </row>
        <row r="1442">
          <cell r="F1442">
            <v>0</v>
          </cell>
          <cell r="H1442">
            <v>0</v>
          </cell>
          <cell r="J1442">
            <v>0</v>
          </cell>
          <cell r="AE1442" t="str">
            <v>UMUM OPERASIONAL LAINNYA</v>
          </cell>
        </row>
        <row r="1443">
          <cell r="F1443">
            <v>0</v>
          </cell>
          <cell r="H1443">
            <v>0</v>
          </cell>
          <cell r="J1443">
            <v>0</v>
          </cell>
          <cell r="AE1443" t="str">
            <v>UMUM OPERASIONAL LAINNYA</v>
          </cell>
        </row>
        <row r="1444">
          <cell r="F1444">
            <v>2947355.02</v>
          </cell>
          <cell r="H1444">
            <v>2459367.1599999997</v>
          </cell>
          <cell r="J1444">
            <v>1421517.18</v>
          </cell>
          <cell r="AE1444" t="str">
            <v>UMUM OPERASIONAL LAINNYA</v>
          </cell>
        </row>
        <row r="1445">
          <cell r="F1445">
            <v>0</v>
          </cell>
          <cell r="H1445">
            <v>0</v>
          </cell>
          <cell r="J1445">
            <v>0</v>
          </cell>
          <cell r="AE1445" t="str">
            <v>UMUM OPERASIONAL LAINNYA</v>
          </cell>
        </row>
        <row r="1446">
          <cell r="F1446">
            <v>0</v>
          </cell>
          <cell r="H1446">
            <v>0</v>
          </cell>
          <cell r="J1446">
            <v>0</v>
          </cell>
          <cell r="AE1446" t="str">
            <v>UMUM OPERASIONAL LAINNYA</v>
          </cell>
        </row>
        <row r="1447">
          <cell r="F1447">
            <v>0</v>
          </cell>
          <cell r="H1447">
            <v>0</v>
          </cell>
          <cell r="J1447">
            <v>0</v>
          </cell>
          <cell r="AE1447" t="str">
            <v>UMUM OPERASIONAL LAINNYA</v>
          </cell>
        </row>
        <row r="1448">
          <cell r="F1448">
            <v>0</v>
          </cell>
          <cell r="H1448">
            <v>0</v>
          </cell>
          <cell r="J1448">
            <v>0</v>
          </cell>
          <cell r="AE1448" t="str">
            <v>UMUM OPERASIONAL LAINNYA</v>
          </cell>
        </row>
        <row r="1449">
          <cell r="F1449">
            <v>0</v>
          </cell>
          <cell r="H1449">
            <v>0</v>
          </cell>
          <cell r="J1449">
            <v>0</v>
          </cell>
          <cell r="AE1449" t="str">
            <v>UMUM OPERASIONAL LAINNYA</v>
          </cell>
        </row>
        <row r="1450">
          <cell r="F1450">
            <v>0</v>
          </cell>
          <cell r="H1450">
            <v>0</v>
          </cell>
          <cell r="J1450">
            <v>0</v>
          </cell>
          <cell r="AE1450" t="str">
            <v>UMUM OPERASIONAL LAINNYA</v>
          </cell>
        </row>
        <row r="1451">
          <cell r="F1451">
            <v>0</v>
          </cell>
          <cell r="H1451">
            <v>0</v>
          </cell>
          <cell r="J1451">
            <v>0</v>
          </cell>
          <cell r="AE1451" t="str">
            <v>UMUM OPERASIONAL LAINNYA</v>
          </cell>
        </row>
        <row r="1452">
          <cell r="F1452">
            <v>0</v>
          </cell>
          <cell r="H1452">
            <v>0</v>
          </cell>
          <cell r="J1452">
            <v>0</v>
          </cell>
          <cell r="AE1452" t="str">
            <v>UMUM OPERASIONAL LAINNYA</v>
          </cell>
        </row>
        <row r="1453">
          <cell r="F1453">
            <v>0</v>
          </cell>
          <cell r="H1453">
            <v>0</v>
          </cell>
          <cell r="J1453">
            <v>0</v>
          </cell>
          <cell r="AE1453" t="str">
            <v>UMUM OPERASIONAL LAINNYA</v>
          </cell>
        </row>
        <row r="1454">
          <cell r="F1454">
            <v>0</v>
          </cell>
          <cell r="H1454">
            <v>0</v>
          </cell>
          <cell r="J1454">
            <v>0</v>
          </cell>
          <cell r="AE1454" t="str">
            <v>UMUM OPERASIONAL LAINNYA</v>
          </cell>
        </row>
        <row r="1455">
          <cell r="F1455">
            <v>0</v>
          </cell>
          <cell r="H1455">
            <v>0</v>
          </cell>
          <cell r="J1455">
            <v>0</v>
          </cell>
          <cell r="AE1455" t="str">
            <v>UMUM OPERASIONAL LAINNYA</v>
          </cell>
        </row>
        <row r="1456">
          <cell r="F1456">
            <v>0</v>
          </cell>
          <cell r="H1456">
            <v>0</v>
          </cell>
          <cell r="J1456">
            <v>0</v>
          </cell>
          <cell r="AE1456" t="str">
            <v>UMUM OPERASIONAL LAINNYA</v>
          </cell>
        </row>
        <row r="1457">
          <cell r="F1457">
            <v>0</v>
          </cell>
          <cell r="H1457">
            <v>0</v>
          </cell>
          <cell r="J1457">
            <v>0</v>
          </cell>
          <cell r="AE1457" t="str">
            <v>UMUM OPERASIONAL LAINNYA</v>
          </cell>
        </row>
        <row r="1458">
          <cell r="F1458">
            <v>0</v>
          </cell>
          <cell r="H1458">
            <v>0</v>
          </cell>
          <cell r="J1458">
            <v>0</v>
          </cell>
          <cell r="AE1458" t="str">
            <v>UMUM OPERASIONAL LAINNYA</v>
          </cell>
        </row>
        <row r="1459">
          <cell r="F1459">
            <v>0</v>
          </cell>
          <cell r="H1459">
            <v>0</v>
          </cell>
          <cell r="J1459">
            <v>0</v>
          </cell>
          <cell r="AE1459" t="str">
            <v>UMUM OPERASIONAL LAINNYA</v>
          </cell>
        </row>
        <row r="1460">
          <cell r="F1460">
            <v>0</v>
          </cell>
          <cell r="H1460">
            <v>0</v>
          </cell>
          <cell r="J1460">
            <v>0</v>
          </cell>
          <cell r="AE1460" t="str">
            <v>UMUM OPERASIONAL LAINNYA</v>
          </cell>
        </row>
        <row r="1461">
          <cell r="F1461">
            <v>0</v>
          </cell>
          <cell r="H1461">
            <v>0</v>
          </cell>
          <cell r="J1461">
            <v>0</v>
          </cell>
          <cell r="AE1461" t="str">
            <v>UMUM OPERASIONAL LAINNYA</v>
          </cell>
        </row>
        <row r="1462">
          <cell r="F1462">
            <v>0</v>
          </cell>
          <cell r="H1462">
            <v>0</v>
          </cell>
          <cell r="J1462">
            <v>0</v>
          </cell>
          <cell r="AE1462" t="str">
            <v>UMUM OPERASIONAL LAINNYA</v>
          </cell>
        </row>
        <row r="1463">
          <cell r="F1463">
            <v>0</v>
          </cell>
          <cell r="H1463">
            <v>0</v>
          </cell>
          <cell r="J1463">
            <v>0</v>
          </cell>
          <cell r="AE1463" t="str">
            <v>UMUM OPERASIONAL LAINNYA</v>
          </cell>
        </row>
        <row r="1464">
          <cell r="F1464">
            <v>0</v>
          </cell>
          <cell r="H1464">
            <v>0</v>
          </cell>
          <cell r="J1464">
            <v>0</v>
          </cell>
          <cell r="AE1464" t="str">
            <v>UMUM OPERASIONAL LAINNYA</v>
          </cell>
        </row>
        <row r="1465">
          <cell r="F1465">
            <v>0</v>
          </cell>
          <cell r="H1465">
            <v>0</v>
          </cell>
          <cell r="J1465">
            <v>0</v>
          </cell>
          <cell r="AE1465" t="str">
            <v>UMUM OPERASIONAL LAINNYA</v>
          </cell>
        </row>
        <row r="1466">
          <cell r="F1466">
            <v>0</v>
          </cell>
          <cell r="H1466">
            <v>0</v>
          </cell>
          <cell r="J1466">
            <v>0</v>
          </cell>
          <cell r="AE1466" t="str">
            <v>UMUM OPERASIONAL LAINNYA</v>
          </cell>
        </row>
        <row r="1467">
          <cell r="F1467">
            <v>0</v>
          </cell>
          <cell r="H1467">
            <v>0</v>
          </cell>
          <cell r="J1467">
            <v>0</v>
          </cell>
          <cell r="AE1467" t="str">
            <v>PERNIAGAAN</v>
          </cell>
        </row>
        <row r="1468">
          <cell r="F1468">
            <v>0</v>
          </cell>
          <cell r="H1468">
            <v>0</v>
          </cell>
          <cell r="J1468">
            <v>0</v>
          </cell>
          <cell r="AE1468" t="str">
            <v>PERNIAGAAN</v>
          </cell>
        </row>
        <row r="1469">
          <cell r="F1469">
            <v>0</v>
          </cell>
          <cell r="H1469">
            <v>0</v>
          </cell>
          <cell r="J1469">
            <v>0</v>
          </cell>
          <cell r="AE1469" t="str">
            <v>PERNIAGAAN</v>
          </cell>
        </row>
        <row r="1470">
          <cell r="F1470">
            <v>0</v>
          </cell>
          <cell r="H1470">
            <v>0</v>
          </cell>
          <cell r="J1470">
            <v>0</v>
          </cell>
          <cell r="AE1470" t="str">
            <v>PERNIAGAAN</v>
          </cell>
        </row>
        <row r="1471">
          <cell r="F1471">
            <v>0</v>
          </cell>
          <cell r="H1471">
            <v>0</v>
          </cell>
          <cell r="J1471">
            <v>0</v>
          </cell>
          <cell r="AE1471" t="str">
            <v>PERNIAGAAN</v>
          </cell>
        </row>
        <row r="1472">
          <cell r="F1472">
            <v>0</v>
          </cell>
          <cell r="H1472">
            <v>0</v>
          </cell>
          <cell r="J1472">
            <v>0</v>
          </cell>
          <cell r="AE1472" t="str">
            <v>PERNIAGAAN</v>
          </cell>
        </row>
        <row r="1473">
          <cell r="F1473">
            <v>0</v>
          </cell>
          <cell r="H1473">
            <v>0</v>
          </cell>
          <cell r="J1473">
            <v>0</v>
          </cell>
          <cell r="AE1473" t="str">
            <v>PERNIAGAAN</v>
          </cell>
        </row>
        <row r="1474">
          <cell r="F1474">
            <v>0</v>
          </cell>
          <cell r="H1474">
            <v>0</v>
          </cell>
          <cell r="J1474">
            <v>0</v>
          </cell>
          <cell r="AE1474" t="str">
            <v>PERNIAGAAN</v>
          </cell>
        </row>
        <row r="1475">
          <cell r="F1475">
            <v>0</v>
          </cell>
          <cell r="H1475">
            <v>0</v>
          </cell>
          <cell r="J1475">
            <v>0</v>
          </cell>
          <cell r="AE1475" t="str">
            <v>PERNIAGAAN</v>
          </cell>
        </row>
        <row r="1476">
          <cell r="F1476">
            <v>0</v>
          </cell>
          <cell r="H1476">
            <v>0</v>
          </cell>
          <cell r="J1476">
            <v>0</v>
          </cell>
          <cell r="AE1476" t="str">
            <v>PERNIAGAAN</v>
          </cell>
        </row>
        <row r="1477">
          <cell r="F1477">
            <v>0</v>
          </cell>
          <cell r="H1477">
            <v>0</v>
          </cell>
          <cell r="J1477">
            <v>0</v>
          </cell>
          <cell r="AE1477" t="str">
            <v>PERNIAGAAN</v>
          </cell>
        </row>
        <row r="1478">
          <cell r="F1478">
            <v>0</v>
          </cell>
          <cell r="H1478">
            <v>0</v>
          </cell>
          <cell r="J1478">
            <v>0</v>
          </cell>
          <cell r="AE1478" t="str">
            <v>PERNIAGAAN</v>
          </cell>
        </row>
        <row r="1479">
          <cell r="F1479">
            <v>0</v>
          </cell>
          <cell r="H1479">
            <v>0</v>
          </cell>
          <cell r="J1479">
            <v>0</v>
          </cell>
          <cell r="AE1479" t="str">
            <v>PERNIAGAAN</v>
          </cell>
        </row>
        <row r="1480">
          <cell r="F1480">
            <v>0</v>
          </cell>
          <cell r="H1480">
            <v>0</v>
          </cell>
          <cell r="J1480">
            <v>0</v>
          </cell>
          <cell r="AE1480" t="str">
            <v>PERNIAGAAN</v>
          </cell>
        </row>
        <row r="1481">
          <cell r="F1481">
            <v>0</v>
          </cell>
          <cell r="H1481">
            <v>0</v>
          </cell>
          <cell r="J1481">
            <v>0</v>
          </cell>
          <cell r="AE1481" t="str">
            <v>PERNIAGAAN</v>
          </cell>
        </row>
        <row r="1482">
          <cell r="F1482">
            <v>0</v>
          </cell>
          <cell r="H1482">
            <v>0</v>
          </cell>
          <cell r="J1482">
            <v>0</v>
          </cell>
          <cell r="AE1482" t="str">
            <v>PERNIAGAAN</v>
          </cell>
        </row>
        <row r="1483">
          <cell r="F1483">
            <v>0</v>
          </cell>
          <cell r="H1483">
            <v>0</v>
          </cell>
          <cell r="J1483">
            <v>0</v>
          </cell>
          <cell r="AE1483" t="str">
            <v>PERNIAGAAN</v>
          </cell>
        </row>
        <row r="1484">
          <cell r="F1484">
            <v>0</v>
          </cell>
          <cell r="H1484">
            <v>0</v>
          </cell>
          <cell r="J1484">
            <v>0</v>
          </cell>
          <cell r="AE1484" t="str">
            <v>PERNIAGAAN</v>
          </cell>
        </row>
        <row r="1485">
          <cell r="F1485">
            <v>0</v>
          </cell>
          <cell r="H1485">
            <v>0</v>
          </cell>
          <cell r="J1485">
            <v>0</v>
          </cell>
          <cell r="AE1485" t="str">
            <v>PERNIAGAAN</v>
          </cell>
        </row>
        <row r="1486">
          <cell r="F1486">
            <v>0</v>
          </cell>
          <cell r="H1486">
            <v>0</v>
          </cell>
          <cell r="J1486">
            <v>0</v>
          </cell>
          <cell r="AE1486" t="str">
            <v>PERNIAGAAN</v>
          </cell>
        </row>
        <row r="1487">
          <cell r="F1487">
            <v>0</v>
          </cell>
          <cell r="H1487">
            <v>0</v>
          </cell>
          <cell r="J1487">
            <v>0</v>
          </cell>
          <cell r="AE1487" t="str">
            <v>PERNIAGAAN</v>
          </cell>
        </row>
        <row r="1488">
          <cell r="F1488">
            <v>0</v>
          </cell>
          <cell r="H1488">
            <v>0</v>
          </cell>
          <cell r="J1488">
            <v>0</v>
          </cell>
          <cell r="AE1488" t="str">
            <v>PERNIAGAAN</v>
          </cell>
        </row>
        <row r="1489">
          <cell r="F1489">
            <v>0</v>
          </cell>
          <cell r="H1489">
            <v>0</v>
          </cell>
          <cell r="J1489">
            <v>0</v>
          </cell>
          <cell r="AE1489" t="str">
            <v>PERNIAGAAN</v>
          </cell>
        </row>
        <row r="1490">
          <cell r="F1490">
            <v>0</v>
          </cell>
          <cell r="H1490">
            <v>0</v>
          </cell>
          <cell r="J1490">
            <v>0</v>
          </cell>
          <cell r="AE1490" t="str">
            <v>PERNIAGAAN</v>
          </cell>
        </row>
        <row r="1491">
          <cell r="F1491">
            <v>0</v>
          </cell>
          <cell r="H1491">
            <v>0</v>
          </cell>
          <cell r="J1491">
            <v>0</v>
          </cell>
          <cell r="AE1491" t="str">
            <v>PERNIAGAAN</v>
          </cell>
        </row>
        <row r="1492">
          <cell r="F1492">
            <v>0</v>
          </cell>
          <cell r="H1492">
            <v>0</v>
          </cell>
          <cell r="J1492">
            <v>0</v>
          </cell>
          <cell r="AE1492" t="str">
            <v>PERNIAGAAN</v>
          </cell>
        </row>
        <row r="1493">
          <cell r="F1493">
            <v>0</v>
          </cell>
          <cell r="H1493">
            <v>0</v>
          </cell>
          <cell r="J1493">
            <v>0</v>
          </cell>
          <cell r="AE1493" t="str">
            <v>PERNIAGAAN</v>
          </cell>
        </row>
        <row r="1494">
          <cell r="F1494">
            <v>0</v>
          </cell>
          <cell r="H1494">
            <v>0</v>
          </cell>
          <cell r="J1494">
            <v>0</v>
          </cell>
          <cell r="AE1494" t="str">
            <v>PERNIAGAAN</v>
          </cell>
        </row>
        <row r="1495">
          <cell r="F1495">
            <v>0</v>
          </cell>
          <cell r="H1495">
            <v>0</v>
          </cell>
          <cell r="J1495">
            <v>0</v>
          </cell>
          <cell r="AE1495" t="str">
            <v>PERNIAGAAN</v>
          </cell>
        </row>
        <row r="1496">
          <cell r="F1496">
            <v>0</v>
          </cell>
          <cell r="H1496">
            <v>0</v>
          </cell>
          <cell r="J1496">
            <v>0</v>
          </cell>
          <cell r="AE1496" t="str">
            <v>PERNIAGAAN</v>
          </cell>
        </row>
        <row r="1497">
          <cell r="F1497">
            <v>0</v>
          </cell>
          <cell r="H1497">
            <v>0</v>
          </cell>
          <cell r="J1497">
            <v>0</v>
          </cell>
          <cell r="AE1497" t="str">
            <v>PERNIAGAAN</v>
          </cell>
        </row>
        <row r="1498">
          <cell r="F1498">
            <v>0</v>
          </cell>
          <cell r="H1498">
            <v>0</v>
          </cell>
          <cell r="J1498">
            <v>0</v>
          </cell>
          <cell r="AE1498" t="str">
            <v>PERNIAGAAN</v>
          </cell>
        </row>
        <row r="1499">
          <cell r="F1499">
            <v>0</v>
          </cell>
          <cell r="H1499">
            <v>0</v>
          </cell>
          <cell r="J1499">
            <v>0</v>
          </cell>
          <cell r="AE1499" t="str">
            <v>PERNIAGAAN</v>
          </cell>
        </row>
        <row r="1500">
          <cell r="F1500">
            <v>0</v>
          </cell>
          <cell r="H1500">
            <v>0</v>
          </cell>
          <cell r="J1500">
            <v>0</v>
          </cell>
          <cell r="AE1500" t="str">
            <v>PERNIAGAAN</v>
          </cell>
        </row>
        <row r="1501">
          <cell r="F1501">
            <v>0</v>
          </cell>
          <cell r="H1501">
            <v>0</v>
          </cell>
          <cell r="J1501">
            <v>0</v>
          </cell>
          <cell r="AE1501" t="str">
            <v>PERNIAGAAN</v>
          </cell>
        </row>
        <row r="1502">
          <cell r="F1502">
            <v>0</v>
          </cell>
          <cell r="H1502">
            <v>0</v>
          </cell>
          <cell r="J1502">
            <v>0</v>
          </cell>
          <cell r="AE1502" t="str">
            <v>PERNIAGAAN</v>
          </cell>
        </row>
        <row r="1503">
          <cell r="F1503">
            <v>0</v>
          </cell>
          <cell r="H1503">
            <v>0</v>
          </cell>
          <cell r="J1503">
            <v>0</v>
          </cell>
          <cell r="AE1503" t="str">
            <v>PERNIAGAAN</v>
          </cell>
        </row>
        <row r="1504">
          <cell r="F1504">
            <v>0</v>
          </cell>
          <cell r="H1504">
            <v>0</v>
          </cell>
          <cell r="J1504">
            <v>0</v>
          </cell>
          <cell r="AE1504" t="str">
            <v>PERNIAGAAN</v>
          </cell>
        </row>
        <row r="1505">
          <cell r="F1505">
            <v>0</v>
          </cell>
          <cell r="H1505">
            <v>0</v>
          </cell>
          <cell r="J1505">
            <v>0</v>
          </cell>
          <cell r="AE1505" t="str">
            <v>PERNIAGAAN</v>
          </cell>
        </row>
        <row r="1506">
          <cell r="F1506">
            <v>0</v>
          </cell>
          <cell r="H1506">
            <v>0</v>
          </cell>
          <cell r="J1506">
            <v>0</v>
          </cell>
          <cell r="AE1506" t="str">
            <v>PERNIAGAAN</v>
          </cell>
        </row>
        <row r="1507">
          <cell r="F1507">
            <v>0</v>
          </cell>
          <cell r="H1507">
            <v>0</v>
          </cell>
          <cell r="J1507">
            <v>0</v>
          </cell>
          <cell r="AE1507" t="str">
            <v>PERNIAGAAN</v>
          </cell>
        </row>
        <row r="1508">
          <cell r="F1508">
            <v>0</v>
          </cell>
          <cell r="H1508">
            <v>0</v>
          </cell>
          <cell r="J1508">
            <v>0</v>
          </cell>
          <cell r="AE1508" t="str">
            <v>PERNIAGAAN</v>
          </cell>
        </row>
        <row r="1509">
          <cell r="F1509">
            <v>0</v>
          </cell>
          <cell r="H1509">
            <v>0</v>
          </cell>
          <cell r="J1509">
            <v>0</v>
          </cell>
          <cell r="AE1509" t="str">
            <v>PERNIAGAAN</v>
          </cell>
        </row>
        <row r="1510">
          <cell r="F1510">
            <v>0</v>
          </cell>
          <cell r="H1510">
            <v>0</v>
          </cell>
          <cell r="J1510">
            <v>0</v>
          </cell>
          <cell r="AE1510" t="str">
            <v>PERNIAGAAN</v>
          </cell>
        </row>
        <row r="1511">
          <cell r="F1511">
            <v>0</v>
          </cell>
          <cell r="H1511">
            <v>0</v>
          </cell>
          <cell r="J1511">
            <v>0</v>
          </cell>
          <cell r="AE1511" t="str">
            <v>PERNIAGAAN</v>
          </cell>
        </row>
        <row r="1512">
          <cell r="F1512">
            <v>0</v>
          </cell>
          <cell r="H1512">
            <v>0</v>
          </cell>
          <cell r="J1512">
            <v>0</v>
          </cell>
          <cell r="AE1512" t="str">
            <v>PERNIAGAAN</v>
          </cell>
        </row>
        <row r="1513">
          <cell r="F1513">
            <v>0</v>
          </cell>
          <cell r="H1513">
            <v>0</v>
          </cell>
          <cell r="J1513">
            <v>0</v>
          </cell>
          <cell r="AE1513" t="str">
            <v>PERNIAGAAN</v>
          </cell>
        </row>
        <row r="1514">
          <cell r="F1514">
            <v>0</v>
          </cell>
          <cell r="H1514">
            <v>0</v>
          </cell>
          <cell r="J1514">
            <v>0</v>
          </cell>
          <cell r="AE1514" t="str">
            <v>PERNIAGAAN</v>
          </cell>
        </row>
        <row r="1515">
          <cell r="F1515">
            <v>0</v>
          </cell>
          <cell r="H1515">
            <v>0</v>
          </cell>
          <cell r="J1515">
            <v>0</v>
          </cell>
          <cell r="AE1515" t="str">
            <v>PERNIAGAAN</v>
          </cell>
        </row>
        <row r="1516">
          <cell r="F1516">
            <v>0</v>
          </cell>
          <cell r="H1516">
            <v>0</v>
          </cell>
          <cell r="J1516">
            <v>0</v>
          </cell>
          <cell r="AE1516" t="str">
            <v>PERNIAGAAN</v>
          </cell>
        </row>
        <row r="1517">
          <cell r="F1517">
            <v>0</v>
          </cell>
          <cell r="H1517">
            <v>0</v>
          </cell>
          <cell r="J1517">
            <v>0</v>
          </cell>
          <cell r="AE1517" t="str">
            <v>PERNIAGAAN</v>
          </cell>
        </row>
        <row r="1518">
          <cell r="F1518">
            <v>0</v>
          </cell>
          <cell r="H1518">
            <v>0</v>
          </cell>
          <cell r="J1518">
            <v>0</v>
          </cell>
          <cell r="AE1518" t="str">
            <v>PERNIAGAAN</v>
          </cell>
        </row>
        <row r="1519">
          <cell r="F1519">
            <v>0</v>
          </cell>
          <cell r="H1519">
            <v>0</v>
          </cell>
          <cell r="J1519">
            <v>0</v>
          </cell>
          <cell r="AE1519" t="str">
            <v>PERNIAGAAN</v>
          </cell>
        </row>
        <row r="1520">
          <cell r="F1520">
            <v>0</v>
          </cell>
          <cell r="H1520">
            <v>0</v>
          </cell>
          <cell r="J1520">
            <v>0</v>
          </cell>
          <cell r="AE1520" t="str">
            <v>PERNIAGAAN</v>
          </cell>
        </row>
        <row r="1521">
          <cell r="F1521">
            <v>0</v>
          </cell>
          <cell r="H1521">
            <v>0</v>
          </cell>
          <cell r="J1521">
            <v>0</v>
          </cell>
          <cell r="AE1521" t="str">
            <v>PERNIAGAAN</v>
          </cell>
        </row>
        <row r="1522">
          <cell r="F1522">
            <v>0</v>
          </cell>
          <cell r="H1522">
            <v>0</v>
          </cell>
          <cell r="J1522">
            <v>0</v>
          </cell>
          <cell r="AE1522" t="str">
            <v>PERNIAGAAN</v>
          </cell>
        </row>
        <row r="1523">
          <cell r="F1523">
            <v>0</v>
          </cell>
          <cell r="H1523">
            <v>0</v>
          </cell>
          <cell r="J1523">
            <v>0</v>
          </cell>
          <cell r="AE1523" t="str">
            <v>PERNIAGAAN</v>
          </cell>
        </row>
        <row r="1524">
          <cell r="F1524">
            <v>0</v>
          </cell>
          <cell r="H1524">
            <v>0</v>
          </cell>
          <cell r="J1524">
            <v>0</v>
          </cell>
          <cell r="AE1524" t="str">
            <v>PERNIAGAAN</v>
          </cell>
        </row>
        <row r="1525">
          <cell r="F1525">
            <v>0</v>
          </cell>
          <cell r="H1525">
            <v>0</v>
          </cell>
          <cell r="J1525">
            <v>0</v>
          </cell>
          <cell r="AE1525" t="str">
            <v>PERNIAGAAN</v>
          </cell>
        </row>
        <row r="1526">
          <cell r="F1526">
            <v>0</v>
          </cell>
          <cell r="H1526">
            <v>0</v>
          </cell>
          <cell r="J1526">
            <v>0</v>
          </cell>
          <cell r="AE1526" t="str">
            <v>PERNIAGAAN</v>
          </cell>
        </row>
        <row r="1527">
          <cell r="F1527">
            <v>0</v>
          </cell>
          <cell r="H1527">
            <v>0</v>
          </cell>
          <cell r="J1527">
            <v>0</v>
          </cell>
          <cell r="AE1527" t="str">
            <v>PERNIAGAAN</v>
          </cell>
        </row>
        <row r="1528">
          <cell r="F1528">
            <v>0</v>
          </cell>
          <cell r="H1528">
            <v>0</v>
          </cell>
          <cell r="J1528">
            <v>0</v>
          </cell>
          <cell r="AE1528" t="str">
            <v>PERNIAGAAN</v>
          </cell>
        </row>
        <row r="1529">
          <cell r="F1529">
            <v>0</v>
          </cell>
          <cell r="H1529">
            <v>0</v>
          </cell>
          <cell r="J1529">
            <v>0</v>
          </cell>
          <cell r="AE1529" t="str">
            <v>PERNIAGAAN</v>
          </cell>
        </row>
        <row r="1530">
          <cell r="F1530">
            <v>0</v>
          </cell>
          <cell r="H1530">
            <v>0</v>
          </cell>
          <cell r="J1530">
            <v>0</v>
          </cell>
          <cell r="AE1530" t="str">
            <v>PERNIAGAAN</v>
          </cell>
        </row>
        <row r="1531">
          <cell r="F1531">
            <v>0</v>
          </cell>
          <cell r="H1531">
            <v>0</v>
          </cell>
          <cell r="J1531">
            <v>0</v>
          </cell>
          <cell r="AE1531" t="str">
            <v>PERNIAGAAN</v>
          </cell>
        </row>
        <row r="1532">
          <cell r="F1532">
            <v>0</v>
          </cell>
          <cell r="H1532">
            <v>0</v>
          </cell>
          <cell r="J1532">
            <v>0</v>
          </cell>
          <cell r="AE1532" t="str">
            <v>PERNIAGAAN</v>
          </cell>
        </row>
        <row r="1533">
          <cell r="F1533">
            <v>0</v>
          </cell>
          <cell r="H1533">
            <v>0</v>
          </cell>
          <cell r="J1533">
            <v>0</v>
          </cell>
          <cell r="AE1533" t="str">
            <v>PERNIAGAAN</v>
          </cell>
        </row>
        <row r="1534">
          <cell r="F1534">
            <v>0</v>
          </cell>
          <cell r="H1534">
            <v>0</v>
          </cell>
          <cell r="J1534">
            <v>0</v>
          </cell>
          <cell r="AE1534" t="str">
            <v>PERNIAGAAN</v>
          </cell>
        </row>
        <row r="1535">
          <cell r="F1535">
            <v>0</v>
          </cell>
          <cell r="H1535">
            <v>0</v>
          </cell>
          <cell r="J1535">
            <v>0</v>
          </cell>
          <cell r="AE1535" t="str">
            <v>PERNIAGAAN</v>
          </cell>
        </row>
        <row r="1536">
          <cell r="F1536">
            <v>0</v>
          </cell>
          <cell r="H1536">
            <v>0</v>
          </cell>
          <cell r="J1536">
            <v>0</v>
          </cell>
          <cell r="AE1536" t="str">
            <v>PERNIAGAAN</v>
          </cell>
        </row>
        <row r="1537">
          <cell r="F1537">
            <v>0</v>
          </cell>
          <cell r="H1537">
            <v>0</v>
          </cell>
          <cell r="J1537">
            <v>0</v>
          </cell>
          <cell r="AE1537" t="str">
            <v>PERNIAGAAN</v>
          </cell>
        </row>
        <row r="1538">
          <cell r="F1538">
            <v>0</v>
          </cell>
          <cell r="H1538">
            <v>0</v>
          </cell>
          <cell r="J1538">
            <v>0</v>
          </cell>
          <cell r="AE1538" t="str">
            <v>PERNIAGAAN</v>
          </cell>
        </row>
        <row r="1539">
          <cell r="F1539">
            <v>0</v>
          </cell>
          <cell r="H1539">
            <v>0</v>
          </cell>
          <cell r="J1539">
            <v>0</v>
          </cell>
          <cell r="AE1539" t="str">
            <v>PERNIAGAAN</v>
          </cell>
        </row>
        <row r="1540">
          <cell r="F1540">
            <v>0</v>
          </cell>
          <cell r="H1540">
            <v>0</v>
          </cell>
          <cell r="J1540">
            <v>0</v>
          </cell>
          <cell r="AE1540" t="str">
            <v>PERNIAGAAN</v>
          </cell>
        </row>
        <row r="1541">
          <cell r="F1541">
            <v>0</v>
          </cell>
          <cell r="H1541">
            <v>0</v>
          </cell>
          <cell r="J1541">
            <v>0</v>
          </cell>
          <cell r="AE1541" t="str">
            <v>PERNIAGAAN</v>
          </cell>
        </row>
        <row r="1542">
          <cell r="F1542">
            <v>0</v>
          </cell>
          <cell r="H1542">
            <v>0</v>
          </cell>
          <cell r="J1542">
            <v>0</v>
          </cell>
          <cell r="AE1542" t="str">
            <v>PERNIAGAAN</v>
          </cell>
        </row>
        <row r="1543">
          <cell r="F1543">
            <v>0</v>
          </cell>
          <cell r="H1543">
            <v>0</v>
          </cell>
          <cell r="J1543">
            <v>0</v>
          </cell>
          <cell r="AE1543" t="str">
            <v>PERNIAGAAN</v>
          </cell>
        </row>
        <row r="1544">
          <cell r="F1544">
            <v>0</v>
          </cell>
          <cell r="H1544">
            <v>0</v>
          </cell>
          <cell r="J1544">
            <v>0</v>
          </cell>
          <cell r="AE1544" t="str">
            <v>PERNIAGAAN</v>
          </cell>
        </row>
        <row r="1545">
          <cell r="F1545">
            <v>0</v>
          </cell>
          <cell r="H1545">
            <v>0</v>
          </cell>
          <cell r="J1545">
            <v>0</v>
          </cell>
          <cell r="AE1545" t="str">
            <v>UMUM OPERASIONAL LAINNYA</v>
          </cell>
        </row>
        <row r="1546">
          <cell r="F1546">
            <v>0</v>
          </cell>
          <cell r="H1546">
            <v>0</v>
          </cell>
          <cell r="J1546">
            <v>0</v>
          </cell>
          <cell r="AE1546" t="str">
            <v>UMUM OPERASIONAL LAINNYA</v>
          </cell>
        </row>
        <row r="1547">
          <cell r="F1547">
            <v>0</v>
          </cell>
          <cell r="H1547">
            <v>0</v>
          </cell>
          <cell r="J1547">
            <v>0</v>
          </cell>
          <cell r="AE1547" t="str">
            <v>UMUM OPERASIONAL LAINNYA</v>
          </cell>
        </row>
        <row r="1548">
          <cell r="F1548">
            <v>0</v>
          </cell>
          <cell r="H1548">
            <v>0</v>
          </cell>
          <cell r="J1548">
            <v>0</v>
          </cell>
          <cell r="AE1548" t="str">
            <v>UMUM OPERASIONAL LAINNYA</v>
          </cell>
        </row>
        <row r="1549">
          <cell r="F1549">
            <v>0</v>
          </cell>
          <cell r="H1549">
            <v>0</v>
          </cell>
          <cell r="J1549">
            <v>0</v>
          </cell>
          <cell r="AE1549" t="str">
            <v>UMUM OPERASIONAL LAINNYA</v>
          </cell>
        </row>
        <row r="1550">
          <cell r="F1550">
            <v>0</v>
          </cell>
          <cell r="H1550">
            <v>0</v>
          </cell>
          <cell r="J1550">
            <v>0</v>
          </cell>
          <cell r="AE1550" t="str">
            <v>UMUM OPERASIONAL LAINNYA</v>
          </cell>
        </row>
        <row r="1551">
          <cell r="F1551">
            <v>0</v>
          </cell>
          <cell r="H1551">
            <v>0</v>
          </cell>
          <cell r="J1551">
            <v>0</v>
          </cell>
          <cell r="AE1551" t="str">
            <v>UMUM OPERASIONAL LAINNYA</v>
          </cell>
        </row>
        <row r="1552">
          <cell r="F1552">
            <v>0</v>
          </cell>
          <cell r="H1552">
            <v>0</v>
          </cell>
          <cell r="J1552">
            <v>0</v>
          </cell>
          <cell r="AE1552" t="str">
            <v>UMUM OPERASIONAL LAINNYA</v>
          </cell>
        </row>
        <row r="1553">
          <cell r="F1553">
            <v>0</v>
          </cell>
          <cell r="H1553">
            <v>0</v>
          </cell>
          <cell r="J1553">
            <v>0</v>
          </cell>
          <cell r="AE1553" t="str">
            <v>UMUM OPERASIONAL LAINNYA</v>
          </cell>
        </row>
        <row r="1554">
          <cell r="F1554">
            <v>0</v>
          </cell>
          <cell r="H1554">
            <v>0</v>
          </cell>
          <cell r="J1554">
            <v>0</v>
          </cell>
          <cell r="AE1554" t="str">
            <v>UMUM OPERASIONAL LAINNYA</v>
          </cell>
        </row>
        <row r="1555">
          <cell r="F1555">
            <v>0</v>
          </cell>
          <cell r="H1555">
            <v>0</v>
          </cell>
          <cell r="J1555">
            <v>0</v>
          </cell>
          <cell r="AE1555" t="str">
            <v>UMUM OPERASIONAL LAINNYA</v>
          </cell>
        </row>
        <row r="1556">
          <cell r="F1556">
            <v>0</v>
          </cell>
          <cell r="H1556">
            <v>0</v>
          </cell>
          <cell r="J1556">
            <v>0</v>
          </cell>
          <cell r="AE1556" t="str">
            <v>UMUM OPERASIONAL LAINNYA</v>
          </cell>
        </row>
        <row r="1557">
          <cell r="F1557">
            <v>0</v>
          </cell>
          <cell r="H1557">
            <v>0</v>
          </cell>
          <cell r="J1557">
            <v>0</v>
          </cell>
          <cell r="AE1557" t="str">
            <v>UMUM OPERASIONAL LAINNYA</v>
          </cell>
        </row>
        <row r="1558">
          <cell r="F1558">
            <v>0</v>
          </cell>
          <cell r="H1558">
            <v>0</v>
          </cell>
          <cell r="J1558">
            <v>0</v>
          </cell>
          <cell r="AE1558" t="str">
            <v>UMUM OPERASIONAL LAINNYA</v>
          </cell>
        </row>
        <row r="1559">
          <cell r="F1559">
            <v>12566949</v>
          </cell>
          <cell r="H1559">
            <v>0</v>
          </cell>
          <cell r="J1559">
            <v>0</v>
          </cell>
          <cell r="AE1559" t="str">
            <v>UMUM OPERASIONAL LAINNYA</v>
          </cell>
        </row>
        <row r="1560">
          <cell r="F1560">
            <v>0</v>
          </cell>
          <cell r="H1560">
            <v>0</v>
          </cell>
          <cell r="J1560">
            <v>0</v>
          </cell>
          <cell r="AE1560" t="str">
            <v>UMUM OPERASIONAL LAINNYA</v>
          </cell>
        </row>
        <row r="1561">
          <cell r="F1561">
            <v>4146875</v>
          </cell>
          <cell r="H1561">
            <v>12466556</v>
          </cell>
          <cell r="J1561">
            <v>0</v>
          </cell>
          <cell r="AE1561" t="str">
            <v>UMUM OPERASIONAL LAINNYA</v>
          </cell>
        </row>
        <row r="1562">
          <cell r="F1562">
            <v>0</v>
          </cell>
          <cell r="H1562">
            <v>0</v>
          </cell>
          <cell r="J1562">
            <v>0</v>
          </cell>
          <cell r="AE1562" t="str">
            <v>BEBAN PENJUALAN</v>
          </cell>
        </row>
        <row r="1563">
          <cell r="F1563">
            <v>0</v>
          </cell>
          <cell r="H1563">
            <v>0</v>
          </cell>
          <cell r="J1563">
            <v>0</v>
          </cell>
          <cell r="AE1563" t="str">
            <v>PROMOSI DAN PEMBINAAN RELASI</v>
          </cell>
        </row>
        <row r="1564">
          <cell r="F1564">
            <v>0</v>
          </cell>
          <cell r="H1564">
            <v>0</v>
          </cell>
          <cell r="J1564">
            <v>0</v>
          </cell>
          <cell r="AE1564" t="str">
            <v>PENDAP. (BEBAN) DI LUAR USAHA</v>
          </cell>
        </row>
        <row r="1565">
          <cell r="F1565">
            <v>0</v>
          </cell>
          <cell r="H1565">
            <v>0</v>
          </cell>
          <cell r="J1565">
            <v>0</v>
          </cell>
          <cell r="AE1565" t="str">
            <v>PENDAPATAN (BEBAN) LAIN-LAIN</v>
          </cell>
        </row>
        <row r="1566">
          <cell r="F1566">
            <v>0</v>
          </cell>
          <cell r="H1566">
            <v>0</v>
          </cell>
          <cell r="J1566">
            <v>0</v>
          </cell>
          <cell r="AE1566" t="str">
            <v>PENDAPATAN (BEBAN) LAIN-LAIN</v>
          </cell>
        </row>
        <row r="1567">
          <cell r="F1567">
            <v>0</v>
          </cell>
          <cell r="H1567">
            <v>0</v>
          </cell>
          <cell r="J1567">
            <v>0</v>
          </cell>
          <cell r="AE1567" t="str">
            <v>PENDAPATAN (BEBAN) LAIN-LAIN</v>
          </cell>
        </row>
        <row r="1568">
          <cell r="F1568">
            <v>0</v>
          </cell>
          <cell r="H1568">
            <v>0</v>
          </cell>
          <cell r="J1568">
            <v>0</v>
          </cell>
          <cell r="AE1568" t="str">
            <v>PENDAPATAN (BEBAN) LAIN-LAIN</v>
          </cell>
        </row>
        <row r="1569">
          <cell r="F1569">
            <v>0</v>
          </cell>
          <cell r="H1569">
            <v>0</v>
          </cell>
          <cell r="J1569">
            <v>0</v>
          </cell>
          <cell r="AE1569" t="str">
            <v>PENDAPATAN DEVIDEN</v>
          </cell>
        </row>
        <row r="1570">
          <cell r="F1570">
            <v>0</v>
          </cell>
          <cell r="H1570">
            <v>0</v>
          </cell>
          <cell r="J1570">
            <v>0</v>
          </cell>
          <cell r="AE1570" t="str">
            <v>PENDAPATAN DEVIDEN</v>
          </cell>
        </row>
        <row r="1571">
          <cell r="F1571">
            <v>0</v>
          </cell>
          <cell r="H1571">
            <v>0</v>
          </cell>
          <cell r="J1571">
            <v>0</v>
          </cell>
          <cell r="AE1571" t="str">
            <v>PENDAPATAN DEVIDEN</v>
          </cell>
        </row>
        <row r="1572">
          <cell r="F1572">
            <v>0</v>
          </cell>
          <cell r="H1572">
            <v>0</v>
          </cell>
          <cell r="J1572">
            <v>0</v>
          </cell>
          <cell r="AE1572" t="str">
            <v>PENDAPATAN BUNGA</v>
          </cell>
        </row>
        <row r="1573">
          <cell r="F1573">
            <v>0</v>
          </cell>
          <cell r="H1573">
            <v>0</v>
          </cell>
          <cell r="J1573">
            <v>0</v>
          </cell>
          <cell r="AE1573" t="str">
            <v>PENDAPATAN BUNGA</v>
          </cell>
        </row>
        <row r="1574">
          <cell r="F1574">
            <v>-13911788.84</v>
          </cell>
          <cell r="H1574">
            <v>-9055506.3000000007</v>
          </cell>
          <cell r="J1574">
            <v>-21279152.669999998</v>
          </cell>
          <cell r="AE1574" t="str">
            <v>PENDAPATAN BUNGA DEPOSITO</v>
          </cell>
        </row>
        <row r="1575">
          <cell r="F1575">
            <v>-11540098.039999999</v>
          </cell>
          <cell r="H1575">
            <v>-11548353.15</v>
          </cell>
          <cell r="J1575">
            <v>-2014990.0799999998</v>
          </cell>
          <cell r="AE1575" t="str">
            <v>PENDAPATAN JASA GIRO</v>
          </cell>
        </row>
        <row r="1576">
          <cell r="F1576">
            <v>0</v>
          </cell>
          <cell r="H1576">
            <v>0</v>
          </cell>
          <cell r="J1576">
            <v>0</v>
          </cell>
          <cell r="AE1576" t="str">
            <v>PENDAPATAN BUNGA</v>
          </cell>
        </row>
        <row r="1577">
          <cell r="F1577">
            <v>0</v>
          </cell>
          <cell r="H1577">
            <v>0</v>
          </cell>
          <cell r="J1577">
            <v>0</v>
          </cell>
          <cell r="AE1577" t="str">
            <v>PENDAPATAN BUNGA</v>
          </cell>
        </row>
        <row r="1578">
          <cell r="F1578">
            <v>0</v>
          </cell>
          <cell r="H1578">
            <v>0</v>
          </cell>
          <cell r="J1578">
            <v>0</v>
          </cell>
          <cell r="AE1578" t="str">
            <v>PENDAPATAN BUNGA</v>
          </cell>
        </row>
        <row r="1579">
          <cell r="F1579">
            <v>0</v>
          </cell>
          <cell r="H1579">
            <v>0</v>
          </cell>
          <cell r="J1579">
            <v>0</v>
          </cell>
          <cell r="AE1579" t="str">
            <v>PENDAPATAN BUNGA</v>
          </cell>
        </row>
        <row r="1580">
          <cell r="F1580">
            <v>0</v>
          </cell>
          <cell r="H1580">
            <v>0</v>
          </cell>
          <cell r="J1580">
            <v>0</v>
          </cell>
          <cell r="AE1580" t="str">
            <v>PENDAPATAN BUNGA</v>
          </cell>
        </row>
        <row r="1581">
          <cell r="F1581">
            <v>0</v>
          </cell>
          <cell r="H1581">
            <v>0</v>
          </cell>
          <cell r="J1581">
            <v>0</v>
          </cell>
          <cell r="AE1581" t="str">
            <v>PENDAPATAN BUNGA</v>
          </cell>
        </row>
        <row r="1582">
          <cell r="F1582">
            <v>0</v>
          </cell>
          <cell r="H1582">
            <v>0</v>
          </cell>
          <cell r="J1582">
            <v>0</v>
          </cell>
          <cell r="AE1582" t="str">
            <v>PENDAPATAN KLAIM</v>
          </cell>
        </row>
        <row r="1583">
          <cell r="F1583">
            <v>0</v>
          </cell>
          <cell r="H1583">
            <v>0</v>
          </cell>
          <cell r="J1583">
            <v>0</v>
          </cell>
          <cell r="AE1583" t="str">
            <v>PENDAPATAN KLAIM</v>
          </cell>
        </row>
        <row r="1584">
          <cell r="F1584">
            <v>0</v>
          </cell>
          <cell r="H1584">
            <v>0</v>
          </cell>
          <cell r="J1584">
            <v>0</v>
          </cell>
          <cell r="AE1584" t="str">
            <v>PENDAPATAN KLAIM</v>
          </cell>
        </row>
        <row r="1585">
          <cell r="F1585">
            <v>0</v>
          </cell>
          <cell r="H1585">
            <v>0</v>
          </cell>
          <cell r="J1585">
            <v>0</v>
          </cell>
          <cell r="AE1585" t="str">
            <v>PENDAPATAN KLAIM</v>
          </cell>
        </row>
        <row r="1586">
          <cell r="F1586">
            <v>0</v>
          </cell>
          <cell r="H1586">
            <v>0</v>
          </cell>
          <cell r="J1586">
            <v>0</v>
          </cell>
          <cell r="AE1586" t="str">
            <v>PENDAPATAN KLAIM</v>
          </cell>
        </row>
        <row r="1587">
          <cell r="F1587">
            <v>0</v>
          </cell>
          <cell r="H1587">
            <v>0</v>
          </cell>
          <cell r="J1587">
            <v>0</v>
          </cell>
          <cell r="AE1587" t="str">
            <v>PENDAPATAN KLAIM</v>
          </cell>
        </row>
        <row r="1588">
          <cell r="F1588">
            <v>0</v>
          </cell>
          <cell r="H1588">
            <v>0</v>
          </cell>
          <cell r="J1588">
            <v>0</v>
          </cell>
          <cell r="AE1588" t="str">
            <v>PENDAPATAN KLAIM</v>
          </cell>
        </row>
        <row r="1589">
          <cell r="F1589">
            <v>0</v>
          </cell>
          <cell r="H1589">
            <v>0</v>
          </cell>
          <cell r="J1589">
            <v>0</v>
          </cell>
          <cell r="AE1589" t="str">
            <v>PENDAPATAN KLAIM</v>
          </cell>
        </row>
        <row r="1590">
          <cell r="F1590">
            <v>0</v>
          </cell>
          <cell r="H1590">
            <v>0</v>
          </cell>
          <cell r="J1590">
            <v>0</v>
          </cell>
          <cell r="AE1590" t="str">
            <v>PENDAPATAN KLAIM</v>
          </cell>
        </row>
        <row r="1591">
          <cell r="F1591">
            <v>0</v>
          </cell>
          <cell r="H1591">
            <v>0</v>
          </cell>
          <cell r="J1591">
            <v>0</v>
          </cell>
          <cell r="AE1591" t="str">
            <v>PENDAPATAN KLAIM</v>
          </cell>
        </row>
        <row r="1592">
          <cell r="F1592">
            <v>0</v>
          </cell>
          <cell r="H1592">
            <v>0</v>
          </cell>
          <cell r="J1592">
            <v>0</v>
          </cell>
          <cell r="AE1592" t="str">
            <v>PENDAPATAN KLAIM</v>
          </cell>
        </row>
        <row r="1593">
          <cell r="F1593">
            <v>0</v>
          </cell>
          <cell r="H1593">
            <v>0</v>
          </cell>
          <cell r="J1593">
            <v>0</v>
          </cell>
          <cell r="AE1593" t="str">
            <v>PENDAPATAN KLAIM</v>
          </cell>
        </row>
        <row r="1594">
          <cell r="F1594">
            <v>0</v>
          </cell>
          <cell r="H1594">
            <v>0</v>
          </cell>
          <cell r="J1594">
            <v>0</v>
          </cell>
          <cell r="AE1594" t="str">
            <v>PENDAPATAN KLAIM</v>
          </cell>
        </row>
        <row r="1595">
          <cell r="F1595">
            <v>0</v>
          </cell>
          <cell r="H1595">
            <v>0</v>
          </cell>
          <cell r="J1595">
            <v>0</v>
          </cell>
          <cell r="AE1595" t="str">
            <v>PENDAPATAN KLAIM</v>
          </cell>
        </row>
        <row r="1596">
          <cell r="F1596">
            <v>0</v>
          </cell>
          <cell r="H1596">
            <v>0</v>
          </cell>
          <cell r="J1596">
            <v>0</v>
          </cell>
          <cell r="AE1596" t="str">
            <v>PENDAPATAN KLAIM</v>
          </cell>
        </row>
        <row r="1597">
          <cell r="F1597">
            <v>0</v>
          </cell>
          <cell r="H1597">
            <v>0</v>
          </cell>
          <cell r="J1597">
            <v>0</v>
          </cell>
          <cell r="AE1597" t="str">
            <v>PENDAPATAN KLAIM</v>
          </cell>
        </row>
        <row r="1598">
          <cell r="F1598">
            <v>0</v>
          </cell>
          <cell r="H1598">
            <v>0</v>
          </cell>
          <cell r="J1598">
            <v>0</v>
          </cell>
          <cell r="AE1598" t="str">
            <v>PENDAPATAN KLAIM</v>
          </cell>
        </row>
        <row r="1599">
          <cell r="F1599">
            <v>0</v>
          </cell>
          <cell r="H1599">
            <v>0</v>
          </cell>
          <cell r="J1599">
            <v>0</v>
          </cell>
          <cell r="AE1599" t="str">
            <v>PENDAPATAN KLAIM</v>
          </cell>
        </row>
        <row r="1600">
          <cell r="F1600">
            <v>0</v>
          </cell>
          <cell r="H1600">
            <v>0</v>
          </cell>
          <cell r="J1600">
            <v>0</v>
          </cell>
          <cell r="AE1600" t="str">
            <v>PENDAPATAN KLAIM</v>
          </cell>
        </row>
        <row r="1601">
          <cell r="F1601">
            <v>0</v>
          </cell>
          <cell r="H1601">
            <v>0</v>
          </cell>
          <cell r="J1601">
            <v>0</v>
          </cell>
          <cell r="AE1601" t="str">
            <v>PENDAPATAN KLAIM</v>
          </cell>
        </row>
        <row r="1602">
          <cell r="F1602">
            <v>0</v>
          </cell>
          <cell r="H1602">
            <v>0</v>
          </cell>
          <cell r="J1602">
            <v>0</v>
          </cell>
          <cell r="AE1602" t="str">
            <v>PENDAPATAN KLAIM</v>
          </cell>
        </row>
        <row r="1603">
          <cell r="F1603">
            <v>0</v>
          </cell>
          <cell r="H1603">
            <v>0</v>
          </cell>
          <cell r="J1603">
            <v>0</v>
          </cell>
          <cell r="AE1603" t="str">
            <v>PENDAPATAN KLAIM</v>
          </cell>
        </row>
        <row r="1604">
          <cell r="F1604">
            <v>0</v>
          </cell>
          <cell r="H1604">
            <v>0</v>
          </cell>
          <cell r="J1604">
            <v>0</v>
          </cell>
          <cell r="AE1604" t="str">
            <v>PENDAPATAN KLAIM</v>
          </cell>
        </row>
        <row r="1605">
          <cell r="F1605">
            <v>0</v>
          </cell>
          <cell r="H1605">
            <v>0</v>
          </cell>
          <cell r="J1605">
            <v>0</v>
          </cell>
          <cell r="AE1605" t="str">
            <v>PENDAPATAN KLAIM</v>
          </cell>
        </row>
        <row r="1606">
          <cell r="F1606">
            <v>0</v>
          </cell>
          <cell r="H1606">
            <v>0</v>
          </cell>
          <cell r="J1606">
            <v>0</v>
          </cell>
          <cell r="AE1606" t="str">
            <v>PENDAPATAN KLAIM</v>
          </cell>
        </row>
        <row r="1607">
          <cell r="F1607">
            <v>0</v>
          </cell>
          <cell r="H1607">
            <v>0</v>
          </cell>
          <cell r="J1607">
            <v>0</v>
          </cell>
          <cell r="AE1607" t="str">
            <v>PENDAPATAN KLAIM</v>
          </cell>
        </row>
        <row r="1608">
          <cell r="F1608">
            <v>0</v>
          </cell>
          <cell r="H1608">
            <v>0</v>
          </cell>
          <cell r="J1608">
            <v>0</v>
          </cell>
          <cell r="AE1608" t="str">
            <v>PENDAPATAN KLAIM</v>
          </cell>
        </row>
        <row r="1609">
          <cell r="F1609">
            <v>0</v>
          </cell>
          <cell r="H1609">
            <v>0</v>
          </cell>
          <cell r="J1609">
            <v>0</v>
          </cell>
          <cell r="AE1609" t="str">
            <v>BEBAN BUNGA &amp; LAINNYA</v>
          </cell>
        </row>
        <row r="1610">
          <cell r="F1610">
            <v>0</v>
          </cell>
          <cell r="H1610">
            <v>12436093.25</v>
          </cell>
          <cell r="J1610">
            <v>0</v>
          </cell>
          <cell r="AE1610" t="str">
            <v>BEBAN BUNGA &amp; LAINNYA</v>
          </cell>
        </row>
        <row r="1611">
          <cell r="F1611">
            <v>0</v>
          </cell>
          <cell r="H1611">
            <v>0</v>
          </cell>
          <cell r="J1611">
            <v>0</v>
          </cell>
          <cell r="AE1611" t="str">
            <v>BEBAN BUNGA &amp; LAINNYA</v>
          </cell>
        </row>
        <row r="1612">
          <cell r="F1612">
            <v>0</v>
          </cell>
          <cell r="H1612">
            <v>0</v>
          </cell>
          <cell r="J1612">
            <v>0</v>
          </cell>
          <cell r="AE1612" t="str">
            <v>BEBAN BUNGA &amp; LAINNYA</v>
          </cell>
        </row>
        <row r="1613">
          <cell r="F1613">
            <v>0</v>
          </cell>
          <cell r="H1613">
            <v>0</v>
          </cell>
          <cell r="J1613">
            <v>0</v>
          </cell>
          <cell r="AE1613" t="str">
            <v>BEBAN BUNGA &amp; LAINNYA</v>
          </cell>
        </row>
        <row r="1614">
          <cell r="F1614">
            <v>0</v>
          </cell>
          <cell r="H1614">
            <v>0</v>
          </cell>
          <cell r="J1614">
            <v>0</v>
          </cell>
          <cell r="AE1614" t="str">
            <v>BEBAN BUNGA &amp; LAINNYA</v>
          </cell>
        </row>
        <row r="1615">
          <cell r="F1615">
            <v>0</v>
          </cell>
          <cell r="H1615">
            <v>0</v>
          </cell>
          <cell r="J1615">
            <v>0</v>
          </cell>
          <cell r="AE1615" t="str">
            <v>BEBAN BUNGA &amp; LAINNYA</v>
          </cell>
        </row>
        <row r="1616">
          <cell r="F1616">
            <v>0</v>
          </cell>
          <cell r="H1616">
            <v>0</v>
          </cell>
          <cell r="J1616">
            <v>0</v>
          </cell>
          <cell r="AE1616" t="str">
            <v>BEBAN BUNGA &amp; LAINNYA</v>
          </cell>
        </row>
        <row r="1617">
          <cell r="F1617">
            <v>0</v>
          </cell>
          <cell r="H1617">
            <v>0</v>
          </cell>
          <cell r="J1617">
            <v>0</v>
          </cell>
          <cell r="AE1617" t="str">
            <v>BEBAN BUNGA &amp; LAINNYA</v>
          </cell>
        </row>
        <row r="1618">
          <cell r="F1618">
            <v>0</v>
          </cell>
          <cell r="H1618">
            <v>0</v>
          </cell>
          <cell r="J1618">
            <v>0</v>
          </cell>
          <cell r="AE1618" t="str">
            <v>BEBAN BUNGA &amp; LAINNYA</v>
          </cell>
        </row>
        <row r="1619">
          <cell r="F1619">
            <v>0</v>
          </cell>
          <cell r="H1619">
            <v>0</v>
          </cell>
          <cell r="J1619">
            <v>0</v>
          </cell>
          <cell r="AE1619" t="str">
            <v>BEBAN BUNGA &amp; LAINNYA</v>
          </cell>
        </row>
        <row r="1620">
          <cell r="F1620">
            <v>0</v>
          </cell>
          <cell r="H1620">
            <v>0</v>
          </cell>
          <cell r="J1620">
            <v>0</v>
          </cell>
          <cell r="AE1620" t="str">
            <v>BEBAN BUNGA &amp; LAINNYA</v>
          </cell>
        </row>
        <row r="1621">
          <cell r="F1621">
            <v>0</v>
          </cell>
          <cell r="H1621">
            <v>0</v>
          </cell>
          <cell r="J1621">
            <v>0</v>
          </cell>
          <cell r="AE1621" t="str">
            <v>BEBAN BUNGA &amp; LAINNYA</v>
          </cell>
        </row>
        <row r="1622">
          <cell r="F1622">
            <v>0</v>
          </cell>
          <cell r="H1622">
            <v>0</v>
          </cell>
          <cell r="J1622">
            <v>0</v>
          </cell>
          <cell r="AE1622" t="str">
            <v>BEBAN BUNGA &amp; LAINNYA</v>
          </cell>
        </row>
        <row r="1623">
          <cell r="F1623">
            <v>0</v>
          </cell>
          <cell r="H1623">
            <v>0</v>
          </cell>
          <cell r="J1623">
            <v>0</v>
          </cell>
          <cell r="AE1623" t="str">
            <v>BEBAN BUNGA &amp; LAINNYA</v>
          </cell>
        </row>
        <row r="1624">
          <cell r="F1624">
            <v>0</v>
          </cell>
          <cell r="H1624">
            <v>0</v>
          </cell>
          <cell r="J1624">
            <v>0</v>
          </cell>
          <cell r="AE1624" t="str">
            <v>BEBAN BUNGA &amp; LAINNYA</v>
          </cell>
        </row>
        <row r="1625">
          <cell r="F1625">
            <v>0</v>
          </cell>
          <cell r="H1625">
            <v>0</v>
          </cell>
          <cell r="J1625">
            <v>0</v>
          </cell>
          <cell r="AE1625" t="str">
            <v>BEBAN BUNGA &amp; LAINNYA</v>
          </cell>
        </row>
        <row r="1626">
          <cell r="F1626">
            <v>0</v>
          </cell>
          <cell r="H1626">
            <v>0</v>
          </cell>
          <cell r="J1626">
            <v>0</v>
          </cell>
          <cell r="AE1626" t="str">
            <v>BEBAN BUNGA &amp; LAINNYA</v>
          </cell>
        </row>
        <row r="1627">
          <cell r="F1627">
            <v>0</v>
          </cell>
          <cell r="H1627">
            <v>0</v>
          </cell>
          <cell r="J1627">
            <v>0</v>
          </cell>
          <cell r="AE1627" t="str">
            <v>BEBAN BUNGA &amp; LAINNYA</v>
          </cell>
        </row>
        <row r="1628">
          <cell r="F1628">
            <v>0</v>
          </cell>
          <cell r="H1628">
            <v>0</v>
          </cell>
          <cell r="J1628">
            <v>0</v>
          </cell>
          <cell r="AE1628" t="str">
            <v>LABA (RUGI) SELISIH KURS</v>
          </cell>
        </row>
        <row r="1629">
          <cell r="F1629">
            <v>0</v>
          </cell>
          <cell r="H1629">
            <v>0</v>
          </cell>
          <cell r="J1629">
            <v>0</v>
          </cell>
          <cell r="AE1629" t="str">
            <v>LABA (RUGI) SELISIH KURS</v>
          </cell>
        </row>
        <row r="1630">
          <cell r="F1630">
            <v>0</v>
          </cell>
          <cell r="H1630">
            <v>0</v>
          </cell>
          <cell r="J1630">
            <v>0</v>
          </cell>
          <cell r="AE1630" t="str">
            <v>LABA (RUGI) SELISIH KURS</v>
          </cell>
        </row>
        <row r="1631">
          <cell r="F1631">
            <v>0</v>
          </cell>
          <cell r="H1631">
            <v>0</v>
          </cell>
          <cell r="J1631">
            <v>0</v>
          </cell>
          <cell r="AE1631" t="str">
            <v>LABA (RUGI) SELISIH KURS</v>
          </cell>
        </row>
        <row r="1632">
          <cell r="F1632">
            <v>0</v>
          </cell>
          <cell r="H1632">
            <v>0</v>
          </cell>
          <cell r="J1632">
            <v>0</v>
          </cell>
          <cell r="AE1632" t="str">
            <v>LABA (RUGI) SELISIH KURS</v>
          </cell>
        </row>
        <row r="1633">
          <cell r="F1633">
            <v>0</v>
          </cell>
          <cell r="H1633">
            <v>0</v>
          </cell>
          <cell r="J1633">
            <v>0</v>
          </cell>
          <cell r="AE1633" t="str">
            <v>LABA (RUGI) SELISIH KURS</v>
          </cell>
        </row>
        <row r="1634">
          <cell r="F1634">
            <v>-302.04000000000002</v>
          </cell>
          <cell r="H1634">
            <v>0</v>
          </cell>
          <cell r="J1634">
            <v>1000</v>
          </cell>
          <cell r="AE1634" t="str">
            <v>LABA (RUGI) SELISIH KURS</v>
          </cell>
        </row>
        <row r="1635">
          <cell r="F1635">
            <v>0</v>
          </cell>
          <cell r="H1635">
            <v>0</v>
          </cell>
          <cell r="J1635">
            <v>0</v>
          </cell>
          <cell r="AE1635" t="str">
            <v>LABA (RUGI) SELISIH KURS</v>
          </cell>
        </row>
        <row r="1636">
          <cell r="F1636">
            <v>0</v>
          </cell>
          <cell r="H1636">
            <v>0</v>
          </cell>
          <cell r="J1636">
            <v>0</v>
          </cell>
          <cell r="AE1636" t="str">
            <v>LABA (RUGI) SELISIH KURS</v>
          </cell>
        </row>
        <row r="1637">
          <cell r="F1637">
            <v>0</v>
          </cell>
          <cell r="H1637">
            <v>0</v>
          </cell>
          <cell r="J1637">
            <v>0</v>
          </cell>
          <cell r="AE1637" t="str">
            <v>LABA (RUGI) SELISIH KURS</v>
          </cell>
        </row>
        <row r="1638">
          <cell r="F1638">
            <v>0</v>
          </cell>
          <cell r="H1638">
            <v>0</v>
          </cell>
          <cell r="J1638">
            <v>0</v>
          </cell>
          <cell r="AE1638" t="str">
            <v>LABA (RUGI) SELISIH KURS</v>
          </cell>
        </row>
        <row r="1639">
          <cell r="F1639">
            <v>0</v>
          </cell>
          <cell r="H1639">
            <v>0</v>
          </cell>
          <cell r="J1639">
            <v>0</v>
          </cell>
          <cell r="AE1639" t="str">
            <v>LABA (RUGI) SELISIH KURS</v>
          </cell>
        </row>
        <row r="1640">
          <cell r="F1640">
            <v>0</v>
          </cell>
          <cell r="H1640">
            <v>0</v>
          </cell>
          <cell r="J1640">
            <v>0</v>
          </cell>
          <cell r="AE1640" t="str">
            <v>LABA (RUGI) SELISIH KURS</v>
          </cell>
        </row>
        <row r="1641">
          <cell r="F1641">
            <v>0</v>
          </cell>
          <cell r="H1641">
            <v>0</v>
          </cell>
          <cell r="J1641">
            <v>0</v>
          </cell>
          <cell r="AE1641" t="str">
            <v>LABA (RUGI) SELISIH KURS</v>
          </cell>
        </row>
        <row r="1642">
          <cell r="F1642">
            <v>0</v>
          </cell>
          <cell r="H1642">
            <v>0</v>
          </cell>
          <cell r="J1642">
            <v>0</v>
          </cell>
          <cell r="AE1642" t="str">
            <v>PAJAK PENGHASILAN BADAN</v>
          </cell>
        </row>
        <row r="1643">
          <cell r="F1643">
            <v>0</v>
          </cell>
          <cell r="H1643">
            <v>0</v>
          </cell>
          <cell r="J1643">
            <v>0</v>
          </cell>
          <cell r="AE1643" t="str">
            <v>PAJAK PENGHASILAN BADAN</v>
          </cell>
        </row>
        <row r="1644">
          <cell r="F1644">
            <v>0</v>
          </cell>
          <cell r="H1644">
            <v>0</v>
          </cell>
          <cell r="J1644">
            <v>0</v>
          </cell>
          <cell r="AE1644" t="str">
            <v>PAJAK PENGHASILAN BADAN</v>
          </cell>
        </row>
        <row r="1645">
          <cell r="F1645">
            <v>0</v>
          </cell>
          <cell r="H1645">
            <v>0</v>
          </cell>
          <cell r="J1645">
            <v>0</v>
          </cell>
          <cell r="AE1645" t="str">
            <v>PAJAK PENGHASILAN BADAN</v>
          </cell>
        </row>
        <row r="1646">
          <cell r="F1646">
            <v>0</v>
          </cell>
          <cell r="H1646">
            <v>0</v>
          </cell>
          <cell r="J1646">
            <v>0</v>
          </cell>
          <cell r="AE1646" t="str">
            <v>PAJAK PENGHASILAN BADAN</v>
          </cell>
        </row>
        <row r="1647">
          <cell r="F1647">
            <v>0</v>
          </cell>
          <cell r="H1647">
            <v>0</v>
          </cell>
          <cell r="J1647">
            <v>0</v>
          </cell>
          <cell r="AE1647" t="str">
            <v>PAJAK PENGHASILAN BADAN</v>
          </cell>
        </row>
        <row r="1648">
          <cell r="F1648">
            <v>0</v>
          </cell>
          <cell r="H1648">
            <v>0</v>
          </cell>
          <cell r="J1648">
            <v>0</v>
          </cell>
          <cell r="AE1648" t="str">
            <v>PAJAK PENGHASILAN BADAN</v>
          </cell>
        </row>
        <row r="1649">
          <cell r="F1649">
            <v>0</v>
          </cell>
          <cell r="H1649">
            <v>0</v>
          </cell>
          <cell r="J1649">
            <v>0</v>
          </cell>
          <cell r="AE1649" t="str">
            <v>PAJAK PENGHASILAN BADAN</v>
          </cell>
        </row>
        <row r="1650">
          <cell r="F1650">
            <v>0</v>
          </cell>
          <cell r="H1650">
            <v>0</v>
          </cell>
          <cell r="J1650">
            <v>0</v>
          </cell>
          <cell r="AE1650" t="str">
            <v>PAJAK PENGHASILAN BADAN</v>
          </cell>
        </row>
        <row r="1651">
          <cell r="F1651">
            <v>0</v>
          </cell>
          <cell r="H1651">
            <v>0</v>
          </cell>
          <cell r="J1651">
            <v>0</v>
          </cell>
          <cell r="AE1651" t="str">
            <v>PAJAK PENGHASILAN BADAN</v>
          </cell>
        </row>
        <row r="1652">
          <cell r="F1652">
            <v>0</v>
          </cell>
          <cell r="H1652">
            <v>0</v>
          </cell>
          <cell r="J1652">
            <v>0</v>
          </cell>
          <cell r="AE1652" t="str">
            <v>PAJAK PENGHASILAN BADAN</v>
          </cell>
        </row>
        <row r="1653">
          <cell r="F1653">
            <v>0</v>
          </cell>
          <cell r="H1653">
            <v>0</v>
          </cell>
          <cell r="J1653">
            <v>0</v>
          </cell>
          <cell r="AE1653" t="str">
            <v>PAJAK PENGHASILAN BADAN</v>
          </cell>
        </row>
        <row r="1654">
          <cell r="F1654">
            <v>0</v>
          </cell>
          <cell r="H1654">
            <v>0</v>
          </cell>
          <cell r="J1654">
            <v>0</v>
          </cell>
          <cell r="AE1654" t="str">
            <v>PAJAK PENGHASILAN BADAN</v>
          </cell>
        </row>
        <row r="1655">
          <cell r="F1655">
            <v>0</v>
          </cell>
          <cell r="H1655">
            <v>0</v>
          </cell>
          <cell r="J1655">
            <v>0</v>
          </cell>
          <cell r="AE1655" t="str">
            <v>PAJAK PENGHASILAN BADAN</v>
          </cell>
        </row>
        <row r="1656">
          <cell r="F1656">
            <v>0</v>
          </cell>
          <cell r="H1656">
            <v>0</v>
          </cell>
          <cell r="J1656">
            <v>0</v>
          </cell>
          <cell r="AE1656" t="str">
            <v>PAJAK PENGHASILAN BADAN</v>
          </cell>
        </row>
        <row r="1657">
          <cell r="F1657">
            <v>0</v>
          </cell>
          <cell r="H1657">
            <v>0</v>
          </cell>
          <cell r="J1657">
            <v>0</v>
          </cell>
          <cell r="AE1657" t="str">
            <v>PAJAK PENGHASILAN BADAN</v>
          </cell>
        </row>
        <row r="1658">
          <cell r="F1658">
            <v>0</v>
          </cell>
          <cell r="H1658">
            <v>0</v>
          </cell>
          <cell r="J1658">
            <v>0</v>
          </cell>
          <cell r="AE1658" t="str">
            <v>PAJAK PENGHASILAN BADAN</v>
          </cell>
        </row>
        <row r="1659">
          <cell r="F1659">
            <v>0</v>
          </cell>
          <cell r="H1659">
            <v>0</v>
          </cell>
          <cell r="J1659">
            <v>0</v>
          </cell>
          <cell r="AE1659" t="str">
            <v>KEUNTUNGAN/ (KERUGIAN) AKRUARIAL</v>
          </cell>
        </row>
        <row r="1660">
          <cell r="F1660">
            <v>0</v>
          </cell>
          <cell r="H1660">
            <v>0</v>
          </cell>
          <cell r="J1660">
            <v>0</v>
          </cell>
          <cell r="AE1660" t="str">
            <v>KEUNTUNGAN/ (KERUGIAN) AKRUARIAL</v>
          </cell>
        </row>
        <row r="1661">
          <cell r="F1661">
            <v>0</v>
          </cell>
          <cell r="H1661">
            <v>0</v>
          </cell>
          <cell r="J1661">
            <v>0</v>
          </cell>
          <cell r="AE1661" t="str">
            <v>PAJAK TERKAIT KEUNTUNGAN/ (KERUGIAN) AKRUARIAL</v>
          </cell>
        </row>
        <row r="1662">
          <cell r="F1662">
            <v>0</v>
          </cell>
          <cell r="H1662">
            <v>0</v>
          </cell>
          <cell r="J1662">
            <v>0</v>
          </cell>
          <cell r="AE1662" t="str">
            <v>SECONDARY COST ELEMENT  &amp; PENDAPATAN KOMPREHENSIF LAINNYA</v>
          </cell>
        </row>
        <row r="1663">
          <cell r="F1663">
            <v>0</v>
          </cell>
          <cell r="H1663">
            <v>0</v>
          </cell>
          <cell r="J1663">
            <v>0</v>
          </cell>
          <cell r="AE1663" t="str">
            <v>SECONDARY COST ELEMENT  &amp; PENDAPATAN KOMPREHENSIF LAINNYA</v>
          </cell>
        </row>
        <row r="1664">
          <cell r="F1664">
            <v>0</v>
          </cell>
          <cell r="H1664">
            <v>0</v>
          </cell>
          <cell r="J1664">
            <v>0</v>
          </cell>
          <cell r="AE1664" t="str">
            <v>SECONDARY COST ELEMENT  &amp; PENDAPATAN KOMPREHENSIF LAINNYA</v>
          </cell>
        </row>
        <row r="1665">
          <cell r="F1665">
            <v>0</v>
          </cell>
          <cell r="H1665">
            <v>0</v>
          </cell>
          <cell r="J1665">
            <v>0</v>
          </cell>
          <cell r="AE1665" t="str">
            <v>SECONDARY COST ELEMENT  &amp; PENDAPATAN KOMPREHENSIF LAINNYA</v>
          </cell>
        </row>
        <row r="1666">
          <cell r="F1666">
            <v>0</v>
          </cell>
          <cell r="H1666">
            <v>0</v>
          </cell>
          <cell r="J1666">
            <v>0</v>
          </cell>
          <cell r="AE1666" t="str">
            <v>SECONDARY COST ELEMENT  &amp; PENDAPATAN KOMPREHENSIF LAINNYA</v>
          </cell>
        </row>
        <row r="1667">
          <cell r="F1667">
            <v>0</v>
          </cell>
          <cell r="H1667">
            <v>0</v>
          </cell>
          <cell r="J1667">
            <v>0</v>
          </cell>
          <cell r="AE1667" t="str">
            <v>SECONDARY COST ELEMENT  &amp; PENDAPATAN KOMPREHENSIF LAINNYA</v>
          </cell>
        </row>
        <row r="1668">
          <cell r="F1668">
            <v>0</v>
          </cell>
          <cell r="H1668">
            <v>0</v>
          </cell>
          <cell r="J1668">
            <v>0</v>
          </cell>
          <cell r="AE1668" t="str">
            <v>SECONDARY COST ELEMENT  &amp; PENDAPATAN KOMPREHENSIF LAINNYA</v>
          </cell>
        </row>
        <row r="1669">
          <cell r="F1669">
            <v>0</v>
          </cell>
          <cell r="H1669">
            <v>0</v>
          </cell>
          <cell r="J1669">
            <v>0</v>
          </cell>
          <cell r="AE1669" t="str">
            <v>SECONDARY COST ELEMENT  &amp; PENDAPATAN KOMPREHENSIF LAINNYA</v>
          </cell>
        </row>
        <row r="1670">
          <cell r="F1670">
            <v>0</v>
          </cell>
          <cell r="H1670">
            <v>0</v>
          </cell>
          <cell r="J1670">
            <v>0</v>
          </cell>
          <cell r="AE1670" t="str">
            <v>SECONDARY COST ELEMENT  &amp; PENDAPATAN KOMPREHENSIF LAINNYA</v>
          </cell>
        </row>
        <row r="1671">
          <cell r="F1671">
            <v>0</v>
          </cell>
          <cell r="H1671">
            <v>0</v>
          </cell>
          <cell r="J1671">
            <v>0</v>
          </cell>
          <cell r="AE1671" t="str">
            <v>MEMO</v>
          </cell>
        </row>
        <row r="1672">
          <cell r="F1672">
            <v>0</v>
          </cell>
          <cell r="H1672">
            <v>0</v>
          </cell>
          <cell r="J1672">
            <v>0</v>
          </cell>
          <cell r="AE1672" t="str">
            <v>MEMO</v>
          </cell>
        </row>
        <row r="1673">
          <cell r="F1673">
            <v>0</v>
          </cell>
          <cell r="H1673">
            <v>0</v>
          </cell>
          <cell r="J1673">
            <v>0</v>
          </cell>
          <cell r="AE1673" t="str">
            <v>MEMO</v>
          </cell>
        </row>
        <row r="1674">
          <cell r="F1674">
            <v>0</v>
          </cell>
          <cell r="H1674">
            <v>0</v>
          </cell>
          <cell r="J1674">
            <v>0</v>
          </cell>
          <cell r="AE1674" t="str">
            <v>MEMO</v>
          </cell>
        </row>
        <row r="1675">
          <cell r="F1675">
            <v>0</v>
          </cell>
          <cell r="H1675">
            <v>0</v>
          </cell>
          <cell r="J1675">
            <v>0</v>
          </cell>
          <cell r="AE1675" t="str">
            <v>MEMO</v>
          </cell>
        </row>
        <row r="1676">
          <cell r="F1676">
            <v>0</v>
          </cell>
          <cell r="H1676">
            <v>0</v>
          </cell>
          <cell r="J1676">
            <v>0</v>
          </cell>
          <cell r="AE1676" t="str">
            <v>MEMO</v>
          </cell>
        </row>
        <row r="1678">
          <cell r="F1678">
            <v>71735092.240000173</v>
          </cell>
          <cell r="H1678">
            <v>-129227925.46000001</v>
          </cell>
          <cell r="J1678">
            <v>-208476010.28000039</v>
          </cell>
        </row>
      </sheetData>
      <sheetData sheetId="3">
        <row r="7">
          <cell r="F7">
            <v>3220838.8799999356</v>
          </cell>
        </row>
      </sheetData>
      <sheetData sheetId="4"/>
      <sheetData sheetId="5">
        <row r="63">
          <cell r="E63">
            <v>466412972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5"/>
  <sheetViews>
    <sheetView showGridLines="0" tabSelected="1" topLeftCell="Y1" zoomScaleNormal="100" workbookViewId="0">
      <pane ySplit="12" topLeftCell="A13" activePane="bottomLeft" state="frozen"/>
      <selection pane="bottomLeft" activeCell="M18" sqref="M18"/>
    </sheetView>
  </sheetViews>
  <sheetFormatPr defaultColWidth="9.1796875" defaultRowHeight="14.5" x14ac:dyDescent="0.35"/>
  <cols>
    <col min="1" max="1" width="17.1796875" style="10" customWidth="1"/>
    <col min="2" max="2" width="23.453125" style="10" customWidth="1"/>
    <col min="3" max="3" width="18.1796875" style="10" bestFit="1" customWidth="1"/>
    <col min="4" max="4" width="38.81640625" style="10" bestFit="1" customWidth="1"/>
    <col min="5" max="5" width="30" style="10" bestFit="1" customWidth="1"/>
    <col min="6" max="6" width="30" style="10" customWidth="1"/>
    <col min="7" max="7" width="54.54296875" style="10" bestFit="1" customWidth="1"/>
    <col min="8" max="8" width="14.81640625" style="10" bestFit="1" customWidth="1"/>
    <col min="9" max="9" width="12" style="10" bestFit="1" customWidth="1"/>
    <col min="10" max="10" width="12" style="10" customWidth="1"/>
    <col min="11" max="11" width="19.54296875" style="10" bestFit="1" customWidth="1"/>
    <col min="12" max="12" width="16" style="10" bestFit="1" customWidth="1"/>
    <col min="13" max="15" width="16" style="10" customWidth="1"/>
    <col min="16" max="16" width="29" style="10" bestFit="1" customWidth="1"/>
    <col min="17" max="17" width="16" style="10" bestFit="1" customWidth="1"/>
    <col min="18" max="18" width="19.54296875" style="11" bestFit="1" customWidth="1"/>
    <col min="19" max="19" width="19.54296875" style="17" bestFit="1" customWidth="1"/>
    <col min="20" max="20" width="17.81640625" style="17" bestFit="1" customWidth="1"/>
    <col min="21" max="21" width="18.81640625" style="17" bestFit="1" customWidth="1"/>
    <col min="22" max="22" width="20" style="17" bestFit="1" customWidth="1"/>
    <col min="23" max="23" width="16.453125" style="17" bestFit="1" customWidth="1"/>
    <col min="24" max="24" width="19.54296875" style="10" bestFit="1" customWidth="1"/>
    <col min="25" max="25" width="51.54296875" style="10" bestFit="1" customWidth="1"/>
    <col min="26" max="26" width="24.54296875" style="10" bestFit="1" customWidth="1"/>
    <col min="27" max="27" width="28.54296875" style="10" customWidth="1"/>
    <col min="28" max="16384" width="9.1796875" style="10"/>
  </cols>
  <sheetData>
    <row r="1" spans="1:27" ht="18.5" x14ac:dyDescent="0.35">
      <c r="A1" s="9" t="s">
        <v>42</v>
      </c>
    </row>
    <row r="2" spans="1:27" ht="15.5" x14ac:dyDescent="0.35">
      <c r="A2" s="26" t="s">
        <v>35</v>
      </c>
    </row>
    <row r="3" spans="1:27" ht="15.5" x14ac:dyDescent="0.35">
      <c r="A3" s="20" t="s">
        <v>1148</v>
      </c>
    </row>
    <row r="4" spans="1:27" ht="15.5" x14ac:dyDescent="0.35">
      <c r="D4" s="20"/>
    </row>
    <row r="5" spans="1:27" x14ac:dyDescent="0.35">
      <c r="D5" s="83"/>
    </row>
    <row r="6" spans="1:27" x14ac:dyDescent="0.35">
      <c r="D6" s="83"/>
      <c r="U6" s="18"/>
    </row>
    <row r="7" spans="1:27" x14ac:dyDescent="0.35">
      <c r="D7" s="82"/>
    </row>
    <row r="8" spans="1:27" x14ac:dyDescent="0.35">
      <c r="A8" s="66" t="s">
        <v>68</v>
      </c>
      <c r="B8" s="66" t="s">
        <v>64</v>
      </c>
      <c r="C8" s="66" t="s">
        <v>60</v>
      </c>
      <c r="D8" s="82"/>
      <c r="X8" s="75">
        <f>X9-K9</f>
        <v>-501152400</v>
      </c>
    </row>
    <row r="9" spans="1:27" x14ac:dyDescent="0.35">
      <c r="A9" s="66" t="s">
        <v>69</v>
      </c>
      <c r="B9" s="66" t="s">
        <v>63</v>
      </c>
      <c r="C9" s="67"/>
      <c r="D9" s="82"/>
      <c r="K9" s="17"/>
      <c r="P9" s="10">
        <f>SUM(P13:P15)</f>
        <v>0</v>
      </c>
      <c r="R9" s="17">
        <f t="shared" ref="R9:X9" si="0">SUBTOTAL(9,R13:R15)</f>
        <v>-501152400</v>
      </c>
      <c r="S9" s="17">
        <f t="shared" si="0"/>
        <v>0</v>
      </c>
      <c r="T9" s="17">
        <f t="shared" si="0"/>
        <v>0</v>
      </c>
      <c r="U9" s="17">
        <f t="shared" si="0"/>
        <v>0</v>
      </c>
      <c r="V9" s="17">
        <f t="shared" si="0"/>
        <v>0</v>
      </c>
      <c r="W9" s="17">
        <f t="shared" si="0"/>
        <v>0</v>
      </c>
      <c r="X9" s="17">
        <f t="shared" si="0"/>
        <v>-501152400</v>
      </c>
    </row>
    <row r="10" spans="1:27" s="13" customFormat="1" x14ac:dyDescent="0.35">
      <c r="A10" s="118" t="s">
        <v>36</v>
      </c>
      <c r="B10" s="118" t="s">
        <v>37</v>
      </c>
      <c r="C10" s="118" t="s">
        <v>60</v>
      </c>
      <c r="D10" s="118" t="s">
        <v>18</v>
      </c>
      <c r="E10" s="118" t="s">
        <v>57</v>
      </c>
      <c r="F10" s="118" t="s">
        <v>56</v>
      </c>
      <c r="G10" s="118" t="s">
        <v>32</v>
      </c>
      <c r="H10" s="118" t="s">
        <v>38</v>
      </c>
      <c r="I10" s="118" t="s">
        <v>29</v>
      </c>
      <c r="J10" s="80" t="s">
        <v>62</v>
      </c>
      <c r="K10" s="118" t="s">
        <v>30</v>
      </c>
      <c r="L10" s="123" t="s">
        <v>61</v>
      </c>
      <c r="M10" s="134" t="s">
        <v>65</v>
      </c>
      <c r="N10" s="134" t="s">
        <v>39</v>
      </c>
      <c r="O10" s="118" t="s">
        <v>27</v>
      </c>
      <c r="P10" s="118" t="s">
        <v>40</v>
      </c>
      <c r="Q10" s="118" t="s">
        <v>41</v>
      </c>
      <c r="R10" s="132" t="s">
        <v>28</v>
      </c>
      <c r="S10" s="133"/>
      <c r="T10" s="133"/>
      <c r="U10" s="133"/>
      <c r="V10" s="133"/>
      <c r="W10" s="133"/>
      <c r="X10" s="121" t="s">
        <v>23</v>
      </c>
      <c r="Y10" s="126" t="s">
        <v>31</v>
      </c>
      <c r="Z10" s="126" t="s">
        <v>33</v>
      </c>
      <c r="AA10" s="10"/>
    </row>
    <row r="11" spans="1:27" s="13" customFormat="1" x14ac:dyDescent="0.35">
      <c r="A11" s="120"/>
      <c r="B11" s="120"/>
      <c r="C11" s="120"/>
      <c r="D11" s="120"/>
      <c r="E11" s="120"/>
      <c r="F11" s="119"/>
      <c r="G11" s="119"/>
      <c r="H11" s="119"/>
      <c r="I11" s="119"/>
      <c r="J11" s="81" t="s">
        <v>67</v>
      </c>
      <c r="K11" s="119"/>
      <c r="L11" s="124"/>
      <c r="M11" s="135"/>
      <c r="N11" s="135"/>
      <c r="O11" s="119"/>
      <c r="P11" s="119"/>
      <c r="Q11" s="120"/>
      <c r="R11" s="77" t="s">
        <v>5</v>
      </c>
      <c r="S11" s="30" t="s">
        <v>6</v>
      </c>
      <c r="T11" s="129" t="s">
        <v>34</v>
      </c>
      <c r="U11" s="130"/>
      <c r="V11" s="130"/>
      <c r="W11" s="131"/>
      <c r="X11" s="122"/>
      <c r="Y11" s="128"/>
      <c r="Z11" s="127"/>
      <c r="AA11" s="10"/>
    </row>
    <row r="12" spans="1:27" s="13" customFormat="1" x14ac:dyDescent="0.35">
      <c r="A12" s="69"/>
      <c r="B12" s="69"/>
      <c r="C12" s="69"/>
      <c r="D12" s="69"/>
      <c r="E12" s="69"/>
      <c r="F12" s="72"/>
      <c r="G12" s="73"/>
      <c r="H12" s="21"/>
      <c r="I12" s="73"/>
      <c r="J12" s="73"/>
      <c r="K12" s="73"/>
      <c r="L12" s="125"/>
      <c r="M12" s="136"/>
      <c r="N12" s="84"/>
      <c r="O12" s="21"/>
      <c r="P12" s="21"/>
      <c r="Q12" s="69"/>
      <c r="R12" s="71"/>
      <c r="S12" s="70"/>
      <c r="T12" s="19" t="s">
        <v>19</v>
      </c>
      <c r="U12" s="19" t="s">
        <v>20</v>
      </c>
      <c r="V12" s="19" t="s">
        <v>21</v>
      </c>
      <c r="W12" s="19" t="s">
        <v>22</v>
      </c>
      <c r="X12" s="76"/>
      <c r="Y12" s="79"/>
      <c r="Z12" s="128"/>
    </row>
    <row r="13" spans="1:27" s="105" customFormat="1" ht="13" x14ac:dyDescent="0.3">
      <c r="A13" s="112">
        <v>3000</v>
      </c>
      <c r="B13" s="113" t="s">
        <v>1151</v>
      </c>
      <c r="C13" s="114">
        <v>20</v>
      </c>
      <c r="D13" s="113" t="s">
        <v>1152</v>
      </c>
      <c r="E13" s="113">
        <v>5100014442</v>
      </c>
      <c r="F13" s="113" t="s">
        <v>1153</v>
      </c>
      <c r="G13" s="113" t="s">
        <v>1154</v>
      </c>
      <c r="H13" s="115">
        <v>45936</v>
      </c>
      <c r="I13" s="115">
        <v>45972</v>
      </c>
      <c r="J13" s="115">
        <v>46061</v>
      </c>
      <c r="K13" s="116">
        <v>-501152400</v>
      </c>
      <c r="L13" s="112" t="s">
        <v>47</v>
      </c>
      <c r="M13" s="112" t="s">
        <v>47</v>
      </c>
      <c r="N13" s="112" t="s">
        <v>1155</v>
      </c>
      <c r="O13" s="112" t="s">
        <v>54</v>
      </c>
      <c r="P13" s="112" t="s">
        <v>1156</v>
      </c>
      <c r="Q13" s="117" t="s">
        <v>1149</v>
      </c>
      <c r="R13" s="101">
        <f>K13</f>
        <v>-501152400</v>
      </c>
      <c r="S13" s="101"/>
      <c r="T13" s="101"/>
      <c r="U13" s="101"/>
      <c r="V13" s="101"/>
      <c r="W13" s="101"/>
      <c r="X13" s="102">
        <f t="shared" ref="X13" si="1">SUM(R13:W13)</f>
        <v>-501152400</v>
      </c>
      <c r="Y13" s="103" t="s">
        <v>1150</v>
      </c>
      <c r="Z13" s="103"/>
      <c r="AA13" s="104"/>
    </row>
    <row r="14" spans="1:27" s="24" customFormat="1" x14ac:dyDescent="0.35">
      <c r="A14" s="31"/>
      <c r="B14" s="68"/>
      <c r="C14" s="32"/>
      <c r="D14" s="33"/>
      <c r="E14" s="34"/>
      <c r="F14" s="34"/>
      <c r="G14" s="61"/>
      <c r="H14" s="62"/>
      <c r="I14" s="62"/>
      <c r="J14" s="62"/>
      <c r="K14" s="65"/>
      <c r="L14" s="34"/>
      <c r="M14" s="34"/>
      <c r="N14" s="34"/>
      <c r="O14" s="34"/>
      <c r="P14" s="34"/>
      <c r="Q14" s="34"/>
      <c r="R14" s="35"/>
      <c r="S14" s="35"/>
      <c r="T14" s="35"/>
      <c r="U14" s="35"/>
      <c r="V14" s="35"/>
      <c r="W14" s="35"/>
      <c r="X14" s="74"/>
      <c r="Y14" s="36"/>
      <c r="Z14" s="36"/>
      <c r="AA14" s="15"/>
    </row>
    <row r="15" spans="1:27" s="24" customFormat="1" x14ac:dyDescent="0.35">
      <c r="A15" s="31"/>
      <c r="B15" s="68"/>
      <c r="C15" s="32"/>
      <c r="D15" s="33"/>
      <c r="E15" s="34"/>
      <c r="F15" s="34"/>
      <c r="G15" s="61"/>
      <c r="H15" s="62"/>
      <c r="I15" s="62"/>
      <c r="J15" s="62"/>
      <c r="K15" s="65"/>
      <c r="L15" s="34"/>
      <c r="M15" s="34"/>
      <c r="N15" s="34"/>
      <c r="O15" s="34"/>
      <c r="P15" s="34"/>
      <c r="Q15" s="34"/>
      <c r="R15" s="35"/>
      <c r="S15" s="35"/>
      <c r="T15" s="35"/>
      <c r="U15" s="35"/>
      <c r="V15" s="35"/>
      <c r="W15" s="35"/>
      <c r="X15" s="74"/>
      <c r="Y15" s="36"/>
      <c r="Z15" s="36"/>
      <c r="AA15" s="15"/>
    </row>
  </sheetData>
  <autoFilter ref="A12:AC15"/>
  <mergeCells count="21">
    <mergeCell ref="O10:O11"/>
    <mergeCell ref="P10:P11"/>
    <mergeCell ref="X10:X11"/>
    <mergeCell ref="L10:L12"/>
    <mergeCell ref="Z10:Z12"/>
    <mergeCell ref="T11:W11"/>
    <mergeCell ref="R10:W10"/>
    <mergeCell ref="Q10:Q11"/>
    <mergeCell ref="Y10:Y11"/>
    <mergeCell ref="N10:N11"/>
    <mergeCell ref="M10:M12"/>
    <mergeCell ref="A10:A11"/>
    <mergeCell ref="B10:B11"/>
    <mergeCell ref="C10:C11"/>
    <mergeCell ref="D10:D11"/>
    <mergeCell ref="E10:E11"/>
    <mergeCell ref="F10:F11"/>
    <mergeCell ref="G10:G11"/>
    <mergeCell ref="I10:I11"/>
    <mergeCell ref="H10:H11"/>
    <mergeCell ref="K10:K11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Validation!$B$3:$B$6</xm:f>
          </x14:formula1>
          <xm:sqref>L13</xm:sqref>
        </x14:dataValidation>
        <x14:dataValidation type="list" allowBlank="1" showInputMessage="1" showErrorMessage="1">
          <x14:formula1>
            <xm:f>Validation!$C$3:$C$4</xm:f>
          </x14:formula1>
          <xm:sqref>M13</xm:sqref>
        </x14:dataValidation>
        <x14:dataValidation type="list" allowBlank="1" showInputMessage="1" showErrorMessage="1">
          <x14:formula1>
            <xm:f>Validation!$D$3:$D$4</xm:f>
          </x14:formula1>
          <xm:sqref>N13</xm:sqref>
        </x14:dataValidation>
        <x14:dataValidation type="list" allowBlank="1" showInputMessage="1" showErrorMessage="1">
          <x14:formula1>
            <xm:f>Validation!$E$3:$E$4</xm:f>
          </x14:formula1>
          <xm:sqref>O13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>
      <selection activeCell="D37" sqref="D37"/>
    </sheetView>
  </sheetViews>
  <sheetFormatPr defaultRowHeight="14.5" x14ac:dyDescent="0.35"/>
  <cols>
    <col min="2" max="2" width="36.54296875" customWidth="1"/>
  </cols>
  <sheetData>
    <row r="1" spans="1:2" x14ac:dyDescent="0.35">
      <c r="A1" s="91" t="s">
        <v>1104</v>
      </c>
      <c r="B1" s="91" t="s">
        <v>1105</v>
      </c>
    </row>
    <row r="2" spans="1:2" x14ac:dyDescent="0.35">
      <c r="A2" s="92">
        <v>1</v>
      </c>
      <c r="B2" s="93" t="s">
        <v>1106</v>
      </c>
    </row>
    <row r="3" spans="1:2" x14ac:dyDescent="0.35">
      <c r="A3" s="92">
        <f>A2+1</f>
        <v>2</v>
      </c>
      <c r="B3" s="93" t="s">
        <v>1107</v>
      </c>
    </row>
    <row r="4" spans="1:2" x14ac:dyDescent="0.35">
      <c r="A4" s="94"/>
      <c r="B4" s="95" t="s">
        <v>1108</v>
      </c>
    </row>
    <row r="5" spans="1:2" x14ac:dyDescent="0.35">
      <c r="A5" s="94"/>
      <c r="B5" s="95" t="s">
        <v>1109</v>
      </c>
    </row>
    <row r="6" spans="1:2" x14ac:dyDescent="0.35">
      <c r="A6" s="92">
        <f>A3+1</f>
        <v>3</v>
      </c>
      <c r="B6" s="93" t="s">
        <v>1110</v>
      </c>
    </row>
    <row r="7" spans="1:2" x14ac:dyDescent="0.35">
      <c r="A7" s="92">
        <f t="shared" ref="A7:A18" si="0">A6+1</f>
        <v>4</v>
      </c>
      <c r="B7" s="93" t="s">
        <v>1111</v>
      </c>
    </row>
    <row r="8" spans="1:2" x14ac:dyDescent="0.35">
      <c r="A8" s="94"/>
      <c r="B8" s="95" t="s">
        <v>1112</v>
      </c>
    </row>
    <row r="9" spans="1:2" x14ac:dyDescent="0.35">
      <c r="A9" s="92">
        <f>A7+1</f>
        <v>5</v>
      </c>
      <c r="B9" s="93" t="s">
        <v>1113</v>
      </c>
    </row>
    <row r="10" spans="1:2" x14ac:dyDescent="0.35">
      <c r="A10" s="94"/>
      <c r="B10" s="95" t="s">
        <v>1114</v>
      </c>
    </row>
    <row r="11" spans="1:2" x14ac:dyDescent="0.35">
      <c r="A11" s="94"/>
      <c r="B11" s="95" t="s">
        <v>1115</v>
      </c>
    </row>
    <row r="12" spans="1:2" x14ac:dyDescent="0.35">
      <c r="A12" s="94"/>
      <c r="B12" s="95" t="s">
        <v>1116</v>
      </c>
    </row>
    <row r="13" spans="1:2" x14ac:dyDescent="0.35">
      <c r="A13" s="94"/>
      <c r="B13" s="95" t="s">
        <v>1117</v>
      </c>
    </row>
    <row r="14" spans="1:2" x14ac:dyDescent="0.35">
      <c r="A14" s="94"/>
      <c r="B14" s="95" t="s">
        <v>1118</v>
      </c>
    </row>
    <row r="15" spans="1:2" x14ac:dyDescent="0.35">
      <c r="A15" s="94"/>
      <c r="B15" s="95" t="s">
        <v>1119</v>
      </c>
    </row>
    <row r="16" spans="1:2" x14ac:dyDescent="0.35">
      <c r="A16" s="94"/>
      <c r="B16" s="95" t="s">
        <v>1120</v>
      </c>
    </row>
    <row r="17" spans="1:2" x14ac:dyDescent="0.35">
      <c r="A17" s="92">
        <v>6</v>
      </c>
      <c r="B17" s="93" t="s">
        <v>1138</v>
      </c>
    </row>
    <row r="18" spans="1:2" s="16" customFormat="1" x14ac:dyDescent="0.35">
      <c r="A18" s="96">
        <f t="shared" si="0"/>
        <v>7</v>
      </c>
      <c r="B18" s="97" t="s">
        <v>1140</v>
      </c>
    </row>
    <row r="19" spans="1:2" x14ac:dyDescent="0.35">
      <c r="A19" s="94"/>
      <c r="B19" s="98" t="s">
        <v>1141</v>
      </c>
    </row>
    <row r="20" spans="1:2" x14ac:dyDescent="0.35">
      <c r="A20" s="92">
        <v>8</v>
      </c>
      <c r="B20" s="93" t="s">
        <v>1122</v>
      </c>
    </row>
    <row r="21" spans="1:2" x14ac:dyDescent="0.35">
      <c r="A21" s="92">
        <v>9</v>
      </c>
      <c r="B21" s="93" t="s">
        <v>1123</v>
      </c>
    </row>
    <row r="22" spans="1:2" x14ac:dyDescent="0.35">
      <c r="A22" s="92">
        <v>10</v>
      </c>
      <c r="B22" s="93" t="s">
        <v>1124</v>
      </c>
    </row>
    <row r="23" spans="1:2" x14ac:dyDescent="0.35">
      <c r="A23" s="92">
        <v>11</v>
      </c>
      <c r="B23" s="93" t="s">
        <v>1125</v>
      </c>
    </row>
    <row r="24" spans="1:2" x14ac:dyDescent="0.35">
      <c r="A24" s="92">
        <v>12</v>
      </c>
      <c r="B24" s="93" t="s">
        <v>1126</v>
      </c>
    </row>
    <row r="25" spans="1:2" x14ac:dyDescent="0.35">
      <c r="A25" s="94"/>
      <c r="B25" s="95" t="s">
        <v>1127</v>
      </c>
    </row>
    <row r="26" spans="1:2" x14ac:dyDescent="0.35">
      <c r="A26" s="94"/>
      <c r="B26" s="95" t="s">
        <v>1128</v>
      </c>
    </row>
    <row r="27" spans="1:2" x14ac:dyDescent="0.35">
      <c r="A27" s="94"/>
      <c r="B27" s="95" t="s">
        <v>1129</v>
      </c>
    </row>
    <row r="28" spans="1:2" x14ac:dyDescent="0.35">
      <c r="A28" s="94"/>
      <c r="B28" s="95" t="s">
        <v>1130</v>
      </c>
    </row>
    <row r="29" spans="1:2" x14ac:dyDescent="0.35">
      <c r="A29" s="94"/>
      <c r="B29" s="95" t="s">
        <v>1131</v>
      </c>
    </row>
    <row r="30" spans="1:2" x14ac:dyDescent="0.35">
      <c r="A30" s="92">
        <f>A24+1</f>
        <v>13</v>
      </c>
      <c r="B30" s="93" t="s">
        <v>1132</v>
      </c>
    </row>
    <row r="31" spans="1:2" x14ac:dyDescent="0.35">
      <c r="A31" s="94"/>
      <c r="B31" s="95" t="s">
        <v>1133</v>
      </c>
    </row>
    <row r="32" spans="1:2" x14ac:dyDescent="0.35">
      <c r="A32" s="92">
        <f>A30+1</f>
        <v>14</v>
      </c>
      <c r="B32" s="93" t="s">
        <v>1134</v>
      </c>
    </row>
    <row r="33" spans="1:2" x14ac:dyDescent="0.35">
      <c r="A33" s="92"/>
      <c r="B33" s="95" t="s">
        <v>1135</v>
      </c>
    </row>
    <row r="34" spans="1:2" x14ac:dyDescent="0.35">
      <c r="A34" s="92">
        <f>A32+1</f>
        <v>15</v>
      </c>
      <c r="B34" s="93" t="s">
        <v>1136</v>
      </c>
    </row>
    <row r="35" spans="1:2" x14ac:dyDescent="0.35">
      <c r="A35" s="92">
        <f>A34+1</f>
        <v>16</v>
      </c>
      <c r="B35" s="93" t="s">
        <v>1137</v>
      </c>
    </row>
    <row r="36" spans="1:2" x14ac:dyDescent="0.35">
      <c r="A36" s="110">
        <v>17</v>
      </c>
      <c r="B36" s="111" t="s">
        <v>1121</v>
      </c>
    </row>
    <row r="37" spans="1:2" x14ac:dyDescent="0.35">
      <c r="A37" s="108">
        <v>18</v>
      </c>
      <c r="B37" s="109" t="s">
        <v>1139</v>
      </c>
    </row>
    <row r="38" spans="1:2" x14ac:dyDescent="0.35">
      <c r="A38" s="94"/>
      <c r="B38" s="98" t="s">
        <v>1141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336"/>
  <sheetViews>
    <sheetView showGridLines="0" zoomScale="70" zoomScaleNormal="70" workbookViewId="0">
      <selection activeCell="C13" sqref="C13:F13"/>
    </sheetView>
  </sheetViews>
  <sheetFormatPr defaultRowHeight="14.5" x14ac:dyDescent="0.35"/>
  <cols>
    <col min="1" max="1" width="7.1796875" bestFit="1" customWidth="1"/>
    <col min="2" max="2" width="14.81640625" style="2" customWidth="1"/>
    <col min="3" max="3" width="21.54296875" style="37" customWidth="1"/>
    <col min="4" max="15" width="21.54296875" style="2" customWidth="1"/>
    <col min="16" max="19" width="21.54296875" customWidth="1"/>
  </cols>
  <sheetData>
    <row r="1" spans="1:19" ht="15.5" x14ac:dyDescent="0.35">
      <c r="A1" s="1"/>
      <c r="B1" s="8" t="s">
        <v>16</v>
      </c>
    </row>
    <row r="2" spans="1:19" ht="15.5" x14ac:dyDescent="0.35">
      <c r="A2" s="1"/>
      <c r="B2" s="27" t="s">
        <v>43</v>
      </c>
    </row>
    <row r="3" spans="1:19" ht="15.5" x14ac:dyDescent="0.35">
      <c r="A3" s="1"/>
      <c r="B3" s="20" t="s">
        <v>1148</v>
      </c>
    </row>
    <row r="4" spans="1:19" x14ac:dyDescent="0.35">
      <c r="P4" s="2"/>
      <c r="Q4" s="2"/>
      <c r="R4" s="2"/>
      <c r="S4" s="4" t="s">
        <v>0</v>
      </c>
    </row>
    <row r="5" spans="1:19" ht="14.5" customHeight="1" x14ac:dyDescent="0.35">
      <c r="B5" s="141" t="s">
        <v>1</v>
      </c>
      <c r="C5" s="137" t="s">
        <v>2</v>
      </c>
      <c r="D5" s="137"/>
      <c r="E5" s="137"/>
      <c r="F5" s="137"/>
      <c r="G5" s="137" t="s">
        <v>3</v>
      </c>
      <c r="H5" s="137"/>
      <c r="I5" s="137"/>
      <c r="J5" s="137"/>
      <c r="K5" s="137" t="s">
        <v>66</v>
      </c>
      <c r="L5" s="137"/>
      <c r="M5" s="137"/>
      <c r="N5" s="137"/>
      <c r="O5" s="137" t="s">
        <v>59</v>
      </c>
      <c r="P5" s="137"/>
      <c r="Q5" s="137"/>
      <c r="R5" s="137"/>
      <c r="S5" s="59" t="s">
        <v>4</v>
      </c>
    </row>
    <row r="6" spans="1:19" x14ac:dyDescent="0.35">
      <c r="B6" s="141"/>
      <c r="C6" s="38" t="s">
        <v>5</v>
      </c>
      <c r="D6" s="5" t="s">
        <v>6</v>
      </c>
      <c r="E6" s="5" t="s">
        <v>7</v>
      </c>
      <c r="F6" s="5" t="s">
        <v>8</v>
      </c>
      <c r="G6" s="5" t="s">
        <v>5</v>
      </c>
      <c r="H6" s="5" t="s">
        <v>6</v>
      </c>
      <c r="I6" s="5" t="s">
        <v>7</v>
      </c>
      <c r="J6" s="5" t="s">
        <v>8</v>
      </c>
      <c r="K6" s="5" t="s">
        <v>5</v>
      </c>
      <c r="L6" s="5" t="s">
        <v>6</v>
      </c>
      <c r="M6" s="5" t="s">
        <v>7</v>
      </c>
      <c r="N6" s="5" t="s">
        <v>8</v>
      </c>
      <c r="O6" s="5" t="s">
        <v>5</v>
      </c>
      <c r="P6" s="5" t="s">
        <v>6</v>
      </c>
      <c r="Q6" s="5" t="s">
        <v>7</v>
      </c>
      <c r="R6" s="5" t="s">
        <v>8</v>
      </c>
      <c r="S6" s="60"/>
    </row>
    <row r="7" spans="1:19" s="14" customFormat="1" x14ac:dyDescent="0.35">
      <c r="B7" s="25">
        <f>F7+J7+N7+R7</f>
        <v>0</v>
      </c>
      <c r="C7" s="78">
        <f>SUMIFS(Detail!$R$13:$R$1048576,Detail!$L$13:$L$1048576,Rekap!C5)/10^6</f>
        <v>0</v>
      </c>
      <c r="D7" s="78">
        <f>SUMIFS(Detail!$S$13:$S$1048576,Detail!$L$13:$L$1048576,Rekap!C5)/10^6</f>
        <v>0</v>
      </c>
      <c r="E7" s="78">
        <f>(SUMIFS(Detail!$T$13:$T$1048576,Detail!$L$13:$L$1048576,Rekap!C5)+SUMIFS(Detail!$U$13:$U$1048576,Detail!$L$13:$L$1048576,Rekap!C5)+SUMIFS(Detail!$V$13:$V$1048576,Detail!$L$13:$L$1048576,Rekap!C5)+SUMIFS(Detail!$W$13:$W$1048576,Detail!$L$13:$L$1048576,Rekap!C5))/10^6</f>
        <v>0</v>
      </c>
      <c r="F7" s="78">
        <f>SUM(C7:E7)</f>
        <v>0</v>
      </c>
      <c r="G7" s="78">
        <f>SUMIFS(Detail!$R$13:$R$1048576,Detail!$L$13:$L$1048576,Rekap!G5)/10^6</f>
        <v>0</v>
      </c>
      <c r="H7" s="78">
        <f>SUMIFS(Detail!$S$13:$S$1048576,Detail!$L$13:$L$1048576,Rekap!G5)/10^6</f>
        <v>0</v>
      </c>
      <c r="I7" s="78">
        <f>(SUMIFS(Detail!$T$13:$T$1048576,Detail!$L$13:$L$1048576,Rekap!G5)+SUMIFS(Detail!$U$13:$U$1048576,Detail!$L$13:$L$1048576,Rekap!G5)+SUMIFS(Detail!$V$13:$V$1048576,Detail!$L$13:$L$1048576,Rekap!G5)+SUMIFS(Detail!$W$13:$W$1048576,Detail!$L$13:$L$1048576,Rekap!G5))/10^6</f>
        <v>0</v>
      </c>
      <c r="J7" s="78">
        <f>SUM(G7:I7)</f>
        <v>0</v>
      </c>
      <c r="K7" s="78">
        <f>SUMIFS(Detail!$R$13:$R$1048576,Detail!$L$13:$L$1048576,Rekap!K5)/10^6</f>
        <v>0</v>
      </c>
      <c r="L7" s="78">
        <f>SUMIFS(Detail!$S$13:$S$1048576,Detail!$L$13:$L$1048576,Rekap!K5)/10^6</f>
        <v>0</v>
      </c>
      <c r="M7" s="78">
        <f>(SUMIFS(Detail!$T$13:$T$1048576,Detail!$L$13:$L$1048576,Rekap!K5)+SUMIFS(Detail!$U$13:$U$1048576,Detail!$L$13:$L$1048576,Rekap!K5)+SUMIFS(Detail!$V$13:$V$1048576,Detail!$L$13:$L$1048576,Rekap!K5)+SUMIFS(Detail!$W$13:$W$1048576,Detail!$L$13:$L$1048576,Rekap!K5))/10^6</f>
        <v>0</v>
      </c>
      <c r="N7" s="78">
        <f>SUM(K7:M7)</f>
        <v>0</v>
      </c>
      <c r="O7" s="78">
        <f>SUMIFS(Detail!$R$13:$R$1048576,Detail!$L$13:$L$1048576,Rekap!O5)/10^6</f>
        <v>0</v>
      </c>
      <c r="P7" s="78">
        <f>SUMIFS(Detail!$S$13:$S$1048576,Detail!$L$13:$L$1048576,Rekap!O5)/10^6</f>
        <v>0</v>
      </c>
      <c r="Q7" s="78">
        <f>(SUMIFS(Detail!$T$13:$T$1048576,Detail!$L$13:$L$1048576,Rekap!O5)+SUMIFS(Detail!$U$13:$U$1048576,Detail!$L$13:$L$1048576,Rekap!O5)+SUMIFS(Detail!$V$13:$V$1048576,Detail!$L$13:$L$1048576,Rekap!O5)+SUMIFS(Detail!$W$13:$W$1048576,Detail!$L$13:$L$1048576,Rekap!O5))/10^6</f>
        <v>0</v>
      </c>
      <c r="R7" s="78">
        <f>SUM(O7:Q7)</f>
        <v>0</v>
      </c>
      <c r="S7" s="25">
        <f>I7+M7+Q7+E7</f>
        <v>0</v>
      </c>
    </row>
    <row r="8" spans="1:19" s="12" customFormat="1" hidden="1" x14ac:dyDescent="0.35">
      <c r="A8" s="12" t="s">
        <v>25</v>
      </c>
      <c r="B8" s="12">
        <v>39219217857.450005</v>
      </c>
      <c r="C8" s="39">
        <v>66305200</v>
      </c>
      <c r="D8" s="12">
        <v>657035691.88</v>
      </c>
      <c r="E8" s="12">
        <v>22247738681.730003</v>
      </c>
      <c r="F8" s="12">
        <v>22971079573.610004</v>
      </c>
      <c r="G8" s="12">
        <v>0</v>
      </c>
      <c r="H8" s="12">
        <v>0</v>
      </c>
      <c r="I8" s="12">
        <v>0</v>
      </c>
      <c r="J8" s="12">
        <v>0</v>
      </c>
      <c r="K8" s="12">
        <v>13419806542.370003</v>
      </c>
      <c r="L8" s="12">
        <v>2206600388.4200001</v>
      </c>
      <c r="M8" s="12">
        <v>621731353.04999542</v>
      </c>
      <c r="N8" s="12">
        <v>16248138283.839998</v>
      </c>
      <c r="O8" s="12">
        <v>22869470034.779999</v>
      </c>
    </row>
    <row r="9" spans="1:19" s="12" customFormat="1" x14ac:dyDescent="0.35">
      <c r="B9" s="12" t="s">
        <v>58</v>
      </c>
      <c r="C9" s="39"/>
    </row>
    <row r="10" spans="1:19" x14ac:dyDescent="0.35">
      <c r="B10" s="6"/>
    </row>
    <row r="11" spans="1:19" x14ac:dyDescent="0.35">
      <c r="B11" s="3" t="s">
        <v>9</v>
      </c>
    </row>
    <row r="12" spans="1:19" ht="4.5" customHeight="1" x14ac:dyDescent="0.35">
      <c r="B12" s="6"/>
    </row>
    <row r="13" spans="1:19" x14ac:dyDescent="0.35">
      <c r="B13" s="7" t="s">
        <v>10</v>
      </c>
      <c r="C13" s="138" t="s">
        <v>11</v>
      </c>
      <c r="D13" s="138"/>
      <c r="E13" s="138"/>
      <c r="F13" s="138"/>
      <c r="G13" s="7" t="s">
        <v>17</v>
      </c>
      <c r="H13" s="139" t="s">
        <v>15</v>
      </c>
      <c r="I13" s="140"/>
      <c r="J13" s="140"/>
      <c r="K13" s="140"/>
      <c r="L13" s="140"/>
      <c r="M13" s="140"/>
      <c r="N13" s="140"/>
    </row>
    <row r="14" spans="1:19" x14ac:dyDescent="0.35">
      <c r="B14" s="53">
        <v>1</v>
      </c>
      <c r="C14" s="54" t="s">
        <v>12</v>
      </c>
      <c r="D14" s="55"/>
      <c r="E14" s="55"/>
      <c r="F14" s="55"/>
      <c r="G14" s="29">
        <f>SUMIFS(Detail!$X$13:$X$15,Detail!$Y$13:$Y$15,Rekap!C14)/10^6</f>
        <v>0</v>
      </c>
      <c r="H14" s="58"/>
      <c r="I14" s="58"/>
      <c r="J14" s="58"/>
      <c r="K14" s="58"/>
      <c r="L14" s="58"/>
      <c r="M14" s="58"/>
      <c r="N14" s="58"/>
    </row>
    <row r="15" spans="1:19" x14ac:dyDescent="0.35">
      <c r="B15" s="53">
        <v>2</v>
      </c>
      <c r="C15" s="54" t="s">
        <v>13</v>
      </c>
      <c r="D15" s="55"/>
      <c r="E15" s="55"/>
      <c r="F15" s="55"/>
      <c r="G15" s="29">
        <f>SUMIFS(Detail!$X$13:$X$15,Detail!$Y$13:$Y$15,Rekap!C15)</f>
        <v>0</v>
      </c>
      <c r="H15" s="58"/>
      <c r="I15" s="58"/>
      <c r="J15" s="58"/>
      <c r="K15" s="58"/>
      <c r="L15" s="58"/>
      <c r="M15" s="58"/>
      <c r="N15" s="58"/>
    </row>
    <row r="16" spans="1:19" x14ac:dyDescent="0.35">
      <c r="B16" s="53">
        <v>3</v>
      </c>
      <c r="C16" s="54" t="s">
        <v>24</v>
      </c>
      <c r="D16" s="55"/>
      <c r="E16" s="55"/>
      <c r="F16" s="55"/>
      <c r="G16" s="29">
        <f>SUMIFS(Detail!$X$13:$X$15,Detail!$Y$13:$Y$15,Rekap!C16)</f>
        <v>0</v>
      </c>
      <c r="H16" s="58"/>
      <c r="I16" s="58"/>
      <c r="J16" s="58"/>
      <c r="K16" s="58"/>
      <c r="L16" s="58"/>
      <c r="M16" s="58"/>
      <c r="N16" s="58"/>
    </row>
    <row r="17" spans="2:15" x14ac:dyDescent="0.35">
      <c r="B17" s="53">
        <v>4</v>
      </c>
      <c r="C17" s="54" t="s">
        <v>26</v>
      </c>
      <c r="D17" s="55"/>
      <c r="E17" s="55"/>
      <c r="F17" s="55"/>
      <c r="G17" s="29">
        <f>2836237263/10^6</f>
        <v>2836.237263</v>
      </c>
      <c r="H17" s="58"/>
      <c r="I17" s="58"/>
      <c r="J17" s="58"/>
      <c r="K17" s="58"/>
      <c r="L17" s="58"/>
      <c r="M17" s="58"/>
      <c r="N17" s="58"/>
    </row>
    <row r="18" spans="2:15" x14ac:dyDescent="0.35">
      <c r="B18" s="53">
        <v>5</v>
      </c>
      <c r="C18" s="54" t="s">
        <v>70</v>
      </c>
      <c r="D18" s="55"/>
      <c r="E18" s="55"/>
      <c r="F18" s="55"/>
      <c r="G18" s="29">
        <f>SUMIFS(Detail!$X$13:$X$15,Detail!$Y$13:$Y$15,Rekap!C18)/10^6</f>
        <v>0</v>
      </c>
      <c r="H18" s="58"/>
      <c r="I18" s="58"/>
      <c r="J18" s="58"/>
      <c r="K18" s="58"/>
      <c r="L18" s="58"/>
      <c r="M18" s="58"/>
      <c r="N18" s="58"/>
    </row>
    <row r="19" spans="2:15" x14ac:dyDescent="0.35">
      <c r="B19" s="53">
        <v>6</v>
      </c>
      <c r="C19" s="54" t="s">
        <v>71</v>
      </c>
      <c r="D19" s="55"/>
      <c r="E19" s="55"/>
      <c r="F19" s="55"/>
      <c r="G19" s="29">
        <f>SUMIFS(Detail!$X$13:$X$15,Detail!$Y$13:$Y$15,Rekap!C19)</f>
        <v>0</v>
      </c>
      <c r="H19" s="58"/>
      <c r="I19" s="58"/>
      <c r="J19" s="58"/>
      <c r="K19" s="58"/>
      <c r="L19" s="58"/>
      <c r="M19" s="58"/>
      <c r="N19" s="58"/>
    </row>
    <row r="20" spans="2:15" x14ac:dyDescent="0.35">
      <c r="B20" s="53">
        <v>7</v>
      </c>
      <c r="C20" s="54" t="s">
        <v>72</v>
      </c>
      <c r="D20" s="55"/>
      <c r="E20" s="55"/>
      <c r="F20" s="56"/>
      <c r="G20" s="29">
        <f>SUMIFS(Detail!$X$13:$X$15,Detail!$Y$13:$Y$15,Rekap!C20)</f>
        <v>0</v>
      </c>
      <c r="H20" s="58"/>
      <c r="I20" s="58"/>
      <c r="J20" s="58"/>
      <c r="K20" s="58"/>
      <c r="L20" s="58"/>
      <c r="M20" s="58"/>
      <c r="N20" s="58"/>
    </row>
    <row r="21" spans="2:15" x14ac:dyDescent="0.35">
      <c r="B21" s="53">
        <v>8</v>
      </c>
      <c r="C21" s="54" t="s">
        <v>73</v>
      </c>
      <c r="D21" s="55"/>
      <c r="E21" s="55"/>
      <c r="F21" s="56"/>
      <c r="G21" s="29">
        <f>SUMIFS(Detail!$X$13:$X$15,Detail!$Y$13:$Y$15,Rekap!C21)</f>
        <v>0</v>
      </c>
      <c r="H21" s="58"/>
      <c r="I21" s="58"/>
      <c r="J21" s="58"/>
      <c r="K21" s="58"/>
      <c r="L21" s="58"/>
      <c r="M21" s="58"/>
      <c r="N21" s="58"/>
    </row>
    <row r="22" spans="2:15" x14ac:dyDescent="0.35">
      <c r="B22" s="53">
        <v>9</v>
      </c>
      <c r="C22" s="57" t="s">
        <v>14</v>
      </c>
      <c r="D22" s="55"/>
      <c r="E22" s="55"/>
      <c r="F22" s="55"/>
      <c r="G22" s="29">
        <f>G23-SUM(G14:G21)</f>
        <v>-2836.237263</v>
      </c>
      <c r="H22" s="58"/>
      <c r="I22" s="58"/>
      <c r="J22" s="58"/>
      <c r="K22" s="58"/>
      <c r="L22" s="58"/>
      <c r="M22" s="58"/>
      <c r="N22" s="58"/>
    </row>
    <row r="23" spans="2:15" s="43" customFormat="1" x14ac:dyDescent="0.35">
      <c r="B23" s="44"/>
      <c r="C23" s="45"/>
      <c r="D23" s="44"/>
      <c r="E23" s="44"/>
      <c r="F23" s="44"/>
      <c r="G23" s="46">
        <f>S7</f>
        <v>0</v>
      </c>
      <c r="H23" s="85"/>
      <c r="I23" s="63"/>
      <c r="J23" s="63"/>
      <c r="K23" s="47"/>
      <c r="L23" s="47"/>
      <c r="M23" s="47"/>
      <c r="N23" s="47"/>
      <c r="O23" s="47"/>
    </row>
    <row r="24" spans="2:15" s="86" customFormat="1" x14ac:dyDescent="0.35">
      <c r="C24" s="87"/>
      <c r="G24" s="88"/>
      <c r="I24" s="89"/>
      <c r="J24" s="89"/>
    </row>
    <row r="25" spans="2:15" s="43" customFormat="1" x14ac:dyDescent="0.35">
      <c r="B25" s="44"/>
      <c r="C25" s="90" t="s">
        <v>74</v>
      </c>
      <c r="D25" s="44"/>
      <c r="E25" s="44"/>
      <c r="F25" s="44"/>
      <c r="G25" s="46"/>
      <c r="H25" s="47"/>
      <c r="I25" s="63"/>
      <c r="J25" s="63"/>
      <c r="K25" s="47"/>
      <c r="L25" s="47"/>
      <c r="M25" s="47"/>
      <c r="N25" s="47"/>
      <c r="O25" s="47"/>
    </row>
    <row r="26" spans="2:15" s="43" customFormat="1" ht="43.5" x14ac:dyDescent="0.35">
      <c r="B26" s="48">
        <v>4</v>
      </c>
      <c r="C26" s="51" t="s">
        <v>26</v>
      </c>
      <c r="D26" s="150" t="s">
        <v>52</v>
      </c>
      <c r="E26" s="148" t="s">
        <v>47</v>
      </c>
      <c r="F26" s="149"/>
      <c r="G26" s="142" t="s">
        <v>55</v>
      </c>
      <c r="H26" s="143"/>
      <c r="I26" s="63"/>
      <c r="J26" s="63"/>
      <c r="K26" s="47"/>
      <c r="L26" s="47"/>
      <c r="M26" s="47"/>
      <c r="N26" s="47"/>
      <c r="O26" s="47"/>
    </row>
    <row r="27" spans="2:15" x14ac:dyDescent="0.35">
      <c r="B27" s="6"/>
      <c r="C27" s="52" t="s">
        <v>37</v>
      </c>
      <c r="D27" s="151"/>
      <c r="E27" s="49" t="s">
        <v>53</v>
      </c>
      <c r="F27" s="49" t="s">
        <v>54</v>
      </c>
      <c r="G27" s="50" t="s">
        <v>53</v>
      </c>
      <c r="H27" s="50" t="s">
        <v>48</v>
      </c>
      <c r="I27" s="63"/>
      <c r="J27" s="63"/>
    </row>
    <row r="28" spans="2:15" x14ac:dyDescent="0.35">
      <c r="B28" s="6"/>
      <c r="C28" s="146" t="s">
        <v>49</v>
      </c>
      <c r="D28" s="41" t="s">
        <v>50</v>
      </c>
      <c r="E28" s="41"/>
      <c r="F28" s="41"/>
      <c r="G28" s="42"/>
      <c r="H28" s="42"/>
      <c r="I28" s="63"/>
      <c r="J28" s="63"/>
    </row>
    <row r="29" spans="2:15" x14ac:dyDescent="0.35">
      <c r="C29" s="147"/>
      <c r="D29" s="41" t="s">
        <v>51</v>
      </c>
      <c r="E29" s="41"/>
      <c r="F29" s="41"/>
      <c r="G29" s="42"/>
      <c r="H29" s="42"/>
      <c r="I29" s="63"/>
      <c r="J29" s="63"/>
    </row>
    <row r="30" spans="2:15" x14ac:dyDescent="0.35">
      <c r="C30" s="144">
        <v>7</v>
      </c>
      <c r="D30" s="41" t="s">
        <v>50</v>
      </c>
      <c r="E30" s="41"/>
      <c r="F30" s="41"/>
      <c r="G30" s="42"/>
      <c r="H30" s="42"/>
      <c r="I30" s="63"/>
      <c r="J30" s="63"/>
    </row>
    <row r="31" spans="2:15" x14ac:dyDescent="0.35">
      <c r="C31" s="145"/>
      <c r="D31" s="41" t="s">
        <v>51</v>
      </c>
      <c r="E31" s="41"/>
      <c r="F31" s="41"/>
      <c r="G31" s="42"/>
      <c r="H31" s="42"/>
      <c r="I31" s="63"/>
      <c r="J31" s="63"/>
    </row>
    <row r="32" spans="2:15" x14ac:dyDescent="0.35">
      <c r="C32" s="144">
        <v>10</v>
      </c>
      <c r="D32" s="41" t="s">
        <v>50</v>
      </c>
      <c r="E32" s="41"/>
      <c r="F32" s="41"/>
      <c r="G32" s="42"/>
      <c r="H32" s="42"/>
      <c r="I32" s="63"/>
      <c r="J32" s="63"/>
    </row>
    <row r="33" spans="3:10" x14ac:dyDescent="0.35">
      <c r="C33" s="145"/>
      <c r="D33" s="41" t="s">
        <v>51</v>
      </c>
      <c r="E33" s="41"/>
      <c r="F33" s="41"/>
      <c r="G33" s="42"/>
      <c r="H33" s="42"/>
      <c r="I33" s="63"/>
      <c r="J33" s="63"/>
    </row>
    <row r="34" spans="3:10" x14ac:dyDescent="0.35">
      <c r="C34" s="144">
        <v>14</v>
      </c>
      <c r="D34" s="41" t="s">
        <v>50</v>
      </c>
      <c r="E34" s="41"/>
      <c r="F34" s="41"/>
      <c r="G34" s="42"/>
      <c r="H34" s="42"/>
      <c r="I34" s="63"/>
      <c r="J34" s="63"/>
    </row>
    <row r="35" spans="3:10" x14ac:dyDescent="0.35">
      <c r="C35" s="145"/>
      <c r="D35" s="41" t="s">
        <v>51</v>
      </c>
      <c r="E35" s="41"/>
      <c r="F35" s="41"/>
      <c r="G35" s="42"/>
      <c r="H35" s="42"/>
      <c r="I35" s="63"/>
      <c r="J35" s="63"/>
    </row>
    <row r="36" spans="3:10" x14ac:dyDescent="0.35">
      <c r="C36" s="144">
        <v>15</v>
      </c>
      <c r="D36" s="41" t="s">
        <v>50</v>
      </c>
      <c r="E36" s="41"/>
      <c r="F36" s="41"/>
      <c r="G36" s="42"/>
      <c r="H36" s="42"/>
      <c r="I36" s="63"/>
      <c r="J36" s="63"/>
    </row>
    <row r="37" spans="3:10" x14ac:dyDescent="0.35">
      <c r="C37" s="145"/>
      <c r="D37" s="41" t="s">
        <v>51</v>
      </c>
      <c r="E37" s="41"/>
      <c r="F37" s="41"/>
      <c r="G37" s="42"/>
      <c r="H37" s="42"/>
      <c r="I37" s="63"/>
      <c r="J37" s="63"/>
    </row>
    <row r="38" spans="3:10" x14ac:dyDescent="0.35">
      <c r="C38" s="144">
        <v>30</v>
      </c>
      <c r="D38" s="41" t="s">
        <v>50</v>
      </c>
      <c r="E38" s="41"/>
      <c r="F38" s="41"/>
      <c r="G38" s="42"/>
      <c r="H38" s="42"/>
      <c r="I38" s="63"/>
      <c r="J38" s="63"/>
    </row>
    <row r="39" spans="3:10" x14ac:dyDescent="0.35">
      <c r="C39" s="145"/>
      <c r="D39" s="41" t="s">
        <v>51</v>
      </c>
      <c r="E39" s="41"/>
      <c r="F39" s="41"/>
      <c r="G39" s="42"/>
      <c r="H39" s="42"/>
      <c r="I39" s="63"/>
      <c r="J39" s="63"/>
    </row>
    <row r="40" spans="3:10" x14ac:dyDescent="0.35">
      <c r="C40" s="144">
        <v>35</v>
      </c>
      <c r="D40" s="41" t="s">
        <v>50</v>
      </c>
      <c r="E40" s="41"/>
      <c r="F40" s="41"/>
      <c r="G40" s="42"/>
      <c r="H40" s="42"/>
      <c r="I40" s="63"/>
      <c r="J40" s="63"/>
    </row>
    <row r="41" spans="3:10" x14ac:dyDescent="0.35">
      <c r="C41" s="145"/>
      <c r="D41" s="41" t="s">
        <v>51</v>
      </c>
      <c r="E41" s="41"/>
      <c r="F41" s="41"/>
      <c r="G41" s="42"/>
      <c r="H41" s="42"/>
      <c r="I41" s="63"/>
      <c r="J41" s="63"/>
    </row>
    <row r="42" spans="3:10" x14ac:dyDescent="0.35">
      <c r="C42" s="144">
        <v>37</v>
      </c>
      <c r="D42" s="41" t="s">
        <v>50</v>
      </c>
      <c r="E42" s="41"/>
      <c r="F42" s="41"/>
      <c r="G42" s="42"/>
      <c r="H42" s="42"/>
      <c r="I42" s="63"/>
      <c r="J42" s="63"/>
    </row>
    <row r="43" spans="3:10" x14ac:dyDescent="0.35">
      <c r="C43" s="145"/>
      <c r="D43" s="41" t="s">
        <v>51</v>
      </c>
      <c r="E43" s="41"/>
      <c r="F43" s="41"/>
      <c r="G43" s="42"/>
      <c r="H43" s="42"/>
      <c r="I43" s="63"/>
      <c r="J43" s="63"/>
    </row>
    <row r="44" spans="3:10" x14ac:dyDescent="0.35">
      <c r="C44" s="144">
        <v>40</v>
      </c>
      <c r="D44" s="41" t="s">
        <v>50</v>
      </c>
      <c r="E44" s="41"/>
      <c r="F44" s="41"/>
      <c r="G44" s="42"/>
      <c r="H44" s="42"/>
      <c r="I44" s="63"/>
      <c r="J44" s="63"/>
    </row>
    <row r="45" spans="3:10" x14ac:dyDescent="0.35">
      <c r="C45" s="145"/>
      <c r="D45" s="41" t="s">
        <v>51</v>
      </c>
      <c r="E45" s="41"/>
      <c r="F45" s="41"/>
      <c r="G45" s="42"/>
      <c r="H45" s="42"/>
      <c r="I45" s="63"/>
      <c r="J45" s="63"/>
    </row>
    <row r="46" spans="3:10" x14ac:dyDescent="0.35">
      <c r="C46" s="144">
        <v>45</v>
      </c>
      <c r="D46" s="41" t="s">
        <v>50</v>
      </c>
      <c r="E46" s="41"/>
      <c r="F46" s="41"/>
      <c r="G46" s="42"/>
      <c r="H46" s="42"/>
      <c r="I46" s="63"/>
      <c r="J46" s="63"/>
    </row>
    <row r="47" spans="3:10" x14ac:dyDescent="0.35">
      <c r="C47" s="145"/>
      <c r="D47" s="41" t="s">
        <v>51</v>
      </c>
      <c r="E47" s="41"/>
      <c r="F47" s="41"/>
      <c r="G47" s="42"/>
      <c r="H47" s="42"/>
      <c r="I47" s="63"/>
      <c r="J47" s="63"/>
    </row>
    <row r="48" spans="3:10" x14ac:dyDescent="0.35">
      <c r="C48" s="152">
        <v>50</v>
      </c>
      <c r="D48" s="41" t="s">
        <v>50</v>
      </c>
      <c r="E48" s="41"/>
      <c r="F48" s="41"/>
      <c r="G48" s="42"/>
      <c r="H48" s="42"/>
      <c r="I48" s="63"/>
      <c r="J48" s="63"/>
    </row>
    <row r="49" spans="3:10" x14ac:dyDescent="0.35">
      <c r="C49" s="153"/>
      <c r="D49" s="41" t="s">
        <v>51</v>
      </c>
      <c r="E49" s="41"/>
      <c r="F49" s="41"/>
      <c r="G49" s="42"/>
      <c r="H49" s="42"/>
      <c r="I49" s="63"/>
      <c r="J49" s="63"/>
    </row>
    <row r="50" spans="3:10" x14ac:dyDescent="0.35">
      <c r="C50" s="152">
        <v>52</v>
      </c>
      <c r="D50" s="41" t="s">
        <v>50</v>
      </c>
      <c r="E50" s="41"/>
      <c r="F50" s="41"/>
      <c r="G50" s="42"/>
      <c r="H50" s="42"/>
      <c r="I50" s="63"/>
      <c r="J50" s="63"/>
    </row>
    <row r="51" spans="3:10" x14ac:dyDescent="0.35">
      <c r="C51" s="153"/>
      <c r="D51" s="41" t="s">
        <v>51</v>
      </c>
      <c r="E51" s="41"/>
      <c r="F51" s="41"/>
      <c r="G51" s="42"/>
      <c r="H51" s="42"/>
      <c r="I51" s="63"/>
      <c r="J51" s="63"/>
    </row>
    <row r="52" spans="3:10" x14ac:dyDescent="0.35">
      <c r="C52" s="152">
        <v>60</v>
      </c>
      <c r="D52" s="41" t="s">
        <v>50</v>
      </c>
      <c r="E52" s="41"/>
      <c r="F52" s="41"/>
      <c r="G52" s="42"/>
      <c r="H52" s="42"/>
      <c r="I52" s="63"/>
      <c r="J52" s="63"/>
    </row>
    <row r="53" spans="3:10" x14ac:dyDescent="0.35">
      <c r="C53" s="153"/>
      <c r="D53" s="41" t="s">
        <v>51</v>
      </c>
      <c r="E53" s="41"/>
      <c r="F53" s="41"/>
      <c r="G53" s="42"/>
      <c r="H53" s="42"/>
      <c r="I53" s="63"/>
      <c r="J53" s="63"/>
    </row>
    <row r="54" spans="3:10" x14ac:dyDescent="0.35">
      <c r="C54" s="152">
        <v>70</v>
      </c>
      <c r="D54" s="41" t="s">
        <v>50</v>
      </c>
      <c r="E54" s="41"/>
      <c r="F54" s="41"/>
      <c r="G54" s="42"/>
      <c r="H54" s="42"/>
      <c r="I54" s="63"/>
      <c r="J54" s="63"/>
    </row>
    <row r="55" spans="3:10" x14ac:dyDescent="0.35">
      <c r="C55" s="153"/>
      <c r="D55" s="41" t="s">
        <v>51</v>
      </c>
      <c r="E55" s="41"/>
      <c r="F55" s="41"/>
      <c r="G55" s="42"/>
      <c r="H55" s="42"/>
      <c r="I55" s="63"/>
      <c r="J55" s="63"/>
    </row>
    <row r="56" spans="3:10" x14ac:dyDescent="0.35">
      <c r="C56" s="152">
        <v>75</v>
      </c>
      <c r="D56" s="41" t="s">
        <v>50</v>
      </c>
      <c r="E56" s="41"/>
      <c r="F56" s="41"/>
      <c r="G56" s="42"/>
      <c r="H56" s="42"/>
      <c r="I56" s="63"/>
      <c r="J56" s="63"/>
    </row>
    <row r="57" spans="3:10" x14ac:dyDescent="0.35">
      <c r="C57" s="153"/>
      <c r="D57" s="41" t="s">
        <v>51</v>
      </c>
      <c r="E57" s="41"/>
      <c r="F57" s="41"/>
      <c r="G57" s="42"/>
      <c r="H57" s="42"/>
      <c r="I57" s="63"/>
      <c r="J57" s="63"/>
    </row>
    <row r="58" spans="3:10" x14ac:dyDescent="0.35">
      <c r="C58" s="152">
        <v>90</v>
      </c>
      <c r="D58" s="41" t="s">
        <v>50</v>
      </c>
      <c r="E58" s="41"/>
      <c r="F58" s="41"/>
      <c r="G58" s="42"/>
      <c r="H58" s="42"/>
      <c r="I58" s="63"/>
      <c r="J58" s="63"/>
    </row>
    <row r="59" spans="3:10" x14ac:dyDescent="0.35">
      <c r="C59" s="153"/>
      <c r="D59" s="41" t="s">
        <v>51</v>
      </c>
      <c r="E59" s="41"/>
      <c r="F59" s="41"/>
      <c r="G59" s="42"/>
      <c r="H59" s="42"/>
      <c r="I59" s="63"/>
      <c r="J59" s="63"/>
    </row>
    <row r="60" spans="3:10" x14ac:dyDescent="0.35">
      <c r="C60" s="152">
        <v>97</v>
      </c>
      <c r="D60" s="41" t="s">
        <v>50</v>
      </c>
      <c r="E60" s="41"/>
      <c r="F60" s="41"/>
      <c r="G60" s="42"/>
      <c r="H60" s="42"/>
      <c r="I60" s="63"/>
      <c r="J60" s="63"/>
    </row>
    <row r="61" spans="3:10" x14ac:dyDescent="0.35">
      <c r="C61" s="153"/>
      <c r="D61" s="41" t="s">
        <v>51</v>
      </c>
      <c r="E61" s="41"/>
      <c r="F61" s="41"/>
      <c r="G61" s="42"/>
      <c r="H61" s="42"/>
      <c r="I61" s="63"/>
      <c r="J61" s="63"/>
    </row>
    <row r="62" spans="3:10" x14ac:dyDescent="0.35">
      <c r="C62" s="144">
        <v>120</v>
      </c>
      <c r="D62" s="41" t="s">
        <v>50</v>
      </c>
      <c r="E62" s="41"/>
      <c r="F62" s="41"/>
      <c r="G62" s="42"/>
      <c r="H62" s="42"/>
      <c r="I62" s="63"/>
      <c r="J62" s="63"/>
    </row>
    <row r="63" spans="3:10" x14ac:dyDescent="0.35">
      <c r="C63" s="145"/>
      <c r="D63" s="41" t="s">
        <v>51</v>
      </c>
      <c r="E63" s="41"/>
      <c r="F63" s="41"/>
      <c r="G63" s="42"/>
      <c r="H63" s="42"/>
      <c r="I63" s="63"/>
      <c r="J63" s="63"/>
    </row>
    <row r="64" spans="3:10" x14ac:dyDescent="0.35">
      <c r="C64" s="144">
        <v>150</v>
      </c>
      <c r="D64" s="41" t="s">
        <v>50</v>
      </c>
      <c r="E64" s="41"/>
      <c r="F64" s="41"/>
      <c r="G64" s="42"/>
      <c r="H64" s="42"/>
      <c r="I64" s="63"/>
      <c r="J64" s="63"/>
    </row>
    <row r="65" spans="3:10" x14ac:dyDescent="0.35">
      <c r="C65" s="145"/>
      <c r="D65" s="41" t="s">
        <v>51</v>
      </c>
      <c r="E65" s="41"/>
      <c r="F65" s="41"/>
      <c r="G65" s="42"/>
      <c r="H65" s="42"/>
      <c r="I65" s="63"/>
      <c r="J65" s="63"/>
    </row>
    <row r="66" spans="3:10" x14ac:dyDescent="0.35">
      <c r="C66" s="144">
        <v>180</v>
      </c>
      <c r="D66" s="41" t="s">
        <v>50</v>
      </c>
      <c r="E66" s="41"/>
      <c r="F66" s="41"/>
      <c r="G66" s="42"/>
      <c r="H66" s="42"/>
      <c r="I66" s="63"/>
      <c r="J66" s="63"/>
    </row>
    <row r="67" spans="3:10" x14ac:dyDescent="0.35">
      <c r="C67" s="145"/>
      <c r="D67" s="41" t="s">
        <v>51</v>
      </c>
      <c r="E67" s="41"/>
      <c r="F67" s="41"/>
      <c r="G67" s="42"/>
      <c r="H67" s="42"/>
      <c r="I67" s="63"/>
      <c r="J67" s="63"/>
    </row>
    <row r="68" spans="3:10" x14ac:dyDescent="0.35">
      <c r="C68" s="144">
        <v>240</v>
      </c>
      <c r="D68" s="41" t="s">
        <v>50</v>
      </c>
      <c r="E68" s="41"/>
      <c r="F68" s="41"/>
      <c r="G68" s="42"/>
      <c r="H68" s="42"/>
      <c r="I68" s="63"/>
      <c r="J68" s="63"/>
    </row>
    <row r="69" spans="3:10" x14ac:dyDescent="0.35">
      <c r="C69" s="145"/>
      <c r="D69" s="41" t="s">
        <v>51</v>
      </c>
      <c r="E69" s="41"/>
      <c r="F69" s="41"/>
      <c r="G69" s="42"/>
      <c r="H69" s="42"/>
      <c r="I69" s="63"/>
      <c r="J69" s="63"/>
    </row>
    <row r="70" spans="3:10" x14ac:dyDescent="0.35">
      <c r="D70" s="6"/>
      <c r="E70" s="6"/>
      <c r="F70" s="6"/>
      <c r="I70" s="63"/>
      <c r="J70" s="63"/>
    </row>
    <row r="71" spans="3:10" hidden="1" x14ac:dyDescent="0.35">
      <c r="D71" s="6"/>
      <c r="E71" s="6"/>
      <c r="F71" s="6"/>
      <c r="I71" s="63"/>
      <c r="J71" s="63"/>
    </row>
    <row r="72" spans="3:10" hidden="1" x14ac:dyDescent="0.35">
      <c r="D72" s="6"/>
      <c r="E72" s="6"/>
      <c r="F72" s="6"/>
      <c r="I72" s="63"/>
      <c r="J72" s="63"/>
    </row>
    <row r="73" spans="3:10" hidden="1" x14ac:dyDescent="0.35">
      <c r="D73" s="6"/>
      <c r="E73" s="6"/>
      <c r="F73" s="6"/>
      <c r="I73" s="63"/>
      <c r="J73" s="63"/>
    </row>
    <row r="74" spans="3:10" hidden="1" x14ac:dyDescent="0.35">
      <c r="D74" s="6"/>
      <c r="E74" s="6"/>
      <c r="F74" s="6"/>
      <c r="I74" s="63"/>
      <c r="J74" s="63"/>
    </row>
    <row r="75" spans="3:10" hidden="1" x14ac:dyDescent="0.35">
      <c r="D75" s="6"/>
      <c r="E75" s="6"/>
      <c r="F75" s="6"/>
      <c r="I75" s="63"/>
      <c r="J75" s="63"/>
    </row>
    <row r="76" spans="3:10" hidden="1" x14ac:dyDescent="0.35">
      <c r="D76" s="6"/>
      <c r="E76" s="6"/>
      <c r="F76" s="6"/>
      <c r="I76" s="63"/>
      <c r="J76" s="63"/>
    </row>
    <row r="77" spans="3:10" hidden="1" x14ac:dyDescent="0.35">
      <c r="D77" s="6"/>
      <c r="E77" s="6"/>
      <c r="F77" s="6"/>
      <c r="I77" s="63"/>
      <c r="J77" s="63"/>
    </row>
    <row r="78" spans="3:10" hidden="1" x14ac:dyDescent="0.35">
      <c r="D78" s="6"/>
      <c r="E78" s="6"/>
      <c r="F78" s="6"/>
      <c r="I78" s="63"/>
      <c r="J78" s="63"/>
    </row>
    <row r="79" spans="3:10" hidden="1" x14ac:dyDescent="0.35">
      <c r="D79" s="6"/>
      <c r="E79" s="6"/>
      <c r="F79" s="6"/>
      <c r="I79" s="63"/>
      <c r="J79" s="63"/>
    </row>
    <row r="80" spans="3:10" hidden="1" x14ac:dyDescent="0.35">
      <c r="D80" s="6"/>
      <c r="E80" s="6"/>
      <c r="F80" s="6"/>
      <c r="I80" s="63"/>
      <c r="J80" s="63"/>
    </row>
    <row r="81" spans="2:10" hidden="1" x14ac:dyDescent="0.35">
      <c r="D81" s="6"/>
      <c r="E81" s="6"/>
      <c r="F81" s="6"/>
      <c r="I81" s="63"/>
      <c r="J81" s="63"/>
    </row>
    <row r="82" spans="2:10" hidden="1" x14ac:dyDescent="0.35">
      <c r="D82" s="6"/>
      <c r="E82" s="6"/>
      <c r="F82" s="6"/>
      <c r="I82" s="63"/>
      <c r="J82" s="63"/>
    </row>
    <row r="83" spans="2:10" hidden="1" x14ac:dyDescent="0.35">
      <c r="D83" s="6"/>
      <c r="E83" s="6"/>
      <c r="F83" s="6"/>
      <c r="I83" s="63"/>
      <c r="J83" s="63"/>
    </row>
    <row r="84" spans="2:10" x14ac:dyDescent="0.35">
      <c r="B84" s="28"/>
      <c r="C84" s="40"/>
      <c r="D84" s="6"/>
      <c r="I84" s="63"/>
      <c r="J84" s="63"/>
    </row>
    <row r="85" spans="2:10" x14ac:dyDescent="0.35">
      <c r="B85" s="23"/>
      <c r="C85" s="40"/>
      <c r="I85" s="63"/>
      <c r="J85" s="63"/>
    </row>
    <row r="86" spans="2:10" x14ac:dyDescent="0.35">
      <c r="B86" s="23"/>
      <c r="C86" s="40"/>
      <c r="I86" s="63"/>
      <c r="J86" s="63"/>
    </row>
    <row r="87" spans="2:10" x14ac:dyDescent="0.35">
      <c r="I87" s="63"/>
      <c r="J87" s="63"/>
    </row>
    <row r="88" spans="2:10" x14ac:dyDescent="0.35">
      <c r="I88" s="63"/>
      <c r="J88" s="63"/>
    </row>
    <row r="89" spans="2:10" x14ac:dyDescent="0.35">
      <c r="I89" s="63"/>
      <c r="J89" s="63"/>
    </row>
    <row r="90" spans="2:10" x14ac:dyDescent="0.35">
      <c r="I90" s="63"/>
      <c r="J90" s="63"/>
    </row>
    <row r="91" spans="2:10" x14ac:dyDescent="0.35">
      <c r="I91" s="63"/>
      <c r="J91" s="63"/>
    </row>
    <row r="92" spans="2:10" x14ac:dyDescent="0.35">
      <c r="I92" s="63"/>
      <c r="J92" s="63"/>
    </row>
    <row r="93" spans="2:10" x14ac:dyDescent="0.35">
      <c r="I93" s="63"/>
      <c r="J93" s="63"/>
    </row>
    <row r="94" spans="2:10" x14ac:dyDescent="0.35">
      <c r="I94" s="63"/>
      <c r="J94" s="63"/>
    </row>
    <row r="95" spans="2:10" x14ac:dyDescent="0.35">
      <c r="I95" s="63"/>
      <c r="J95" s="63"/>
    </row>
    <row r="96" spans="2:10" x14ac:dyDescent="0.35">
      <c r="I96" s="63"/>
      <c r="J96" s="63"/>
    </row>
    <row r="97" spans="9:10" x14ac:dyDescent="0.35">
      <c r="I97" s="63"/>
      <c r="J97" s="63"/>
    </row>
    <row r="98" spans="9:10" x14ac:dyDescent="0.35">
      <c r="I98" s="63"/>
      <c r="J98" s="63"/>
    </row>
    <row r="99" spans="9:10" x14ac:dyDescent="0.35">
      <c r="I99" s="63"/>
      <c r="J99" s="63"/>
    </row>
    <row r="100" spans="9:10" x14ac:dyDescent="0.35">
      <c r="I100" s="63"/>
      <c r="J100" s="63"/>
    </row>
    <row r="101" spans="9:10" x14ac:dyDescent="0.35">
      <c r="I101" s="63"/>
      <c r="J101" s="63"/>
    </row>
    <row r="102" spans="9:10" x14ac:dyDescent="0.35">
      <c r="I102" s="63"/>
      <c r="J102" s="63"/>
    </row>
    <row r="103" spans="9:10" x14ac:dyDescent="0.35">
      <c r="I103" s="63"/>
      <c r="J103" s="63"/>
    </row>
    <row r="104" spans="9:10" x14ac:dyDescent="0.35">
      <c r="I104" s="63"/>
      <c r="J104" s="63"/>
    </row>
    <row r="105" spans="9:10" x14ac:dyDescent="0.35">
      <c r="I105" s="63"/>
      <c r="J105" s="63"/>
    </row>
    <row r="106" spans="9:10" x14ac:dyDescent="0.35">
      <c r="I106" s="63"/>
      <c r="J106" s="63"/>
    </row>
    <row r="107" spans="9:10" x14ac:dyDescent="0.35">
      <c r="I107" s="63"/>
      <c r="J107" s="63"/>
    </row>
    <row r="108" spans="9:10" x14ac:dyDescent="0.35">
      <c r="I108" s="63"/>
      <c r="J108" s="63"/>
    </row>
    <row r="109" spans="9:10" x14ac:dyDescent="0.35">
      <c r="I109" s="63"/>
      <c r="J109" s="63"/>
    </row>
    <row r="110" spans="9:10" x14ac:dyDescent="0.35">
      <c r="I110" s="63"/>
      <c r="J110" s="63"/>
    </row>
    <row r="111" spans="9:10" x14ac:dyDescent="0.35">
      <c r="I111" s="63"/>
      <c r="J111" s="63"/>
    </row>
    <row r="112" spans="9:10" x14ac:dyDescent="0.35">
      <c r="I112" s="63"/>
      <c r="J112" s="63"/>
    </row>
    <row r="113" spans="9:10" x14ac:dyDescent="0.35">
      <c r="I113" s="63"/>
      <c r="J113" s="63"/>
    </row>
    <row r="114" spans="9:10" x14ac:dyDescent="0.35">
      <c r="I114" s="63"/>
      <c r="J114" s="63"/>
    </row>
    <row r="115" spans="9:10" x14ac:dyDescent="0.35">
      <c r="I115" s="63"/>
      <c r="J115" s="63"/>
    </row>
    <row r="116" spans="9:10" x14ac:dyDescent="0.35">
      <c r="I116" s="63"/>
      <c r="J116" s="63"/>
    </row>
    <row r="117" spans="9:10" x14ac:dyDescent="0.35">
      <c r="I117" s="63"/>
      <c r="J117" s="63"/>
    </row>
    <row r="118" spans="9:10" x14ac:dyDescent="0.35">
      <c r="I118" s="63"/>
      <c r="J118" s="63"/>
    </row>
    <row r="119" spans="9:10" x14ac:dyDescent="0.35">
      <c r="I119" s="63"/>
      <c r="J119" s="63"/>
    </row>
    <row r="120" spans="9:10" x14ac:dyDescent="0.35">
      <c r="I120" s="63"/>
      <c r="J120" s="63"/>
    </row>
    <row r="121" spans="9:10" x14ac:dyDescent="0.35">
      <c r="I121" s="63"/>
      <c r="J121" s="63"/>
    </row>
    <row r="122" spans="9:10" x14ac:dyDescent="0.35">
      <c r="I122" s="63"/>
      <c r="J122" s="63"/>
    </row>
    <row r="123" spans="9:10" x14ac:dyDescent="0.35">
      <c r="I123" s="63"/>
      <c r="J123" s="63"/>
    </row>
    <row r="124" spans="9:10" x14ac:dyDescent="0.35">
      <c r="I124" s="63"/>
      <c r="J124" s="63"/>
    </row>
    <row r="125" spans="9:10" x14ac:dyDescent="0.35">
      <c r="I125" s="63"/>
      <c r="J125" s="63"/>
    </row>
    <row r="126" spans="9:10" x14ac:dyDescent="0.35">
      <c r="I126" s="63"/>
      <c r="J126" s="63"/>
    </row>
    <row r="127" spans="9:10" x14ac:dyDescent="0.35">
      <c r="I127" s="63"/>
      <c r="J127" s="63"/>
    </row>
    <row r="128" spans="9:10" x14ac:dyDescent="0.35">
      <c r="I128" s="63"/>
      <c r="J128" s="63"/>
    </row>
    <row r="129" spans="9:10" x14ac:dyDescent="0.35">
      <c r="I129" s="63"/>
      <c r="J129" s="63"/>
    </row>
    <row r="130" spans="9:10" x14ac:dyDescent="0.35">
      <c r="I130" s="63"/>
      <c r="J130" s="63"/>
    </row>
    <row r="131" spans="9:10" x14ac:dyDescent="0.35">
      <c r="I131" s="63"/>
      <c r="J131" s="63"/>
    </row>
    <row r="132" spans="9:10" x14ac:dyDescent="0.35">
      <c r="I132" s="63"/>
      <c r="J132" s="63"/>
    </row>
    <row r="133" spans="9:10" x14ac:dyDescent="0.35">
      <c r="I133" s="63"/>
      <c r="J133" s="63"/>
    </row>
    <row r="134" spans="9:10" x14ac:dyDescent="0.35">
      <c r="I134" s="63"/>
      <c r="J134" s="63"/>
    </row>
    <row r="135" spans="9:10" x14ac:dyDescent="0.35">
      <c r="I135" s="63"/>
      <c r="J135" s="63"/>
    </row>
    <row r="136" spans="9:10" x14ac:dyDescent="0.35">
      <c r="I136" s="63"/>
      <c r="J136" s="63"/>
    </row>
    <row r="137" spans="9:10" x14ac:dyDescent="0.35">
      <c r="I137" s="63"/>
      <c r="J137" s="63"/>
    </row>
    <row r="138" spans="9:10" x14ac:dyDescent="0.35">
      <c r="I138" s="63"/>
      <c r="J138" s="63"/>
    </row>
    <row r="139" spans="9:10" x14ac:dyDescent="0.35">
      <c r="I139" s="63"/>
      <c r="J139" s="63"/>
    </row>
    <row r="140" spans="9:10" x14ac:dyDescent="0.35">
      <c r="I140" s="63"/>
      <c r="J140" s="63"/>
    </row>
    <row r="141" spans="9:10" x14ac:dyDescent="0.35">
      <c r="I141" s="63"/>
      <c r="J141" s="63"/>
    </row>
    <row r="142" spans="9:10" x14ac:dyDescent="0.35">
      <c r="I142" s="63"/>
      <c r="J142" s="63"/>
    </row>
    <row r="143" spans="9:10" x14ac:dyDescent="0.35">
      <c r="I143" s="63"/>
      <c r="J143" s="63"/>
    </row>
    <row r="144" spans="9:10" x14ac:dyDescent="0.35">
      <c r="I144" s="63"/>
      <c r="J144" s="63"/>
    </row>
    <row r="145" spans="9:10" x14ac:dyDescent="0.35">
      <c r="I145" s="63"/>
      <c r="J145" s="63"/>
    </row>
    <row r="146" spans="9:10" x14ac:dyDescent="0.35">
      <c r="I146" s="63"/>
      <c r="J146" s="63"/>
    </row>
    <row r="147" spans="9:10" x14ac:dyDescent="0.35">
      <c r="I147" s="63"/>
      <c r="J147" s="63"/>
    </row>
    <row r="148" spans="9:10" x14ac:dyDescent="0.35">
      <c r="I148" s="63"/>
      <c r="J148" s="63"/>
    </row>
    <row r="149" spans="9:10" x14ac:dyDescent="0.35">
      <c r="I149" s="63"/>
      <c r="J149" s="63"/>
    </row>
    <row r="150" spans="9:10" x14ac:dyDescent="0.35">
      <c r="I150" s="63"/>
      <c r="J150" s="63"/>
    </row>
    <row r="151" spans="9:10" x14ac:dyDescent="0.35">
      <c r="I151" s="63"/>
      <c r="J151" s="63"/>
    </row>
    <row r="152" spans="9:10" x14ac:dyDescent="0.35">
      <c r="I152" s="63"/>
      <c r="J152" s="63"/>
    </row>
    <row r="153" spans="9:10" x14ac:dyDescent="0.35">
      <c r="I153" s="63"/>
      <c r="J153" s="63"/>
    </row>
    <row r="154" spans="9:10" x14ac:dyDescent="0.35">
      <c r="I154" s="63"/>
      <c r="J154" s="63"/>
    </row>
    <row r="155" spans="9:10" x14ac:dyDescent="0.35">
      <c r="I155" s="63"/>
      <c r="J155" s="63"/>
    </row>
    <row r="156" spans="9:10" x14ac:dyDescent="0.35">
      <c r="I156" s="63"/>
      <c r="J156" s="63"/>
    </row>
    <row r="157" spans="9:10" x14ac:dyDescent="0.35">
      <c r="I157" s="63"/>
      <c r="J157" s="63"/>
    </row>
    <row r="158" spans="9:10" x14ac:dyDescent="0.35">
      <c r="I158" s="63"/>
      <c r="J158" s="63"/>
    </row>
    <row r="159" spans="9:10" x14ac:dyDescent="0.35">
      <c r="I159" s="63"/>
      <c r="J159" s="63"/>
    </row>
    <row r="160" spans="9:10" x14ac:dyDescent="0.35">
      <c r="I160" s="63"/>
      <c r="J160" s="63"/>
    </row>
    <row r="161" spans="9:10" x14ac:dyDescent="0.35">
      <c r="I161" s="63"/>
      <c r="J161" s="63"/>
    </row>
    <row r="162" spans="9:10" x14ac:dyDescent="0.35">
      <c r="I162" s="63"/>
      <c r="J162" s="63"/>
    </row>
    <row r="163" spans="9:10" x14ac:dyDescent="0.35">
      <c r="I163" s="63"/>
      <c r="J163" s="63"/>
    </row>
    <row r="164" spans="9:10" x14ac:dyDescent="0.35">
      <c r="I164" s="63"/>
      <c r="J164" s="63"/>
    </row>
    <row r="165" spans="9:10" x14ac:dyDescent="0.35">
      <c r="I165" s="63"/>
      <c r="J165" s="63"/>
    </row>
    <row r="166" spans="9:10" x14ac:dyDescent="0.35">
      <c r="I166" s="63"/>
      <c r="J166" s="63"/>
    </row>
    <row r="167" spans="9:10" x14ac:dyDescent="0.35">
      <c r="I167" s="63"/>
      <c r="J167" s="63"/>
    </row>
    <row r="168" spans="9:10" x14ac:dyDescent="0.35">
      <c r="I168" s="63"/>
      <c r="J168" s="63"/>
    </row>
    <row r="169" spans="9:10" x14ac:dyDescent="0.35">
      <c r="I169" s="63"/>
      <c r="J169" s="63"/>
    </row>
    <row r="170" spans="9:10" x14ac:dyDescent="0.35">
      <c r="I170" s="63"/>
      <c r="J170" s="63"/>
    </row>
    <row r="171" spans="9:10" x14ac:dyDescent="0.35">
      <c r="I171" s="63"/>
      <c r="J171" s="63"/>
    </row>
    <row r="172" spans="9:10" x14ac:dyDescent="0.35">
      <c r="I172" s="63"/>
      <c r="J172" s="63"/>
    </row>
    <row r="173" spans="9:10" x14ac:dyDescent="0.35">
      <c r="I173" s="63"/>
      <c r="J173" s="63"/>
    </row>
    <row r="174" spans="9:10" x14ac:dyDescent="0.35">
      <c r="I174" s="63"/>
      <c r="J174" s="63"/>
    </row>
    <row r="175" spans="9:10" x14ac:dyDescent="0.35">
      <c r="I175" s="63"/>
      <c r="J175" s="63"/>
    </row>
    <row r="176" spans="9:10" x14ac:dyDescent="0.35">
      <c r="I176" s="63"/>
      <c r="J176" s="63"/>
    </row>
    <row r="177" spans="9:10" x14ac:dyDescent="0.35">
      <c r="I177" s="63"/>
      <c r="J177" s="63"/>
    </row>
    <row r="178" spans="9:10" x14ac:dyDescent="0.35">
      <c r="I178" s="63"/>
      <c r="J178" s="63"/>
    </row>
    <row r="179" spans="9:10" x14ac:dyDescent="0.35">
      <c r="I179" s="63"/>
      <c r="J179" s="63"/>
    </row>
    <row r="180" spans="9:10" x14ac:dyDescent="0.35">
      <c r="I180" s="63"/>
      <c r="J180" s="63"/>
    </row>
    <row r="181" spans="9:10" x14ac:dyDescent="0.35">
      <c r="I181" s="63"/>
      <c r="J181" s="63"/>
    </row>
    <row r="182" spans="9:10" x14ac:dyDescent="0.35">
      <c r="I182" s="63"/>
      <c r="J182" s="63"/>
    </row>
    <row r="183" spans="9:10" x14ac:dyDescent="0.35">
      <c r="I183" s="63"/>
      <c r="J183" s="63"/>
    </row>
    <row r="184" spans="9:10" x14ac:dyDescent="0.35">
      <c r="I184" s="63"/>
      <c r="J184" s="63"/>
    </row>
    <row r="185" spans="9:10" x14ac:dyDescent="0.35">
      <c r="I185" s="63"/>
      <c r="J185" s="63"/>
    </row>
    <row r="186" spans="9:10" x14ac:dyDescent="0.35">
      <c r="I186" s="63"/>
      <c r="J186" s="63"/>
    </row>
    <row r="187" spans="9:10" x14ac:dyDescent="0.35">
      <c r="I187" s="63"/>
      <c r="J187" s="63"/>
    </row>
    <row r="188" spans="9:10" x14ac:dyDescent="0.35">
      <c r="I188" s="63"/>
      <c r="J188" s="63"/>
    </row>
    <row r="189" spans="9:10" x14ac:dyDescent="0.35">
      <c r="I189" s="63"/>
      <c r="J189" s="63"/>
    </row>
    <row r="190" spans="9:10" x14ac:dyDescent="0.35">
      <c r="I190" s="63"/>
      <c r="J190" s="63"/>
    </row>
    <row r="191" spans="9:10" x14ac:dyDescent="0.35">
      <c r="I191" s="63"/>
      <c r="J191" s="63"/>
    </row>
    <row r="192" spans="9:10" x14ac:dyDescent="0.35">
      <c r="I192" s="63"/>
      <c r="J192" s="63"/>
    </row>
    <row r="193" spans="9:10" x14ac:dyDescent="0.35">
      <c r="I193" s="63"/>
      <c r="J193" s="63"/>
    </row>
    <row r="194" spans="9:10" x14ac:dyDescent="0.35">
      <c r="I194" s="63"/>
      <c r="J194" s="63"/>
    </row>
    <row r="195" spans="9:10" x14ac:dyDescent="0.35">
      <c r="I195" s="63"/>
      <c r="J195" s="63"/>
    </row>
    <row r="196" spans="9:10" x14ac:dyDescent="0.35">
      <c r="I196" s="63"/>
      <c r="J196" s="63"/>
    </row>
    <row r="197" spans="9:10" x14ac:dyDescent="0.35">
      <c r="I197" s="63"/>
      <c r="J197" s="63"/>
    </row>
    <row r="198" spans="9:10" x14ac:dyDescent="0.35">
      <c r="I198" s="63"/>
      <c r="J198" s="63"/>
    </row>
    <row r="199" spans="9:10" x14ac:dyDescent="0.35">
      <c r="I199" s="63"/>
      <c r="J199" s="63"/>
    </row>
    <row r="200" spans="9:10" x14ac:dyDescent="0.35">
      <c r="I200" s="63"/>
      <c r="J200" s="63"/>
    </row>
    <row r="201" spans="9:10" x14ac:dyDescent="0.35">
      <c r="I201" s="63"/>
      <c r="J201" s="63"/>
    </row>
    <row r="202" spans="9:10" x14ac:dyDescent="0.35">
      <c r="I202" s="63"/>
      <c r="J202" s="63"/>
    </row>
    <row r="203" spans="9:10" x14ac:dyDescent="0.35">
      <c r="I203" s="63"/>
      <c r="J203" s="63"/>
    </row>
    <row r="204" spans="9:10" x14ac:dyDescent="0.35">
      <c r="I204" s="63"/>
      <c r="J204" s="63"/>
    </row>
    <row r="205" spans="9:10" x14ac:dyDescent="0.35">
      <c r="I205" s="63"/>
      <c r="J205" s="63"/>
    </row>
    <row r="206" spans="9:10" x14ac:dyDescent="0.35">
      <c r="I206" s="63"/>
      <c r="J206" s="63"/>
    </row>
    <row r="207" spans="9:10" x14ac:dyDescent="0.35">
      <c r="I207" s="63"/>
      <c r="J207" s="63"/>
    </row>
    <row r="208" spans="9:10" x14ac:dyDescent="0.35">
      <c r="I208" s="63"/>
      <c r="J208" s="63"/>
    </row>
    <row r="209" spans="9:10" x14ac:dyDescent="0.35">
      <c r="I209" s="63"/>
      <c r="J209" s="63"/>
    </row>
    <row r="210" spans="9:10" x14ac:dyDescent="0.35">
      <c r="I210" s="63"/>
      <c r="J210" s="63"/>
    </row>
    <row r="211" spans="9:10" x14ac:dyDescent="0.35">
      <c r="I211" s="63"/>
      <c r="J211" s="63"/>
    </row>
    <row r="212" spans="9:10" x14ac:dyDescent="0.35">
      <c r="I212" s="63"/>
      <c r="J212" s="63"/>
    </row>
    <row r="213" spans="9:10" x14ac:dyDescent="0.35">
      <c r="I213" s="63"/>
      <c r="J213" s="63"/>
    </row>
    <row r="214" spans="9:10" x14ac:dyDescent="0.35">
      <c r="I214" s="63"/>
      <c r="J214" s="63"/>
    </row>
    <row r="215" spans="9:10" x14ac:dyDescent="0.35">
      <c r="I215" s="63"/>
      <c r="J215" s="63"/>
    </row>
    <row r="216" spans="9:10" x14ac:dyDescent="0.35">
      <c r="I216" s="63"/>
      <c r="J216" s="63"/>
    </row>
    <row r="217" spans="9:10" x14ac:dyDescent="0.35">
      <c r="I217" s="63"/>
      <c r="J217" s="63"/>
    </row>
    <row r="218" spans="9:10" x14ac:dyDescent="0.35">
      <c r="I218" s="63"/>
      <c r="J218" s="63"/>
    </row>
    <row r="219" spans="9:10" x14ac:dyDescent="0.35">
      <c r="I219" s="63"/>
      <c r="J219" s="63"/>
    </row>
    <row r="220" spans="9:10" x14ac:dyDescent="0.35">
      <c r="I220" s="63"/>
      <c r="J220" s="63"/>
    </row>
    <row r="221" spans="9:10" x14ac:dyDescent="0.35">
      <c r="I221" s="63"/>
      <c r="J221" s="63"/>
    </row>
    <row r="222" spans="9:10" x14ac:dyDescent="0.35">
      <c r="I222" s="63"/>
      <c r="J222" s="63"/>
    </row>
    <row r="223" spans="9:10" x14ac:dyDescent="0.35">
      <c r="I223" s="63"/>
      <c r="J223" s="63"/>
    </row>
    <row r="224" spans="9:10" x14ac:dyDescent="0.35">
      <c r="I224" s="63"/>
      <c r="J224" s="63"/>
    </row>
    <row r="225" spans="9:10" x14ac:dyDescent="0.35">
      <c r="I225" s="63"/>
      <c r="J225" s="63"/>
    </row>
    <row r="226" spans="9:10" x14ac:dyDescent="0.35">
      <c r="I226" s="63"/>
      <c r="J226" s="63"/>
    </row>
    <row r="227" spans="9:10" x14ac:dyDescent="0.35">
      <c r="I227" s="63"/>
      <c r="J227" s="63"/>
    </row>
    <row r="228" spans="9:10" x14ac:dyDescent="0.35">
      <c r="I228" s="63"/>
      <c r="J228" s="63"/>
    </row>
    <row r="229" spans="9:10" x14ac:dyDescent="0.35">
      <c r="I229" s="63"/>
      <c r="J229" s="63"/>
    </row>
    <row r="230" spans="9:10" x14ac:dyDescent="0.35">
      <c r="I230" s="63"/>
      <c r="J230" s="63"/>
    </row>
    <row r="231" spans="9:10" x14ac:dyDescent="0.35">
      <c r="I231" s="63"/>
      <c r="J231" s="63"/>
    </row>
    <row r="232" spans="9:10" x14ac:dyDescent="0.35">
      <c r="I232" s="63"/>
      <c r="J232" s="63"/>
    </row>
    <row r="233" spans="9:10" x14ac:dyDescent="0.35">
      <c r="I233" s="63"/>
      <c r="J233" s="63"/>
    </row>
    <row r="234" spans="9:10" x14ac:dyDescent="0.35">
      <c r="I234" s="63"/>
      <c r="J234" s="63"/>
    </row>
    <row r="235" spans="9:10" x14ac:dyDescent="0.35">
      <c r="I235" s="63"/>
      <c r="J235" s="63"/>
    </row>
    <row r="236" spans="9:10" x14ac:dyDescent="0.35">
      <c r="I236" s="63"/>
      <c r="J236" s="63"/>
    </row>
    <row r="237" spans="9:10" x14ac:dyDescent="0.35">
      <c r="I237" s="63"/>
      <c r="J237" s="63"/>
    </row>
    <row r="238" spans="9:10" x14ac:dyDescent="0.35">
      <c r="I238" s="63"/>
      <c r="J238" s="63"/>
    </row>
    <row r="239" spans="9:10" x14ac:dyDescent="0.35">
      <c r="I239" s="63"/>
      <c r="J239" s="63"/>
    </row>
    <row r="240" spans="9:10" x14ac:dyDescent="0.35">
      <c r="I240" s="63"/>
      <c r="J240" s="63"/>
    </row>
    <row r="241" spans="9:10" x14ac:dyDescent="0.35">
      <c r="I241" s="63"/>
      <c r="J241" s="63"/>
    </row>
    <row r="242" spans="9:10" x14ac:dyDescent="0.35">
      <c r="I242" s="63"/>
      <c r="J242" s="63"/>
    </row>
    <row r="243" spans="9:10" x14ac:dyDescent="0.35">
      <c r="I243" s="63"/>
      <c r="J243" s="63"/>
    </row>
    <row r="244" spans="9:10" x14ac:dyDescent="0.35">
      <c r="I244" s="63"/>
      <c r="J244" s="63"/>
    </row>
    <row r="245" spans="9:10" x14ac:dyDescent="0.35">
      <c r="I245" s="63"/>
      <c r="J245" s="63"/>
    </row>
    <row r="246" spans="9:10" x14ac:dyDescent="0.35">
      <c r="I246" s="63"/>
      <c r="J246" s="63"/>
    </row>
    <row r="247" spans="9:10" x14ac:dyDescent="0.35">
      <c r="I247" s="63"/>
      <c r="J247" s="63"/>
    </row>
    <row r="248" spans="9:10" x14ac:dyDescent="0.35">
      <c r="I248" s="63"/>
      <c r="J248" s="63"/>
    </row>
    <row r="249" spans="9:10" x14ac:dyDescent="0.35">
      <c r="I249" s="63"/>
      <c r="J249" s="63"/>
    </row>
    <row r="250" spans="9:10" x14ac:dyDescent="0.35">
      <c r="I250" s="63"/>
      <c r="J250" s="63"/>
    </row>
    <row r="251" spans="9:10" x14ac:dyDescent="0.35">
      <c r="I251" s="63"/>
      <c r="J251" s="63"/>
    </row>
    <row r="252" spans="9:10" x14ac:dyDescent="0.35">
      <c r="I252" s="63"/>
      <c r="J252" s="63"/>
    </row>
    <row r="253" spans="9:10" x14ac:dyDescent="0.35">
      <c r="I253" s="63"/>
      <c r="J253" s="63"/>
    </row>
    <row r="254" spans="9:10" x14ac:dyDescent="0.35">
      <c r="I254" s="63"/>
      <c r="J254" s="63"/>
    </row>
    <row r="255" spans="9:10" x14ac:dyDescent="0.35">
      <c r="I255" s="63"/>
      <c r="J255" s="63"/>
    </row>
    <row r="256" spans="9:10" x14ac:dyDescent="0.35">
      <c r="I256" s="63"/>
      <c r="J256" s="63"/>
    </row>
    <row r="257" spans="9:10" x14ac:dyDescent="0.35">
      <c r="I257" s="63"/>
      <c r="J257" s="63"/>
    </row>
    <row r="258" spans="9:10" x14ac:dyDescent="0.35">
      <c r="I258" s="63"/>
      <c r="J258" s="63"/>
    </row>
    <row r="259" spans="9:10" x14ac:dyDescent="0.35">
      <c r="I259" s="63"/>
      <c r="J259" s="63"/>
    </row>
    <row r="260" spans="9:10" x14ac:dyDescent="0.35">
      <c r="I260" s="63"/>
      <c r="J260" s="63"/>
    </row>
    <row r="261" spans="9:10" x14ac:dyDescent="0.35">
      <c r="I261" s="63"/>
      <c r="J261" s="63"/>
    </row>
    <row r="262" spans="9:10" x14ac:dyDescent="0.35">
      <c r="I262" s="63"/>
      <c r="J262" s="63"/>
    </row>
    <row r="263" spans="9:10" x14ac:dyDescent="0.35">
      <c r="I263" s="63"/>
      <c r="J263" s="63"/>
    </row>
    <row r="264" spans="9:10" x14ac:dyDescent="0.35">
      <c r="I264" s="63"/>
      <c r="J264" s="63"/>
    </row>
    <row r="265" spans="9:10" x14ac:dyDescent="0.35">
      <c r="I265" s="63"/>
      <c r="J265" s="63"/>
    </row>
    <row r="266" spans="9:10" x14ac:dyDescent="0.35">
      <c r="I266" s="63"/>
      <c r="J266" s="63"/>
    </row>
    <row r="267" spans="9:10" x14ac:dyDescent="0.35">
      <c r="I267" s="63"/>
      <c r="J267" s="63"/>
    </row>
    <row r="268" spans="9:10" x14ac:dyDescent="0.35">
      <c r="I268" s="63"/>
      <c r="J268" s="63"/>
    </row>
    <row r="269" spans="9:10" x14ac:dyDescent="0.35">
      <c r="I269" s="63"/>
      <c r="J269" s="63"/>
    </row>
    <row r="270" spans="9:10" x14ac:dyDescent="0.35">
      <c r="I270" s="63"/>
      <c r="J270" s="63"/>
    </row>
    <row r="271" spans="9:10" x14ac:dyDescent="0.35">
      <c r="I271" s="63"/>
      <c r="J271" s="63"/>
    </row>
    <row r="272" spans="9:10" x14ac:dyDescent="0.35">
      <c r="I272" s="63"/>
      <c r="J272" s="63"/>
    </row>
    <row r="273" spans="9:10" x14ac:dyDescent="0.35">
      <c r="I273" s="63"/>
      <c r="J273" s="63"/>
    </row>
    <row r="274" spans="9:10" x14ac:dyDescent="0.35">
      <c r="I274" s="63"/>
      <c r="J274" s="63"/>
    </row>
    <row r="275" spans="9:10" x14ac:dyDescent="0.35">
      <c r="I275" s="63"/>
      <c r="J275" s="63"/>
    </row>
    <row r="276" spans="9:10" x14ac:dyDescent="0.35">
      <c r="I276" s="63"/>
      <c r="J276" s="63"/>
    </row>
    <row r="277" spans="9:10" x14ac:dyDescent="0.35">
      <c r="I277" s="63"/>
      <c r="J277" s="63"/>
    </row>
    <row r="278" spans="9:10" x14ac:dyDescent="0.35">
      <c r="I278" s="63"/>
      <c r="J278" s="63"/>
    </row>
    <row r="279" spans="9:10" x14ac:dyDescent="0.35">
      <c r="I279" s="63"/>
      <c r="J279" s="63"/>
    </row>
    <row r="280" spans="9:10" x14ac:dyDescent="0.35">
      <c r="I280" s="63"/>
      <c r="J280" s="63"/>
    </row>
    <row r="281" spans="9:10" x14ac:dyDescent="0.35">
      <c r="I281" s="63"/>
      <c r="J281" s="63"/>
    </row>
    <row r="282" spans="9:10" x14ac:dyDescent="0.35">
      <c r="I282" s="63"/>
      <c r="J282" s="63"/>
    </row>
    <row r="283" spans="9:10" x14ac:dyDescent="0.35">
      <c r="I283" s="63"/>
      <c r="J283" s="63"/>
    </row>
    <row r="284" spans="9:10" x14ac:dyDescent="0.35">
      <c r="I284" s="63"/>
      <c r="J284" s="63"/>
    </row>
    <row r="285" spans="9:10" x14ac:dyDescent="0.35">
      <c r="I285" s="63"/>
      <c r="J285" s="63"/>
    </row>
    <row r="286" spans="9:10" x14ac:dyDescent="0.35">
      <c r="I286" s="63"/>
      <c r="J286" s="63"/>
    </row>
    <row r="287" spans="9:10" x14ac:dyDescent="0.35">
      <c r="I287" s="63"/>
      <c r="J287" s="63"/>
    </row>
    <row r="288" spans="9:10" x14ac:dyDescent="0.35">
      <c r="I288" s="63"/>
      <c r="J288" s="63"/>
    </row>
    <row r="289" spans="9:10" x14ac:dyDescent="0.35">
      <c r="I289" s="63"/>
      <c r="J289" s="63"/>
    </row>
    <row r="290" spans="9:10" x14ac:dyDescent="0.35">
      <c r="I290" s="63"/>
      <c r="J290" s="63"/>
    </row>
    <row r="291" spans="9:10" x14ac:dyDescent="0.35">
      <c r="I291" s="63"/>
      <c r="J291" s="63"/>
    </row>
    <row r="292" spans="9:10" x14ac:dyDescent="0.35">
      <c r="I292" s="63"/>
      <c r="J292" s="63"/>
    </row>
    <row r="293" spans="9:10" x14ac:dyDescent="0.35">
      <c r="I293" s="63"/>
      <c r="J293" s="63"/>
    </row>
    <row r="294" spans="9:10" x14ac:dyDescent="0.35">
      <c r="I294" s="63"/>
      <c r="J294" s="63"/>
    </row>
    <row r="295" spans="9:10" x14ac:dyDescent="0.35">
      <c r="I295" s="63"/>
      <c r="J295" s="63"/>
    </row>
    <row r="296" spans="9:10" x14ac:dyDescent="0.35">
      <c r="I296" s="63"/>
      <c r="J296" s="63"/>
    </row>
    <row r="297" spans="9:10" x14ac:dyDescent="0.35">
      <c r="I297" s="63"/>
      <c r="J297" s="63"/>
    </row>
    <row r="298" spans="9:10" x14ac:dyDescent="0.35">
      <c r="I298" s="63"/>
      <c r="J298" s="63"/>
    </row>
    <row r="299" spans="9:10" x14ac:dyDescent="0.35">
      <c r="I299" s="63"/>
      <c r="J299" s="63"/>
    </row>
    <row r="300" spans="9:10" x14ac:dyDescent="0.35">
      <c r="I300" s="63"/>
      <c r="J300" s="63"/>
    </row>
    <row r="301" spans="9:10" x14ac:dyDescent="0.35">
      <c r="I301" s="63"/>
      <c r="J301" s="63"/>
    </row>
    <row r="302" spans="9:10" x14ac:dyDescent="0.35">
      <c r="I302" s="63"/>
      <c r="J302" s="63"/>
    </row>
    <row r="303" spans="9:10" x14ac:dyDescent="0.35">
      <c r="I303" s="63"/>
      <c r="J303" s="63"/>
    </row>
    <row r="304" spans="9:10" x14ac:dyDescent="0.35">
      <c r="I304" s="63"/>
      <c r="J304" s="63"/>
    </row>
    <row r="305" spans="9:10" x14ac:dyDescent="0.35">
      <c r="I305" s="63"/>
      <c r="J305" s="63"/>
    </row>
    <row r="306" spans="9:10" x14ac:dyDescent="0.35">
      <c r="I306" s="63"/>
      <c r="J306" s="63"/>
    </row>
    <row r="307" spans="9:10" x14ac:dyDescent="0.35">
      <c r="I307" s="63"/>
      <c r="J307" s="63"/>
    </row>
    <row r="308" spans="9:10" x14ac:dyDescent="0.35">
      <c r="I308" s="63"/>
      <c r="J308" s="63"/>
    </row>
    <row r="309" spans="9:10" x14ac:dyDescent="0.35">
      <c r="I309" s="63"/>
      <c r="J309" s="63"/>
    </row>
    <row r="310" spans="9:10" x14ac:dyDescent="0.35">
      <c r="I310" s="63"/>
      <c r="J310" s="63"/>
    </row>
    <row r="311" spans="9:10" x14ac:dyDescent="0.35">
      <c r="I311" s="63"/>
      <c r="J311" s="63"/>
    </row>
    <row r="312" spans="9:10" x14ac:dyDescent="0.35">
      <c r="I312" s="63"/>
      <c r="J312" s="63"/>
    </row>
    <row r="313" spans="9:10" x14ac:dyDescent="0.35">
      <c r="I313" s="63"/>
      <c r="J313" s="63"/>
    </row>
    <row r="314" spans="9:10" x14ac:dyDescent="0.35">
      <c r="I314" s="63"/>
      <c r="J314" s="63"/>
    </row>
    <row r="315" spans="9:10" x14ac:dyDescent="0.35">
      <c r="I315" s="63"/>
      <c r="J315" s="63"/>
    </row>
    <row r="316" spans="9:10" x14ac:dyDescent="0.35">
      <c r="I316" s="63"/>
      <c r="J316" s="63"/>
    </row>
    <row r="317" spans="9:10" x14ac:dyDescent="0.35">
      <c r="I317" s="63"/>
      <c r="J317" s="63"/>
    </row>
    <row r="318" spans="9:10" x14ac:dyDescent="0.35">
      <c r="I318" s="63"/>
      <c r="J318" s="63"/>
    </row>
    <row r="319" spans="9:10" x14ac:dyDescent="0.35">
      <c r="I319" s="63"/>
      <c r="J319" s="63"/>
    </row>
    <row r="320" spans="9:10" x14ac:dyDescent="0.35">
      <c r="I320" s="63"/>
      <c r="J320" s="63"/>
    </row>
    <row r="321" spans="9:10" x14ac:dyDescent="0.35">
      <c r="I321" s="63"/>
      <c r="J321" s="63"/>
    </row>
    <row r="322" spans="9:10" x14ac:dyDescent="0.35">
      <c r="I322" s="63"/>
      <c r="J322" s="63"/>
    </row>
    <row r="323" spans="9:10" x14ac:dyDescent="0.35">
      <c r="I323" s="63"/>
      <c r="J323" s="63"/>
    </row>
    <row r="324" spans="9:10" x14ac:dyDescent="0.35">
      <c r="I324" s="63"/>
      <c r="J324" s="63"/>
    </row>
    <row r="325" spans="9:10" x14ac:dyDescent="0.35">
      <c r="I325" s="63"/>
      <c r="J325" s="63"/>
    </row>
    <row r="326" spans="9:10" x14ac:dyDescent="0.35">
      <c r="I326" s="63"/>
      <c r="J326" s="63"/>
    </row>
    <row r="327" spans="9:10" x14ac:dyDescent="0.35">
      <c r="I327" s="63"/>
      <c r="J327" s="63"/>
    </row>
    <row r="328" spans="9:10" x14ac:dyDescent="0.35">
      <c r="I328" s="63"/>
      <c r="J328" s="63"/>
    </row>
    <row r="329" spans="9:10" x14ac:dyDescent="0.35">
      <c r="I329" s="63"/>
      <c r="J329" s="63"/>
    </row>
    <row r="330" spans="9:10" x14ac:dyDescent="0.35">
      <c r="I330" s="63"/>
      <c r="J330" s="63"/>
    </row>
    <row r="331" spans="9:10" x14ac:dyDescent="0.35">
      <c r="I331" s="63"/>
      <c r="J331" s="63"/>
    </row>
    <row r="332" spans="9:10" x14ac:dyDescent="0.35">
      <c r="I332" s="63"/>
      <c r="J332" s="63"/>
    </row>
    <row r="333" spans="9:10" x14ac:dyDescent="0.35">
      <c r="I333" s="63"/>
      <c r="J333" s="63"/>
    </row>
    <row r="334" spans="9:10" x14ac:dyDescent="0.35">
      <c r="I334" s="63"/>
      <c r="J334" s="63"/>
    </row>
    <row r="335" spans="9:10" x14ac:dyDescent="0.35">
      <c r="I335" s="63"/>
      <c r="J335" s="63"/>
    </row>
    <row r="336" spans="9:10" x14ac:dyDescent="0.35">
      <c r="I336" s="63"/>
      <c r="J336" s="63"/>
    </row>
    <row r="337" spans="9:10" x14ac:dyDescent="0.35">
      <c r="I337" s="63"/>
      <c r="J337" s="63"/>
    </row>
    <row r="338" spans="9:10" x14ac:dyDescent="0.35">
      <c r="I338" s="63"/>
      <c r="J338" s="63"/>
    </row>
    <row r="339" spans="9:10" x14ac:dyDescent="0.35">
      <c r="I339" s="63"/>
      <c r="J339" s="63"/>
    </row>
    <row r="340" spans="9:10" x14ac:dyDescent="0.35">
      <c r="I340" s="63"/>
      <c r="J340" s="63"/>
    </row>
    <row r="341" spans="9:10" x14ac:dyDescent="0.35">
      <c r="I341" s="63"/>
      <c r="J341" s="63"/>
    </row>
    <row r="342" spans="9:10" x14ac:dyDescent="0.35">
      <c r="I342" s="63"/>
      <c r="J342" s="63"/>
    </row>
    <row r="343" spans="9:10" x14ac:dyDescent="0.35">
      <c r="I343" s="63"/>
      <c r="J343" s="63"/>
    </row>
    <row r="344" spans="9:10" x14ac:dyDescent="0.35">
      <c r="I344" s="63"/>
      <c r="J344" s="63"/>
    </row>
    <row r="345" spans="9:10" x14ac:dyDescent="0.35">
      <c r="I345" s="63"/>
      <c r="J345" s="63"/>
    </row>
    <row r="346" spans="9:10" x14ac:dyDescent="0.35">
      <c r="I346" s="63"/>
      <c r="J346" s="63"/>
    </row>
    <row r="347" spans="9:10" x14ac:dyDescent="0.35">
      <c r="I347" s="63"/>
      <c r="J347" s="63"/>
    </row>
    <row r="348" spans="9:10" x14ac:dyDescent="0.35">
      <c r="I348" s="63"/>
      <c r="J348" s="63"/>
    </row>
    <row r="349" spans="9:10" x14ac:dyDescent="0.35">
      <c r="I349" s="63"/>
      <c r="J349" s="63"/>
    </row>
    <row r="350" spans="9:10" x14ac:dyDescent="0.35">
      <c r="I350" s="63"/>
      <c r="J350" s="63"/>
    </row>
    <row r="351" spans="9:10" x14ac:dyDescent="0.35">
      <c r="I351" s="63"/>
      <c r="J351" s="63"/>
    </row>
    <row r="352" spans="9:10" x14ac:dyDescent="0.35">
      <c r="I352" s="63"/>
      <c r="J352" s="63"/>
    </row>
    <row r="353" spans="9:10" x14ac:dyDescent="0.35">
      <c r="I353" s="63"/>
      <c r="J353" s="63"/>
    </row>
    <row r="354" spans="9:10" x14ac:dyDescent="0.35">
      <c r="I354" s="63"/>
      <c r="J354" s="63"/>
    </row>
    <row r="355" spans="9:10" x14ac:dyDescent="0.35">
      <c r="I355" s="63"/>
      <c r="J355" s="63"/>
    </row>
    <row r="356" spans="9:10" x14ac:dyDescent="0.35">
      <c r="I356" s="63"/>
      <c r="J356" s="63"/>
    </row>
    <row r="357" spans="9:10" x14ac:dyDescent="0.35">
      <c r="I357" s="63"/>
      <c r="J357" s="63"/>
    </row>
    <row r="358" spans="9:10" x14ac:dyDescent="0.35">
      <c r="I358" s="63"/>
      <c r="J358" s="63"/>
    </row>
    <row r="359" spans="9:10" x14ac:dyDescent="0.35">
      <c r="I359" s="63"/>
      <c r="J359" s="63"/>
    </row>
    <row r="360" spans="9:10" x14ac:dyDescent="0.35">
      <c r="I360" s="63"/>
      <c r="J360" s="63"/>
    </row>
    <row r="361" spans="9:10" x14ac:dyDescent="0.35">
      <c r="I361" s="63"/>
      <c r="J361" s="63"/>
    </row>
    <row r="362" spans="9:10" x14ac:dyDescent="0.35">
      <c r="I362" s="63"/>
      <c r="J362" s="63"/>
    </row>
    <row r="363" spans="9:10" x14ac:dyDescent="0.35">
      <c r="I363" s="63"/>
      <c r="J363" s="63"/>
    </row>
    <row r="364" spans="9:10" x14ac:dyDescent="0.35">
      <c r="I364" s="63"/>
      <c r="J364" s="63"/>
    </row>
    <row r="365" spans="9:10" x14ac:dyDescent="0.35">
      <c r="I365" s="63"/>
      <c r="J365" s="63"/>
    </row>
    <row r="366" spans="9:10" x14ac:dyDescent="0.35">
      <c r="I366" s="63"/>
      <c r="J366" s="63"/>
    </row>
    <row r="367" spans="9:10" x14ac:dyDescent="0.35">
      <c r="I367" s="63"/>
      <c r="J367" s="63"/>
    </row>
    <row r="368" spans="9:10" x14ac:dyDescent="0.35">
      <c r="I368" s="63"/>
      <c r="J368" s="63"/>
    </row>
    <row r="369" spans="9:10" x14ac:dyDescent="0.35">
      <c r="I369" s="63"/>
      <c r="J369" s="63"/>
    </row>
    <row r="370" spans="9:10" x14ac:dyDescent="0.35">
      <c r="I370" s="63"/>
      <c r="J370" s="63"/>
    </row>
    <row r="371" spans="9:10" x14ac:dyDescent="0.35">
      <c r="I371" s="63"/>
      <c r="J371" s="63"/>
    </row>
    <row r="372" spans="9:10" x14ac:dyDescent="0.35">
      <c r="I372" s="63"/>
      <c r="J372" s="63"/>
    </row>
    <row r="373" spans="9:10" x14ac:dyDescent="0.35">
      <c r="I373" s="63"/>
      <c r="J373" s="63"/>
    </row>
    <row r="374" spans="9:10" x14ac:dyDescent="0.35">
      <c r="I374" s="63"/>
      <c r="J374" s="63"/>
    </row>
    <row r="375" spans="9:10" x14ac:dyDescent="0.35">
      <c r="I375" s="63"/>
      <c r="J375" s="63"/>
    </row>
    <row r="376" spans="9:10" x14ac:dyDescent="0.35">
      <c r="I376" s="63"/>
      <c r="J376" s="63"/>
    </row>
    <row r="377" spans="9:10" x14ac:dyDescent="0.35">
      <c r="I377" s="63"/>
      <c r="J377" s="63"/>
    </row>
    <row r="378" spans="9:10" x14ac:dyDescent="0.35">
      <c r="I378" s="63"/>
      <c r="J378" s="63"/>
    </row>
    <row r="379" spans="9:10" x14ac:dyDescent="0.35">
      <c r="I379" s="63"/>
      <c r="J379" s="63"/>
    </row>
    <row r="380" spans="9:10" x14ac:dyDescent="0.35">
      <c r="I380" s="63"/>
      <c r="J380" s="63"/>
    </row>
    <row r="381" spans="9:10" x14ac:dyDescent="0.35">
      <c r="I381" s="63"/>
      <c r="J381" s="63"/>
    </row>
    <row r="382" spans="9:10" x14ac:dyDescent="0.35">
      <c r="I382" s="63"/>
      <c r="J382" s="63"/>
    </row>
    <row r="383" spans="9:10" x14ac:dyDescent="0.35">
      <c r="I383" s="63"/>
      <c r="J383" s="63"/>
    </row>
    <row r="384" spans="9:10" x14ac:dyDescent="0.35">
      <c r="I384" s="63"/>
      <c r="J384" s="63"/>
    </row>
    <row r="385" spans="9:10" x14ac:dyDescent="0.35">
      <c r="I385" s="63"/>
      <c r="J385" s="63"/>
    </row>
    <row r="386" spans="9:10" x14ac:dyDescent="0.35">
      <c r="I386" s="63"/>
      <c r="J386" s="63"/>
    </row>
    <row r="387" spans="9:10" x14ac:dyDescent="0.35">
      <c r="I387" s="63"/>
      <c r="J387" s="63"/>
    </row>
    <row r="388" spans="9:10" x14ac:dyDescent="0.35">
      <c r="I388" s="63"/>
      <c r="J388" s="63"/>
    </row>
    <row r="389" spans="9:10" x14ac:dyDescent="0.35">
      <c r="I389" s="63"/>
      <c r="J389" s="63"/>
    </row>
    <row r="390" spans="9:10" x14ac:dyDescent="0.35">
      <c r="I390" s="63"/>
      <c r="J390" s="63"/>
    </row>
    <row r="391" spans="9:10" x14ac:dyDescent="0.35">
      <c r="I391" s="63"/>
      <c r="J391" s="63"/>
    </row>
    <row r="392" spans="9:10" x14ac:dyDescent="0.35">
      <c r="I392" s="63"/>
      <c r="J392" s="63"/>
    </row>
    <row r="393" spans="9:10" x14ac:dyDescent="0.35">
      <c r="I393" s="63"/>
      <c r="J393" s="63"/>
    </row>
    <row r="394" spans="9:10" x14ac:dyDescent="0.35">
      <c r="I394" s="63"/>
      <c r="J394" s="63"/>
    </row>
    <row r="395" spans="9:10" x14ac:dyDescent="0.35">
      <c r="I395" s="63"/>
      <c r="J395" s="63"/>
    </row>
    <row r="396" spans="9:10" x14ac:dyDescent="0.35">
      <c r="I396" s="63"/>
      <c r="J396" s="63"/>
    </row>
    <row r="397" spans="9:10" x14ac:dyDescent="0.35">
      <c r="I397" s="63"/>
      <c r="J397" s="63"/>
    </row>
    <row r="398" spans="9:10" x14ac:dyDescent="0.35">
      <c r="I398" s="63"/>
      <c r="J398" s="63"/>
    </row>
    <row r="399" spans="9:10" x14ac:dyDescent="0.35">
      <c r="I399" s="63"/>
      <c r="J399" s="63"/>
    </row>
    <row r="400" spans="9:10" x14ac:dyDescent="0.35">
      <c r="I400" s="63"/>
      <c r="J400" s="63"/>
    </row>
    <row r="401" spans="9:10" x14ac:dyDescent="0.35">
      <c r="I401" s="63"/>
      <c r="J401" s="63"/>
    </row>
    <row r="402" spans="9:10" x14ac:dyDescent="0.35">
      <c r="I402" s="63"/>
      <c r="J402" s="63"/>
    </row>
    <row r="403" spans="9:10" x14ac:dyDescent="0.35">
      <c r="I403" s="63"/>
      <c r="J403" s="63"/>
    </row>
    <row r="404" spans="9:10" x14ac:dyDescent="0.35">
      <c r="I404" s="63"/>
      <c r="J404" s="63"/>
    </row>
    <row r="405" spans="9:10" x14ac:dyDescent="0.35">
      <c r="I405" s="63"/>
      <c r="J405" s="63"/>
    </row>
    <row r="406" spans="9:10" x14ac:dyDescent="0.35">
      <c r="I406" s="63"/>
      <c r="J406" s="63"/>
    </row>
    <row r="407" spans="9:10" x14ac:dyDescent="0.35">
      <c r="I407" s="63"/>
      <c r="J407" s="63"/>
    </row>
    <row r="408" spans="9:10" x14ac:dyDescent="0.35">
      <c r="I408" s="63"/>
      <c r="J408" s="63"/>
    </row>
    <row r="409" spans="9:10" x14ac:dyDescent="0.35">
      <c r="I409" s="63"/>
      <c r="J409" s="63"/>
    </row>
    <row r="410" spans="9:10" x14ac:dyDescent="0.35">
      <c r="I410" s="63"/>
      <c r="J410" s="63"/>
    </row>
    <row r="411" spans="9:10" x14ac:dyDescent="0.35">
      <c r="I411" s="63"/>
      <c r="J411" s="63"/>
    </row>
    <row r="412" spans="9:10" x14ac:dyDescent="0.35">
      <c r="I412" s="63"/>
      <c r="J412" s="63"/>
    </row>
    <row r="413" spans="9:10" x14ac:dyDescent="0.35">
      <c r="I413" s="63"/>
      <c r="J413" s="63"/>
    </row>
    <row r="414" spans="9:10" x14ac:dyDescent="0.35">
      <c r="I414" s="63"/>
      <c r="J414" s="63"/>
    </row>
    <row r="415" spans="9:10" x14ac:dyDescent="0.35">
      <c r="I415" s="63"/>
      <c r="J415" s="63"/>
    </row>
    <row r="416" spans="9:10" x14ac:dyDescent="0.35">
      <c r="I416" s="63"/>
      <c r="J416" s="63"/>
    </row>
    <row r="417" spans="9:10" x14ac:dyDescent="0.35">
      <c r="I417" s="63"/>
      <c r="J417" s="63"/>
    </row>
    <row r="418" spans="9:10" x14ac:dyDescent="0.35">
      <c r="I418" s="63"/>
      <c r="J418" s="63"/>
    </row>
    <row r="419" spans="9:10" x14ac:dyDescent="0.35">
      <c r="I419" s="63"/>
      <c r="J419" s="63"/>
    </row>
    <row r="420" spans="9:10" x14ac:dyDescent="0.35">
      <c r="I420" s="63"/>
      <c r="J420" s="63"/>
    </row>
    <row r="421" spans="9:10" x14ac:dyDescent="0.35">
      <c r="I421" s="63"/>
      <c r="J421" s="63"/>
    </row>
    <row r="422" spans="9:10" x14ac:dyDescent="0.35">
      <c r="I422" s="63"/>
      <c r="J422" s="63"/>
    </row>
    <row r="423" spans="9:10" x14ac:dyDescent="0.35">
      <c r="I423" s="63"/>
      <c r="J423" s="63"/>
    </row>
    <row r="424" spans="9:10" x14ac:dyDescent="0.35">
      <c r="I424" s="63"/>
      <c r="J424" s="63"/>
    </row>
    <row r="425" spans="9:10" x14ac:dyDescent="0.35">
      <c r="I425" s="63"/>
      <c r="J425" s="63"/>
    </row>
    <row r="426" spans="9:10" x14ac:dyDescent="0.35">
      <c r="I426" s="63"/>
      <c r="J426" s="63"/>
    </row>
    <row r="427" spans="9:10" x14ac:dyDescent="0.35">
      <c r="I427" s="63"/>
      <c r="J427" s="63"/>
    </row>
    <row r="428" spans="9:10" x14ac:dyDescent="0.35">
      <c r="I428" s="63"/>
      <c r="J428" s="63"/>
    </row>
    <row r="429" spans="9:10" x14ac:dyDescent="0.35">
      <c r="I429" s="63"/>
      <c r="J429" s="63"/>
    </row>
    <row r="430" spans="9:10" x14ac:dyDescent="0.35">
      <c r="I430" s="63"/>
      <c r="J430" s="63"/>
    </row>
    <row r="431" spans="9:10" x14ac:dyDescent="0.35">
      <c r="I431" s="63"/>
      <c r="J431" s="63"/>
    </row>
    <row r="432" spans="9:10" x14ac:dyDescent="0.35">
      <c r="I432" s="63"/>
      <c r="J432" s="63"/>
    </row>
    <row r="433" spans="9:10" x14ac:dyDescent="0.35">
      <c r="I433" s="63"/>
      <c r="J433" s="63"/>
    </row>
    <row r="434" spans="9:10" x14ac:dyDescent="0.35">
      <c r="I434" s="63"/>
      <c r="J434" s="63"/>
    </row>
    <row r="435" spans="9:10" x14ac:dyDescent="0.35">
      <c r="I435" s="63"/>
      <c r="J435" s="63"/>
    </row>
    <row r="436" spans="9:10" x14ac:dyDescent="0.35">
      <c r="I436" s="63"/>
      <c r="J436" s="63"/>
    </row>
    <row r="437" spans="9:10" x14ac:dyDescent="0.35">
      <c r="I437" s="63"/>
      <c r="J437" s="63"/>
    </row>
    <row r="438" spans="9:10" x14ac:dyDescent="0.35">
      <c r="I438" s="63"/>
      <c r="J438" s="63"/>
    </row>
    <row r="439" spans="9:10" x14ac:dyDescent="0.35">
      <c r="I439" s="63"/>
      <c r="J439" s="63"/>
    </row>
    <row r="440" spans="9:10" x14ac:dyDescent="0.35">
      <c r="I440" s="63"/>
      <c r="J440" s="63"/>
    </row>
    <row r="441" spans="9:10" x14ac:dyDescent="0.35">
      <c r="I441" s="63"/>
      <c r="J441" s="63"/>
    </row>
    <row r="442" spans="9:10" x14ac:dyDescent="0.35">
      <c r="I442" s="63"/>
      <c r="J442" s="63"/>
    </row>
    <row r="443" spans="9:10" x14ac:dyDescent="0.35">
      <c r="I443" s="63"/>
      <c r="J443" s="63"/>
    </row>
    <row r="444" spans="9:10" x14ac:dyDescent="0.35">
      <c r="I444" s="63"/>
      <c r="J444" s="63"/>
    </row>
    <row r="445" spans="9:10" x14ac:dyDescent="0.35">
      <c r="I445" s="63"/>
      <c r="J445" s="63"/>
    </row>
    <row r="446" spans="9:10" x14ac:dyDescent="0.35">
      <c r="I446" s="63"/>
      <c r="J446" s="63"/>
    </row>
    <row r="447" spans="9:10" x14ac:dyDescent="0.35">
      <c r="I447" s="63"/>
      <c r="J447" s="63"/>
    </row>
    <row r="448" spans="9:10" x14ac:dyDescent="0.35">
      <c r="I448" s="63"/>
      <c r="J448" s="63"/>
    </row>
    <row r="449" spans="9:10" x14ac:dyDescent="0.35">
      <c r="I449" s="63"/>
      <c r="J449" s="63"/>
    </row>
    <row r="450" spans="9:10" x14ac:dyDescent="0.35">
      <c r="I450" s="63"/>
      <c r="J450" s="63"/>
    </row>
    <row r="451" spans="9:10" x14ac:dyDescent="0.35">
      <c r="I451" s="63"/>
      <c r="J451" s="63"/>
    </row>
    <row r="452" spans="9:10" x14ac:dyDescent="0.35">
      <c r="I452" s="63"/>
      <c r="J452" s="63"/>
    </row>
    <row r="453" spans="9:10" x14ac:dyDescent="0.35">
      <c r="I453" s="63"/>
      <c r="J453" s="63"/>
    </row>
    <row r="454" spans="9:10" x14ac:dyDescent="0.35">
      <c r="I454" s="63"/>
      <c r="J454" s="63"/>
    </row>
    <row r="455" spans="9:10" x14ac:dyDescent="0.35">
      <c r="I455" s="63"/>
      <c r="J455" s="63"/>
    </row>
    <row r="456" spans="9:10" x14ac:dyDescent="0.35">
      <c r="I456" s="63"/>
      <c r="J456" s="63"/>
    </row>
    <row r="457" spans="9:10" x14ac:dyDescent="0.35">
      <c r="I457" s="63"/>
      <c r="J457" s="63"/>
    </row>
    <row r="458" spans="9:10" x14ac:dyDescent="0.35">
      <c r="I458" s="63"/>
      <c r="J458" s="63"/>
    </row>
    <row r="459" spans="9:10" x14ac:dyDescent="0.35">
      <c r="I459" s="63"/>
      <c r="J459" s="63"/>
    </row>
    <row r="460" spans="9:10" x14ac:dyDescent="0.35">
      <c r="I460" s="63"/>
      <c r="J460" s="63"/>
    </row>
    <row r="461" spans="9:10" x14ac:dyDescent="0.35">
      <c r="I461" s="63"/>
      <c r="J461" s="63"/>
    </row>
    <row r="462" spans="9:10" x14ac:dyDescent="0.35">
      <c r="I462" s="63"/>
      <c r="J462" s="63"/>
    </row>
    <row r="463" spans="9:10" x14ac:dyDescent="0.35">
      <c r="I463" s="63"/>
      <c r="J463" s="63"/>
    </row>
    <row r="464" spans="9:10" x14ac:dyDescent="0.35">
      <c r="I464" s="63"/>
      <c r="J464" s="63"/>
    </row>
    <row r="465" spans="9:10" x14ac:dyDescent="0.35">
      <c r="I465" s="63"/>
      <c r="J465" s="63"/>
    </row>
    <row r="466" spans="9:10" x14ac:dyDescent="0.35">
      <c r="I466" s="63"/>
      <c r="J466" s="63"/>
    </row>
    <row r="467" spans="9:10" x14ac:dyDescent="0.35">
      <c r="I467" s="63"/>
      <c r="J467" s="63"/>
    </row>
    <row r="468" spans="9:10" x14ac:dyDescent="0.35">
      <c r="I468" s="63"/>
      <c r="J468" s="63"/>
    </row>
    <row r="469" spans="9:10" x14ac:dyDescent="0.35">
      <c r="I469" s="63"/>
      <c r="J469" s="63"/>
    </row>
    <row r="470" spans="9:10" x14ac:dyDescent="0.35">
      <c r="I470" s="63"/>
      <c r="J470" s="63"/>
    </row>
    <row r="471" spans="9:10" x14ac:dyDescent="0.35">
      <c r="I471" s="63"/>
      <c r="J471" s="63"/>
    </row>
    <row r="472" spans="9:10" x14ac:dyDescent="0.35">
      <c r="I472" s="63"/>
      <c r="J472" s="63"/>
    </row>
    <row r="473" spans="9:10" x14ac:dyDescent="0.35">
      <c r="I473" s="63"/>
      <c r="J473" s="63"/>
    </row>
    <row r="474" spans="9:10" x14ac:dyDescent="0.35">
      <c r="I474" s="63"/>
      <c r="J474" s="63"/>
    </row>
    <row r="475" spans="9:10" x14ac:dyDescent="0.35">
      <c r="I475" s="63"/>
      <c r="J475" s="63"/>
    </row>
    <row r="476" spans="9:10" x14ac:dyDescent="0.35">
      <c r="I476" s="63"/>
      <c r="J476" s="63"/>
    </row>
    <row r="477" spans="9:10" x14ac:dyDescent="0.35">
      <c r="I477" s="63"/>
      <c r="J477" s="63"/>
    </row>
    <row r="478" spans="9:10" x14ac:dyDescent="0.35">
      <c r="I478" s="63"/>
      <c r="J478" s="63"/>
    </row>
    <row r="479" spans="9:10" x14ac:dyDescent="0.35">
      <c r="I479" s="63"/>
      <c r="J479" s="63"/>
    </row>
    <row r="480" spans="9:10" x14ac:dyDescent="0.35">
      <c r="I480" s="63"/>
      <c r="J480" s="63"/>
    </row>
    <row r="481" spans="9:10" x14ac:dyDescent="0.35">
      <c r="I481" s="63"/>
      <c r="J481" s="63"/>
    </row>
    <row r="482" spans="9:10" x14ac:dyDescent="0.35">
      <c r="I482" s="63"/>
      <c r="J482" s="63"/>
    </row>
    <row r="483" spans="9:10" x14ac:dyDescent="0.35">
      <c r="I483" s="63"/>
      <c r="J483" s="63"/>
    </row>
    <row r="484" spans="9:10" x14ac:dyDescent="0.35">
      <c r="I484" s="63"/>
      <c r="J484" s="63"/>
    </row>
    <row r="485" spans="9:10" x14ac:dyDescent="0.35">
      <c r="I485" s="63"/>
      <c r="J485" s="63"/>
    </row>
    <row r="486" spans="9:10" x14ac:dyDescent="0.35">
      <c r="I486" s="63"/>
      <c r="J486" s="63"/>
    </row>
    <row r="487" spans="9:10" x14ac:dyDescent="0.35">
      <c r="I487" s="63"/>
      <c r="J487" s="63"/>
    </row>
    <row r="488" spans="9:10" x14ac:dyDescent="0.35">
      <c r="I488" s="63"/>
      <c r="J488" s="63"/>
    </row>
    <row r="489" spans="9:10" x14ac:dyDescent="0.35">
      <c r="I489" s="63"/>
      <c r="J489" s="63"/>
    </row>
    <row r="490" spans="9:10" x14ac:dyDescent="0.35">
      <c r="I490" s="63"/>
      <c r="J490" s="63"/>
    </row>
    <row r="491" spans="9:10" x14ac:dyDescent="0.35">
      <c r="I491" s="63"/>
      <c r="J491" s="63"/>
    </row>
    <row r="492" spans="9:10" x14ac:dyDescent="0.35">
      <c r="I492" s="63"/>
      <c r="J492" s="63"/>
    </row>
    <row r="493" spans="9:10" x14ac:dyDescent="0.35">
      <c r="I493" s="63"/>
      <c r="J493" s="63"/>
    </row>
    <row r="494" spans="9:10" x14ac:dyDescent="0.35">
      <c r="I494" s="63"/>
      <c r="J494" s="63"/>
    </row>
    <row r="495" spans="9:10" x14ac:dyDescent="0.35">
      <c r="I495" s="63"/>
      <c r="J495" s="63"/>
    </row>
    <row r="496" spans="9:10" x14ac:dyDescent="0.35">
      <c r="I496" s="63"/>
      <c r="J496" s="63"/>
    </row>
    <row r="497" spans="9:10" x14ac:dyDescent="0.35">
      <c r="I497" s="63"/>
      <c r="J497" s="63"/>
    </row>
    <row r="498" spans="9:10" x14ac:dyDescent="0.35">
      <c r="I498" s="63"/>
      <c r="J498" s="63"/>
    </row>
    <row r="499" spans="9:10" x14ac:dyDescent="0.35">
      <c r="I499" s="63"/>
      <c r="J499" s="63"/>
    </row>
    <row r="500" spans="9:10" x14ac:dyDescent="0.35">
      <c r="I500" s="63"/>
      <c r="J500" s="63"/>
    </row>
    <row r="501" spans="9:10" x14ac:dyDescent="0.35">
      <c r="I501" s="63"/>
      <c r="J501" s="63"/>
    </row>
    <row r="502" spans="9:10" x14ac:dyDescent="0.35">
      <c r="I502" s="63"/>
      <c r="J502" s="63"/>
    </row>
    <row r="503" spans="9:10" x14ac:dyDescent="0.35">
      <c r="I503" s="63"/>
      <c r="J503" s="63"/>
    </row>
    <row r="504" spans="9:10" x14ac:dyDescent="0.35">
      <c r="I504" s="63"/>
      <c r="J504" s="63"/>
    </row>
    <row r="505" spans="9:10" x14ac:dyDescent="0.35">
      <c r="I505" s="63"/>
      <c r="J505" s="63"/>
    </row>
    <row r="506" spans="9:10" x14ac:dyDescent="0.35">
      <c r="I506" s="63"/>
      <c r="J506" s="63"/>
    </row>
    <row r="507" spans="9:10" x14ac:dyDescent="0.35">
      <c r="I507" s="63"/>
      <c r="J507" s="63"/>
    </row>
    <row r="508" spans="9:10" x14ac:dyDescent="0.35">
      <c r="I508" s="63"/>
      <c r="J508" s="63"/>
    </row>
    <row r="509" spans="9:10" x14ac:dyDescent="0.35">
      <c r="I509" s="63"/>
      <c r="J509" s="63"/>
    </row>
    <row r="510" spans="9:10" x14ac:dyDescent="0.35">
      <c r="I510" s="63"/>
      <c r="J510" s="63"/>
    </row>
    <row r="511" spans="9:10" x14ac:dyDescent="0.35">
      <c r="I511" s="63"/>
      <c r="J511" s="63"/>
    </row>
    <row r="512" spans="9:10" x14ac:dyDescent="0.35">
      <c r="I512" s="63"/>
      <c r="J512" s="63"/>
    </row>
    <row r="513" spans="9:10" x14ac:dyDescent="0.35">
      <c r="I513" s="63"/>
      <c r="J513" s="63"/>
    </row>
    <row r="514" spans="9:10" x14ac:dyDescent="0.35">
      <c r="I514" s="63"/>
      <c r="J514" s="63"/>
    </row>
    <row r="515" spans="9:10" x14ac:dyDescent="0.35">
      <c r="I515" s="63"/>
      <c r="J515" s="63"/>
    </row>
    <row r="516" spans="9:10" x14ac:dyDescent="0.35">
      <c r="I516" s="63"/>
      <c r="J516" s="63"/>
    </row>
    <row r="517" spans="9:10" x14ac:dyDescent="0.35">
      <c r="I517" s="63"/>
      <c r="J517" s="63"/>
    </row>
    <row r="518" spans="9:10" x14ac:dyDescent="0.35">
      <c r="I518" s="63"/>
      <c r="J518" s="63"/>
    </row>
    <row r="519" spans="9:10" x14ac:dyDescent="0.35">
      <c r="I519" s="63"/>
      <c r="J519" s="63"/>
    </row>
    <row r="520" spans="9:10" x14ac:dyDescent="0.35">
      <c r="I520" s="63"/>
      <c r="J520" s="63"/>
    </row>
    <row r="521" spans="9:10" x14ac:dyDescent="0.35">
      <c r="I521" s="63"/>
      <c r="J521" s="63"/>
    </row>
    <row r="522" spans="9:10" x14ac:dyDescent="0.35">
      <c r="I522" s="63"/>
      <c r="J522" s="63"/>
    </row>
    <row r="523" spans="9:10" x14ac:dyDescent="0.35">
      <c r="I523" s="63"/>
      <c r="J523" s="63"/>
    </row>
    <row r="524" spans="9:10" x14ac:dyDescent="0.35">
      <c r="I524" s="63"/>
      <c r="J524" s="63"/>
    </row>
    <row r="525" spans="9:10" x14ac:dyDescent="0.35">
      <c r="I525" s="63"/>
      <c r="J525" s="63"/>
    </row>
    <row r="526" spans="9:10" x14ac:dyDescent="0.35">
      <c r="I526" s="63"/>
      <c r="J526" s="63"/>
    </row>
    <row r="527" spans="9:10" x14ac:dyDescent="0.35">
      <c r="I527" s="63"/>
      <c r="J527" s="63"/>
    </row>
    <row r="528" spans="9:10" x14ac:dyDescent="0.35">
      <c r="I528" s="63"/>
      <c r="J528" s="63"/>
    </row>
    <row r="529" spans="9:10" x14ac:dyDescent="0.35">
      <c r="I529" s="63"/>
      <c r="J529" s="63"/>
    </row>
    <row r="530" spans="9:10" x14ac:dyDescent="0.35">
      <c r="I530" s="63"/>
      <c r="J530" s="63"/>
    </row>
    <row r="531" spans="9:10" x14ac:dyDescent="0.35">
      <c r="I531" s="63"/>
      <c r="J531" s="63"/>
    </row>
    <row r="532" spans="9:10" x14ac:dyDescent="0.35">
      <c r="I532" s="63"/>
      <c r="J532" s="63"/>
    </row>
    <row r="533" spans="9:10" x14ac:dyDescent="0.35">
      <c r="I533" s="63"/>
      <c r="J533" s="63"/>
    </row>
    <row r="534" spans="9:10" x14ac:dyDescent="0.35">
      <c r="I534" s="63"/>
      <c r="J534" s="63"/>
    </row>
    <row r="535" spans="9:10" x14ac:dyDescent="0.35">
      <c r="I535" s="63"/>
      <c r="J535" s="63"/>
    </row>
    <row r="536" spans="9:10" x14ac:dyDescent="0.35">
      <c r="I536" s="63"/>
      <c r="J536" s="63"/>
    </row>
    <row r="537" spans="9:10" x14ac:dyDescent="0.35">
      <c r="I537" s="63"/>
      <c r="J537" s="63"/>
    </row>
    <row r="538" spans="9:10" x14ac:dyDescent="0.35">
      <c r="I538" s="63"/>
      <c r="J538" s="63"/>
    </row>
    <row r="539" spans="9:10" x14ac:dyDescent="0.35">
      <c r="I539" s="63"/>
      <c r="J539" s="63"/>
    </row>
    <row r="540" spans="9:10" x14ac:dyDescent="0.35">
      <c r="I540" s="63"/>
      <c r="J540" s="63"/>
    </row>
    <row r="541" spans="9:10" x14ac:dyDescent="0.35">
      <c r="I541" s="63"/>
      <c r="J541" s="63"/>
    </row>
    <row r="542" spans="9:10" x14ac:dyDescent="0.35">
      <c r="I542" s="63"/>
      <c r="J542" s="63"/>
    </row>
    <row r="543" spans="9:10" x14ac:dyDescent="0.35">
      <c r="I543" s="63"/>
      <c r="J543" s="63"/>
    </row>
    <row r="544" spans="9:10" x14ac:dyDescent="0.35">
      <c r="I544" s="63"/>
      <c r="J544" s="63"/>
    </row>
    <row r="545" spans="9:10" x14ac:dyDescent="0.35">
      <c r="I545" s="63"/>
      <c r="J545" s="63"/>
    </row>
    <row r="546" spans="9:10" x14ac:dyDescent="0.35">
      <c r="I546" s="63"/>
      <c r="J546" s="63"/>
    </row>
    <row r="547" spans="9:10" x14ac:dyDescent="0.35">
      <c r="I547" s="63"/>
      <c r="J547" s="63"/>
    </row>
    <row r="548" spans="9:10" x14ac:dyDescent="0.35">
      <c r="I548" s="63"/>
      <c r="J548" s="63"/>
    </row>
    <row r="549" spans="9:10" x14ac:dyDescent="0.35">
      <c r="I549" s="63"/>
      <c r="J549" s="63"/>
    </row>
    <row r="550" spans="9:10" x14ac:dyDescent="0.35">
      <c r="I550" s="63"/>
      <c r="J550" s="63"/>
    </row>
    <row r="551" spans="9:10" x14ac:dyDescent="0.35">
      <c r="I551" s="63"/>
      <c r="J551" s="63"/>
    </row>
    <row r="552" spans="9:10" x14ac:dyDescent="0.35">
      <c r="I552" s="63"/>
      <c r="J552" s="63"/>
    </row>
    <row r="553" spans="9:10" x14ac:dyDescent="0.35">
      <c r="I553" s="63"/>
      <c r="J553" s="63"/>
    </row>
    <row r="554" spans="9:10" x14ac:dyDescent="0.35">
      <c r="I554" s="63"/>
      <c r="J554" s="63"/>
    </row>
    <row r="555" spans="9:10" x14ac:dyDescent="0.35">
      <c r="I555" s="63"/>
      <c r="J555" s="63"/>
    </row>
    <row r="556" spans="9:10" x14ac:dyDescent="0.35">
      <c r="I556" s="64"/>
      <c r="J556" s="64"/>
    </row>
    <row r="557" spans="9:10" x14ac:dyDescent="0.35">
      <c r="I557" s="63"/>
      <c r="J557" s="63"/>
    </row>
    <row r="558" spans="9:10" x14ac:dyDescent="0.35">
      <c r="I558" s="63"/>
      <c r="J558" s="63"/>
    </row>
    <row r="559" spans="9:10" x14ac:dyDescent="0.35">
      <c r="I559" s="63"/>
      <c r="J559" s="63"/>
    </row>
    <row r="560" spans="9:10" x14ac:dyDescent="0.35">
      <c r="I560" s="63"/>
      <c r="J560" s="63"/>
    </row>
    <row r="561" spans="9:10" x14ac:dyDescent="0.35">
      <c r="I561" s="63"/>
      <c r="J561" s="63"/>
    </row>
    <row r="562" spans="9:10" x14ac:dyDescent="0.35">
      <c r="I562" s="63"/>
      <c r="J562" s="63"/>
    </row>
    <row r="563" spans="9:10" x14ac:dyDescent="0.35">
      <c r="I563" s="63"/>
      <c r="J563" s="63"/>
    </row>
    <row r="564" spans="9:10" x14ac:dyDescent="0.35">
      <c r="I564" s="63"/>
      <c r="J564" s="63"/>
    </row>
    <row r="565" spans="9:10" x14ac:dyDescent="0.35">
      <c r="I565" s="63"/>
      <c r="J565" s="63"/>
    </row>
    <row r="566" spans="9:10" x14ac:dyDescent="0.35">
      <c r="I566" s="63"/>
      <c r="J566" s="63"/>
    </row>
    <row r="567" spans="9:10" x14ac:dyDescent="0.35">
      <c r="I567" s="63"/>
      <c r="J567" s="63"/>
    </row>
    <row r="568" spans="9:10" x14ac:dyDescent="0.35">
      <c r="I568" s="63"/>
      <c r="J568" s="63"/>
    </row>
    <row r="569" spans="9:10" x14ac:dyDescent="0.35">
      <c r="I569" s="63"/>
      <c r="J569" s="63"/>
    </row>
    <row r="570" spans="9:10" x14ac:dyDescent="0.35">
      <c r="I570" s="63"/>
      <c r="J570" s="63"/>
    </row>
    <row r="571" spans="9:10" x14ac:dyDescent="0.35">
      <c r="I571" s="63"/>
      <c r="J571" s="63"/>
    </row>
    <row r="572" spans="9:10" x14ac:dyDescent="0.35">
      <c r="I572" s="63"/>
      <c r="J572" s="63"/>
    </row>
    <row r="573" spans="9:10" x14ac:dyDescent="0.35">
      <c r="I573" s="63"/>
      <c r="J573" s="63"/>
    </row>
    <row r="574" spans="9:10" x14ac:dyDescent="0.35">
      <c r="I574" s="63"/>
      <c r="J574" s="63"/>
    </row>
    <row r="575" spans="9:10" x14ac:dyDescent="0.35">
      <c r="I575" s="63"/>
      <c r="J575" s="63"/>
    </row>
    <row r="576" spans="9:10" x14ac:dyDescent="0.35">
      <c r="I576" s="63"/>
      <c r="J576" s="63"/>
    </row>
    <row r="577" spans="9:10" x14ac:dyDescent="0.35">
      <c r="I577" s="63"/>
      <c r="J577" s="63"/>
    </row>
    <row r="578" spans="9:10" x14ac:dyDescent="0.35">
      <c r="I578" s="63"/>
      <c r="J578" s="63"/>
    </row>
    <row r="579" spans="9:10" x14ac:dyDescent="0.35">
      <c r="I579" s="63"/>
      <c r="J579" s="63"/>
    </row>
    <row r="580" spans="9:10" x14ac:dyDescent="0.35">
      <c r="I580" s="63"/>
      <c r="J580" s="63"/>
    </row>
    <row r="581" spans="9:10" x14ac:dyDescent="0.35">
      <c r="I581" s="63"/>
      <c r="J581" s="63"/>
    </row>
    <row r="582" spans="9:10" x14ac:dyDescent="0.35">
      <c r="I582" s="63"/>
      <c r="J582" s="63"/>
    </row>
    <row r="583" spans="9:10" x14ac:dyDescent="0.35">
      <c r="I583" s="63"/>
      <c r="J583" s="63"/>
    </row>
    <row r="584" spans="9:10" x14ac:dyDescent="0.35">
      <c r="I584" s="63"/>
      <c r="J584" s="63"/>
    </row>
    <row r="585" spans="9:10" x14ac:dyDescent="0.35">
      <c r="I585" s="63"/>
      <c r="J585" s="63"/>
    </row>
    <row r="586" spans="9:10" x14ac:dyDescent="0.35">
      <c r="I586" s="63"/>
      <c r="J586" s="63"/>
    </row>
    <row r="587" spans="9:10" x14ac:dyDescent="0.35">
      <c r="I587" s="63"/>
      <c r="J587" s="63"/>
    </row>
    <row r="588" spans="9:10" x14ac:dyDescent="0.35">
      <c r="I588" s="63"/>
      <c r="J588" s="63"/>
    </row>
    <row r="589" spans="9:10" x14ac:dyDescent="0.35">
      <c r="I589" s="63"/>
      <c r="J589" s="63"/>
    </row>
    <row r="590" spans="9:10" x14ac:dyDescent="0.35">
      <c r="I590" s="63"/>
      <c r="J590" s="63"/>
    </row>
    <row r="591" spans="9:10" x14ac:dyDescent="0.35">
      <c r="I591" s="63"/>
      <c r="J591" s="63"/>
    </row>
    <row r="592" spans="9:10" x14ac:dyDescent="0.35">
      <c r="I592" s="63"/>
      <c r="J592" s="63"/>
    </row>
    <row r="593" spans="9:10" x14ac:dyDescent="0.35">
      <c r="I593" s="63"/>
      <c r="J593" s="63"/>
    </row>
    <row r="594" spans="9:10" x14ac:dyDescent="0.35">
      <c r="I594" s="63"/>
      <c r="J594" s="63"/>
    </row>
    <row r="595" spans="9:10" x14ac:dyDescent="0.35">
      <c r="I595" s="63"/>
      <c r="J595" s="63"/>
    </row>
    <row r="596" spans="9:10" x14ac:dyDescent="0.35">
      <c r="I596" s="63"/>
      <c r="J596" s="63"/>
    </row>
    <row r="597" spans="9:10" x14ac:dyDescent="0.35">
      <c r="I597" s="63"/>
      <c r="J597" s="63"/>
    </row>
    <row r="598" spans="9:10" x14ac:dyDescent="0.35">
      <c r="I598" s="63"/>
      <c r="J598" s="63"/>
    </row>
    <row r="599" spans="9:10" x14ac:dyDescent="0.35">
      <c r="I599" s="63"/>
      <c r="J599" s="63"/>
    </row>
    <row r="600" spans="9:10" x14ac:dyDescent="0.35">
      <c r="I600" s="63"/>
      <c r="J600" s="63"/>
    </row>
    <row r="601" spans="9:10" x14ac:dyDescent="0.35">
      <c r="I601" s="63"/>
      <c r="J601" s="63"/>
    </row>
    <row r="602" spans="9:10" x14ac:dyDescent="0.35">
      <c r="I602" s="63"/>
      <c r="J602" s="63"/>
    </row>
    <row r="603" spans="9:10" x14ac:dyDescent="0.35">
      <c r="I603" s="63"/>
      <c r="J603" s="63"/>
    </row>
    <row r="604" spans="9:10" x14ac:dyDescent="0.35">
      <c r="I604" s="63"/>
      <c r="J604" s="63"/>
    </row>
    <row r="605" spans="9:10" x14ac:dyDescent="0.35">
      <c r="I605" s="63"/>
      <c r="J605" s="63"/>
    </row>
    <row r="606" spans="9:10" x14ac:dyDescent="0.35">
      <c r="I606" s="63"/>
      <c r="J606" s="63"/>
    </row>
    <row r="607" spans="9:10" x14ac:dyDescent="0.35">
      <c r="I607" s="63"/>
      <c r="J607" s="63"/>
    </row>
    <row r="608" spans="9:10" x14ac:dyDescent="0.35">
      <c r="I608" s="63"/>
      <c r="J608" s="63"/>
    </row>
    <row r="609" spans="9:10" x14ac:dyDescent="0.35">
      <c r="I609" s="63"/>
      <c r="J609" s="63"/>
    </row>
    <row r="610" spans="9:10" x14ac:dyDescent="0.35">
      <c r="I610" s="63"/>
      <c r="J610" s="63"/>
    </row>
    <row r="611" spans="9:10" x14ac:dyDescent="0.35">
      <c r="I611" s="63"/>
      <c r="J611" s="63"/>
    </row>
    <row r="612" spans="9:10" x14ac:dyDescent="0.35">
      <c r="I612" s="63"/>
      <c r="J612" s="63"/>
    </row>
    <row r="613" spans="9:10" x14ac:dyDescent="0.35">
      <c r="I613" s="63"/>
      <c r="J613" s="63"/>
    </row>
    <row r="614" spans="9:10" x14ac:dyDescent="0.35">
      <c r="I614" s="63"/>
      <c r="J614" s="63"/>
    </row>
    <row r="615" spans="9:10" x14ac:dyDescent="0.35">
      <c r="I615" s="63"/>
      <c r="J615" s="63"/>
    </row>
    <row r="616" spans="9:10" x14ac:dyDescent="0.35">
      <c r="I616" s="63"/>
      <c r="J616" s="63"/>
    </row>
    <row r="617" spans="9:10" x14ac:dyDescent="0.35">
      <c r="I617" s="63"/>
      <c r="J617" s="63"/>
    </row>
    <row r="618" spans="9:10" x14ac:dyDescent="0.35">
      <c r="I618" s="63"/>
      <c r="J618" s="63"/>
    </row>
    <row r="619" spans="9:10" x14ac:dyDescent="0.35">
      <c r="I619" s="63"/>
      <c r="J619" s="63"/>
    </row>
    <row r="620" spans="9:10" x14ac:dyDescent="0.35">
      <c r="I620" s="63"/>
      <c r="J620" s="63"/>
    </row>
    <row r="621" spans="9:10" x14ac:dyDescent="0.35">
      <c r="I621" s="63"/>
      <c r="J621" s="63"/>
    </row>
    <row r="622" spans="9:10" x14ac:dyDescent="0.35">
      <c r="I622" s="63"/>
      <c r="J622" s="63"/>
    </row>
    <row r="623" spans="9:10" x14ac:dyDescent="0.35">
      <c r="I623" s="63"/>
      <c r="J623" s="63"/>
    </row>
    <row r="624" spans="9:10" x14ac:dyDescent="0.35">
      <c r="I624" s="63"/>
      <c r="J624" s="63"/>
    </row>
    <row r="625" spans="9:10" x14ac:dyDescent="0.35">
      <c r="I625" s="63"/>
      <c r="J625" s="63"/>
    </row>
    <row r="626" spans="9:10" x14ac:dyDescent="0.35">
      <c r="I626" s="63"/>
      <c r="J626" s="63"/>
    </row>
    <row r="627" spans="9:10" x14ac:dyDescent="0.35">
      <c r="I627" s="63"/>
      <c r="J627" s="63"/>
    </row>
    <row r="628" spans="9:10" x14ac:dyDescent="0.35">
      <c r="I628" s="63"/>
      <c r="J628" s="63"/>
    </row>
    <row r="629" spans="9:10" x14ac:dyDescent="0.35">
      <c r="I629" s="63"/>
      <c r="J629" s="63"/>
    </row>
    <row r="630" spans="9:10" x14ac:dyDescent="0.35">
      <c r="I630" s="63"/>
      <c r="J630" s="63"/>
    </row>
    <row r="631" spans="9:10" x14ac:dyDescent="0.35">
      <c r="I631" s="63"/>
      <c r="J631" s="63"/>
    </row>
    <row r="632" spans="9:10" x14ac:dyDescent="0.35">
      <c r="I632" s="63"/>
      <c r="J632" s="63"/>
    </row>
    <row r="633" spans="9:10" x14ac:dyDescent="0.35">
      <c r="I633" s="63"/>
      <c r="J633" s="63"/>
    </row>
    <row r="634" spans="9:10" x14ac:dyDescent="0.35">
      <c r="I634" s="63"/>
      <c r="J634" s="63"/>
    </row>
    <row r="635" spans="9:10" x14ac:dyDescent="0.35">
      <c r="I635" s="63"/>
      <c r="J635" s="63"/>
    </row>
    <row r="636" spans="9:10" x14ac:dyDescent="0.35">
      <c r="I636" s="63"/>
      <c r="J636" s="63"/>
    </row>
    <row r="637" spans="9:10" x14ac:dyDescent="0.35">
      <c r="I637" s="63"/>
      <c r="J637" s="63"/>
    </row>
    <row r="638" spans="9:10" x14ac:dyDescent="0.35">
      <c r="I638" s="63"/>
      <c r="J638" s="63"/>
    </row>
    <row r="639" spans="9:10" x14ac:dyDescent="0.35">
      <c r="I639" s="63"/>
      <c r="J639" s="63"/>
    </row>
    <row r="640" spans="9:10" x14ac:dyDescent="0.35">
      <c r="I640" s="63"/>
      <c r="J640" s="63"/>
    </row>
    <row r="641" spans="9:10" x14ac:dyDescent="0.35">
      <c r="I641" s="63"/>
      <c r="J641" s="63"/>
    </row>
    <row r="642" spans="9:10" x14ac:dyDescent="0.35">
      <c r="I642" s="63"/>
      <c r="J642" s="63"/>
    </row>
    <row r="643" spans="9:10" x14ac:dyDescent="0.35">
      <c r="I643" s="63"/>
      <c r="J643" s="63"/>
    </row>
    <row r="644" spans="9:10" x14ac:dyDescent="0.35">
      <c r="I644" s="63"/>
      <c r="J644" s="63"/>
    </row>
    <row r="645" spans="9:10" x14ac:dyDescent="0.35">
      <c r="I645" s="63"/>
      <c r="J645" s="63"/>
    </row>
    <row r="646" spans="9:10" x14ac:dyDescent="0.35">
      <c r="I646" s="63"/>
      <c r="J646" s="63"/>
    </row>
    <row r="647" spans="9:10" x14ac:dyDescent="0.35">
      <c r="I647" s="63"/>
      <c r="J647" s="63"/>
    </row>
    <row r="648" spans="9:10" x14ac:dyDescent="0.35">
      <c r="I648" s="63"/>
      <c r="J648" s="63"/>
    </row>
    <row r="649" spans="9:10" x14ac:dyDescent="0.35">
      <c r="I649" s="63"/>
      <c r="J649" s="63"/>
    </row>
    <row r="650" spans="9:10" x14ac:dyDescent="0.35">
      <c r="I650" s="63"/>
      <c r="J650" s="63"/>
    </row>
    <row r="651" spans="9:10" x14ac:dyDescent="0.35">
      <c r="I651" s="63"/>
      <c r="J651" s="63"/>
    </row>
    <row r="652" spans="9:10" x14ac:dyDescent="0.35">
      <c r="I652" s="63"/>
      <c r="J652" s="63"/>
    </row>
    <row r="653" spans="9:10" x14ac:dyDescent="0.35">
      <c r="I653" s="63"/>
      <c r="J653" s="63"/>
    </row>
    <row r="654" spans="9:10" x14ac:dyDescent="0.35">
      <c r="I654" s="63"/>
      <c r="J654" s="63"/>
    </row>
    <row r="655" spans="9:10" x14ac:dyDescent="0.35">
      <c r="I655" s="63"/>
      <c r="J655" s="63"/>
    </row>
    <row r="656" spans="9:10" x14ac:dyDescent="0.35">
      <c r="I656" s="63"/>
      <c r="J656" s="63"/>
    </row>
    <row r="657" spans="9:10" x14ac:dyDescent="0.35">
      <c r="I657" s="63"/>
      <c r="J657" s="63"/>
    </row>
    <row r="658" spans="9:10" x14ac:dyDescent="0.35">
      <c r="I658" s="63"/>
      <c r="J658" s="63"/>
    </row>
    <row r="659" spans="9:10" x14ac:dyDescent="0.35">
      <c r="I659" s="63"/>
      <c r="J659" s="63"/>
    </row>
    <row r="660" spans="9:10" x14ac:dyDescent="0.35">
      <c r="I660" s="63"/>
      <c r="J660" s="63"/>
    </row>
    <row r="661" spans="9:10" x14ac:dyDescent="0.35">
      <c r="I661" s="63"/>
      <c r="J661" s="63"/>
    </row>
    <row r="662" spans="9:10" x14ac:dyDescent="0.35">
      <c r="I662" s="63"/>
      <c r="J662" s="63"/>
    </row>
    <row r="663" spans="9:10" x14ac:dyDescent="0.35">
      <c r="I663" s="63"/>
      <c r="J663" s="63"/>
    </row>
    <row r="664" spans="9:10" x14ac:dyDescent="0.35">
      <c r="I664" s="63"/>
      <c r="J664" s="63"/>
    </row>
    <row r="665" spans="9:10" x14ac:dyDescent="0.35">
      <c r="I665" s="63"/>
      <c r="J665" s="63"/>
    </row>
    <row r="666" spans="9:10" x14ac:dyDescent="0.35">
      <c r="I666" s="63"/>
      <c r="J666" s="63"/>
    </row>
    <row r="667" spans="9:10" x14ac:dyDescent="0.35">
      <c r="I667" s="63"/>
      <c r="J667" s="63"/>
    </row>
    <row r="668" spans="9:10" x14ac:dyDescent="0.35">
      <c r="I668" s="63"/>
      <c r="J668" s="63"/>
    </row>
    <row r="669" spans="9:10" x14ac:dyDescent="0.35">
      <c r="I669" s="63"/>
      <c r="J669" s="63"/>
    </row>
    <row r="670" spans="9:10" x14ac:dyDescent="0.35">
      <c r="I670" s="63"/>
      <c r="J670" s="63"/>
    </row>
    <row r="671" spans="9:10" x14ac:dyDescent="0.35">
      <c r="I671" s="63"/>
      <c r="J671" s="63"/>
    </row>
    <row r="672" spans="9:10" x14ac:dyDescent="0.35">
      <c r="I672" s="63"/>
      <c r="J672" s="63"/>
    </row>
    <row r="673" spans="9:10" x14ac:dyDescent="0.35">
      <c r="I673" s="63"/>
      <c r="J673" s="63"/>
    </row>
    <row r="674" spans="9:10" x14ac:dyDescent="0.35">
      <c r="I674" s="63"/>
      <c r="J674" s="63"/>
    </row>
    <row r="675" spans="9:10" x14ac:dyDescent="0.35">
      <c r="I675" s="63"/>
      <c r="J675" s="63"/>
    </row>
    <row r="676" spans="9:10" x14ac:dyDescent="0.35">
      <c r="I676" s="63"/>
      <c r="J676" s="63"/>
    </row>
    <row r="677" spans="9:10" x14ac:dyDescent="0.35">
      <c r="I677" s="63"/>
      <c r="J677" s="63"/>
    </row>
    <row r="678" spans="9:10" x14ac:dyDescent="0.35">
      <c r="I678" s="63"/>
      <c r="J678" s="63"/>
    </row>
    <row r="679" spans="9:10" x14ac:dyDescent="0.35">
      <c r="I679" s="63"/>
      <c r="J679" s="63"/>
    </row>
    <row r="680" spans="9:10" x14ac:dyDescent="0.35">
      <c r="I680" s="63"/>
      <c r="J680" s="63"/>
    </row>
    <row r="681" spans="9:10" x14ac:dyDescent="0.35">
      <c r="I681" s="63"/>
      <c r="J681" s="63"/>
    </row>
    <row r="682" spans="9:10" x14ac:dyDescent="0.35">
      <c r="I682" s="63"/>
      <c r="J682" s="63"/>
    </row>
    <row r="683" spans="9:10" x14ac:dyDescent="0.35">
      <c r="I683" s="63"/>
      <c r="J683" s="63"/>
    </row>
    <row r="684" spans="9:10" x14ac:dyDescent="0.35">
      <c r="I684" s="63"/>
      <c r="J684" s="63"/>
    </row>
    <row r="685" spans="9:10" x14ac:dyDescent="0.35">
      <c r="I685" s="63"/>
      <c r="J685" s="63"/>
    </row>
    <row r="686" spans="9:10" x14ac:dyDescent="0.35">
      <c r="I686" s="63"/>
      <c r="J686" s="63"/>
    </row>
    <row r="687" spans="9:10" x14ac:dyDescent="0.35">
      <c r="I687" s="63"/>
      <c r="J687" s="63"/>
    </row>
    <row r="688" spans="9:10" x14ac:dyDescent="0.35">
      <c r="I688" s="63"/>
      <c r="J688" s="63"/>
    </row>
    <row r="689" spans="9:10" x14ac:dyDescent="0.35">
      <c r="I689" s="63"/>
      <c r="J689" s="63"/>
    </row>
    <row r="690" spans="9:10" x14ac:dyDescent="0.35">
      <c r="I690" s="63"/>
      <c r="J690" s="63"/>
    </row>
    <row r="691" spans="9:10" x14ac:dyDescent="0.35">
      <c r="I691" s="63"/>
      <c r="J691" s="63"/>
    </row>
    <row r="692" spans="9:10" x14ac:dyDescent="0.35">
      <c r="I692" s="63"/>
      <c r="J692" s="63"/>
    </row>
    <row r="693" spans="9:10" x14ac:dyDescent="0.35">
      <c r="I693" s="63"/>
      <c r="J693" s="63"/>
    </row>
    <row r="694" spans="9:10" x14ac:dyDescent="0.35">
      <c r="I694" s="63"/>
      <c r="J694" s="63"/>
    </row>
    <row r="695" spans="9:10" x14ac:dyDescent="0.35">
      <c r="I695" s="63"/>
      <c r="J695" s="63"/>
    </row>
    <row r="696" spans="9:10" x14ac:dyDescent="0.35">
      <c r="I696" s="63"/>
      <c r="J696" s="63"/>
    </row>
    <row r="697" spans="9:10" x14ac:dyDescent="0.35">
      <c r="I697" s="63"/>
      <c r="J697" s="63"/>
    </row>
    <row r="698" spans="9:10" x14ac:dyDescent="0.35">
      <c r="I698" s="63"/>
      <c r="J698" s="63"/>
    </row>
    <row r="699" spans="9:10" x14ac:dyDescent="0.35">
      <c r="I699" s="63"/>
      <c r="J699" s="63"/>
    </row>
    <row r="700" spans="9:10" x14ac:dyDescent="0.35">
      <c r="I700" s="63"/>
      <c r="J700" s="63"/>
    </row>
    <row r="701" spans="9:10" x14ac:dyDescent="0.35">
      <c r="I701" s="63"/>
      <c r="J701" s="63"/>
    </row>
    <row r="702" spans="9:10" x14ac:dyDescent="0.35">
      <c r="I702" s="63"/>
      <c r="J702" s="63"/>
    </row>
    <row r="703" spans="9:10" x14ac:dyDescent="0.35">
      <c r="I703" s="63"/>
      <c r="J703" s="63"/>
    </row>
    <row r="704" spans="9:10" x14ac:dyDescent="0.35">
      <c r="I704" s="63"/>
      <c r="J704" s="63"/>
    </row>
    <row r="705" spans="9:10" x14ac:dyDescent="0.35">
      <c r="I705" s="63"/>
      <c r="J705" s="63"/>
    </row>
    <row r="706" spans="9:10" x14ac:dyDescent="0.35">
      <c r="I706" s="63"/>
      <c r="J706" s="63"/>
    </row>
    <row r="707" spans="9:10" x14ac:dyDescent="0.35">
      <c r="I707" s="63"/>
      <c r="J707" s="63"/>
    </row>
    <row r="708" spans="9:10" x14ac:dyDescent="0.35">
      <c r="I708" s="63"/>
      <c r="J708" s="63"/>
    </row>
    <row r="709" spans="9:10" x14ac:dyDescent="0.35">
      <c r="I709" s="63"/>
      <c r="J709" s="63"/>
    </row>
    <row r="710" spans="9:10" x14ac:dyDescent="0.35">
      <c r="I710" s="63"/>
      <c r="J710" s="63"/>
    </row>
    <row r="711" spans="9:10" x14ac:dyDescent="0.35">
      <c r="I711" s="63"/>
      <c r="J711" s="63"/>
    </row>
    <row r="712" spans="9:10" x14ac:dyDescent="0.35">
      <c r="I712" s="63"/>
      <c r="J712" s="63"/>
    </row>
    <row r="713" spans="9:10" x14ac:dyDescent="0.35">
      <c r="I713" s="63"/>
      <c r="J713" s="63"/>
    </row>
    <row r="714" spans="9:10" x14ac:dyDescent="0.35">
      <c r="I714" s="63"/>
      <c r="J714" s="63"/>
    </row>
    <row r="715" spans="9:10" x14ac:dyDescent="0.35">
      <c r="I715" s="63"/>
      <c r="J715" s="63"/>
    </row>
    <row r="716" spans="9:10" x14ac:dyDescent="0.35">
      <c r="I716" s="63"/>
      <c r="J716" s="63"/>
    </row>
    <row r="717" spans="9:10" x14ac:dyDescent="0.35">
      <c r="I717" s="63"/>
      <c r="J717" s="63"/>
    </row>
    <row r="718" spans="9:10" x14ac:dyDescent="0.35">
      <c r="I718" s="63"/>
      <c r="J718" s="63"/>
    </row>
    <row r="719" spans="9:10" x14ac:dyDescent="0.35">
      <c r="I719" s="63"/>
      <c r="J719" s="63"/>
    </row>
    <row r="720" spans="9:10" x14ac:dyDescent="0.35">
      <c r="I720" s="63"/>
      <c r="J720" s="63"/>
    </row>
    <row r="721" spans="9:10" x14ac:dyDescent="0.35">
      <c r="I721" s="63"/>
      <c r="J721" s="63"/>
    </row>
    <row r="722" spans="9:10" x14ac:dyDescent="0.35">
      <c r="I722" s="63"/>
      <c r="J722" s="63"/>
    </row>
    <row r="723" spans="9:10" x14ac:dyDescent="0.35">
      <c r="I723" s="63"/>
      <c r="J723" s="63"/>
    </row>
    <row r="724" spans="9:10" x14ac:dyDescent="0.35">
      <c r="I724" s="63"/>
      <c r="J724" s="63"/>
    </row>
    <row r="725" spans="9:10" x14ac:dyDescent="0.35">
      <c r="I725" s="63"/>
      <c r="J725" s="63"/>
    </row>
    <row r="726" spans="9:10" x14ac:dyDescent="0.35">
      <c r="I726" s="63"/>
      <c r="J726" s="63"/>
    </row>
    <row r="727" spans="9:10" x14ac:dyDescent="0.35">
      <c r="I727" s="63"/>
      <c r="J727" s="63"/>
    </row>
    <row r="728" spans="9:10" x14ac:dyDescent="0.35">
      <c r="I728" s="63"/>
      <c r="J728" s="63"/>
    </row>
    <row r="729" spans="9:10" x14ac:dyDescent="0.35">
      <c r="I729" s="63"/>
      <c r="J729" s="63"/>
    </row>
    <row r="730" spans="9:10" x14ac:dyDescent="0.35">
      <c r="I730" s="63"/>
      <c r="J730" s="63"/>
    </row>
    <row r="731" spans="9:10" x14ac:dyDescent="0.35">
      <c r="I731" s="63"/>
      <c r="J731" s="63"/>
    </row>
    <row r="732" spans="9:10" x14ac:dyDescent="0.35">
      <c r="I732" s="63"/>
      <c r="J732" s="63"/>
    </row>
    <row r="733" spans="9:10" x14ac:dyDescent="0.35">
      <c r="I733" s="63"/>
      <c r="J733" s="63"/>
    </row>
    <row r="734" spans="9:10" x14ac:dyDescent="0.35">
      <c r="I734" s="63"/>
      <c r="J734" s="63"/>
    </row>
    <row r="735" spans="9:10" x14ac:dyDescent="0.35">
      <c r="I735" s="63"/>
      <c r="J735" s="63"/>
    </row>
    <row r="736" spans="9:10" x14ac:dyDescent="0.35">
      <c r="I736" s="63"/>
      <c r="J736" s="63"/>
    </row>
    <row r="737" spans="9:10" x14ac:dyDescent="0.35">
      <c r="I737" s="63"/>
      <c r="J737" s="63"/>
    </row>
    <row r="738" spans="9:10" x14ac:dyDescent="0.35">
      <c r="I738" s="63"/>
      <c r="J738" s="63"/>
    </row>
    <row r="739" spans="9:10" x14ac:dyDescent="0.35">
      <c r="I739" s="63"/>
      <c r="J739" s="63"/>
    </row>
    <row r="740" spans="9:10" x14ac:dyDescent="0.35">
      <c r="I740" s="63"/>
      <c r="J740" s="63"/>
    </row>
    <row r="741" spans="9:10" x14ac:dyDescent="0.35">
      <c r="I741" s="63"/>
      <c r="J741" s="63"/>
    </row>
    <row r="742" spans="9:10" x14ac:dyDescent="0.35">
      <c r="I742" s="63"/>
      <c r="J742" s="63"/>
    </row>
    <row r="743" spans="9:10" x14ac:dyDescent="0.35">
      <c r="I743" s="63"/>
      <c r="J743" s="63"/>
    </row>
    <row r="744" spans="9:10" x14ac:dyDescent="0.35">
      <c r="I744" s="63"/>
      <c r="J744" s="63"/>
    </row>
    <row r="745" spans="9:10" x14ac:dyDescent="0.35">
      <c r="I745" s="63"/>
      <c r="J745" s="63"/>
    </row>
    <row r="746" spans="9:10" x14ac:dyDescent="0.35">
      <c r="I746" s="63"/>
      <c r="J746" s="63"/>
    </row>
    <row r="747" spans="9:10" x14ac:dyDescent="0.35">
      <c r="I747" s="63"/>
      <c r="J747" s="63"/>
    </row>
    <row r="748" spans="9:10" x14ac:dyDescent="0.35">
      <c r="I748" s="63"/>
      <c r="J748" s="63"/>
    </row>
    <row r="749" spans="9:10" x14ac:dyDescent="0.35">
      <c r="I749" s="63"/>
      <c r="J749" s="63"/>
    </row>
    <row r="750" spans="9:10" x14ac:dyDescent="0.35">
      <c r="I750" s="63"/>
      <c r="J750" s="63"/>
    </row>
    <row r="751" spans="9:10" x14ac:dyDescent="0.35">
      <c r="I751" s="63"/>
      <c r="J751" s="63"/>
    </row>
    <row r="752" spans="9:10" x14ac:dyDescent="0.35">
      <c r="I752" s="63"/>
      <c r="J752" s="63"/>
    </row>
    <row r="753" spans="9:10" x14ac:dyDescent="0.35">
      <c r="I753" s="63"/>
      <c r="J753" s="63"/>
    </row>
    <row r="754" spans="9:10" x14ac:dyDescent="0.35">
      <c r="I754" s="63"/>
      <c r="J754" s="63"/>
    </row>
    <row r="755" spans="9:10" x14ac:dyDescent="0.35">
      <c r="I755" s="63"/>
      <c r="J755" s="63"/>
    </row>
    <row r="756" spans="9:10" x14ac:dyDescent="0.35">
      <c r="I756" s="63"/>
      <c r="J756" s="63"/>
    </row>
    <row r="757" spans="9:10" x14ac:dyDescent="0.35">
      <c r="I757" s="63"/>
      <c r="J757" s="63"/>
    </row>
    <row r="758" spans="9:10" x14ac:dyDescent="0.35">
      <c r="I758" s="63"/>
      <c r="J758" s="63"/>
    </row>
    <row r="759" spans="9:10" x14ac:dyDescent="0.35">
      <c r="I759" s="63"/>
      <c r="J759" s="63"/>
    </row>
    <row r="760" spans="9:10" x14ac:dyDescent="0.35">
      <c r="I760" s="63"/>
      <c r="J760" s="63"/>
    </row>
    <row r="761" spans="9:10" x14ac:dyDescent="0.35">
      <c r="I761" s="63"/>
      <c r="J761" s="63"/>
    </row>
    <row r="762" spans="9:10" x14ac:dyDescent="0.35">
      <c r="I762" s="63"/>
      <c r="J762" s="63"/>
    </row>
    <row r="763" spans="9:10" x14ac:dyDescent="0.35">
      <c r="I763" s="63"/>
      <c r="J763" s="63"/>
    </row>
    <row r="764" spans="9:10" x14ac:dyDescent="0.35">
      <c r="I764" s="63"/>
      <c r="J764" s="63"/>
    </row>
    <row r="765" spans="9:10" x14ac:dyDescent="0.35">
      <c r="I765" s="63"/>
      <c r="J765" s="63"/>
    </row>
    <row r="766" spans="9:10" x14ac:dyDescent="0.35">
      <c r="I766" s="63"/>
      <c r="J766" s="63"/>
    </row>
    <row r="767" spans="9:10" x14ac:dyDescent="0.35">
      <c r="I767" s="63"/>
      <c r="J767" s="63"/>
    </row>
    <row r="768" spans="9:10" x14ac:dyDescent="0.35">
      <c r="I768" s="63"/>
      <c r="J768" s="63"/>
    </row>
    <row r="769" spans="9:10" x14ac:dyDescent="0.35">
      <c r="I769" s="63"/>
      <c r="J769" s="63"/>
    </row>
    <row r="770" spans="9:10" x14ac:dyDescent="0.35">
      <c r="I770" s="63"/>
      <c r="J770" s="63"/>
    </row>
    <row r="771" spans="9:10" x14ac:dyDescent="0.35">
      <c r="I771" s="63"/>
      <c r="J771" s="63"/>
    </row>
    <row r="772" spans="9:10" x14ac:dyDescent="0.35">
      <c r="I772" s="63"/>
      <c r="J772" s="63"/>
    </row>
    <row r="773" spans="9:10" x14ac:dyDescent="0.35">
      <c r="I773" s="63"/>
      <c r="J773" s="63"/>
    </row>
    <row r="774" spans="9:10" x14ac:dyDescent="0.35">
      <c r="I774" s="63"/>
      <c r="J774" s="63"/>
    </row>
    <row r="775" spans="9:10" x14ac:dyDescent="0.35">
      <c r="I775" s="63"/>
      <c r="J775" s="63"/>
    </row>
    <row r="776" spans="9:10" x14ac:dyDescent="0.35">
      <c r="I776" s="63"/>
      <c r="J776" s="63"/>
    </row>
    <row r="777" spans="9:10" x14ac:dyDescent="0.35">
      <c r="I777" s="63"/>
      <c r="J777" s="63"/>
    </row>
    <row r="778" spans="9:10" x14ac:dyDescent="0.35">
      <c r="I778" s="63"/>
      <c r="J778" s="63"/>
    </row>
    <row r="779" spans="9:10" x14ac:dyDescent="0.35">
      <c r="I779" s="63"/>
      <c r="J779" s="63"/>
    </row>
    <row r="780" spans="9:10" x14ac:dyDescent="0.35">
      <c r="I780" s="63"/>
      <c r="J780" s="63"/>
    </row>
    <row r="781" spans="9:10" x14ac:dyDescent="0.35">
      <c r="I781" s="63"/>
      <c r="J781" s="63"/>
    </row>
    <row r="782" spans="9:10" x14ac:dyDescent="0.35">
      <c r="I782" s="63"/>
      <c r="J782" s="63"/>
    </row>
    <row r="783" spans="9:10" x14ac:dyDescent="0.35">
      <c r="I783" s="63"/>
      <c r="J783" s="63"/>
    </row>
    <row r="784" spans="9:10" x14ac:dyDescent="0.35">
      <c r="I784" s="63"/>
      <c r="J784" s="63"/>
    </row>
    <row r="785" spans="9:10" x14ac:dyDescent="0.35">
      <c r="I785" s="63"/>
      <c r="J785" s="63"/>
    </row>
    <row r="786" spans="9:10" x14ac:dyDescent="0.35">
      <c r="I786" s="63"/>
      <c r="J786" s="63"/>
    </row>
    <row r="787" spans="9:10" x14ac:dyDescent="0.35">
      <c r="I787" s="63"/>
      <c r="J787" s="63"/>
    </row>
    <row r="788" spans="9:10" x14ac:dyDescent="0.35">
      <c r="I788" s="63"/>
      <c r="J788" s="63"/>
    </row>
    <row r="789" spans="9:10" x14ac:dyDescent="0.35">
      <c r="I789" s="63"/>
      <c r="J789" s="63"/>
    </row>
    <row r="790" spans="9:10" x14ac:dyDescent="0.35">
      <c r="I790" s="63"/>
      <c r="J790" s="63"/>
    </row>
    <row r="791" spans="9:10" x14ac:dyDescent="0.35">
      <c r="I791" s="63"/>
      <c r="J791" s="63"/>
    </row>
    <row r="792" spans="9:10" x14ac:dyDescent="0.35">
      <c r="I792" s="63"/>
      <c r="J792" s="63"/>
    </row>
    <row r="793" spans="9:10" x14ac:dyDescent="0.35">
      <c r="I793" s="63"/>
      <c r="J793" s="63"/>
    </row>
    <row r="794" spans="9:10" x14ac:dyDescent="0.35">
      <c r="I794" s="63"/>
      <c r="J794" s="63"/>
    </row>
    <row r="795" spans="9:10" x14ac:dyDescent="0.35">
      <c r="I795" s="63"/>
      <c r="J795" s="63"/>
    </row>
    <row r="796" spans="9:10" x14ac:dyDescent="0.35">
      <c r="I796" s="63"/>
      <c r="J796" s="63"/>
    </row>
    <row r="797" spans="9:10" x14ac:dyDescent="0.35">
      <c r="I797" s="63"/>
      <c r="J797" s="63"/>
    </row>
    <row r="798" spans="9:10" x14ac:dyDescent="0.35">
      <c r="I798" s="63"/>
      <c r="J798" s="63"/>
    </row>
    <row r="799" spans="9:10" x14ac:dyDescent="0.35">
      <c r="I799" s="63"/>
      <c r="J799" s="63"/>
    </row>
    <row r="800" spans="9:10" x14ac:dyDescent="0.35">
      <c r="I800" s="63"/>
      <c r="J800" s="63"/>
    </row>
    <row r="801" spans="9:10" x14ac:dyDescent="0.35">
      <c r="I801" s="63"/>
      <c r="J801" s="63"/>
    </row>
    <row r="802" spans="9:10" x14ac:dyDescent="0.35">
      <c r="I802" s="63"/>
      <c r="J802" s="63"/>
    </row>
    <row r="803" spans="9:10" x14ac:dyDescent="0.35">
      <c r="I803" s="63"/>
      <c r="J803" s="63"/>
    </row>
    <row r="804" spans="9:10" x14ac:dyDescent="0.35">
      <c r="I804" s="63"/>
      <c r="J804" s="63"/>
    </row>
    <row r="805" spans="9:10" x14ac:dyDescent="0.35">
      <c r="I805" s="63"/>
      <c r="J805" s="63"/>
    </row>
    <row r="806" spans="9:10" x14ac:dyDescent="0.35">
      <c r="I806" s="63"/>
      <c r="J806" s="63"/>
    </row>
    <row r="807" spans="9:10" x14ac:dyDescent="0.35">
      <c r="I807" s="63"/>
      <c r="J807" s="63"/>
    </row>
    <row r="808" spans="9:10" x14ac:dyDescent="0.35">
      <c r="I808" s="63"/>
      <c r="J808" s="63"/>
    </row>
    <row r="809" spans="9:10" x14ac:dyDescent="0.35">
      <c r="I809" s="63"/>
      <c r="J809" s="63"/>
    </row>
    <row r="810" spans="9:10" x14ac:dyDescent="0.35">
      <c r="I810" s="63"/>
      <c r="J810" s="63"/>
    </row>
    <row r="811" spans="9:10" x14ac:dyDescent="0.35">
      <c r="I811" s="63"/>
      <c r="J811" s="63"/>
    </row>
    <row r="812" spans="9:10" x14ac:dyDescent="0.35">
      <c r="I812" s="63"/>
      <c r="J812" s="63"/>
    </row>
    <row r="813" spans="9:10" x14ac:dyDescent="0.35">
      <c r="I813" s="63"/>
      <c r="J813" s="63"/>
    </row>
    <row r="814" spans="9:10" x14ac:dyDescent="0.35">
      <c r="I814" s="63"/>
      <c r="J814" s="63"/>
    </row>
    <row r="815" spans="9:10" x14ac:dyDescent="0.35">
      <c r="I815" s="63"/>
      <c r="J815" s="63"/>
    </row>
    <row r="816" spans="9:10" x14ac:dyDescent="0.35">
      <c r="I816" s="63"/>
      <c r="J816" s="63"/>
    </row>
    <row r="817" spans="9:10" x14ac:dyDescent="0.35">
      <c r="I817" s="63"/>
      <c r="J817" s="63"/>
    </row>
    <row r="818" spans="9:10" x14ac:dyDescent="0.35">
      <c r="I818" s="63"/>
      <c r="J818" s="63"/>
    </row>
    <row r="819" spans="9:10" x14ac:dyDescent="0.35">
      <c r="I819" s="63"/>
      <c r="J819" s="63"/>
    </row>
    <row r="820" spans="9:10" x14ac:dyDescent="0.35">
      <c r="I820" s="63"/>
      <c r="J820" s="63"/>
    </row>
    <row r="821" spans="9:10" x14ac:dyDescent="0.35">
      <c r="I821" s="63"/>
      <c r="J821" s="63"/>
    </row>
    <row r="822" spans="9:10" x14ac:dyDescent="0.35">
      <c r="I822" s="63"/>
      <c r="J822" s="63"/>
    </row>
    <row r="823" spans="9:10" x14ac:dyDescent="0.35">
      <c r="I823" s="63"/>
      <c r="J823" s="63"/>
    </row>
    <row r="824" spans="9:10" x14ac:dyDescent="0.35">
      <c r="I824" s="63"/>
      <c r="J824" s="63"/>
    </row>
    <row r="825" spans="9:10" x14ac:dyDescent="0.35">
      <c r="I825" s="63"/>
      <c r="J825" s="63"/>
    </row>
    <row r="826" spans="9:10" x14ac:dyDescent="0.35">
      <c r="I826" s="63"/>
      <c r="J826" s="63"/>
    </row>
    <row r="827" spans="9:10" x14ac:dyDescent="0.35">
      <c r="I827" s="63"/>
      <c r="J827" s="63"/>
    </row>
    <row r="828" spans="9:10" x14ac:dyDescent="0.35">
      <c r="I828" s="63"/>
      <c r="J828" s="63"/>
    </row>
    <row r="829" spans="9:10" x14ac:dyDescent="0.35">
      <c r="I829" s="63"/>
      <c r="J829" s="63"/>
    </row>
    <row r="830" spans="9:10" x14ac:dyDescent="0.35">
      <c r="I830" s="63"/>
      <c r="J830" s="63"/>
    </row>
    <row r="831" spans="9:10" x14ac:dyDescent="0.35">
      <c r="I831" s="63"/>
      <c r="J831" s="63"/>
    </row>
    <row r="832" spans="9:10" x14ac:dyDescent="0.35">
      <c r="I832" s="63"/>
      <c r="J832" s="63"/>
    </row>
    <row r="833" spans="9:10" x14ac:dyDescent="0.35">
      <c r="I833" s="63"/>
      <c r="J833" s="63"/>
    </row>
    <row r="834" spans="9:10" x14ac:dyDescent="0.35">
      <c r="I834" s="63"/>
      <c r="J834" s="63"/>
    </row>
    <row r="835" spans="9:10" x14ac:dyDescent="0.35">
      <c r="I835" s="63"/>
      <c r="J835" s="63"/>
    </row>
    <row r="836" spans="9:10" x14ac:dyDescent="0.35">
      <c r="I836" s="63"/>
      <c r="J836" s="63"/>
    </row>
    <row r="837" spans="9:10" x14ac:dyDescent="0.35">
      <c r="I837" s="63"/>
      <c r="J837" s="63"/>
    </row>
    <row r="838" spans="9:10" x14ac:dyDescent="0.35">
      <c r="I838" s="63"/>
      <c r="J838" s="63"/>
    </row>
    <row r="839" spans="9:10" x14ac:dyDescent="0.35">
      <c r="I839" s="63"/>
      <c r="J839" s="63"/>
    </row>
    <row r="840" spans="9:10" x14ac:dyDescent="0.35">
      <c r="I840" s="63"/>
      <c r="J840" s="63"/>
    </row>
    <row r="841" spans="9:10" x14ac:dyDescent="0.35">
      <c r="I841" s="63"/>
      <c r="J841" s="63"/>
    </row>
    <row r="842" spans="9:10" x14ac:dyDescent="0.35">
      <c r="I842" s="63"/>
      <c r="J842" s="63"/>
    </row>
    <row r="843" spans="9:10" x14ac:dyDescent="0.35">
      <c r="I843" s="63"/>
      <c r="J843" s="63"/>
    </row>
    <row r="844" spans="9:10" x14ac:dyDescent="0.35">
      <c r="I844" s="63"/>
      <c r="J844" s="63"/>
    </row>
    <row r="845" spans="9:10" x14ac:dyDescent="0.35">
      <c r="I845" s="63"/>
      <c r="J845" s="63"/>
    </row>
    <row r="846" spans="9:10" x14ac:dyDescent="0.35">
      <c r="I846" s="63"/>
      <c r="J846" s="63"/>
    </row>
    <row r="847" spans="9:10" x14ac:dyDescent="0.35">
      <c r="I847" s="63"/>
      <c r="J847" s="63"/>
    </row>
    <row r="848" spans="9:10" x14ac:dyDescent="0.35">
      <c r="I848" s="63"/>
      <c r="J848" s="63"/>
    </row>
    <row r="849" spans="9:10" x14ac:dyDescent="0.35">
      <c r="I849" s="63"/>
      <c r="J849" s="63"/>
    </row>
    <row r="850" spans="9:10" x14ac:dyDescent="0.35">
      <c r="I850" s="63"/>
      <c r="J850" s="63"/>
    </row>
    <row r="851" spans="9:10" x14ac:dyDescent="0.35">
      <c r="I851" s="63"/>
      <c r="J851" s="63"/>
    </row>
    <row r="852" spans="9:10" x14ac:dyDescent="0.35">
      <c r="I852" s="63"/>
      <c r="J852" s="63"/>
    </row>
    <row r="853" spans="9:10" x14ac:dyDescent="0.35">
      <c r="I853" s="63"/>
      <c r="J853" s="63"/>
    </row>
    <row r="854" spans="9:10" x14ac:dyDescent="0.35">
      <c r="I854" s="63"/>
      <c r="J854" s="63"/>
    </row>
    <row r="855" spans="9:10" x14ac:dyDescent="0.35">
      <c r="I855" s="63"/>
      <c r="J855" s="63"/>
    </row>
    <row r="856" spans="9:10" x14ac:dyDescent="0.35">
      <c r="I856" s="63"/>
      <c r="J856" s="63"/>
    </row>
    <row r="857" spans="9:10" x14ac:dyDescent="0.35">
      <c r="I857" s="63"/>
      <c r="J857" s="63"/>
    </row>
    <row r="858" spans="9:10" x14ac:dyDescent="0.35">
      <c r="I858" s="63"/>
      <c r="J858" s="63"/>
    </row>
    <row r="859" spans="9:10" x14ac:dyDescent="0.35">
      <c r="I859" s="63"/>
      <c r="J859" s="63"/>
    </row>
    <row r="860" spans="9:10" x14ac:dyDescent="0.35">
      <c r="I860" s="63"/>
      <c r="J860" s="63"/>
    </row>
    <row r="861" spans="9:10" x14ac:dyDescent="0.35">
      <c r="I861" s="63"/>
      <c r="J861" s="63"/>
    </row>
    <row r="862" spans="9:10" x14ac:dyDescent="0.35">
      <c r="I862" s="63"/>
      <c r="J862" s="63"/>
    </row>
    <row r="863" spans="9:10" x14ac:dyDescent="0.35">
      <c r="I863" s="63"/>
      <c r="J863" s="63"/>
    </row>
    <row r="864" spans="9:10" x14ac:dyDescent="0.35">
      <c r="I864" s="63"/>
      <c r="J864" s="63"/>
    </row>
    <row r="865" spans="9:10" x14ac:dyDescent="0.35">
      <c r="I865" s="63"/>
      <c r="J865" s="63"/>
    </row>
    <row r="866" spans="9:10" x14ac:dyDescent="0.35">
      <c r="I866" s="63"/>
      <c r="J866" s="63"/>
    </row>
    <row r="867" spans="9:10" x14ac:dyDescent="0.35">
      <c r="I867" s="63"/>
      <c r="J867" s="63"/>
    </row>
    <row r="868" spans="9:10" x14ac:dyDescent="0.35">
      <c r="I868" s="63"/>
      <c r="J868" s="63"/>
    </row>
    <row r="869" spans="9:10" x14ac:dyDescent="0.35">
      <c r="I869" s="63"/>
      <c r="J869" s="63"/>
    </row>
    <row r="870" spans="9:10" x14ac:dyDescent="0.35">
      <c r="I870" s="63"/>
      <c r="J870" s="63"/>
    </row>
    <row r="871" spans="9:10" x14ac:dyDescent="0.35">
      <c r="I871" s="63"/>
      <c r="J871" s="63"/>
    </row>
    <row r="872" spans="9:10" x14ac:dyDescent="0.35">
      <c r="I872" s="63"/>
      <c r="J872" s="63"/>
    </row>
    <row r="873" spans="9:10" x14ac:dyDescent="0.35">
      <c r="I873" s="63"/>
      <c r="J873" s="63"/>
    </row>
    <row r="874" spans="9:10" x14ac:dyDescent="0.35">
      <c r="I874" s="63"/>
      <c r="J874" s="63"/>
    </row>
    <row r="875" spans="9:10" x14ac:dyDescent="0.35">
      <c r="I875" s="63"/>
      <c r="J875" s="63"/>
    </row>
    <row r="876" spans="9:10" x14ac:dyDescent="0.35">
      <c r="I876" s="63"/>
      <c r="J876" s="63"/>
    </row>
    <row r="877" spans="9:10" x14ac:dyDescent="0.35">
      <c r="I877" s="63"/>
      <c r="J877" s="63"/>
    </row>
    <row r="878" spans="9:10" x14ac:dyDescent="0.35">
      <c r="I878" s="63"/>
      <c r="J878" s="63"/>
    </row>
    <row r="879" spans="9:10" x14ac:dyDescent="0.35">
      <c r="I879" s="63"/>
      <c r="J879" s="63"/>
    </row>
    <row r="880" spans="9:10" x14ac:dyDescent="0.35">
      <c r="I880" s="63"/>
      <c r="J880" s="63"/>
    </row>
    <row r="881" spans="9:10" x14ac:dyDescent="0.35">
      <c r="I881" s="63"/>
      <c r="J881" s="63"/>
    </row>
    <row r="882" spans="9:10" x14ac:dyDescent="0.35">
      <c r="I882" s="63"/>
      <c r="J882" s="63"/>
    </row>
    <row r="883" spans="9:10" x14ac:dyDescent="0.35">
      <c r="I883" s="63"/>
      <c r="J883" s="63"/>
    </row>
    <row r="884" spans="9:10" x14ac:dyDescent="0.35">
      <c r="I884" s="63"/>
      <c r="J884" s="63"/>
    </row>
    <row r="885" spans="9:10" x14ac:dyDescent="0.35">
      <c r="I885" s="63"/>
      <c r="J885" s="63"/>
    </row>
    <row r="886" spans="9:10" x14ac:dyDescent="0.35">
      <c r="I886" s="63"/>
      <c r="J886" s="63"/>
    </row>
    <row r="887" spans="9:10" x14ac:dyDescent="0.35">
      <c r="I887" s="63"/>
      <c r="J887" s="63"/>
    </row>
    <row r="888" spans="9:10" x14ac:dyDescent="0.35">
      <c r="I888" s="63"/>
      <c r="J888" s="63"/>
    </row>
    <row r="889" spans="9:10" x14ac:dyDescent="0.35">
      <c r="I889" s="63"/>
      <c r="J889" s="63"/>
    </row>
    <row r="890" spans="9:10" x14ac:dyDescent="0.35">
      <c r="I890" s="63"/>
      <c r="J890" s="63"/>
    </row>
    <row r="891" spans="9:10" x14ac:dyDescent="0.35">
      <c r="I891" s="63"/>
      <c r="J891" s="63"/>
    </row>
    <row r="892" spans="9:10" x14ac:dyDescent="0.35">
      <c r="I892" s="63"/>
      <c r="J892" s="63"/>
    </row>
    <row r="893" spans="9:10" x14ac:dyDescent="0.35">
      <c r="I893" s="63"/>
      <c r="J893" s="63"/>
    </row>
    <row r="894" spans="9:10" x14ac:dyDescent="0.35">
      <c r="I894" s="63"/>
      <c r="J894" s="63"/>
    </row>
    <row r="895" spans="9:10" x14ac:dyDescent="0.35">
      <c r="I895" s="63"/>
      <c r="J895" s="63"/>
    </row>
    <row r="896" spans="9:10" x14ac:dyDescent="0.35">
      <c r="I896" s="63"/>
      <c r="J896" s="63"/>
    </row>
    <row r="897" spans="9:10" x14ac:dyDescent="0.35">
      <c r="I897" s="63"/>
      <c r="J897" s="63"/>
    </row>
    <row r="898" spans="9:10" x14ac:dyDescent="0.35">
      <c r="I898" s="63"/>
      <c r="J898" s="63"/>
    </row>
    <row r="899" spans="9:10" x14ac:dyDescent="0.35">
      <c r="I899" s="63"/>
      <c r="J899" s="63"/>
    </row>
    <row r="900" spans="9:10" x14ac:dyDescent="0.35">
      <c r="I900" s="63"/>
      <c r="J900" s="63"/>
    </row>
    <row r="901" spans="9:10" x14ac:dyDescent="0.35">
      <c r="I901" s="63"/>
      <c r="J901" s="63"/>
    </row>
    <row r="902" spans="9:10" x14ac:dyDescent="0.35">
      <c r="I902" s="63"/>
      <c r="J902" s="63"/>
    </row>
    <row r="903" spans="9:10" x14ac:dyDescent="0.35">
      <c r="I903" s="63"/>
      <c r="J903" s="63"/>
    </row>
    <row r="904" spans="9:10" x14ac:dyDescent="0.35">
      <c r="I904" s="63"/>
      <c r="J904" s="63"/>
    </row>
    <row r="905" spans="9:10" x14ac:dyDescent="0.35">
      <c r="I905" s="63"/>
      <c r="J905" s="63"/>
    </row>
    <row r="906" spans="9:10" x14ac:dyDescent="0.35">
      <c r="I906" s="63"/>
      <c r="J906" s="63"/>
    </row>
    <row r="907" spans="9:10" x14ac:dyDescent="0.35">
      <c r="I907" s="63"/>
      <c r="J907" s="63"/>
    </row>
    <row r="908" spans="9:10" x14ac:dyDescent="0.35">
      <c r="I908" s="63"/>
      <c r="J908" s="63"/>
    </row>
    <row r="909" spans="9:10" x14ac:dyDescent="0.35">
      <c r="I909" s="63"/>
      <c r="J909" s="63"/>
    </row>
    <row r="910" spans="9:10" x14ac:dyDescent="0.35">
      <c r="I910" s="63"/>
      <c r="J910" s="63"/>
    </row>
    <row r="911" spans="9:10" x14ac:dyDescent="0.35">
      <c r="I911" s="63"/>
      <c r="J911" s="63"/>
    </row>
    <row r="912" spans="9:10" x14ac:dyDescent="0.35">
      <c r="I912" s="63"/>
      <c r="J912" s="63"/>
    </row>
    <row r="913" spans="9:10" x14ac:dyDescent="0.35">
      <c r="I913" s="63"/>
      <c r="J913" s="63"/>
    </row>
    <row r="914" spans="9:10" x14ac:dyDescent="0.35">
      <c r="I914" s="63"/>
      <c r="J914" s="63"/>
    </row>
    <row r="915" spans="9:10" x14ac:dyDescent="0.35">
      <c r="I915" s="63"/>
      <c r="J915" s="63"/>
    </row>
    <row r="916" spans="9:10" x14ac:dyDescent="0.35">
      <c r="I916" s="63"/>
      <c r="J916" s="63"/>
    </row>
    <row r="917" spans="9:10" x14ac:dyDescent="0.35">
      <c r="I917" s="63"/>
      <c r="J917" s="63"/>
    </row>
    <row r="918" spans="9:10" x14ac:dyDescent="0.35">
      <c r="I918" s="63"/>
      <c r="J918" s="63"/>
    </row>
    <row r="919" spans="9:10" x14ac:dyDescent="0.35">
      <c r="I919" s="63"/>
      <c r="J919" s="63"/>
    </row>
    <row r="920" spans="9:10" x14ac:dyDescent="0.35">
      <c r="I920" s="63"/>
      <c r="J920" s="63"/>
    </row>
    <row r="921" spans="9:10" x14ac:dyDescent="0.35">
      <c r="I921" s="63"/>
      <c r="J921" s="63"/>
    </row>
    <row r="922" spans="9:10" x14ac:dyDescent="0.35">
      <c r="I922" s="63"/>
      <c r="J922" s="63"/>
    </row>
    <row r="923" spans="9:10" x14ac:dyDescent="0.35">
      <c r="I923" s="63"/>
      <c r="J923" s="63"/>
    </row>
    <row r="924" spans="9:10" x14ac:dyDescent="0.35">
      <c r="I924" s="63"/>
      <c r="J924" s="63"/>
    </row>
    <row r="925" spans="9:10" x14ac:dyDescent="0.35">
      <c r="I925" s="63"/>
      <c r="J925" s="63"/>
    </row>
    <row r="926" spans="9:10" x14ac:dyDescent="0.35">
      <c r="I926" s="63"/>
      <c r="J926" s="63"/>
    </row>
    <row r="927" spans="9:10" x14ac:dyDescent="0.35">
      <c r="I927" s="63"/>
      <c r="J927" s="63"/>
    </row>
    <row r="928" spans="9:10" x14ac:dyDescent="0.35">
      <c r="I928" s="63"/>
      <c r="J928" s="63"/>
    </row>
    <row r="929" spans="9:10" x14ac:dyDescent="0.35">
      <c r="I929" s="63"/>
      <c r="J929" s="63"/>
    </row>
    <row r="930" spans="9:10" x14ac:dyDescent="0.35">
      <c r="I930" s="63"/>
      <c r="J930" s="63"/>
    </row>
    <row r="931" spans="9:10" x14ac:dyDescent="0.35">
      <c r="I931" s="63"/>
      <c r="J931" s="63"/>
    </row>
    <row r="932" spans="9:10" x14ac:dyDescent="0.35">
      <c r="I932" s="63"/>
      <c r="J932" s="63"/>
    </row>
    <row r="933" spans="9:10" x14ac:dyDescent="0.35">
      <c r="I933" s="63"/>
      <c r="J933" s="63"/>
    </row>
    <row r="934" spans="9:10" x14ac:dyDescent="0.35">
      <c r="I934" s="63"/>
      <c r="J934" s="63"/>
    </row>
    <row r="935" spans="9:10" x14ac:dyDescent="0.35">
      <c r="I935" s="63"/>
      <c r="J935" s="63"/>
    </row>
    <row r="936" spans="9:10" x14ac:dyDescent="0.35">
      <c r="I936" s="63"/>
      <c r="J936" s="63"/>
    </row>
    <row r="937" spans="9:10" x14ac:dyDescent="0.35">
      <c r="I937" s="63"/>
      <c r="J937" s="63"/>
    </row>
    <row r="938" spans="9:10" x14ac:dyDescent="0.35">
      <c r="I938" s="63"/>
      <c r="J938" s="63"/>
    </row>
    <row r="939" spans="9:10" x14ac:dyDescent="0.35">
      <c r="I939" s="63"/>
      <c r="J939" s="63"/>
    </row>
    <row r="940" spans="9:10" x14ac:dyDescent="0.35">
      <c r="I940" s="63"/>
      <c r="J940" s="63"/>
    </row>
    <row r="941" spans="9:10" x14ac:dyDescent="0.35">
      <c r="I941" s="63"/>
      <c r="J941" s="63"/>
    </row>
    <row r="942" spans="9:10" x14ac:dyDescent="0.35">
      <c r="I942" s="63"/>
      <c r="J942" s="63"/>
    </row>
    <row r="943" spans="9:10" x14ac:dyDescent="0.35">
      <c r="I943" s="63"/>
      <c r="J943" s="63"/>
    </row>
    <row r="944" spans="9:10" x14ac:dyDescent="0.35">
      <c r="I944" s="63"/>
      <c r="J944" s="63"/>
    </row>
    <row r="945" spans="9:10" x14ac:dyDescent="0.35">
      <c r="I945" s="63"/>
      <c r="J945" s="63"/>
    </row>
    <row r="946" spans="9:10" x14ac:dyDescent="0.35">
      <c r="I946" s="63"/>
      <c r="J946" s="63"/>
    </row>
    <row r="947" spans="9:10" x14ac:dyDescent="0.35">
      <c r="I947" s="63"/>
      <c r="J947" s="63"/>
    </row>
    <row r="948" spans="9:10" x14ac:dyDescent="0.35">
      <c r="I948" s="63"/>
      <c r="J948" s="63"/>
    </row>
    <row r="949" spans="9:10" x14ac:dyDescent="0.35">
      <c r="I949" s="63"/>
      <c r="J949" s="63"/>
    </row>
    <row r="950" spans="9:10" x14ac:dyDescent="0.35">
      <c r="I950" s="63"/>
      <c r="J950" s="63"/>
    </row>
    <row r="951" spans="9:10" x14ac:dyDescent="0.35">
      <c r="I951" s="63"/>
      <c r="J951" s="63"/>
    </row>
    <row r="952" spans="9:10" x14ac:dyDescent="0.35">
      <c r="I952" s="63"/>
      <c r="J952" s="63"/>
    </row>
    <row r="953" spans="9:10" x14ac:dyDescent="0.35">
      <c r="I953" s="63"/>
      <c r="J953" s="63"/>
    </row>
    <row r="954" spans="9:10" x14ac:dyDescent="0.35">
      <c r="I954" s="63"/>
      <c r="J954" s="63"/>
    </row>
    <row r="955" spans="9:10" x14ac:dyDescent="0.35">
      <c r="I955" s="63"/>
      <c r="J955" s="63"/>
    </row>
    <row r="956" spans="9:10" x14ac:dyDescent="0.35">
      <c r="I956" s="63"/>
      <c r="J956" s="63"/>
    </row>
    <row r="957" spans="9:10" x14ac:dyDescent="0.35">
      <c r="I957" s="63"/>
      <c r="J957" s="63"/>
    </row>
    <row r="958" spans="9:10" x14ac:dyDescent="0.35">
      <c r="I958" s="63"/>
      <c r="J958" s="63"/>
    </row>
    <row r="959" spans="9:10" x14ac:dyDescent="0.35">
      <c r="I959" s="63"/>
      <c r="J959" s="63"/>
    </row>
    <row r="960" spans="9:10" x14ac:dyDescent="0.35">
      <c r="I960" s="63"/>
      <c r="J960" s="63"/>
    </row>
    <row r="961" spans="9:10" x14ac:dyDescent="0.35">
      <c r="I961" s="63"/>
      <c r="J961" s="63"/>
    </row>
    <row r="962" spans="9:10" x14ac:dyDescent="0.35">
      <c r="I962" s="63"/>
      <c r="J962" s="63"/>
    </row>
    <row r="963" spans="9:10" x14ac:dyDescent="0.35">
      <c r="I963" s="63"/>
      <c r="J963" s="63"/>
    </row>
    <row r="964" spans="9:10" x14ac:dyDescent="0.35">
      <c r="I964" s="63"/>
      <c r="J964" s="63"/>
    </row>
    <row r="965" spans="9:10" x14ac:dyDescent="0.35">
      <c r="I965" s="63"/>
      <c r="J965" s="63"/>
    </row>
    <row r="966" spans="9:10" x14ac:dyDescent="0.35">
      <c r="I966" s="63"/>
      <c r="J966" s="63"/>
    </row>
    <row r="967" spans="9:10" x14ac:dyDescent="0.35">
      <c r="I967" s="63"/>
      <c r="J967" s="63"/>
    </row>
    <row r="968" spans="9:10" x14ac:dyDescent="0.35">
      <c r="I968" s="63"/>
      <c r="J968" s="63"/>
    </row>
    <row r="969" spans="9:10" x14ac:dyDescent="0.35">
      <c r="I969" s="63"/>
      <c r="J969" s="63"/>
    </row>
    <row r="970" spans="9:10" x14ac:dyDescent="0.35">
      <c r="I970" s="63"/>
      <c r="J970" s="63"/>
    </row>
    <row r="971" spans="9:10" x14ac:dyDescent="0.35">
      <c r="I971" s="63"/>
      <c r="J971" s="63"/>
    </row>
    <row r="972" spans="9:10" x14ac:dyDescent="0.35">
      <c r="I972" s="63"/>
      <c r="J972" s="63"/>
    </row>
    <row r="973" spans="9:10" x14ac:dyDescent="0.35">
      <c r="I973" s="63"/>
      <c r="J973" s="63"/>
    </row>
    <row r="974" spans="9:10" x14ac:dyDescent="0.35">
      <c r="I974" s="63"/>
      <c r="J974" s="63"/>
    </row>
    <row r="975" spans="9:10" x14ac:dyDescent="0.35">
      <c r="I975" s="63"/>
      <c r="J975" s="63"/>
    </row>
    <row r="976" spans="9:10" x14ac:dyDescent="0.35">
      <c r="I976" s="63"/>
      <c r="J976" s="63"/>
    </row>
    <row r="977" spans="9:10" x14ac:dyDescent="0.35">
      <c r="I977" s="63"/>
      <c r="J977" s="63"/>
    </row>
    <row r="978" spans="9:10" x14ac:dyDescent="0.35">
      <c r="I978" s="63"/>
      <c r="J978" s="63"/>
    </row>
    <row r="979" spans="9:10" x14ac:dyDescent="0.35">
      <c r="I979" s="63"/>
      <c r="J979" s="63"/>
    </row>
    <row r="980" spans="9:10" x14ac:dyDescent="0.35">
      <c r="I980" s="63"/>
      <c r="J980" s="63"/>
    </row>
    <row r="981" spans="9:10" x14ac:dyDescent="0.35">
      <c r="I981" s="63"/>
      <c r="J981" s="63"/>
    </row>
    <row r="982" spans="9:10" x14ac:dyDescent="0.35">
      <c r="I982" s="63"/>
      <c r="J982" s="63"/>
    </row>
    <row r="983" spans="9:10" x14ac:dyDescent="0.35">
      <c r="I983" s="63"/>
      <c r="J983" s="63"/>
    </row>
    <row r="984" spans="9:10" x14ac:dyDescent="0.35">
      <c r="I984" s="63"/>
      <c r="J984" s="63"/>
    </row>
    <row r="985" spans="9:10" x14ac:dyDescent="0.35">
      <c r="I985" s="63"/>
      <c r="J985" s="63"/>
    </row>
    <row r="986" spans="9:10" x14ac:dyDescent="0.35">
      <c r="I986" s="63"/>
      <c r="J986" s="63"/>
    </row>
    <row r="987" spans="9:10" x14ac:dyDescent="0.35">
      <c r="I987" s="63"/>
      <c r="J987" s="63"/>
    </row>
    <row r="988" spans="9:10" x14ac:dyDescent="0.35">
      <c r="I988" s="63"/>
      <c r="J988" s="63"/>
    </row>
    <row r="989" spans="9:10" x14ac:dyDescent="0.35">
      <c r="I989" s="63"/>
      <c r="J989" s="63"/>
    </row>
    <row r="990" spans="9:10" x14ac:dyDescent="0.35">
      <c r="I990" s="63"/>
      <c r="J990" s="63"/>
    </row>
    <row r="991" spans="9:10" x14ac:dyDescent="0.35">
      <c r="I991" s="63"/>
      <c r="J991" s="63"/>
    </row>
    <row r="992" spans="9:10" x14ac:dyDescent="0.35">
      <c r="I992" s="63"/>
      <c r="J992" s="63"/>
    </row>
    <row r="993" spans="9:10" x14ac:dyDescent="0.35">
      <c r="I993" s="63"/>
      <c r="J993" s="63"/>
    </row>
    <row r="994" spans="9:10" x14ac:dyDescent="0.35">
      <c r="I994" s="63"/>
      <c r="J994" s="63"/>
    </row>
    <row r="995" spans="9:10" x14ac:dyDescent="0.35">
      <c r="I995" s="63"/>
      <c r="J995" s="63"/>
    </row>
    <row r="996" spans="9:10" x14ac:dyDescent="0.35">
      <c r="I996" s="63"/>
      <c r="J996" s="63"/>
    </row>
    <row r="997" spans="9:10" x14ac:dyDescent="0.35">
      <c r="I997" s="63"/>
      <c r="J997" s="63"/>
    </row>
    <row r="998" spans="9:10" x14ac:dyDescent="0.35">
      <c r="I998" s="63"/>
      <c r="J998" s="63"/>
    </row>
    <row r="999" spans="9:10" x14ac:dyDescent="0.35">
      <c r="I999" s="63"/>
      <c r="J999" s="63"/>
    </row>
    <row r="1000" spans="9:10" x14ac:dyDescent="0.35">
      <c r="I1000" s="63"/>
      <c r="J1000" s="63"/>
    </row>
    <row r="1001" spans="9:10" x14ac:dyDescent="0.35">
      <c r="I1001" s="63"/>
      <c r="J1001" s="63"/>
    </row>
    <row r="1002" spans="9:10" x14ac:dyDescent="0.35">
      <c r="I1002" s="63"/>
      <c r="J1002" s="63"/>
    </row>
    <row r="1003" spans="9:10" x14ac:dyDescent="0.35">
      <c r="I1003" s="63"/>
      <c r="J1003" s="63"/>
    </row>
    <row r="1004" spans="9:10" x14ac:dyDescent="0.35">
      <c r="I1004" s="63"/>
      <c r="J1004" s="63"/>
    </row>
    <row r="1005" spans="9:10" x14ac:dyDescent="0.35">
      <c r="I1005" s="63"/>
      <c r="J1005" s="63"/>
    </row>
    <row r="1006" spans="9:10" x14ac:dyDescent="0.35">
      <c r="I1006" s="63"/>
      <c r="J1006" s="63"/>
    </row>
    <row r="1007" spans="9:10" x14ac:dyDescent="0.35">
      <c r="I1007" s="63"/>
      <c r="J1007" s="63"/>
    </row>
    <row r="1008" spans="9:10" x14ac:dyDescent="0.35">
      <c r="I1008" s="63"/>
      <c r="J1008" s="63"/>
    </row>
    <row r="1009" spans="9:10" x14ac:dyDescent="0.35">
      <c r="I1009" s="63"/>
      <c r="J1009" s="63"/>
    </row>
    <row r="1010" spans="9:10" x14ac:dyDescent="0.35">
      <c r="I1010" s="63"/>
      <c r="J1010" s="63"/>
    </row>
    <row r="1011" spans="9:10" x14ac:dyDescent="0.35">
      <c r="I1011" s="63"/>
      <c r="J1011" s="63"/>
    </row>
    <row r="1012" spans="9:10" x14ac:dyDescent="0.35">
      <c r="I1012" s="63"/>
      <c r="J1012" s="63"/>
    </row>
    <row r="1013" spans="9:10" x14ac:dyDescent="0.35">
      <c r="I1013" s="63"/>
      <c r="J1013" s="63"/>
    </row>
    <row r="1014" spans="9:10" x14ac:dyDescent="0.35">
      <c r="I1014" s="63"/>
      <c r="J1014" s="63"/>
    </row>
    <row r="1015" spans="9:10" x14ac:dyDescent="0.35">
      <c r="I1015" s="63"/>
      <c r="J1015" s="63"/>
    </row>
    <row r="1016" spans="9:10" x14ac:dyDescent="0.35">
      <c r="I1016" s="63"/>
      <c r="J1016" s="63"/>
    </row>
    <row r="1017" spans="9:10" x14ac:dyDescent="0.35">
      <c r="I1017" s="63"/>
      <c r="J1017" s="63"/>
    </row>
    <row r="1018" spans="9:10" x14ac:dyDescent="0.35">
      <c r="I1018" s="63"/>
      <c r="J1018" s="63"/>
    </row>
    <row r="1019" spans="9:10" x14ac:dyDescent="0.35">
      <c r="I1019" s="63"/>
      <c r="J1019" s="63"/>
    </row>
    <row r="1020" spans="9:10" x14ac:dyDescent="0.35">
      <c r="I1020" s="63"/>
      <c r="J1020" s="63"/>
    </row>
    <row r="1021" spans="9:10" x14ac:dyDescent="0.35">
      <c r="I1021" s="63"/>
      <c r="J1021" s="63"/>
    </row>
    <row r="1022" spans="9:10" x14ac:dyDescent="0.35">
      <c r="I1022" s="63"/>
      <c r="J1022" s="63"/>
    </row>
    <row r="1023" spans="9:10" x14ac:dyDescent="0.35">
      <c r="I1023" s="63"/>
      <c r="J1023" s="63"/>
    </row>
    <row r="1024" spans="9:10" x14ac:dyDescent="0.35">
      <c r="I1024" s="63"/>
      <c r="J1024" s="63"/>
    </row>
    <row r="1025" spans="9:10" x14ac:dyDescent="0.35">
      <c r="I1025" s="63"/>
      <c r="J1025" s="63"/>
    </row>
    <row r="1026" spans="9:10" x14ac:dyDescent="0.35">
      <c r="I1026" s="63"/>
      <c r="J1026" s="63"/>
    </row>
    <row r="1027" spans="9:10" x14ac:dyDescent="0.35">
      <c r="I1027" s="63"/>
      <c r="J1027" s="63"/>
    </row>
    <row r="1028" spans="9:10" x14ac:dyDescent="0.35">
      <c r="I1028" s="63"/>
      <c r="J1028" s="63"/>
    </row>
    <row r="1029" spans="9:10" x14ac:dyDescent="0.35">
      <c r="I1029" s="63"/>
      <c r="J1029" s="63"/>
    </row>
    <row r="1030" spans="9:10" x14ac:dyDescent="0.35">
      <c r="I1030" s="63"/>
      <c r="J1030" s="63"/>
    </row>
    <row r="1031" spans="9:10" x14ac:dyDescent="0.35">
      <c r="I1031" s="63"/>
      <c r="J1031" s="63"/>
    </row>
    <row r="1032" spans="9:10" x14ac:dyDescent="0.35">
      <c r="I1032" s="63"/>
      <c r="J1032" s="63"/>
    </row>
    <row r="1033" spans="9:10" x14ac:dyDescent="0.35">
      <c r="I1033" s="63"/>
      <c r="J1033" s="63"/>
    </row>
    <row r="1034" spans="9:10" x14ac:dyDescent="0.35">
      <c r="I1034" s="63"/>
      <c r="J1034" s="63"/>
    </row>
    <row r="1035" spans="9:10" x14ac:dyDescent="0.35">
      <c r="I1035" s="63"/>
      <c r="J1035" s="63"/>
    </row>
    <row r="1036" spans="9:10" x14ac:dyDescent="0.35">
      <c r="I1036" s="63"/>
      <c r="J1036" s="63"/>
    </row>
    <row r="1037" spans="9:10" x14ac:dyDescent="0.35">
      <c r="I1037" s="63"/>
      <c r="J1037" s="63"/>
    </row>
    <row r="1038" spans="9:10" x14ac:dyDescent="0.35">
      <c r="I1038" s="63"/>
      <c r="J1038" s="63"/>
    </row>
    <row r="1039" spans="9:10" x14ac:dyDescent="0.35">
      <c r="I1039" s="63"/>
      <c r="J1039" s="63"/>
    </row>
    <row r="1040" spans="9:10" x14ac:dyDescent="0.35">
      <c r="I1040" s="63"/>
      <c r="J1040" s="63"/>
    </row>
    <row r="1041" spans="9:10" x14ac:dyDescent="0.35">
      <c r="I1041" s="63"/>
      <c r="J1041" s="63"/>
    </row>
    <row r="1042" spans="9:10" x14ac:dyDescent="0.35">
      <c r="I1042" s="63"/>
      <c r="J1042" s="63"/>
    </row>
    <row r="1043" spans="9:10" x14ac:dyDescent="0.35">
      <c r="I1043" s="63"/>
      <c r="J1043" s="63"/>
    </row>
    <row r="1044" spans="9:10" x14ac:dyDescent="0.35">
      <c r="I1044" s="63"/>
      <c r="J1044" s="63"/>
    </row>
    <row r="1045" spans="9:10" x14ac:dyDescent="0.35">
      <c r="I1045" s="63"/>
      <c r="J1045" s="63"/>
    </row>
    <row r="1046" spans="9:10" x14ac:dyDescent="0.35">
      <c r="I1046" s="63"/>
      <c r="J1046" s="63"/>
    </row>
    <row r="1047" spans="9:10" x14ac:dyDescent="0.35">
      <c r="I1047" s="63"/>
      <c r="J1047" s="63"/>
    </row>
    <row r="1048" spans="9:10" x14ac:dyDescent="0.35">
      <c r="I1048" s="63"/>
      <c r="J1048" s="63"/>
    </row>
    <row r="1049" spans="9:10" x14ac:dyDescent="0.35">
      <c r="I1049" s="63"/>
      <c r="J1049" s="63"/>
    </row>
    <row r="1050" spans="9:10" x14ac:dyDescent="0.35">
      <c r="I1050" s="63"/>
      <c r="J1050" s="63"/>
    </row>
    <row r="1051" spans="9:10" x14ac:dyDescent="0.35">
      <c r="I1051" s="63"/>
      <c r="J1051" s="63"/>
    </row>
    <row r="1052" spans="9:10" x14ac:dyDescent="0.35">
      <c r="I1052" s="63"/>
      <c r="J1052" s="63"/>
    </row>
    <row r="1053" spans="9:10" x14ac:dyDescent="0.35">
      <c r="I1053" s="63"/>
      <c r="J1053" s="63"/>
    </row>
    <row r="1054" spans="9:10" x14ac:dyDescent="0.35">
      <c r="I1054" s="63"/>
      <c r="J1054" s="63"/>
    </row>
    <row r="1055" spans="9:10" x14ac:dyDescent="0.35">
      <c r="I1055" s="63"/>
      <c r="J1055" s="63"/>
    </row>
    <row r="1056" spans="9:10" x14ac:dyDescent="0.35">
      <c r="I1056" s="63"/>
      <c r="J1056" s="63"/>
    </row>
    <row r="1057" spans="9:10" x14ac:dyDescent="0.35">
      <c r="I1057" s="63"/>
      <c r="J1057" s="63"/>
    </row>
    <row r="1058" spans="9:10" x14ac:dyDescent="0.35">
      <c r="I1058" s="63"/>
      <c r="J1058" s="63"/>
    </row>
    <row r="1059" spans="9:10" x14ac:dyDescent="0.35">
      <c r="I1059" s="63"/>
      <c r="J1059" s="63"/>
    </row>
    <row r="1060" spans="9:10" x14ac:dyDescent="0.35">
      <c r="I1060" s="63"/>
      <c r="J1060" s="63"/>
    </row>
    <row r="1061" spans="9:10" x14ac:dyDescent="0.35">
      <c r="I1061" s="63"/>
      <c r="J1061" s="63"/>
    </row>
    <row r="1062" spans="9:10" x14ac:dyDescent="0.35">
      <c r="I1062" s="63"/>
      <c r="J1062" s="63"/>
    </row>
    <row r="1063" spans="9:10" x14ac:dyDescent="0.35">
      <c r="I1063" s="63"/>
      <c r="J1063" s="63"/>
    </row>
    <row r="1064" spans="9:10" x14ac:dyDescent="0.35">
      <c r="I1064" s="63"/>
      <c r="J1064" s="63"/>
    </row>
    <row r="1065" spans="9:10" x14ac:dyDescent="0.35">
      <c r="I1065" s="63"/>
      <c r="J1065" s="63"/>
    </row>
    <row r="1066" spans="9:10" x14ac:dyDescent="0.35">
      <c r="I1066" s="63"/>
      <c r="J1066" s="63"/>
    </row>
    <row r="1067" spans="9:10" x14ac:dyDescent="0.35">
      <c r="I1067" s="63"/>
      <c r="J1067" s="63"/>
    </row>
    <row r="1068" spans="9:10" x14ac:dyDescent="0.35">
      <c r="I1068" s="63"/>
      <c r="J1068" s="63"/>
    </row>
    <row r="1069" spans="9:10" x14ac:dyDescent="0.35">
      <c r="I1069" s="63"/>
      <c r="J1069" s="63"/>
    </row>
    <row r="1070" spans="9:10" x14ac:dyDescent="0.35">
      <c r="I1070" s="63"/>
      <c r="J1070" s="63"/>
    </row>
    <row r="1071" spans="9:10" x14ac:dyDescent="0.35">
      <c r="I1071" s="63"/>
      <c r="J1071" s="63"/>
    </row>
    <row r="1072" spans="9:10" x14ac:dyDescent="0.35">
      <c r="I1072" s="63"/>
      <c r="J1072" s="63"/>
    </row>
    <row r="1073" spans="9:10" x14ac:dyDescent="0.35">
      <c r="I1073" s="63"/>
      <c r="J1073" s="63"/>
    </row>
    <row r="1074" spans="9:10" x14ac:dyDescent="0.35">
      <c r="I1074" s="63"/>
      <c r="J1074" s="63"/>
    </row>
    <row r="1075" spans="9:10" x14ac:dyDescent="0.35">
      <c r="I1075" s="63"/>
      <c r="J1075" s="63"/>
    </row>
    <row r="1076" spans="9:10" x14ac:dyDescent="0.35">
      <c r="I1076" s="63"/>
      <c r="J1076" s="63"/>
    </row>
    <row r="1077" spans="9:10" x14ac:dyDescent="0.35">
      <c r="I1077" s="63"/>
      <c r="J1077" s="63"/>
    </row>
    <row r="1078" spans="9:10" x14ac:dyDescent="0.35">
      <c r="I1078" s="63"/>
      <c r="J1078" s="63"/>
    </row>
    <row r="1079" spans="9:10" x14ac:dyDescent="0.35">
      <c r="I1079" s="63"/>
      <c r="J1079" s="63"/>
    </row>
    <row r="1080" spans="9:10" x14ac:dyDescent="0.35">
      <c r="I1080" s="63"/>
      <c r="J1080" s="63"/>
    </row>
    <row r="1081" spans="9:10" x14ac:dyDescent="0.35">
      <c r="I1081" s="63"/>
      <c r="J1081" s="63"/>
    </row>
    <row r="1082" spans="9:10" x14ac:dyDescent="0.35">
      <c r="I1082" s="63"/>
      <c r="J1082" s="63"/>
    </row>
    <row r="1083" spans="9:10" x14ac:dyDescent="0.35">
      <c r="I1083" s="63"/>
      <c r="J1083" s="63"/>
    </row>
    <row r="1084" spans="9:10" x14ac:dyDescent="0.35">
      <c r="I1084" s="63"/>
      <c r="J1084" s="63"/>
    </row>
    <row r="1085" spans="9:10" x14ac:dyDescent="0.35">
      <c r="I1085" s="63"/>
      <c r="J1085" s="63"/>
    </row>
    <row r="1086" spans="9:10" x14ac:dyDescent="0.35">
      <c r="I1086" s="63"/>
      <c r="J1086" s="63"/>
    </row>
    <row r="1087" spans="9:10" x14ac:dyDescent="0.35">
      <c r="I1087" s="63"/>
      <c r="J1087" s="63"/>
    </row>
    <row r="1088" spans="9:10" x14ac:dyDescent="0.35">
      <c r="I1088" s="63"/>
      <c r="J1088" s="63"/>
    </row>
    <row r="1089" spans="9:10" x14ac:dyDescent="0.35">
      <c r="I1089" s="63"/>
      <c r="J1089" s="63"/>
    </row>
    <row r="1090" spans="9:10" x14ac:dyDescent="0.35">
      <c r="I1090" s="63"/>
      <c r="J1090" s="63"/>
    </row>
    <row r="1091" spans="9:10" x14ac:dyDescent="0.35">
      <c r="I1091" s="63"/>
      <c r="J1091" s="63"/>
    </row>
    <row r="1092" spans="9:10" x14ac:dyDescent="0.35">
      <c r="I1092" s="63"/>
      <c r="J1092" s="63"/>
    </row>
    <row r="1093" spans="9:10" x14ac:dyDescent="0.35">
      <c r="I1093" s="63"/>
      <c r="J1093" s="63"/>
    </row>
    <row r="1094" spans="9:10" x14ac:dyDescent="0.35">
      <c r="I1094" s="63"/>
      <c r="J1094" s="63"/>
    </row>
    <row r="1095" spans="9:10" x14ac:dyDescent="0.35">
      <c r="I1095" s="63"/>
      <c r="J1095" s="63"/>
    </row>
    <row r="1096" spans="9:10" x14ac:dyDescent="0.35">
      <c r="I1096" s="63"/>
      <c r="J1096" s="63"/>
    </row>
    <row r="1097" spans="9:10" x14ac:dyDescent="0.35">
      <c r="I1097" s="63"/>
      <c r="J1097" s="63"/>
    </row>
    <row r="1098" spans="9:10" x14ac:dyDescent="0.35">
      <c r="I1098" s="63"/>
      <c r="J1098" s="63"/>
    </row>
    <row r="1099" spans="9:10" x14ac:dyDescent="0.35">
      <c r="I1099" s="63"/>
      <c r="J1099" s="63"/>
    </row>
    <row r="1100" spans="9:10" x14ac:dyDescent="0.35">
      <c r="I1100" s="63"/>
      <c r="J1100" s="63"/>
    </row>
    <row r="1101" spans="9:10" x14ac:dyDescent="0.35">
      <c r="I1101" s="63"/>
      <c r="J1101" s="63"/>
    </row>
    <row r="1102" spans="9:10" x14ac:dyDescent="0.35">
      <c r="I1102" s="63"/>
      <c r="J1102" s="63"/>
    </row>
    <row r="1103" spans="9:10" x14ac:dyDescent="0.35">
      <c r="I1103" s="63"/>
      <c r="J1103" s="63"/>
    </row>
    <row r="1104" spans="9:10" x14ac:dyDescent="0.35">
      <c r="I1104" s="63"/>
      <c r="J1104" s="63"/>
    </row>
    <row r="1105" spans="9:10" x14ac:dyDescent="0.35">
      <c r="I1105" s="63"/>
      <c r="J1105" s="63"/>
    </row>
    <row r="1106" spans="9:10" x14ac:dyDescent="0.35">
      <c r="I1106" s="63"/>
      <c r="J1106" s="63"/>
    </row>
    <row r="1107" spans="9:10" x14ac:dyDescent="0.35">
      <c r="I1107" s="63"/>
      <c r="J1107" s="63"/>
    </row>
    <row r="1108" spans="9:10" x14ac:dyDescent="0.35">
      <c r="I1108" s="63"/>
      <c r="J1108" s="63"/>
    </row>
    <row r="1109" spans="9:10" x14ac:dyDescent="0.35">
      <c r="I1109" s="63"/>
      <c r="J1109" s="63"/>
    </row>
    <row r="1110" spans="9:10" x14ac:dyDescent="0.35">
      <c r="I1110" s="63"/>
      <c r="J1110" s="63"/>
    </row>
    <row r="1111" spans="9:10" x14ac:dyDescent="0.35">
      <c r="I1111" s="63"/>
      <c r="J1111" s="63"/>
    </row>
    <row r="1112" spans="9:10" x14ac:dyDescent="0.35">
      <c r="I1112" s="63"/>
      <c r="J1112" s="63"/>
    </row>
    <row r="1113" spans="9:10" x14ac:dyDescent="0.35">
      <c r="I1113" s="63"/>
      <c r="J1113" s="63"/>
    </row>
    <row r="1114" spans="9:10" x14ac:dyDescent="0.35">
      <c r="I1114" s="63"/>
      <c r="J1114" s="63"/>
    </row>
    <row r="1115" spans="9:10" x14ac:dyDescent="0.35">
      <c r="I1115" s="63"/>
      <c r="J1115" s="63"/>
    </row>
    <row r="1116" spans="9:10" x14ac:dyDescent="0.35">
      <c r="I1116" s="63"/>
      <c r="J1116" s="63"/>
    </row>
    <row r="1117" spans="9:10" x14ac:dyDescent="0.35">
      <c r="I1117" s="63"/>
      <c r="J1117" s="63"/>
    </row>
    <row r="1118" spans="9:10" x14ac:dyDescent="0.35">
      <c r="I1118" s="63"/>
      <c r="J1118" s="63"/>
    </row>
    <row r="1119" spans="9:10" x14ac:dyDescent="0.35">
      <c r="I1119" s="63"/>
      <c r="J1119" s="63"/>
    </row>
    <row r="1120" spans="9:10" x14ac:dyDescent="0.35">
      <c r="I1120" s="63"/>
      <c r="J1120" s="63"/>
    </row>
    <row r="1121" spans="9:10" x14ac:dyDescent="0.35">
      <c r="I1121" s="63"/>
      <c r="J1121" s="63"/>
    </row>
    <row r="1122" spans="9:10" x14ac:dyDescent="0.35">
      <c r="I1122" s="63"/>
      <c r="J1122" s="63"/>
    </row>
    <row r="1123" spans="9:10" x14ac:dyDescent="0.35">
      <c r="I1123" s="63"/>
      <c r="J1123" s="63"/>
    </row>
    <row r="1124" spans="9:10" x14ac:dyDescent="0.35">
      <c r="I1124" s="63"/>
      <c r="J1124" s="63"/>
    </row>
    <row r="1125" spans="9:10" x14ac:dyDescent="0.35">
      <c r="I1125" s="63"/>
      <c r="J1125" s="63"/>
    </row>
    <row r="1126" spans="9:10" x14ac:dyDescent="0.35">
      <c r="I1126" s="63"/>
      <c r="J1126" s="63"/>
    </row>
    <row r="1127" spans="9:10" x14ac:dyDescent="0.35">
      <c r="I1127" s="63"/>
      <c r="J1127" s="63"/>
    </row>
    <row r="1128" spans="9:10" x14ac:dyDescent="0.35">
      <c r="I1128" s="63"/>
      <c r="J1128" s="63"/>
    </row>
    <row r="1129" spans="9:10" x14ac:dyDescent="0.35">
      <c r="I1129" s="63"/>
      <c r="J1129" s="63"/>
    </row>
    <row r="1130" spans="9:10" x14ac:dyDescent="0.35">
      <c r="I1130" s="63"/>
      <c r="J1130" s="63"/>
    </row>
    <row r="1131" spans="9:10" x14ac:dyDescent="0.35">
      <c r="I1131" s="63"/>
      <c r="J1131" s="63"/>
    </row>
    <row r="1132" spans="9:10" x14ac:dyDescent="0.35">
      <c r="I1132" s="63"/>
      <c r="J1132" s="63"/>
    </row>
    <row r="1133" spans="9:10" x14ac:dyDescent="0.35">
      <c r="I1133" s="63"/>
      <c r="J1133" s="63"/>
    </row>
    <row r="1134" spans="9:10" x14ac:dyDescent="0.35">
      <c r="I1134" s="63"/>
      <c r="J1134" s="63"/>
    </row>
    <row r="1135" spans="9:10" x14ac:dyDescent="0.35">
      <c r="I1135" s="63"/>
      <c r="J1135" s="63"/>
    </row>
    <row r="1136" spans="9:10" x14ac:dyDescent="0.35">
      <c r="I1136" s="63"/>
      <c r="J1136" s="63"/>
    </row>
    <row r="1137" spans="9:10" x14ac:dyDescent="0.35">
      <c r="I1137" s="63"/>
      <c r="J1137" s="63"/>
    </row>
    <row r="1138" spans="9:10" x14ac:dyDescent="0.35">
      <c r="I1138" s="63"/>
      <c r="J1138" s="63"/>
    </row>
    <row r="1139" spans="9:10" x14ac:dyDescent="0.35">
      <c r="I1139" s="63"/>
      <c r="J1139" s="63"/>
    </row>
    <row r="1140" spans="9:10" x14ac:dyDescent="0.35">
      <c r="I1140" s="63"/>
      <c r="J1140" s="63"/>
    </row>
    <row r="1141" spans="9:10" x14ac:dyDescent="0.35">
      <c r="I1141" s="63"/>
      <c r="J1141" s="63"/>
    </row>
    <row r="1142" spans="9:10" x14ac:dyDescent="0.35">
      <c r="I1142" s="63"/>
      <c r="J1142" s="63"/>
    </row>
    <row r="1143" spans="9:10" x14ac:dyDescent="0.35">
      <c r="I1143" s="63"/>
      <c r="J1143" s="63"/>
    </row>
    <row r="1144" spans="9:10" x14ac:dyDescent="0.35">
      <c r="I1144" s="63"/>
      <c r="J1144" s="63"/>
    </row>
    <row r="1145" spans="9:10" x14ac:dyDescent="0.35">
      <c r="I1145" s="63"/>
      <c r="J1145" s="63"/>
    </row>
    <row r="1146" spans="9:10" x14ac:dyDescent="0.35">
      <c r="I1146" s="63"/>
      <c r="J1146" s="63"/>
    </row>
    <row r="1147" spans="9:10" x14ac:dyDescent="0.35">
      <c r="I1147" s="63"/>
      <c r="J1147" s="63"/>
    </row>
    <row r="1148" spans="9:10" x14ac:dyDescent="0.35">
      <c r="I1148" s="63"/>
      <c r="J1148" s="63"/>
    </row>
    <row r="1149" spans="9:10" x14ac:dyDescent="0.35">
      <c r="I1149" s="63"/>
      <c r="J1149" s="63"/>
    </row>
    <row r="1150" spans="9:10" x14ac:dyDescent="0.35">
      <c r="I1150" s="63"/>
      <c r="J1150" s="63"/>
    </row>
    <row r="1151" spans="9:10" x14ac:dyDescent="0.35">
      <c r="I1151" s="63"/>
      <c r="J1151" s="63"/>
    </row>
    <row r="1152" spans="9:10" x14ac:dyDescent="0.35">
      <c r="I1152" s="63"/>
      <c r="J1152" s="63"/>
    </row>
    <row r="1153" spans="9:10" x14ac:dyDescent="0.35">
      <c r="I1153" s="63"/>
      <c r="J1153" s="63"/>
    </row>
    <row r="1154" spans="9:10" x14ac:dyDescent="0.35">
      <c r="I1154" s="63"/>
      <c r="J1154" s="63"/>
    </row>
    <row r="1155" spans="9:10" x14ac:dyDescent="0.35">
      <c r="I1155" s="63"/>
      <c r="J1155" s="63"/>
    </row>
    <row r="1156" spans="9:10" x14ac:dyDescent="0.35">
      <c r="I1156" s="63"/>
      <c r="J1156" s="63"/>
    </row>
    <row r="1157" spans="9:10" x14ac:dyDescent="0.35">
      <c r="I1157" s="63"/>
      <c r="J1157" s="63"/>
    </row>
    <row r="1158" spans="9:10" x14ac:dyDescent="0.35">
      <c r="I1158" s="63"/>
      <c r="J1158" s="63"/>
    </row>
    <row r="1159" spans="9:10" x14ac:dyDescent="0.35">
      <c r="I1159" s="63"/>
      <c r="J1159" s="63"/>
    </row>
    <row r="1160" spans="9:10" x14ac:dyDescent="0.35">
      <c r="I1160" s="63"/>
      <c r="J1160" s="63"/>
    </row>
    <row r="1161" spans="9:10" x14ac:dyDescent="0.35">
      <c r="I1161" s="63"/>
      <c r="J1161" s="63"/>
    </row>
    <row r="1162" spans="9:10" x14ac:dyDescent="0.35">
      <c r="I1162" s="63"/>
      <c r="J1162" s="63"/>
    </row>
    <row r="1163" spans="9:10" x14ac:dyDescent="0.35">
      <c r="I1163" s="63"/>
      <c r="J1163" s="63"/>
    </row>
    <row r="1164" spans="9:10" x14ac:dyDescent="0.35">
      <c r="I1164" s="63"/>
      <c r="J1164" s="63"/>
    </row>
    <row r="1165" spans="9:10" x14ac:dyDescent="0.35">
      <c r="I1165" s="63"/>
      <c r="J1165" s="63"/>
    </row>
    <row r="1166" spans="9:10" x14ac:dyDescent="0.35">
      <c r="I1166" s="63"/>
      <c r="J1166" s="63"/>
    </row>
    <row r="1167" spans="9:10" x14ac:dyDescent="0.35">
      <c r="I1167" s="63"/>
      <c r="J1167" s="63"/>
    </row>
    <row r="1168" spans="9:10" x14ac:dyDescent="0.35">
      <c r="I1168" s="63"/>
      <c r="J1168" s="63"/>
    </row>
    <row r="1169" spans="9:10" x14ac:dyDescent="0.35">
      <c r="I1169" s="63"/>
      <c r="J1169" s="63"/>
    </row>
    <row r="1170" spans="9:10" x14ac:dyDescent="0.35">
      <c r="I1170" s="63"/>
      <c r="J1170" s="63"/>
    </row>
    <row r="1171" spans="9:10" x14ac:dyDescent="0.35">
      <c r="I1171" s="63"/>
      <c r="J1171" s="63"/>
    </row>
    <row r="1172" spans="9:10" x14ac:dyDescent="0.35">
      <c r="I1172" s="63"/>
      <c r="J1172" s="63"/>
    </row>
    <row r="1173" spans="9:10" x14ac:dyDescent="0.35">
      <c r="I1173" s="63"/>
      <c r="J1173" s="63"/>
    </row>
    <row r="1174" spans="9:10" x14ac:dyDescent="0.35">
      <c r="I1174" s="63"/>
      <c r="J1174" s="63"/>
    </row>
    <row r="1175" spans="9:10" x14ac:dyDescent="0.35">
      <c r="I1175" s="63"/>
      <c r="J1175" s="63"/>
    </row>
    <row r="1176" spans="9:10" x14ac:dyDescent="0.35">
      <c r="I1176" s="63"/>
      <c r="J1176" s="63"/>
    </row>
    <row r="1177" spans="9:10" x14ac:dyDescent="0.35">
      <c r="I1177" s="63"/>
      <c r="J1177" s="63"/>
    </row>
    <row r="1178" spans="9:10" x14ac:dyDescent="0.35">
      <c r="I1178" s="63"/>
      <c r="J1178" s="63"/>
    </row>
    <row r="1179" spans="9:10" x14ac:dyDescent="0.35">
      <c r="I1179" s="63"/>
      <c r="J1179" s="63"/>
    </row>
    <row r="1180" spans="9:10" x14ac:dyDescent="0.35">
      <c r="I1180" s="63"/>
      <c r="J1180" s="63"/>
    </row>
    <row r="1181" spans="9:10" x14ac:dyDescent="0.35">
      <c r="I1181" s="63"/>
      <c r="J1181" s="63"/>
    </row>
    <row r="1182" spans="9:10" x14ac:dyDescent="0.35">
      <c r="I1182" s="63"/>
      <c r="J1182" s="63"/>
    </row>
    <row r="1183" spans="9:10" x14ac:dyDescent="0.35">
      <c r="I1183" s="63"/>
      <c r="J1183" s="63"/>
    </row>
    <row r="1184" spans="9:10" x14ac:dyDescent="0.35">
      <c r="I1184" s="63"/>
      <c r="J1184" s="63"/>
    </row>
    <row r="1185" spans="9:10" x14ac:dyDescent="0.35">
      <c r="I1185" s="63"/>
      <c r="J1185" s="63"/>
    </row>
    <row r="1186" spans="9:10" x14ac:dyDescent="0.35">
      <c r="I1186" s="63"/>
      <c r="J1186" s="63"/>
    </row>
    <row r="1187" spans="9:10" x14ac:dyDescent="0.35">
      <c r="I1187" s="63"/>
      <c r="J1187" s="63"/>
    </row>
    <row r="1188" spans="9:10" x14ac:dyDescent="0.35">
      <c r="I1188" s="63"/>
      <c r="J1188" s="63"/>
    </row>
    <row r="1189" spans="9:10" x14ac:dyDescent="0.35">
      <c r="I1189" s="63"/>
      <c r="J1189" s="63"/>
    </row>
    <row r="1190" spans="9:10" x14ac:dyDescent="0.35">
      <c r="I1190" s="63"/>
      <c r="J1190" s="63"/>
    </row>
    <row r="1191" spans="9:10" x14ac:dyDescent="0.35">
      <c r="I1191" s="63"/>
      <c r="J1191" s="63"/>
    </row>
    <row r="1192" spans="9:10" x14ac:dyDescent="0.35">
      <c r="I1192" s="63"/>
      <c r="J1192" s="63"/>
    </row>
    <row r="1193" spans="9:10" x14ac:dyDescent="0.35">
      <c r="I1193" s="63"/>
      <c r="J1193" s="63"/>
    </row>
    <row r="1194" spans="9:10" x14ac:dyDescent="0.35">
      <c r="I1194" s="63"/>
      <c r="J1194" s="63"/>
    </row>
    <row r="1195" spans="9:10" x14ac:dyDescent="0.35">
      <c r="I1195" s="63"/>
      <c r="J1195" s="63"/>
    </row>
    <row r="1196" spans="9:10" x14ac:dyDescent="0.35">
      <c r="I1196" s="63"/>
      <c r="J1196" s="63"/>
    </row>
    <row r="1197" spans="9:10" x14ac:dyDescent="0.35">
      <c r="I1197" s="63"/>
      <c r="J1197" s="63"/>
    </row>
    <row r="1198" spans="9:10" x14ac:dyDescent="0.35">
      <c r="I1198" s="63"/>
      <c r="J1198" s="63"/>
    </row>
    <row r="1199" spans="9:10" x14ac:dyDescent="0.35">
      <c r="I1199" s="63"/>
      <c r="J1199" s="63"/>
    </row>
    <row r="1200" spans="9:10" x14ac:dyDescent="0.35">
      <c r="I1200" s="63"/>
      <c r="J1200" s="63"/>
    </row>
    <row r="1201" spans="9:10" x14ac:dyDescent="0.35">
      <c r="I1201" s="63"/>
      <c r="J1201" s="63"/>
    </row>
    <row r="1202" spans="9:10" x14ac:dyDescent="0.35">
      <c r="I1202" s="63"/>
      <c r="J1202" s="63"/>
    </row>
    <row r="1203" spans="9:10" x14ac:dyDescent="0.35">
      <c r="I1203" s="63"/>
      <c r="J1203" s="63"/>
    </row>
    <row r="1204" spans="9:10" x14ac:dyDescent="0.35">
      <c r="I1204" s="63"/>
      <c r="J1204" s="63"/>
    </row>
    <row r="1205" spans="9:10" x14ac:dyDescent="0.35">
      <c r="I1205" s="63"/>
      <c r="J1205" s="63"/>
    </row>
    <row r="1206" spans="9:10" x14ac:dyDescent="0.35">
      <c r="I1206" s="63"/>
      <c r="J1206" s="63"/>
    </row>
    <row r="1207" spans="9:10" x14ac:dyDescent="0.35">
      <c r="I1207" s="63"/>
      <c r="J1207" s="63"/>
    </row>
    <row r="1208" spans="9:10" x14ac:dyDescent="0.35">
      <c r="I1208" s="63"/>
      <c r="J1208" s="63"/>
    </row>
    <row r="1209" spans="9:10" x14ac:dyDescent="0.35">
      <c r="I1209" s="63"/>
      <c r="J1209" s="63"/>
    </row>
    <row r="1210" spans="9:10" x14ac:dyDescent="0.35">
      <c r="I1210" s="63"/>
      <c r="J1210" s="63"/>
    </row>
    <row r="1211" spans="9:10" x14ac:dyDescent="0.35">
      <c r="I1211" s="63"/>
      <c r="J1211" s="63"/>
    </row>
    <row r="1212" spans="9:10" x14ac:dyDescent="0.35">
      <c r="I1212" s="63"/>
      <c r="J1212" s="63"/>
    </row>
    <row r="1213" spans="9:10" x14ac:dyDescent="0.35">
      <c r="I1213" s="63"/>
      <c r="J1213" s="63"/>
    </row>
    <row r="1214" spans="9:10" x14ac:dyDescent="0.35">
      <c r="I1214" s="63"/>
      <c r="J1214" s="63"/>
    </row>
    <row r="1215" spans="9:10" x14ac:dyDescent="0.35">
      <c r="I1215" s="63"/>
      <c r="J1215" s="63"/>
    </row>
    <row r="1216" spans="9:10" x14ac:dyDescent="0.35">
      <c r="I1216" s="63"/>
      <c r="J1216" s="63"/>
    </row>
    <row r="1217" spans="9:10" x14ac:dyDescent="0.35">
      <c r="I1217" s="63"/>
      <c r="J1217" s="63"/>
    </row>
    <row r="1218" spans="9:10" x14ac:dyDescent="0.35">
      <c r="I1218" s="63"/>
      <c r="J1218" s="63"/>
    </row>
    <row r="1219" spans="9:10" x14ac:dyDescent="0.35">
      <c r="I1219" s="63"/>
      <c r="J1219" s="63"/>
    </row>
    <row r="1220" spans="9:10" x14ac:dyDescent="0.35">
      <c r="I1220" s="63"/>
      <c r="J1220" s="63"/>
    </row>
    <row r="1221" spans="9:10" x14ac:dyDescent="0.35">
      <c r="I1221" s="63"/>
      <c r="J1221" s="63"/>
    </row>
    <row r="1222" spans="9:10" x14ac:dyDescent="0.35">
      <c r="I1222" s="63"/>
      <c r="J1222" s="63"/>
    </row>
    <row r="1223" spans="9:10" x14ac:dyDescent="0.35">
      <c r="I1223" s="63"/>
      <c r="J1223" s="63"/>
    </row>
    <row r="1224" spans="9:10" x14ac:dyDescent="0.35">
      <c r="I1224" s="63"/>
      <c r="J1224" s="63"/>
    </row>
    <row r="1225" spans="9:10" x14ac:dyDescent="0.35">
      <c r="I1225" s="63"/>
      <c r="J1225" s="63"/>
    </row>
    <row r="1226" spans="9:10" x14ac:dyDescent="0.35">
      <c r="I1226" s="63"/>
      <c r="J1226" s="63"/>
    </row>
    <row r="1227" spans="9:10" x14ac:dyDescent="0.35">
      <c r="I1227" s="63"/>
      <c r="J1227" s="63"/>
    </row>
    <row r="1228" spans="9:10" x14ac:dyDescent="0.35">
      <c r="I1228" s="63"/>
      <c r="J1228" s="63"/>
    </row>
    <row r="1229" spans="9:10" x14ac:dyDescent="0.35">
      <c r="I1229" s="63"/>
      <c r="J1229" s="63"/>
    </row>
    <row r="1230" spans="9:10" x14ac:dyDescent="0.35">
      <c r="I1230" s="63"/>
      <c r="J1230" s="63"/>
    </row>
    <row r="1231" spans="9:10" x14ac:dyDescent="0.35">
      <c r="I1231" s="63"/>
      <c r="J1231" s="63"/>
    </row>
    <row r="1232" spans="9:10" x14ac:dyDescent="0.35">
      <c r="I1232" s="63"/>
      <c r="J1232" s="63"/>
    </row>
    <row r="1233" spans="9:10" x14ac:dyDescent="0.35">
      <c r="I1233" s="63"/>
      <c r="J1233" s="63"/>
    </row>
    <row r="1234" spans="9:10" x14ac:dyDescent="0.35">
      <c r="I1234" s="63"/>
      <c r="J1234" s="63"/>
    </row>
    <row r="1235" spans="9:10" x14ac:dyDescent="0.35">
      <c r="I1235" s="63"/>
      <c r="J1235" s="63"/>
    </row>
    <row r="1236" spans="9:10" x14ac:dyDescent="0.35">
      <c r="I1236" s="63"/>
      <c r="J1236" s="63"/>
    </row>
    <row r="1237" spans="9:10" x14ac:dyDescent="0.35">
      <c r="I1237" s="63"/>
      <c r="J1237" s="63"/>
    </row>
    <row r="1238" spans="9:10" x14ac:dyDescent="0.35">
      <c r="I1238" s="63"/>
      <c r="J1238" s="63"/>
    </row>
    <row r="1239" spans="9:10" x14ac:dyDescent="0.35">
      <c r="I1239" s="63"/>
      <c r="J1239" s="63"/>
    </row>
    <row r="1240" spans="9:10" x14ac:dyDescent="0.35">
      <c r="I1240" s="63"/>
      <c r="J1240" s="63"/>
    </row>
    <row r="1241" spans="9:10" x14ac:dyDescent="0.35">
      <c r="I1241" s="63"/>
      <c r="J1241" s="63"/>
    </row>
    <row r="1242" spans="9:10" x14ac:dyDescent="0.35">
      <c r="I1242" s="63"/>
      <c r="J1242" s="63"/>
    </row>
    <row r="1243" spans="9:10" x14ac:dyDescent="0.35">
      <c r="I1243" s="63"/>
      <c r="J1243" s="63"/>
    </row>
    <row r="1244" spans="9:10" x14ac:dyDescent="0.35">
      <c r="I1244" s="63"/>
      <c r="J1244" s="63"/>
    </row>
    <row r="1245" spans="9:10" x14ac:dyDescent="0.35">
      <c r="I1245" s="63"/>
      <c r="J1245" s="63"/>
    </row>
    <row r="1246" spans="9:10" x14ac:dyDescent="0.35">
      <c r="I1246" s="63"/>
      <c r="J1246" s="63"/>
    </row>
    <row r="1247" spans="9:10" x14ac:dyDescent="0.35">
      <c r="I1247" s="63"/>
      <c r="J1247" s="63"/>
    </row>
    <row r="1248" spans="9:10" x14ac:dyDescent="0.35">
      <c r="I1248" s="63"/>
      <c r="J1248" s="63"/>
    </row>
    <row r="1249" spans="9:10" x14ac:dyDescent="0.35">
      <c r="I1249" s="63"/>
      <c r="J1249" s="63"/>
    </row>
    <row r="1250" spans="9:10" x14ac:dyDescent="0.35">
      <c r="I1250" s="63"/>
      <c r="J1250" s="63"/>
    </row>
    <row r="1251" spans="9:10" x14ac:dyDescent="0.35">
      <c r="I1251" s="63"/>
      <c r="J1251" s="63"/>
    </row>
    <row r="1252" spans="9:10" x14ac:dyDescent="0.35">
      <c r="I1252" s="63"/>
      <c r="J1252" s="63"/>
    </row>
    <row r="1253" spans="9:10" x14ac:dyDescent="0.35">
      <c r="I1253" s="63"/>
      <c r="J1253" s="63"/>
    </row>
    <row r="1254" spans="9:10" x14ac:dyDescent="0.35">
      <c r="I1254" s="63"/>
      <c r="J1254" s="63"/>
    </row>
    <row r="1255" spans="9:10" x14ac:dyDescent="0.35">
      <c r="I1255" s="63"/>
      <c r="J1255" s="63"/>
    </row>
    <row r="1256" spans="9:10" x14ac:dyDescent="0.35">
      <c r="I1256" s="63"/>
      <c r="J1256" s="63"/>
    </row>
    <row r="1257" spans="9:10" x14ac:dyDescent="0.35">
      <c r="I1257" s="63"/>
      <c r="J1257" s="63"/>
    </row>
    <row r="1258" spans="9:10" x14ac:dyDescent="0.35">
      <c r="I1258" s="63"/>
      <c r="J1258" s="63"/>
    </row>
    <row r="1259" spans="9:10" x14ac:dyDescent="0.35">
      <c r="I1259" s="63"/>
      <c r="J1259" s="63"/>
    </row>
    <row r="1260" spans="9:10" x14ac:dyDescent="0.35">
      <c r="I1260" s="63"/>
      <c r="J1260" s="63"/>
    </row>
    <row r="1261" spans="9:10" x14ac:dyDescent="0.35">
      <c r="I1261" s="63"/>
      <c r="J1261" s="63"/>
    </row>
    <row r="1262" spans="9:10" x14ac:dyDescent="0.35">
      <c r="I1262" s="63"/>
      <c r="J1262" s="63"/>
    </row>
    <row r="1263" spans="9:10" x14ac:dyDescent="0.35">
      <c r="I1263" s="63"/>
      <c r="J1263" s="63"/>
    </row>
    <row r="1264" spans="9:10" x14ac:dyDescent="0.35">
      <c r="I1264" s="63"/>
      <c r="J1264" s="63"/>
    </row>
    <row r="1265" spans="9:10" x14ac:dyDescent="0.35">
      <c r="I1265" s="63"/>
      <c r="J1265" s="63"/>
    </row>
    <row r="1266" spans="9:10" x14ac:dyDescent="0.35">
      <c r="I1266" s="63"/>
      <c r="J1266" s="63"/>
    </row>
    <row r="1267" spans="9:10" x14ac:dyDescent="0.35">
      <c r="I1267" s="63"/>
      <c r="J1267" s="63"/>
    </row>
    <row r="1268" spans="9:10" x14ac:dyDescent="0.35">
      <c r="I1268" s="63"/>
      <c r="J1268" s="63"/>
    </row>
    <row r="1269" spans="9:10" x14ac:dyDescent="0.35">
      <c r="I1269" s="63"/>
      <c r="J1269" s="63"/>
    </row>
    <row r="1270" spans="9:10" x14ac:dyDescent="0.35">
      <c r="I1270" s="63"/>
      <c r="J1270" s="63"/>
    </row>
    <row r="1271" spans="9:10" x14ac:dyDescent="0.35">
      <c r="I1271" s="63"/>
      <c r="J1271" s="63"/>
    </row>
    <row r="1272" spans="9:10" x14ac:dyDescent="0.35">
      <c r="I1272" s="63"/>
      <c r="J1272" s="63"/>
    </row>
    <row r="1273" spans="9:10" x14ac:dyDescent="0.35">
      <c r="I1273" s="63"/>
      <c r="J1273" s="63"/>
    </row>
    <row r="1274" spans="9:10" x14ac:dyDescent="0.35">
      <c r="I1274" s="63"/>
      <c r="J1274" s="63"/>
    </row>
    <row r="1275" spans="9:10" x14ac:dyDescent="0.35">
      <c r="I1275" s="63"/>
      <c r="J1275" s="63"/>
    </row>
    <row r="1276" spans="9:10" x14ac:dyDescent="0.35">
      <c r="I1276" s="63"/>
      <c r="J1276" s="63"/>
    </row>
    <row r="1277" spans="9:10" x14ac:dyDescent="0.35">
      <c r="I1277" s="63"/>
      <c r="J1277" s="63"/>
    </row>
    <row r="1278" spans="9:10" x14ac:dyDescent="0.35">
      <c r="I1278" s="63"/>
      <c r="J1278" s="63"/>
    </row>
    <row r="1279" spans="9:10" x14ac:dyDescent="0.35">
      <c r="I1279" s="63"/>
      <c r="J1279" s="63"/>
    </row>
    <row r="1280" spans="9:10" x14ac:dyDescent="0.35">
      <c r="I1280" s="63"/>
      <c r="J1280" s="63"/>
    </row>
    <row r="1281" spans="9:10" x14ac:dyDescent="0.35">
      <c r="I1281" s="63"/>
      <c r="J1281" s="63"/>
    </row>
    <row r="1282" spans="9:10" x14ac:dyDescent="0.35">
      <c r="I1282" s="63"/>
      <c r="J1282" s="63"/>
    </row>
    <row r="1283" spans="9:10" x14ac:dyDescent="0.35">
      <c r="I1283" s="63"/>
      <c r="J1283" s="63"/>
    </row>
    <row r="1284" spans="9:10" x14ac:dyDescent="0.35">
      <c r="I1284" s="63"/>
      <c r="J1284" s="63"/>
    </row>
    <row r="1285" spans="9:10" x14ac:dyDescent="0.35">
      <c r="I1285" s="63"/>
      <c r="J1285" s="63"/>
    </row>
    <row r="1286" spans="9:10" x14ac:dyDescent="0.35">
      <c r="I1286" s="63"/>
      <c r="J1286" s="63"/>
    </row>
    <row r="1287" spans="9:10" x14ac:dyDescent="0.35">
      <c r="I1287" s="63"/>
      <c r="J1287" s="63"/>
    </row>
    <row r="1288" spans="9:10" x14ac:dyDescent="0.35">
      <c r="I1288" s="63"/>
      <c r="J1288" s="63"/>
    </row>
    <row r="1289" spans="9:10" x14ac:dyDescent="0.35">
      <c r="I1289" s="63"/>
      <c r="J1289" s="63"/>
    </row>
    <row r="1290" spans="9:10" x14ac:dyDescent="0.35">
      <c r="I1290" s="63"/>
      <c r="J1290" s="63"/>
    </row>
    <row r="1291" spans="9:10" x14ac:dyDescent="0.35">
      <c r="I1291" s="63"/>
      <c r="J1291" s="63"/>
    </row>
    <row r="1292" spans="9:10" x14ac:dyDescent="0.35">
      <c r="I1292" s="63"/>
      <c r="J1292" s="63"/>
    </row>
    <row r="1293" spans="9:10" x14ac:dyDescent="0.35">
      <c r="I1293" s="63"/>
      <c r="J1293" s="63"/>
    </row>
    <row r="1294" spans="9:10" x14ac:dyDescent="0.35">
      <c r="I1294" s="63"/>
      <c r="J1294" s="63"/>
    </row>
    <row r="1295" spans="9:10" x14ac:dyDescent="0.35">
      <c r="I1295" s="63"/>
      <c r="J1295" s="63"/>
    </row>
    <row r="1296" spans="9:10" x14ac:dyDescent="0.35">
      <c r="I1296" s="63"/>
      <c r="J1296" s="63"/>
    </row>
    <row r="1297" spans="9:10" x14ac:dyDescent="0.35">
      <c r="I1297" s="63"/>
      <c r="J1297" s="63"/>
    </row>
    <row r="1298" spans="9:10" x14ac:dyDescent="0.35">
      <c r="I1298" s="63"/>
      <c r="J1298" s="63"/>
    </row>
    <row r="1299" spans="9:10" x14ac:dyDescent="0.35">
      <c r="I1299" s="63"/>
      <c r="J1299" s="63"/>
    </row>
    <row r="1300" spans="9:10" x14ac:dyDescent="0.35">
      <c r="I1300" s="63"/>
      <c r="J1300" s="63"/>
    </row>
    <row r="1301" spans="9:10" x14ac:dyDescent="0.35">
      <c r="I1301" s="63"/>
      <c r="J1301" s="63"/>
    </row>
    <row r="1302" spans="9:10" x14ac:dyDescent="0.35">
      <c r="I1302" s="63"/>
      <c r="J1302" s="63"/>
    </row>
    <row r="1303" spans="9:10" x14ac:dyDescent="0.35">
      <c r="I1303" s="63"/>
      <c r="J1303" s="63"/>
    </row>
    <row r="1304" spans="9:10" x14ac:dyDescent="0.35">
      <c r="I1304" s="63"/>
      <c r="J1304" s="63"/>
    </row>
    <row r="1305" spans="9:10" x14ac:dyDescent="0.35">
      <c r="I1305" s="63"/>
      <c r="J1305" s="63"/>
    </row>
    <row r="1306" spans="9:10" x14ac:dyDescent="0.35">
      <c r="I1306" s="63"/>
      <c r="J1306" s="63"/>
    </row>
    <row r="1307" spans="9:10" x14ac:dyDescent="0.35">
      <c r="I1307" s="63"/>
      <c r="J1307" s="63"/>
    </row>
    <row r="1308" spans="9:10" x14ac:dyDescent="0.35">
      <c r="I1308" s="63"/>
      <c r="J1308" s="63"/>
    </row>
    <row r="1309" spans="9:10" x14ac:dyDescent="0.35">
      <c r="I1309" s="63"/>
      <c r="J1309" s="63"/>
    </row>
    <row r="1310" spans="9:10" x14ac:dyDescent="0.35">
      <c r="I1310" s="63"/>
      <c r="J1310" s="63"/>
    </row>
    <row r="1311" spans="9:10" x14ac:dyDescent="0.35">
      <c r="I1311" s="63"/>
      <c r="J1311" s="63"/>
    </row>
    <row r="1312" spans="9:10" x14ac:dyDescent="0.35">
      <c r="I1312" s="63"/>
      <c r="J1312" s="63"/>
    </row>
    <row r="1313" spans="9:10" x14ac:dyDescent="0.35">
      <c r="I1313" s="63"/>
      <c r="J1313" s="63"/>
    </row>
    <row r="1314" spans="9:10" x14ac:dyDescent="0.35">
      <c r="I1314" s="63"/>
      <c r="J1314" s="63"/>
    </row>
    <row r="1315" spans="9:10" x14ac:dyDescent="0.35">
      <c r="I1315" s="63"/>
      <c r="J1315" s="63"/>
    </row>
    <row r="1316" spans="9:10" x14ac:dyDescent="0.35">
      <c r="I1316" s="63"/>
      <c r="J1316" s="63"/>
    </row>
    <row r="1317" spans="9:10" x14ac:dyDescent="0.35">
      <c r="I1317" s="63"/>
      <c r="J1317" s="63"/>
    </row>
    <row r="1318" spans="9:10" x14ac:dyDescent="0.35">
      <c r="I1318" s="63"/>
      <c r="J1318" s="63"/>
    </row>
    <row r="1319" spans="9:10" x14ac:dyDescent="0.35">
      <c r="I1319" s="63"/>
      <c r="J1319" s="63"/>
    </row>
    <row r="1320" spans="9:10" x14ac:dyDescent="0.35">
      <c r="I1320" s="63"/>
      <c r="J1320" s="63"/>
    </row>
    <row r="1321" spans="9:10" x14ac:dyDescent="0.35">
      <c r="I1321" s="63"/>
      <c r="J1321" s="63"/>
    </row>
    <row r="1322" spans="9:10" x14ac:dyDescent="0.35">
      <c r="I1322" s="63"/>
      <c r="J1322" s="63"/>
    </row>
    <row r="1323" spans="9:10" x14ac:dyDescent="0.35">
      <c r="I1323" s="63"/>
      <c r="J1323" s="63"/>
    </row>
    <row r="1324" spans="9:10" x14ac:dyDescent="0.35">
      <c r="I1324" s="63"/>
      <c r="J1324" s="63"/>
    </row>
    <row r="1325" spans="9:10" x14ac:dyDescent="0.35">
      <c r="I1325" s="63"/>
      <c r="J1325" s="63"/>
    </row>
    <row r="1326" spans="9:10" x14ac:dyDescent="0.35">
      <c r="I1326" s="63"/>
      <c r="J1326" s="63"/>
    </row>
    <row r="1327" spans="9:10" x14ac:dyDescent="0.35">
      <c r="I1327" s="63"/>
      <c r="J1327" s="63"/>
    </row>
    <row r="1328" spans="9:10" x14ac:dyDescent="0.35">
      <c r="I1328" s="63"/>
      <c r="J1328" s="63"/>
    </row>
    <row r="1329" spans="9:10" x14ac:dyDescent="0.35">
      <c r="I1329" s="63"/>
      <c r="J1329" s="63"/>
    </row>
    <row r="1330" spans="9:10" x14ac:dyDescent="0.35">
      <c r="I1330" s="63"/>
      <c r="J1330" s="63"/>
    </row>
    <row r="1331" spans="9:10" x14ac:dyDescent="0.35">
      <c r="I1331" s="63"/>
      <c r="J1331" s="63"/>
    </row>
    <row r="1332" spans="9:10" x14ac:dyDescent="0.35">
      <c r="I1332" s="63"/>
      <c r="J1332" s="63"/>
    </row>
    <row r="1333" spans="9:10" x14ac:dyDescent="0.35">
      <c r="I1333" s="63"/>
      <c r="J1333" s="63"/>
    </row>
    <row r="1334" spans="9:10" x14ac:dyDescent="0.35">
      <c r="I1334" s="63"/>
      <c r="J1334" s="63"/>
    </row>
    <row r="1335" spans="9:10" x14ac:dyDescent="0.35">
      <c r="I1335" s="63"/>
      <c r="J1335" s="63"/>
    </row>
    <row r="1336" spans="9:10" x14ac:dyDescent="0.35">
      <c r="I1336" s="63"/>
      <c r="J1336" s="63"/>
    </row>
    <row r="1337" spans="9:10" x14ac:dyDescent="0.35">
      <c r="I1337" s="63"/>
      <c r="J1337" s="63"/>
    </row>
    <row r="1338" spans="9:10" x14ac:dyDescent="0.35">
      <c r="I1338" s="63"/>
      <c r="J1338" s="63"/>
    </row>
    <row r="1339" spans="9:10" x14ac:dyDescent="0.35">
      <c r="I1339" s="63"/>
      <c r="J1339" s="63"/>
    </row>
    <row r="1340" spans="9:10" x14ac:dyDescent="0.35">
      <c r="I1340" s="63"/>
      <c r="J1340" s="63"/>
    </row>
    <row r="1341" spans="9:10" x14ac:dyDescent="0.35">
      <c r="I1341" s="63"/>
      <c r="J1341" s="63"/>
    </row>
    <row r="1342" spans="9:10" x14ac:dyDescent="0.35">
      <c r="I1342" s="63"/>
      <c r="J1342" s="63"/>
    </row>
    <row r="1343" spans="9:10" x14ac:dyDescent="0.35">
      <c r="I1343" s="63"/>
      <c r="J1343" s="63"/>
    </row>
    <row r="1344" spans="9:10" x14ac:dyDescent="0.35">
      <c r="I1344" s="63"/>
      <c r="J1344" s="63"/>
    </row>
    <row r="1345" spans="9:10" x14ac:dyDescent="0.35">
      <c r="I1345" s="63"/>
      <c r="J1345" s="63"/>
    </row>
    <row r="1346" spans="9:10" x14ac:dyDescent="0.35">
      <c r="I1346" s="63"/>
      <c r="J1346" s="63"/>
    </row>
    <row r="1347" spans="9:10" x14ac:dyDescent="0.35">
      <c r="I1347" s="63"/>
      <c r="J1347" s="63"/>
    </row>
    <row r="1348" spans="9:10" x14ac:dyDescent="0.35">
      <c r="I1348" s="63"/>
      <c r="J1348" s="63"/>
    </row>
    <row r="1349" spans="9:10" x14ac:dyDescent="0.35">
      <c r="I1349" s="63"/>
      <c r="J1349" s="63"/>
    </row>
    <row r="1350" spans="9:10" x14ac:dyDescent="0.35">
      <c r="I1350" s="63"/>
      <c r="J1350" s="63"/>
    </row>
    <row r="1351" spans="9:10" x14ac:dyDescent="0.35">
      <c r="I1351" s="63"/>
      <c r="J1351" s="63"/>
    </row>
    <row r="1352" spans="9:10" x14ac:dyDescent="0.35">
      <c r="I1352" s="63"/>
      <c r="J1352" s="63"/>
    </row>
    <row r="1353" spans="9:10" x14ac:dyDescent="0.35">
      <c r="I1353" s="63"/>
      <c r="J1353" s="63"/>
    </row>
    <row r="1354" spans="9:10" x14ac:dyDescent="0.35">
      <c r="I1354" s="63"/>
      <c r="J1354" s="63"/>
    </row>
    <row r="1355" spans="9:10" x14ac:dyDescent="0.35">
      <c r="I1355" s="63"/>
      <c r="J1355" s="63"/>
    </row>
    <row r="1356" spans="9:10" x14ac:dyDescent="0.35">
      <c r="I1356" s="63"/>
      <c r="J1356" s="63"/>
    </row>
    <row r="1357" spans="9:10" x14ac:dyDescent="0.35">
      <c r="I1357" s="63"/>
      <c r="J1357" s="63"/>
    </row>
    <row r="1358" spans="9:10" x14ac:dyDescent="0.35">
      <c r="I1358" s="63"/>
      <c r="J1358" s="63"/>
    </row>
    <row r="1359" spans="9:10" x14ac:dyDescent="0.35">
      <c r="I1359" s="63"/>
      <c r="J1359" s="63"/>
    </row>
    <row r="1360" spans="9:10" x14ac:dyDescent="0.35">
      <c r="I1360" s="63"/>
      <c r="J1360" s="63"/>
    </row>
    <row r="1361" spans="9:10" x14ac:dyDescent="0.35">
      <c r="I1361" s="63"/>
      <c r="J1361" s="63"/>
    </row>
    <row r="1362" spans="9:10" x14ac:dyDescent="0.35">
      <c r="I1362" s="63"/>
      <c r="J1362" s="63"/>
    </row>
    <row r="1363" spans="9:10" x14ac:dyDescent="0.35">
      <c r="I1363" s="63"/>
      <c r="J1363" s="63"/>
    </row>
    <row r="1364" spans="9:10" x14ac:dyDescent="0.35">
      <c r="I1364" s="63"/>
      <c r="J1364" s="63"/>
    </row>
    <row r="1365" spans="9:10" x14ac:dyDescent="0.35">
      <c r="I1365" s="63"/>
      <c r="J1365" s="63"/>
    </row>
    <row r="1366" spans="9:10" x14ac:dyDescent="0.35">
      <c r="I1366" s="63"/>
      <c r="J1366" s="63"/>
    </row>
    <row r="1367" spans="9:10" x14ac:dyDescent="0.35">
      <c r="I1367" s="63"/>
      <c r="J1367" s="63"/>
    </row>
    <row r="1368" spans="9:10" x14ac:dyDescent="0.35">
      <c r="I1368" s="63"/>
      <c r="J1368" s="63"/>
    </row>
    <row r="1369" spans="9:10" x14ac:dyDescent="0.35">
      <c r="I1369" s="63"/>
      <c r="J1369" s="63"/>
    </row>
    <row r="1370" spans="9:10" x14ac:dyDescent="0.35">
      <c r="I1370" s="63"/>
      <c r="J1370" s="63"/>
    </row>
    <row r="1371" spans="9:10" x14ac:dyDescent="0.35">
      <c r="I1371" s="63"/>
      <c r="J1371" s="63"/>
    </row>
    <row r="1372" spans="9:10" x14ac:dyDescent="0.35">
      <c r="I1372" s="63"/>
      <c r="J1372" s="63"/>
    </row>
    <row r="1373" spans="9:10" x14ac:dyDescent="0.35">
      <c r="I1373" s="63"/>
      <c r="J1373" s="63"/>
    </row>
    <row r="1374" spans="9:10" x14ac:dyDescent="0.35">
      <c r="I1374" s="63"/>
      <c r="J1374" s="63"/>
    </row>
    <row r="1375" spans="9:10" x14ac:dyDescent="0.35">
      <c r="I1375" s="63"/>
      <c r="J1375" s="63"/>
    </row>
    <row r="1376" spans="9:10" x14ac:dyDescent="0.35">
      <c r="I1376" s="63"/>
      <c r="J1376" s="63"/>
    </row>
    <row r="1377" spans="9:10" x14ac:dyDescent="0.35">
      <c r="I1377" s="63"/>
      <c r="J1377" s="63"/>
    </row>
    <row r="1378" spans="9:10" x14ac:dyDescent="0.35">
      <c r="I1378" s="63"/>
      <c r="J1378" s="63"/>
    </row>
    <row r="1379" spans="9:10" x14ac:dyDescent="0.35">
      <c r="I1379" s="63"/>
      <c r="J1379" s="63"/>
    </row>
    <row r="1380" spans="9:10" x14ac:dyDescent="0.35">
      <c r="I1380" s="63"/>
      <c r="J1380" s="63"/>
    </row>
    <row r="1381" spans="9:10" x14ac:dyDescent="0.35">
      <c r="I1381" s="63"/>
      <c r="J1381" s="63"/>
    </row>
    <row r="1382" spans="9:10" x14ac:dyDescent="0.35">
      <c r="I1382" s="63"/>
      <c r="J1382" s="63"/>
    </row>
    <row r="1383" spans="9:10" x14ac:dyDescent="0.35">
      <c r="I1383" s="63"/>
      <c r="J1383" s="63"/>
    </row>
    <row r="1384" spans="9:10" x14ac:dyDescent="0.35">
      <c r="I1384" s="63"/>
      <c r="J1384" s="63"/>
    </row>
    <row r="1385" spans="9:10" x14ac:dyDescent="0.35">
      <c r="I1385" s="63"/>
      <c r="J1385" s="63"/>
    </row>
    <row r="1386" spans="9:10" x14ac:dyDescent="0.35">
      <c r="I1386" s="63"/>
      <c r="J1386" s="63"/>
    </row>
    <row r="1387" spans="9:10" x14ac:dyDescent="0.35">
      <c r="I1387" s="63"/>
      <c r="J1387" s="63"/>
    </row>
    <row r="1388" spans="9:10" x14ac:dyDescent="0.35">
      <c r="I1388" s="63"/>
      <c r="J1388" s="63"/>
    </row>
    <row r="1389" spans="9:10" x14ac:dyDescent="0.35">
      <c r="I1389" s="63"/>
      <c r="J1389" s="63"/>
    </row>
    <row r="1390" spans="9:10" x14ac:dyDescent="0.35">
      <c r="I1390" s="63"/>
      <c r="J1390" s="63"/>
    </row>
    <row r="1391" spans="9:10" x14ac:dyDescent="0.35">
      <c r="I1391" s="63"/>
      <c r="J1391" s="63"/>
    </row>
    <row r="1392" spans="9:10" x14ac:dyDescent="0.35">
      <c r="I1392" s="63"/>
      <c r="J1392" s="63"/>
    </row>
    <row r="1393" spans="9:10" x14ac:dyDescent="0.35">
      <c r="I1393" s="63"/>
      <c r="J1393" s="63"/>
    </row>
    <row r="1394" spans="9:10" x14ac:dyDescent="0.35">
      <c r="I1394" s="63"/>
      <c r="J1394" s="63"/>
    </row>
    <row r="1395" spans="9:10" x14ac:dyDescent="0.35">
      <c r="I1395" s="63"/>
      <c r="J1395" s="63"/>
    </row>
    <row r="1396" spans="9:10" x14ac:dyDescent="0.35">
      <c r="I1396" s="63"/>
      <c r="J1396" s="63"/>
    </row>
    <row r="1397" spans="9:10" x14ac:dyDescent="0.35">
      <c r="I1397" s="63"/>
      <c r="J1397" s="63"/>
    </row>
    <row r="1398" spans="9:10" x14ac:dyDescent="0.35">
      <c r="I1398" s="63"/>
      <c r="J1398" s="63"/>
    </row>
    <row r="1399" spans="9:10" x14ac:dyDescent="0.35">
      <c r="I1399" s="63"/>
      <c r="J1399" s="63"/>
    </row>
    <row r="1400" spans="9:10" x14ac:dyDescent="0.35">
      <c r="I1400" s="63"/>
      <c r="J1400" s="63"/>
    </row>
    <row r="1401" spans="9:10" x14ac:dyDescent="0.35">
      <c r="I1401" s="63"/>
      <c r="J1401" s="63"/>
    </row>
    <row r="1402" spans="9:10" x14ac:dyDescent="0.35">
      <c r="I1402" s="63"/>
      <c r="J1402" s="63"/>
    </row>
    <row r="1403" spans="9:10" x14ac:dyDescent="0.35">
      <c r="I1403" s="63"/>
      <c r="J1403" s="63"/>
    </row>
    <row r="1404" spans="9:10" x14ac:dyDescent="0.35">
      <c r="I1404" s="63"/>
      <c r="J1404" s="63"/>
    </row>
    <row r="1405" spans="9:10" x14ac:dyDescent="0.35">
      <c r="I1405" s="63"/>
      <c r="J1405" s="63"/>
    </row>
    <row r="1406" spans="9:10" x14ac:dyDescent="0.35">
      <c r="I1406" s="63"/>
      <c r="J1406" s="63"/>
    </row>
    <row r="1407" spans="9:10" x14ac:dyDescent="0.35">
      <c r="I1407" s="63"/>
      <c r="J1407" s="63"/>
    </row>
    <row r="1408" spans="9:10" x14ac:dyDescent="0.35">
      <c r="I1408" s="63"/>
      <c r="J1408" s="63"/>
    </row>
    <row r="1409" spans="9:10" x14ac:dyDescent="0.35">
      <c r="I1409" s="63"/>
      <c r="J1409" s="63"/>
    </row>
    <row r="1410" spans="9:10" x14ac:dyDescent="0.35">
      <c r="I1410" s="63"/>
      <c r="J1410" s="63"/>
    </row>
    <row r="1411" spans="9:10" x14ac:dyDescent="0.35">
      <c r="I1411" s="63"/>
      <c r="J1411" s="63"/>
    </row>
    <row r="1412" spans="9:10" x14ac:dyDescent="0.35">
      <c r="I1412" s="63"/>
      <c r="J1412" s="63"/>
    </row>
    <row r="1413" spans="9:10" x14ac:dyDescent="0.35">
      <c r="I1413" s="63"/>
      <c r="J1413" s="63"/>
    </row>
    <row r="1414" spans="9:10" x14ac:dyDescent="0.35">
      <c r="I1414" s="63"/>
      <c r="J1414" s="63"/>
    </row>
    <row r="1415" spans="9:10" x14ac:dyDescent="0.35">
      <c r="I1415" s="63"/>
      <c r="J1415" s="63"/>
    </row>
    <row r="1416" spans="9:10" x14ac:dyDescent="0.35">
      <c r="I1416" s="63"/>
      <c r="J1416" s="63"/>
    </row>
    <row r="1417" spans="9:10" x14ac:dyDescent="0.35">
      <c r="I1417" s="63"/>
      <c r="J1417" s="63"/>
    </row>
    <row r="1418" spans="9:10" x14ac:dyDescent="0.35">
      <c r="I1418" s="63"/>
      <c r="J1418" s="63"/>
    </row>
    <row r="1419" spans="9:10" x14ac:dyDescent="0.35">
      <c r="I1419" s="63"/>
      <c r="J1419" s="63"/>
    </row>
    <row r="1420" spans="9:10" x14ac:dyDescent="0.35">
      <c r="I1420" s="63"/>
      <c r="J1420" s="63"/>
    </row>
    <row r="1421" spans="9:10" x14ac:dyDescent="0.35">
      <c r="I1421" s="63"/>
      <c r="J1421" s="63"/>
    </row>
    <row r="1422" spans="9:10" x14ac:dyDescent="0.35">
      <c r="I1422" s="63"/>
      <c r="J1422" s="63"/>
    </row>
    <row r="1423" spans="9:10" x14ac:dyDescent="0.35">
      <c r="I1423" s="63"/>
      <c r="J1423" s="63"/>
    </row>
    <row r="1424" spans="9:10" x14ac:dyDescent="0.35">
      <c r="I1424" s="63"/>
      <c r="J1424" s="63"/>
    </row>
    <row r="1425" spans="9:10" x14ac:dyDescent="0.35">
      <c r="I1425" s="63"/>
      <c r="J1425" s="63"/>
    </row>
    <row r="1426" spans="9:10" x14ac:dyDescent="0.35">
      <c r="I1426" s="63"/>
      <c r="J1426" s="63"/>
    </row>
    <row r="1427" spans="9:10" x14ac:dyDescent="0.35">
      <c r="I1427" s="63"/>
      <c r="J1427" s="63"/>
    </row>
    <row r="1428" spans="9:10" x14ac:dyDescent="0.35">
      <c r="I1428" s="63"/>
      <c r="J1428" s="63"/>
    </row>
    <row r="1429" spans="9:10" x14ac:dyDescent="0.35">
      <c r="I1429" s="63"/>
      <c r="J1429" s="63"/>
    </row>
    <row r="1430" spans="9:10" x14ac:dyDescent="0.35">
      <c r="I1430" s="63"/>
      <c r="J1430" s="63"/>
    </row>
    <row r="1431" spans="9:10" x14ac:dyDescent="0.35">
      <c r="I1431" s="63"/>
      <c r="J1431" s="63"/>
    </row>
    <row r="1432" spans="9:10" x14ac:dyDescent="0.35">
      <c r="I1432" s="63"/>
      <c r="J1432" s="63"/>
    </row>
    <row r="1433" spans="9:10" x14ac:dyDescent="0.35">
      <c r="I1433" s="63"/>
      <c r="J1433" s="63"/>
    </row>
    <row r="1434" spans="9:10" x14ac:dyDescent="0.35">
      <c r="I1434" s="63"/>
      <c r="J1434" s="63"/>
    </row>
    <row r="1435" spans="9:10" x14ac:dyDescent="0.35">
      <c r="I1435" s="63"/>
      <c r="J1435" s="63"/>
    </row>
    <row r="1436" spans="9:10" x14ac:dyDescent="0.35">
      <c r="I1436" s="63"/>
      <c r="J1436" s="63"/>
    </row>
    <row r="1437" spans="9:10" x14ac:dyDescent="0.35">
      <c r="I1437" s="63"/>
      <c r="J1437" s="63"/>
    </row>
    <row r="1438" spans="9:10" x14ac:dyDescent="0.35">
      <c r="I1438" s="63"/>
      <c r="J1438" s="63"/>
    </row>
    <row r="1439" spans="9:10" x14ac:dyDescent="0.35">
      <c r="I1439" s="63"/>
      <c r="J1439" s="63"/>
    </row>
    <row r="1440" spans="9:10" x14ac:dyDescent="0.35">
      <c r="I1440" s="63"/>
      <c r="J1440" s="63"/>
    </row>
    <row r="1441" spans="9:10" x14ac:dyDescent="0.35">
      <c r="I1441" s="63"/>
      <c r="J1441" s="63"/>
    </row>
    <row r="1442" spans="9:10" x14ac:dyDescent="0.35">
      <c r="I1442" s="63"/>
      <c r="J1442" s="63"/>
    </row>
    <row r="1443" spans="9:10" x14ac:dyDescent="0.35">
      <c r="I1443" s="63"/>
      <c r="J1443" s="63"/>
    </row>
    <row r="1444" spans="9:10" x14ac:dyDescent="0.35">
      <c r="I1444" s="63"/>
      <c r="J1444" s="63"/>
    </row>
    <row r="1445" spans="9:10" x14ac:dyDescent="0.35">
      <c r="I1445" s="63"/>
      <c r="J1445" s="63"/>
    </row>
    <row r="1446" spans="9:10" x14ac:dyDescent="0.35">
      <c r="I1446" s="63"/>
      <c r="J1446" s="63"/>
    </row>
    <row r="1447" spans="9:10" x14ac:dyDescent="0.35">
      <c r="I1447" s="63"/>
      <c r="J1447" s="63"/>
    </row>
    <row r="1448" spans="9:10" x14ac:dyDescent="0.35">
      <c r="I1448" s="63"/>
      <c r="J1448" s="63"/>
    </row>
    <row r="1449" spans="9:10" x14ac:dyDescent="0.35">
      <c r="I1449" s="63"/>
      <c r="J1449" s="63"/>
    </row>
    <row r="1450" spans="9:10" x14ac:dyDescent="0.35">
      <c r="I1450" s="63"/>
      <c r="J1450" s="63"/>
    </row>
    <row r="1451" spans="9:10" x14ac:dyDescent="0.35">
      <c r="I1451" s="63"/>
      <c r="J1451" s="63"/>
    </row>
    <row r="1452" spans="9:10" x14ac:dyDescent="0.35">
      <c r="I1452" s="63"/>
      <c r="J1452" s="63"/>
    </row>
    <row r="1453" spans="9:10" x14ac:dyDescent="0.35">
      <c r="I1453" s="63"/>
      <c r="J1453" s="63"/>
    </row>
    <row r="1454" spans="9:10" x14ac:dyDescent="0.35">
      <c r="I1454" s="63"/>
      <c r="J1454" s="63"/>
    </row>
    <row r="1455" spans="9:10" x14ac:dyDescent="0.35">
      <c r="I1455" s="63"/>
      <c r="J1455" s="63"/>
    </row>
    <row r="1456" spans="9:10" x14ac:dyDescent="0.35">
      <c r="I1456" s="63"/>
      <c r="J1456" s="63"/>
    </row>
    <row r="1457" spans="9:10" x14ac:dyDescent="0.35">
      <c r="I1457" s="63"/>
      <c r="J1457" s="63"/>
    </row>
    <row r="1458" spans="9:10" x14ac:dyDescent="0.35">
      <c r="I1458" s="63"/>
      <c r="J1458" s="63"/>
    </row>
    <row r="1459" spans="9:10" x14ac:dyDescent="0.35">
      <c r="I1459" s="63"/>
      <c r="J1459" s="63"/>
    </row>
    <row r="1460" spans="9:10" x14ac:dyDescent="0.35">
      <c r="I1460" s="63"/>
      <c r="J1460" s="63"/>
    </row>
    <row r="1461" spans="9:10" x14ac:dyDescent="0.35">
      <c r="I1461" s="63"/>
      <c r="J1461" s="63"/>
    </row>
    <row r="1462" spans="9:10" x14ac:dyDescent="0.35">
      <c r="I1462" s="63"/>
      <c r="J1462" s="63"/>
    </row>
    <row r="1463" spans="9:10" x14ac:dyDescent="0.35">
      <c r="I1463" s="63"/>
      <c r="J1463" s="63"/>
    </row>
    <row r="1464" spans="9:10" x14ac:dyDescent="0.35">
      <c r="I1464" s="63"/>
      <c r="J1464" s="63"/>
    </row>
    <row r="1465" spans="9:10" x14ac:dyDescent="0.35">
      <c r="I1465" s="63"/>
      <c r="J1465" s="63"/>
    </row>
    <row r="1466" spans="9:10" x14ac:dyDescent="0.35">
      <c r="I1466" s="63"/>
      <c r="J1466" s="63"/>
    </row>
    <row r="1467" spans="9:10" x14ac:dyDescent="0.35">
      <c r="I1467" s="63"/>
      <c r="J1467" s="63"/>
    </row>
    <row r="1468" spans="9:10" x14ac:dyDescent="0.35">
      <c r="I1468" s="63"/>
      <c r="J1468" s="63"/>
    </row>
    <row r="1469" spans="9:10" x14ac:dyDescent="0.35">
      <c r="I1469" s="63"/>
      <c r="J1469" s="63"/>
    </row>
    <row r="1470" spans="9:10" x14ac:dyDescent="0.35">
      <c r="I1470" s="63"/>
      <c r="J1470" s="63"/>
    </row>
    <row r="1471" spans="9:10" x14ac:dyDescent="0.35">
      <c r="I1471" s="63"/>
      <c r="J1471" s="63"/>
    </row>
    <row r="1472" spans="9:10" x14ac:dyDescent="0.35">
      <c r="I1472" s="63"/>
      <c r="J1472" s="63"/>
    </row>
    <row r="1473" spans="9:10" x14ac:dyDescent="0.35">
      <c r="I1473" s="63"/>
      <c r="J1473" s="63"/>
    </row>
    <row r="1474" spans="9:10" x14ac:dyDescent="0.35">
      <c r="I1474" s="63"/>
      <c r="J1474" s="63"/>
    </row>
    <row r="1475" spans="9:10" x14ac:dyDescent="0.35">
      <c r="I1475" s="63"/>
      <c r="J1475" s="63"/>
    </row>
    <row r="1476" spans="9:10" x14ac:dyDescent="0.35">
      <c r="I1476" s="63"/>
      <c r="J1476" s="63"/>
    </row>
    <row r="1477" spans="9:10" x14ac:dyDescent="0.35">
      <c r="I1477" s="63"/>
      <c r="J1477" s="63"/>
    </row>
    <row r="1478" spans="9:10" x14ac:dyDescent="0.35">
      <c r="I1478" s="63"/>
      <c r="J1478" s="63"/>
    </row>
    <row r="1479" spans="9:10" x14ac:dyDescent="0.35">
      <c r="I1479" s="63"/>
      <c r="J1479" s="63"/>
    </row>
    <row r="1480" spans="9:10" x14ac:dyDescent="0.35">
      <c r="I1480" s="63"/>
      <c r="J1480" s="63"/>
    </row>
    <row r="1481" spans="9:10" x14ac:dyDescent="0.35">
      <c r="I1481" s="63"/>
      <c r="J1481" s="63"/>
    </row>
    <row r="1482" spans="9:10" x14ac:dyDescent="0.35">
      <c r="I1482" s="63"/>
      <c r="J1482" s="63"/>
    </row>
    <row r="1483" spans="9:10" x14ac:dyDescent="0.35">
      <c r="I1483" s="63"/>
      <c r="J1483" s="63"/>
    </row>
    <row r="1484" spans="9:10" x14ac:dyDescent="0.35">
      <c r="I1484" s="63"/>
      <c r="J1484" s="63"/>
    </row>
    <row r="1485" spans="9:10" x14ac:dyDescent="0.35">
      <c r="I1485" s="63"/>
      <c r="J1485" s="63"/>
    </row>
    <row r="1486" spans="9:10" x14ac:dyDescent="0.35">
      <c r="I1486" s="63"/>
      <c r="J1486" s="63"/>
    </row>
    <row r="1487" spans="9:10" x14ac:dyDescent="0.35">
      <c r="I1487" s="63"/>
      <c r="J1487" s="63"/>
    </row>
    <row r="1488" spans="9:10" x14ac:dyDescent="0.35">
      <c r="I1488" s="63"/>
      <c r="J1488" s="63"/>
    </row>
    <row r="1489" spans="9:10" x14ac:dyDescent="0.35">
      <c r="I1489" s="63"/>
      <c r="J1489" s="63"/>
    </row>
    <row r="1490" spans="9:10" x14ac:dyDescent="0.35">
      <c r="I1490" s="63"/>
      <c r="J1490" s="63"/>
    </row>
    <row r="1491" spans="9:10" x14ac:dyDescent="0.35">
      <c r="I1491" s="63"/>
      <c r="J1491" s="63"/>
    </row>
    <row r="1492" spans="9:10" x14ac:dyDescent="0.35">
      <c r="I1492" s="63"/>
      <c r="J1492" s="63"/>
    </row>
    <row r="1493" spans="9:10" x14ac:dyDescent="0.35">
      <c r="I1493" s="63"/>
      <c r="J1493" s="63"/>
    </row>
    <row r="1494" spans="9:10" x14ac:dyDescent="0.35">
      <c r="I1494" s="63"/>
      <c r="J1494" s="63"/>
    </row>
    <row r="1495" spans="9:10" x14ac:dyDescent="0.35">
      <c r="I1495" s="63"/>
      <c r="J1495" s="63"/>
    </row>
    <row r="1496" spans="9:10" x14ac:dyDescent="0.35">
      <c r="I1496" s="63"/>
      <c r="J1496" s="63"/>
    </row>
    <row r="1497" spans="9:10" x14ac:dyDescent="0.35">
      <c r="I1497" s="63"/>
      <c r="J1497" s="63"/>
    </row>
    <row r="1498" spans="9:10" x14ac:dyDescent="0.35">
      <c r="I1498" s="63"/>
      <c r="J1498" s="63"/>
    </row>
    <row r="1499" spans="9:10" x14ac:dyDescent="0.35">
      <c r="I1499" s="63"/>
      <c r="J1499" s="63"/>
    </row>
    <row r="1500" spans="9:10" x14ac:dyDescent="0.35">
      <c r="I1500" s="63"/>
      <c r="J1500" s="63"/>
    </row>
    <row r="1501" spans="9:10" x14ac:dyDescent="0.35">
      <c r="I1501" s="63"/>
      <c r="J1501" s="63"/>
    </row>
    <row r="1502" spans="9:10" x14ac:dyDescent="0.35">
      <c r="I1502" s="63"/>
      <c r="J1502" s="63"/>
    </row>
    <row r="1503" spans="9:10" x14ac:dyDescent="0.35">
      <c r="I1503" s="63"/>
      <c r="J1503" s="63"/>
    </row>
    <row r="1504" spans="9:10" x14ac:dyDescent="0.35">
      <c r="I1504" s="63"/>
      <c r="J1504" s="63"/>
    </row>
    <row r="1505" spans="9:10" x14ac:dyDescent="0.35">
      <c r="I1505" s="63"/>
      <c r="J1505" s="63"/>
    </row>
    <row r="1506" spans="9:10" x14ac:dyDescent="0.35">
      <c r="I1506" s="63"/>
      <c r="J1506" s="63"/>
    </row>
    <row r="1507" spans="9:10" x14ac:dyDescent="0.35">
      <c r="I1507" s="63"/>
      <c r="J1507" s="63"/>
    </row>
    <row r="1508" spans="9:10" x14ac:dyDescent="0.35">
      <c r="I1508" s="63"/>
      <c r="J1508" s="63"/>
    </row>
    <row r="1509" spans="9:10" x14ac:dyDescent="0.35">
      <c r="I1509" s="63"/>
      <c r="J1509" s="63"/>
    </row>
    <row r="1510" spans="9:10" x14ac:dyDescent="0.35">
      <c r="I1510" s="63"/>
      <c r="J1510" s="63"/>
    </row>
    <row r="1511" spans="9:10" x14ac:dyDescent="0.35">
      <c r="I1511" s="63"/>
      <c r="J1511" s="63"/>
    </row>
    <row r="1512" spans="9:10" x14ac:dyDescent="0.35">
      <c r="I1512" s="63"/>
      <c r="J1512" s="63"/>
    </row>
    <row r="1513" spans="9:10" x14ac:dyDescent="0.35">
      <c r="I1513" s="63"/>
      <c r="J1513" s="63"/>
    </row>
    <row r="1514" spans="9:10" x14ac:dyDescent="0.35">
      <c r="I1514" s="63"/>
      <c r="J1514" s="63"/>
    </row>
    <row r="1515" spans="9:10" x14ac:dyDescent="0.35">
      <c r="I1515" s="63"/>
      <c r="J1515" s="63"/>
    </row>
    <row r="1516" spans="9:10" x14ac:dyDescent="0.35">
      <c r="I1516" s="63"/>
      <c r="J1516" s="63"/>
    </row>
    <row r="1517" spans="9:10" x14ac:dyDescent="0.35">
      <c r="I1517" s="63"/>
      <c r="J1517" s="63"/>
    </row>
    <row r="1518" spans="9:10" x14ac:dyDescent="0.35">
      <c r="I1518" s="63"/>
      <c r="J1518" s="63"/>
    </row>
    <row r="1519" spans="9:10" x14ac:dyDescent="0.35">
      <c r="I1519" s="63"/>
      <c r="J1519" s="63"/>
    </row>
    <row r="1520" spans="9:10" x14ac:dyDescent="0.35">
      <c r="I1520" s="63"/>
      <c r="J1520" s="63"/>
    </row>
    <row r="1521" spans="9:10" x14ac:dyDescent="0.35">
      <c r="I1521" s="63"/>
      <c r="J1521" s="63"/>
    </row>
    <row r="1522" spans="9:10" x14ac:dyDescent="0.35">
      <c r="I1522" s="63"/>
      <c r="J1522" s="63"/>
    </row>
    <row r="1523" spans="9:10" x14ac:dyDescent="0.35">
      <c r="I1523" s="63"/>
      <c r="J1523" s="63"/>
    </row>
    <row r="1524" spans="9:10" x14ac:dyDescent="0.35">
      <c r="I1524" s="63"/>
      <c r="J1524" s="63"/>
    </row>
    <row r="1525" spans="9:10" x14ac:dyDescent="0.35">
      <c r="I1525" s="63"/>
      <c r="J1525" s="63"/>
    </row>
    <row r="1526" spans="9:10" x14ac:dyDescent="0.35">
      <c r="I1526" s="63"/>
      <c r="J1526" s="63"/>
    </row>
    <row r="1527" spans="9:10" x14ac:dyDescent="0.35">
      <c r="I1527" s="63"/>
      <c r="J1527" s="63"/>
    </row>
    <row r="1528" spans="9:10" x14ac:dyDescent="0.35">
      <c r="I1528" s="63"/>
      <c r="J1528" s="63"/>
    </row>
    <row r="1529" spans="9:10" x14ac:dyDescent="0.35">
      <c r="I1529" s="63"/>
      <c r="J1529" s="63"/>
    </row>
    <row r="1530" spans="9:10" x14ac:dyDescent="0.35">
      <c r="I1530" s="63"/>
      <c r="J1530" s="63"/>
    </row>
    <row r="1531" spans="9:10" x14ac:dyDescent="0.35">
      <c r="I1531" s="63"/>
      <c r="J1531" s="63"/>
    </row>
    <row r="1532" spans="9:10" x14ac:dyDescent="0.35">
      <c r="I1532" s="63"/>
      <c r="J1532" s="63"/>
    </row>
    <row r="1533" spans="9:10" x14ac:dyDescent="0.35">
      <c r="I1533" s="63"/>
      <c r="J1533" s="63"/>
    </row>
    <row r="1534" spans="9:10" x14ac:dyDescent="0.35">
      <c r="I1534" s="63"/>
      <c r="J1534" s="63"/>
    </row>
    <row r="1535" spans="9:10" x14ac:dyDescent="0.35">
      <c r="I1535" s="63"/>
      <c r="J1535" s="63"/>
    </row>
    <row r="1536" spans="9:10" x14ac:dyDescent="0.35">
      <c r="I1536" s="63"/>
      <c r="J1536" s="63"/>
    </row>
    <row r="1537" spans="9:10" x14ac:dyDescent="0.35">
      <c r="I1537" s="63"/>
      <c r="J1537" s="63"/>
    </row>
    <row r="1538" spans="9:10" x14ac:dyDescent="0.35">
      <c r="I1538" s="63"/>
      <c r="J1538" s="63"/>
    </row>
    <row r="1539" spans="9:10" x14ac:dyDescent="0.35">
      <c r="I1539" s="63"/>
      <c r="J1539" s="63"/>
    </row>
    <row r="1540" spans="9:10" x14ac:dyDescent="0.35">
      <c r="I1540" s="63"/>
      <c r="J1540" s="63"/>
    </row>
    <row r="1541" spans="9:10" x14ac:dyDescent="0.35">
      <c r="I1541" s="63"/>
      <c r="J1541" s="63"/>
    </row>
    <row r="1542" spans="9:10" x14ac:dyDescent="0.35">
      <c r="I1542" s="63"/>
      <c r="J1542" s="63"/>
    </row>
    <row r="1543" spans="9:10" x14ac:dyDescent="0.35">
      <c r="I1543" s="63"/>
      <c r="J1543" s="63"/>
    </row>
    <row r="1544" spans="9:10" x14ac:dyDescent="0.35">
      <c r="I1544" s="63"/>
      <c r="J1544" s="63"/>
    </row>
    <row r="1545" spans="9:10" x14ac:dyDescent="0.35">
      <c r="I1545" s="63"/>
      <c r="J1545" s="63"/>
    </row>
    <row r="1546" spans="9:10" x14ac:dyDescent="0.35">
      <c r="I1546" s="63"/>
      <c r="J1546" s="63"/>
    </row>
    <row r="1547" spans="9:10" x14ac:dyDescent="0.35">
      <c r="I1547" s="63"/>
      <c r="J1547" s="63"/>
    </row>
    <row r="1548" spans="9:10" x14ac:dyDescent="0.35">
      <c r="I1548" s="63"/>
      <c r="J1548" s="63"/>
    </row>
    <row r="1549" spans="9:10" x14ac:dyDescent="0.35">
      <c r="I1549" s="63"/>
      <c r="J1549" s="63"/>
    </row>
    <row r="1550" spans="9:10" x14ac:dyDescent="0.35">
      <c r="I1550" s="63"/>
      <c r="J1550" s="63"/>
    </row>
    <row r="1551" spans="9:10" x14ac:dyDescent="0.35">
      <c r="I1551" s="63"/>
      <c r="J1551" s="63"/>
    </row>
    <row r="1552" spans="9:10" x14ac:dyDescent="0.35">
      <c r="I1552" s="63"/>
      <c r="J1552" s="63"/>
    </row>
    <row r="1553" spans="9:10" x14ac:dyDescent="0.35">
      <c r="I1553" s="63"/>
      <c r="J1553" s="63"/>
    </row>
    <row r="1554" spans="9:10" x14ac:dyDescent="0.35">
      <c r="I1554" s="63"/>
      <c r="J1554" s="63"/>
    </row>
    <row r="1555" spans="9:10" x14ac:dyDescent="0.35">
      <c r="I1555" s="63"/>
      <c r="J1555" s="63"/>
    </row>
    <row r="1556" spans="9:10" x14ac:dyDescent="0.35">
      <c r="I1556" s="63"/>
      <c r="J1556" s="63"/>
    </row>
    <row r="1557" spans="9:10" x14ac:dyDescent="0.35">
      <c r="I1557" s="63"/>
      <c r="J1557" s="63"/>
    </row>
    <row r="1558" spans="9:10" x14ac:dyDescent="0.35">
      <c r="I1558" s="63"/>
      <c r="J1558" s="63"/>
    </row>
    <row r="1559" spans="9:10" x14ac:dyDescent="0.35">
      <c r="I1559" s="63"/>
      <c r="J1559" s="63"/>
    </row>
    <row r="1560" spans="9:10" x14ac:dyDescent="0.35">
      <c r="I1560" s="63"/>
      <c r="J1560" s="63"/>
    </row>
    <row r="1561" spans="9:10" x14ac:dyDescent="0.35">
      <c r="I1561" s="63"/>
      <c r="J1561" s="63"/>
    </row>
    <row r="1562" spans="9:10" x14ac:dyDescent="0.35">
      <c r="I1562" s="63"/>
      <c r="J1562" s="63"/>
    </row>
    <row r="1563" spans="9:10" x14ac:dyDescent="0.35">
      <c r="I1563" s="63"/>
      <c r="J1563" s="63"/>
    </row>
    <row r="1564" spans="9:10" x14ac:dyDescent="0.35">
      <c r="I1564" s="63"/>
      <c r="J1564" s="63"/>
    </row>
    <row r="1565" spans="9:10" x14ac:dyDescent="0.35">
      <c r="I1565" s="63"/>
      <c r="J1565" s="63"/>
    </row>
    <row r="1566" spans="9:10" x14ac:dyDescent="0.35">
      <c r="I1566" s="63"/>
      <c r="J1566" s="63"/>
    </row>
    <row r="1567" spans="9:10" x14ac:dyDescent="0.35">
      <c r="I1567" s="63"/>
      <c r="J1567" s="63"/>
    </row>
    <row r="1568" spans="9:10" x14ac:dyDescent="0.35">
      <c r="I1568" s="63"/>
      <c r="J1568" s="63"/>
    </row>
    <row r="1569" spans="9:10" x14ac:dyDescent="0.35">
      <c r="I1569" s="63"/>
      <c r="J1569" s="63"/>
    </row>
    <row r="1570" spans="9:10" x14ac:dyDescent="0.35">
      <c r="I1570" s="63"/>
      <c r="J1570" s="63"/>
    </row>
    <row r="1571" spans="9:10" x14ac:dyDescent="0.35">
      <c r="I1571" s="63"/>
      <c r="J1571" s="63"/>
    </row>
    <row r="1572" spans="9:10" x14ac:dyDescent="0.35">
      <c r="I1572" s="63"/>
      <c r="J1572" s="63"/>
    </row>
    <row r="1573" spans="9:10" x14ac:dyDescent="0.35">
      <c r="I1573" s="63"/>
      <c r="J1573" s="63"/>
    </row>
    <row r="1574" spans="9:10" x14ac:dyDescent="0.35">
      <c r="I1574" s="63"/>
      <c r="J1574" s="63"/>
    </row>
    <row r="1575" spans="9:10" x14ac:dyDescent="0.35">
      <c r="I1575" s="63"/>
      <c r="J1575" s="63"/>
    </row>
    <row r="1576" spans="9:10" x14ac:dyDescent="0.35">
      <c r="I1576" s="63"/>
      <c r="J1576" s="63"/>
    </row>
    <row r="1577" spans="9:10" x14ac:dyDescent="0.35">
      <c r="I1577" s="63"/>
      <c r="J1577" s="63"/>
    </row>
    <row r="1578" spans="9:10" x14ac:dyDescent="0.35">
      <c r="I1578" s="63"/>
      <c r="J1578" s="63"/>
    </row>
    <row r="1579" spans="9:10" x14ac:dyDescent="0.35">
      <c r="I1579" s="63"/>
      <c r="J1579" s="63"/>
    </row>
    <row r="1580" spans="9:10" x14ac:dyDescent="0.35">
      <c r="I1580" s="63"/>
      <c r="J1580" s="63"/>
    </row>
    <row r="1581" spans="9:10" x14ac:dyDescent="0.35">
      <c r="I1581" s="63"/>
      <c r="J1581" s="63"/>
    </row>
    <row r="1582" spans="9:10" x14ac:dyDescent="0.35">
      <c r="I1582" s="63"/>
      <c r="J1582" s="63"/>
    </row>
    <row r="1583" spans="9:10" x14ac:dyDescent="0.35">
      <c r="I1583" s="63"/>
      <c r="J1583" s="63"/>
    </row>
    <row r="1584" spans="9:10" x14ac:dyDescent="0.35">
      <c r="I1584" s="63"/>
      <c r="J1584" s="63"/>
    </row>
    <row r="1585" spans="9:10" x14ac:dyDescent="0.35">
      <c r="I1585" s="63"/>
      <c r="J1585" s="63"/>
    </row>
    <row r="1586" spans="9:10" x14ac:dyDescent="0.35">
      <c r="I1586" s="63"/>
      <c r="J1586" s="63"/>
    </row>
    <row r="1587" spans="9:10" x14ac:dyDescent="0.35">
      <c r="I1587" s="63"/>
      <c r="J1587" s="63"/>
    </row>
    <row r="1588" spans="9:10" x14ac:dyDescent="0.35">
      <c r="I1588" s="63"/>
      <c r="J1588" s="63"/>
    </row>
    <row r="1589" spans="9:10" x14ac:dyDescent="0.35">
      <c r="I1589" s="63"/>
      <c r="J1589" s="63"/>
    </row>
    <row r="1590" spans="9:10" x14ac:dyDescent="0.35">
      <c r="I1590" s="63"/>
      <c r="J1590" s="63"/>
    </row>
    <row r="1591" spans="9:10" x14ac:dyDescent="0.35">
      <c r="I1591" s="63"/>
      <c r="J1591" s="63"/>
    </row>
    <row r="1592" spans="9:10" x14ac:dyDescent="0.35">
      <c r="I1592" s="63"/>
      <c r="J1592" s="63"/>
    </row>
    <row r="1593" spans="9:10" x14ac:dyDescent="0.35">
      <c r="I1593" s="63"/>
      <c r="J1593" s="63"/>
    </row>
    <row r="1594" spans="9:10" x14ac:dyDescent="0.35">
      <c r="I1594" s="63"/>
      <c r="J1594" s="63"/>
    </row>
    <row r="1595" spans="9:10" x14ac:dyDescent="0.35">
      <c r="I1595" s="63"/>
      <c r="J1595" s="63"/>
    </row>
    <row r="1596" spans="9:10" x14ac:dyDescent="0.35">
      <c r="I1596" s="63"/>
      <c r="J1596" s="63"/>
    </row>
    <row r="1597" spans="9:10" x14ac:dyDescent="0.35">
      <c r="I1597" s="63"/>
      <c r="J1597" s="63"/>
    </row>
    <row r="1598" spans="9:10" x14ac:dyDescent="0.35">
      <c r="I1598" s="63"/>
      <c r="J1598" s="63"/>
    </row>
    <row r="1599" spans="9:10" x14ac:dyDescent="0.35">
      <c r="I1599" s="63"/>
      <c r="J1599" s="63"/>
    </row>
    <row r="1600" spans="9:10" x14ac:dyDescent="0.35">
      <c r="I1600" s="63"/>
      <c r="J1600" s="63"/>
    </row>
    <row r="1601" spans="9:10" x14ac:dyDescent="0.35">
      <c r="I1601" s="63"/>
      <c r="J1601" s="63"/>
    </row>
    <row r="1602" spans="9:10" x14ac:dyDescent="0.35">
      <c r="I1602" s="63"/>
      <c r="J1602" s="63"/>
    </row>
    <row r="1603" spans="9:10" x14ac:dyDescent="0.35">
      <c r="I1603" s="63"/>
      <c r="J1603" s="63"/>
    </row>
    <row r="1604" spans="9:10" x14ac:dyDescent="0.35">
      <c r="I1604" s="63"/>
      <c r="J1604" s="63"/>
    </row>
    <row r="1605" spans="9:10" x14ac:dyDescent="0.35">
      <c r="I1605" s="63"/>
      <c r="J1605" s="63"/>
    </row>
    <row r="1606" spans="9:10" x14ac:dyDescent="0.35">
      <c r="I1606" s="63"/>
      <c r="J1606" s="63"/>
    </row>
    <row r="1607" spans="9:10" x14ac:dyDescent="0.35">
      <c r="I1607" s="63"/>
      <c r="J1607" s="63"/>
    </row>
    <row r="1608" spans="9:10" x14ac:dyDescent="0.35">
      <c r="I1608" s="63"/>
      <c r="J1608" s="63"/>
    </row>
    <row r="1609" spans="9:10" x14ac:dyDescent="0.35">
      <c r="I1609" s="63"/>
      <c r="J1609" s="63"/>
    </row>
    <row r="1610" spans="9:10" x14ac:dyDescent="0.35">
      <c r="I1610" s="63"/>
      <c r="J1610" s="63"/>
    </row>
    <row r="1611" spans="9:10" x14ac:dyDescent="0.35">
      <c r="I1611" s="63"/>
      <c r="J1611" s="63"/>
    </row>
    <row r="1612" spans="9:10" x14ac:dyDescent="0.35">
      <c r="I1612" s="63"/>
      <c r="J1612" s="63"/>
    </row>
    <row r="1613" spans="9:10" x14ac:dyDescent="0.35">
      <c r="I1613" s="63"/>
      <c r="J1613" s="63"/>
    </row>
    <row r="1614" spans="9:10" x14ac:dyDescent="0.35">
      <c r="I1614" s="63"/>
      <c r="J1614" s="63"/>
    </row>
    <row r="1615" spans="9:10" x14ac:dyDescent="0.35">
      <c r="I1615" s="63"/>
      <c r="J1615" s="63"/>
    </row>
    <row r="1616" spans="9:10" x14ac:dyDescent="0.35">
      <c r="I1616" s="63"/>
      <c r="J1616" s="63"/>
    </row>
    <row r="1617" spans="9:10" x14ac:dyDescent="0.35">
      <c r="I1617" s="63"/>
      <c r="J1617" s="63"/>
    </row>
    <row r="1618" spans="9:10" x14ac:dyDescent="0.35">
      <c r="I1618" s="63"/>
      <c r="J1618" s="63"/>
    </row>
    <row r="1619" spans="9:10" x14ac:dyDescent="0.35">
      <c r="I1619" s="63"/>
      <c r="J1619" s="63"/>
    </row>
    <row r="1620" spans="9:10" x14ac:dyDescent="0.35">
      <c r="I1620" s="63"/>
      <c r="J1620" s="63"/>
    </row>
    <row r="1621" spans="9:10" x14ac:dyDescent="0.35">
      <c r="I1621" s="63"/>
      <c r="J1621" s="63"/>
    </row>
    <row r="1622" spans="9:10" x14ac:dyDescent="0.35">
      <c r="I1622" s="63"/>
      <c r="J1622" s="63"/>
    </row>
    <row r="1623" spans="9:10" x14ac:dyDescent="0.35">
      <c r="I1623" s="63"/>
      <c r="J1623" s="63"/>
    </row>
    <row r="1624" spans="9:10" x14ac:dyDescent="0.35">
      <c r="I1624" s="63"/>
      <c r="J1624" s="63"/>
    </row>
    <row r="1625" spans="9:10" x14ac:dyDescent="0.35">
      <c r="I1625" s="63"/>
      <c r="J1625" s="63"/>
    </row>
    <row r="1626" spans="9:10" x14ac:dyDescent="0.35">
      <c r="I1626" s="63"/>
      <c r="J1626" s="63"/>
    </row>
    <row r="1627" spans="9:10" x14ac:dyDescent="0.35">
      <c r="I1627" s="63"/>
      <c r="J1627" s="63"/>
    </row>
    <row r="1628" spans="9:10" x14ac:dyDescent="0.35">
      <c r="I1628" s="63"/>
      <c r="J1628" s="63"/>
    </row>
    <row r="1629" spans="9:10" x14ac:dyDescent="0.35">
      <c r="I1629" s="63"/>
      <c r="J1629" s="63"/>
    </row>
    <row r="1630" spans="9:10" x14ac:dyDescent="0.35">
      <c r="I1630" s="63"/>
      <c r="J1630" s="63"/>
    </row>
    <row r="1631" spans="9:10" x14ac:dyDescent="0.35">
      <c r="I1631" s="63"/>
      <c r="J1631" s="63"/>
    </row>
    <row r="1632" spans="9:10" x14ac:dyDescent="0.35">
      <c r="I1632" s="63"/>
      <c r="J1632" s="63"/>
    </row>
    <row r="1633" spans="9:10" x14ac:dyDescent="0.35">
      <c r="I1633" s="63"/>
      <c r="J1633" s="63"/>
    </row>
    <row r="1634" spans="9:10" x14ac:dyDescent="0.35">
      <c r="I1634" s="63"/>
      <c r="J1634" s="63"/>
    </row>
    <row r="1635" spans="9:10" x14ac:dyDescent="0.35">
      <c r="I1635" s="63"/>
      <c r="J1635" s="63"/>
    </row>
    <row r="1636" spans="9:10" x14ac:dyDescent="0.35">
      <c r="I1636" s="63"/>
      <c r="J1636" s="63"/>
    </row>
    <row r="1637" spans="9:10" x14ac:dyDescent="0.35">
      <c r="I1637" s="63"/>
      <c r="J1637" s="63"/>
    </row>
    <row r="1638" spans="9:10" x14ac:dyDescent="0.35">
      <c r="I1638" s="63"/>
      <c r="J1638" s="63"/>
    </row>
    <row r="1639" spans="9:10" x14ac:dyDescent="0.35">
      <c r="I1639" s="63"/>
      <c r="J1639" s="63"/>
    </row>
    <row r="1640" spans="9:10" x14ac:dyDescent="0.35">
      <c r="I1640" s="63"/>
      <c r="J1640" s="63"/>
    </row>
    <row r="1641" spans="9:10" x14ac:dyDescent="0.35">
      <c r="I1641" s="63"/>
      <c r="J1641" s="63"/>
    </row>
    <row r="1642" spans="9:10" x14ac:dyDescent="0.35">
      <c r="I1642" s="63"/>
      <c r="J1642" s="63"/>
    </row>
    <row r="1643" spans="9:10" x14ac:dyDescent="0.35">
      <c r="I1643" s="63"/>
      <c r="J1643" s="63"/>
    </row>
    <row r="1644" spans="9:10" x14ac:dyDescent="0.35">
      <c r="I1644" s="63"/>
      <c r="J1644" s="63"/>
    </row>
    <row r="1645" spans="9:10" x14ac:dyDescent="0.35">
      <c r="I1645" s="63"/>
      <c r="J1645" s="63"/>
    </row>
    <row r="1646" spans="9:10" x14ac:dyDescent="0.35">
      <c r="I1646" s="63"/>
      <c r="J1646" s="63"/>
    </row>
    <row r="1647" spans="9:10" x14ac:dyDescent="0.35">
      <c r="I1647" s="63"/>
      <c r="J1647" s="63"/>
    </row>
    <row r="1648" spans="9:10" x14ac:dyDescent="0.35">
      <c r="I1648" s="63"/>
      <c r="J1648" s="63"/>
    </row>
    <row r="1649" spans="9:10" x14ac:dyDescent="0.35">
      <c r="I1649" s="63"/>
      <c r="J1649" s="63"/>
    </row>
    <row r="1650" spans="9:10" x14ac:dyDescent="0.35">
      <c r="I1650" s="63"/>
      <c r="J1650" s="63"/>
    </row>
    <row r="1651" spans="9:10" x14ac:dyDescent="0.35">
      <c r="I1651" s="63"/>
      <c r="J1651" s="63"/>
    </row>
    <row r="1652" spans="9:10" x14ac:dyDescent="0.35">
      <c r="I1652" s="63"/>
      <c r="J1652" s="63"/>
    </row>
    <row r="1653" spans="9:10" x14ac:dyDescent="0.35">
      <c r="I1653" s="63"/>
      <c r="J1653" s="63"/>
    </row>
    <row r="1654" spans="9:10" x14ac:dyDescent="0.35">
      <c r="I1654" s="63"/>
      <c r="J1654" s="63"/>
    </row>
    <row r="1655" spans="9:10" x14ac:dyDescent="0.35">
      <c r="I1655" s="63"/>
      <c r="J1655" s="63"/>
    </row>
    <row r="1656" spans="9:10" x14ac:dyDescent="0.35">
      <c r="I1656" s="63"/>
      <c r="J1656" s="63"/>
    </row>
    <row r="1657" spans="9:10" x14ac:dyDescent="0.35">
      <c r="I1657" s="63"/>
      <c r="J1657" s="63"/>
    </row>
    <row r="1658" spans="9:10" x14ac:dyDescent="0.35">
      <c r="I1658" s="63"/>
      <c r="J1658" s="63"/>
    </row>
    <row r="1659" spans="9:10" x14ac:dyDescent="0.35">
      <c r="I1659" s="63"/>
      <c r="J1659" s="63"/>
    </row>
    <row r="1660" spans="9:10" x14ac:dyDescent="0.35">
      <c r="I1660" s="63"/>
      <c r="J1660" s="63"/>
    </row>
    <row r="1661" spans="9:10" x14ac:dyDescent="0.35">
      <c r="I1661" s="63"/>
      <c r="J1661" s="63"/>
    </row>
    <row r="1662" spans="9:10" x14ac:dyDescent="0.35">
      <c r="I1662" s="63"/>
      <c r="J1662" s="63"/>
    </row>
    <row r="1663" spans="9:10" x14ac:dyDescent="0.35">
      <c r="I1663" s="63"/>
      <c r="J1663" s="63"/>
    </row>
    <row r="1664" spans="9:10" x14ac:dyDescent="0.35">
      <c r="I1664" s="63"/>
      <c r="J1664" s="63"/>
    </row>
    <row r="1665" spans="9:10" x14ac:dyDescent="0.35">
      <c r="I1665" s="63"/>
      <c r="J1665" s="63"/>
    </row>
    <row r="1666" spans="9:10" x14ac:dyDescent="0.35">
      <c r="I1666" s="63"/>
      <c r="J1666" s="63"/>
    </row>
    <row r="1667" spans="9:10" x14ac:dyDescent="0.35">
      <c r="I1667" s="63"/>
      <c r="J1667" s="63"/>
    </row>
    <row r="1668" spans="9:10" x14ac:dyDescent="0.35">
      <c r="I1668" s="63"/>
      <c r="J1668" s="63"/>
    </row>
    <row r="1669" spans="9:10" x14ac:dyDescent="0.35">
      <c r="I1669" s="63"/>
      <c r="J1669" s="63"/>
    </row>
    <row r="1670" spans="9:10" x14ac:dyDescent="0.35">
      <c r="I1670" s="63"/>
      <c r="J1670" s="63"/>
    </row>
    <row r="1671" spans="9:10" x14ac:dyDescent="0.35">
      <c r="I1671" s="63"/>
      <c r="J1671" s="63"/>
    </row>
    <row r="1672" spans="9:10" x14ac:dyDescent="0.35">
      <c r="I1672" s="63"/>
      <c r="J1672" s="63"/>
    </row>
    <row r="1673" spans="9:10" x14ac:dyDescent="0.35">
      <c r="I1673" s="63"/>
      <c r="J1673" s="63"/>
    </row>
    <row r="1674" spans="9:10" x14ac:dyDescent="0.35">
      <c r="I1674" s="63"/>
      <c r="J1674" s="63"/>
    </row>
    <row r="1675" spans="9:10" x14ac:dyDescent="0.35">
      <c r="I1675" s="63"/>
      <c r="J1675" s="63"/>
    </row>
    <row r="1676" spans="9:10" x14ac:dyDescent="0.35">
      <c r="I1676" s="63"/>
      <c r="J1676" s="63"/>
    </row>
    <row r="1677" spans="9:10" x14ac:dyDescent="0.35">
      <c r="I1677" s="63"/>
      <c r="J1677" s="63"/>
    </row>
    <row r="1678" spans="9:10" x14ac:dyDescent="0.35">
      <c r="I1678" s="63"/>
      <c r="J1678" s="63"/>
    </row>
    <row r="1679" spans="9:10" x14ac:dyDescent="0.35">
      <c r="I1679" s="63"/>
      <c r="J1679" s="63"/>
    </row>
    <row r="1680" spans="9:10" x14ac:dyDescent="0.35">
      <c r="I1680" s="63"/>
      <c r="J1680" s="63"/>
    </row>
    <row r="1681" spans="9:10" x14ac:dyDescent="0.35">
      <c r="I1681" s="63"/>
      <c r="J1681" s="63"/>
    </row>
    <row r="1682" spans="9:10" x14ac:dyDescent="0.35">
      <c r="I1682" s="63"/>
      <c r="J1682" s="63"/>
    </row>
    <row r="1683" spans="9:10" x14ac:dyDescent="0.35">
      <c r="I1683" s="63"/>
      <c r="J1683" s="63"/>
    </row>
    <row r="1684" spans="9:10" x14ac:dyDescent="0.35">
      <c r="I1684" s="63"/>
      <c r="J1684" s="63"/>
    </row>
    <row r="1685" spans="9:10" x14ac:dyDescent="0.35">
      <c r="I1685" s="63"/>
      <c r="J1685" s="63"/>
    </row>
    <row r="1686" spans="9:10" x14ac:dyDescent="0.35">
      <c r="I1686" s="63"/>
      <c r="J1686" s="63"/>
    </row>
    <row r="1687" spans="9:10" x14ac:dyDescent="0.35">
      <c r="I1687" s="63"/>
      <c r="J1687" s="63"/>
    </row>
    <row r="1688" spans="9:10" x14ac:dyDescent="0.35">
      <c r="I1688" s="63"/>
      <c r="J1688" s="63"/>
    </row>
    <row r="1689" spans="9:10" x14ac:dyDescent="0.35">
      <c r="I1689" s="63"/>
      <c r="J1689" s="63"/>
    </row>
    <row r="1690" spans="9:10" x14ac:dyDescent="0.35">
      <c r="I1690" s="63"/>
      <c r="J1690" s="63"/>
    </row>
    <row r="1691" spans="9:10" x14ac:dyDescent="0.35">
      <c r="I1691" s="63"/>
      <c r="J1691" s="63"/>
    </row>
    <row r="1692" spans="9:10" x14ac:dyDescent="0.35">
      <c r="I1692" s="63"/>
      <c r="J1692" s="63"/>
    </row>
    <row r="1693" spans="9:10" x14ac:dyDescent="0.35">
      <c r="I1693" s="63"/>
      <c r="J1693" s="63"/>
    </row>
    <row r="1694" spans="9:10" x14ac:dyDescent="0.35">
      <c r="I1694" s="63"/>
      <c r="J1694" s="63"/>
    </row>
    <row r="1695" spans="9:10" x14ac:dyDescent="0.35">
      <c r="I1695" s="63"/>
      <c r="J1695" s="63"/>
    </row>
    <row r="1696" spans="9:10" x14ac:dyDescent="0.35">
      <c r="I1696" s="63"/>
      <c r="J1696" s="63"/>
    </row>
    <row r="1697" spans="9:10" x14ac:dyDescent="0.35">
      <c r="I1697" s="63"/>
      <c r="J1697" s="63"/>
    </row>
    <row r="1698" spans="9:10" x14ac:dyDescent="0.35">
      <c r="I1698" s="63"/>
      <c r="J1698" s="63"/>
    </row>
    <row r="1699" spans="9:10" x14ac:dyDescent="0.35">
      <c r="I1699" s="63"/>
      <c r="J1699" s="63"/>
    </row>
    <row r="1700" spans="9:10" x14ac:dyDescent="0.35">
      <c r="I1700" s="63"/>
      <c r="J1700" s="63"/>
    </row>
    <row r="1701" spans="9:10" x14ac:dyDescent="0.35">
      <c r="I1701" s="63"/>
      <c r="J1701" s="63"/>
    </row>
    <row r="1702" spans="9:10" x14ac:dyDescent="0.35">
      <c r="I1702" s="63"/>
      <c r="J1702" s="63"/>
    </row>
    <row r="1703" spans="9:10" x14ac:dyDescent="0.35">
      <c r="I1703" s="63"/>
      <c r="J1703" s="63"/>
    </row>
    <row r="1704" spans="9:10" x14ac:dyDescent="0.35">
      <c r="I1704" s="63"/>
      <c r="J1704" s="63"/>
    </row>
    <row r="1705" spans="9:10" x14ac:dyDescent="0.35">
      <c r="I1705" s="63"/>
      <c r="J1705" s="63"/>
    </row>
    <row r="1706" spans="9:10" x14ac:dyDescent="0.35">
      <c r="I1706" s="63"/>
      <c r="J1706" s="63"/>
    </row>
    <row r="1707" spans="9:10" x14ac:dyDescent="0.35">
      <c r="I1707" s="63"/>
      <c r="J1707" s="63"/>
    </row>
    <row r="1708" spans="9:10" x14ac:dyDescent="0.35">
      <c r="I1708" s="63"/>
      <c r="J1708" s="63"/>
    </row>
    <row r="1709" spans="9:10" x14ac:dyDescent="0.35">
      <c r="I1709" s="63"/>
      <c r="J1709" s="63"/>
    </row>
    <row r="1710" spans="9:10" x14ac:dyDescent="0.35">
      <c r="I1710" s="63"/>
      <c r="J1710" s="63"/>
    </row>
    <row r="1711" spans="9:10" x14ac:dyDescent="0.35">
      <c r="I1711" s="63"/>
      <c r="J1711" s="63"/>
    </row>
    <row r="1712" spans="9:10" x14ac:dyDescent="0.35">
      <c r="I1712" s="63"/>
      <c r="J1712" s="63"/>
    </row>
    <row r="1713" spans="9:10" x14ac:dyDescent="0.35">
      <c r="I1713" s="63"/>
      <c r="J1713" s="63"/>
    </row>
    <row r="1714" spans="9:10" x14ac:dyDescent="0.35">
      <c r="I1714" s="63"/>
      <c r="J1714" s="63"/>
    </row>
    <row r="1715" spans="9:10" x14ac:dyDescent="0.35">
      <c r="I1715" s="63"/>
      <c r="J1715" s="63"/>
    </row>
    <row r="1716" spans="9:10" x14ac:dyDescent="0.35">
      <c r="I1716" s="63"/>
      <c r="J1716" s="63"/>
    </row>
    <row r="1717" spans="9:10" x14ac:dyDescent="0.35">
      <c r="I1717" s="63"/>
      <c r="J1717" s="63"/>
    </row>
    <row r="1718" spans="9:10" x14ac:dyDescent="0.35">
      <c r="I1718" s="63"/>
      <c r="J1718" s="63"/>
    </row>
    <row r="1719" spans="9:10" x14ac:dyDescent="0.35">
      <c r="I1719" s="63"/>
      <c r="J1719" s="63"/>
    </row>
    <row r="1720" spans="9:10" x14ac:dyDescent="0.35">
      <c r="I1720" s="63"/>
      <c r="J1720" s="63"/>
    </row>
    <row r="1721" spans="9:10" x14ac:dyDescent="0.35">
      <c r="I1721" s="63"/>
      <c r="J1721" s="63"/>
    </row>
    <row r="1722" spans="9:10" x14ac:dyDescent="0.35">
      <c r="I1722" s="63"/>
      <c r="J1722" s="63"/>
    </row>
    <row r="1723" spans="9:10" x14ac:dyDescent="0.35">
      <c r="I1723" s="63"/>
      <c r="J1723" s="63"/>
    </row>
    <row r="1724" spans="9:10" x14ac:dyDescent="0.35">
      <c r="I1724" s="63"/>
      <c r="J1724" s="63"/>
    </row>
    <row r="1725" spans="9:10" x14ac:dyDescent="0.35">
      <c r="I1725" s="63"/>
      <c r="J1725" s="63"/>
    </row>
    <row r="1726" spans="9:10" x14ac:dyDescent="0.35">
      <c r="I1726" s="63"/>
      <c r="J1726" s="63"/>
    </row>
    <row r="1727" spans="9:10" x14ac:dyDescent="0.35">
      <c r="I1727" s="63"/>
      <c r="J1727" s="63"/>
    </row>
    <row r="1728" spans="9:10" x14ac:dyDescent="0.35">
      <c r="I1728" s="63"/>
      <c r="J1728" s="63"/>
    </row>
    <row r="1729" spans="9:10" x14ac:dyDescent="0.35">
      <c r="I1729" s="63"/>
      <c r="J1729" s="63"/>
    </row>
    <row r="1730" spans="9:10" x14ac:dyDescent="0.35">
      <c r="I1730" s="63"/>
      <c r="J1730" s="63"/>
    </row>
    <row r="1731" spans="9:10" x14ac:dyDescent="0.35">
      <c r="I1731" s="63"/>
      <c r="J1731" s="63"/>
    </row>
    <row r="1732" spans="9:10" x14ac:dyDescent="0.35">
      <c r="I1732" s="63"/>
      <c r="J1732" s="63"/>
    </row>
    <row r="1733" spans="9:10" x14ac:dyDescent="0.35">
      <c r="I1733" s="63"/>
      <c r="J1733" s="63"/>
    </row>
    <row r="1734" spans="9:10" x14ac:dyDescent="0.35">
      <c r="I1734" s="63"/>
      <c r="J1734" s="63"/>
    </row>
    <row r="1735" spans="9:10" x14ac:dyDescent="0.35">
      <c r="I1735" s="63"/>
      <c r="J1735" s="63"/>
    </row>
    <row r="1736" spans="9:10" x14ac:dyDescent="0.35">
      <c r="I1736" s="63"/>
      <c r="J1736" s="63"/>
    </row>
    <row r="1737" spans="9:10" x14ac:dyDescent="0.35">
      <c r="I1737" s="63"/>
      <c r="J1737" s="63"/>
    </row>
    <row r="1738" spans="9:10" x14ac:dyDescent="0.35">
      <c r="I1738" s="63"/>
      <c r="J1738" s="63"/>
    </row>
    <row r="1739" spans="9:10" x14ac:dyDescent="0.35">
      <c r="I1739" s="63"/>
      <c r="J1739" s="63"/>
    </row>
    <row r="1740" spans="9:10" x14ac:dyDescent="0.35">
      <c r="I1740" s="63"/>
      <c r="J1740" s="63"/>
    </row>
    <row r="1741" spans="9:10" x14ac:dyDescent="0.35">
      <c r="I1741" s="63"/>
      <c r="J1741" s="63"/>
    </row>
    <row r="1742" spans="9:10" x14ac:dyDescent="0.35">
      <c r="I1742" s="63"/>
      <c r="J1742" s="63"/>
    </row>
    <row r="1743" spans="9:10" x14ac:dyDescent="0.35">
      <c r="I1743" s="63"/>
      <c r="J1743" s="63"/>
    </row>
    <row r="1744" spans="9:10" x14ac:dyDescent="0.35">
      <c r="I1744" s="63"/>
      <c r="J1744" s="63"/>
    </row>
    <row r="1745" spans="9:10" x14ac:dyDescent="0.35">
      <c r="I1745" s="63"/>
      <c r="J1745" s="63"/>
    </row>
    <row r="1746" spans="9:10" x14ac:dyDescent="0.35">
      <c r="I1746" s="63"/>
      <c r="J1746" s="63"/>
    </row>
    <row r="1747" spans="9:10" x14ac:dyDescent="0.35">
      <c r="I1747" s="63"/>
      <c r="J1747" s="63"/>
    </row>
    <row r="1748" spans="9:10" x14ac:dyDescent="0.35">
      <c r="I1748" s="63"/>
      <c r="J1748" s="63"/>
    </row>
    <row r="1749" spans="9:10" x14ac:dyDescent="0.35">
      <c r="I1749" s="63"/>
      <c r="J1749" s="63"/>
    </row>
    <row r="1750" spans="9:10" x14ac:dyDescent="0.35">
      <c r="I1750" s="63"/>
      <c r="J1750" s="63"/>
    </row>
    <row r="1751" spans="9:10" x14ac:dyDescent="0.35">
      <c r="I1751" s="63"/>
      <c r="J1751" s="63"/>
    </row>
    <row r="1752" spans="9:10" x14ac:dyDescent="0.35">
      <c r="I1752" s="63"/>
      <c r="J1752" s="63"/>
    </row>
    <row r="1753" spans="9:10" x14ac:dyDescent="0.35">
      <c r="I1753" s="63"/>
      <c r="J1753" s="63"/>
    </row>
    <row r="1754" spans="9:10" x14ac:dyDescent="0.35">
      <c r="I1754" s="63"/>
      <c r="J1754" s="63"/>
    </row>
    <row r="1755" spans="9:10" x14ac:dyDescent="0.35">
      <c r="I1755" s="63"/>
      <c r="J1755" s="63"/>
    </row>
    <row r="1756" spans="9:10" x14ac:dyDescent="0.35">
      <c r="I1756" s="63"/>
      <c r="J1756" s="63"/>
    </row>
    <row r="1757" spans="9:10" x14ac:dyDescent="0.35">
      <c r="I1757" s="63"/>
      <c r="J1757" s="63"/>
    </row>
    <row r="1758" spans="9:10" x14ac:dyDescent="0.35">
      <c r="I1758" s="63"/>
      <c r="J1758" s="63"/>
    </row>
    <row r="1759" spans="9:10" x14ac:dyDescent="0.35">
      <c r="I1759" s="63"/>
      <c r="J1759" s="63"/>
    </row>
    <row r="1760" spans="9:10" x14ac:dyDescent="0.35">
      <c r="I1760" s="63"/>
      <c r="J1760" s="63"/>
    </row>
    <row r="1761" spans="9:10" x14ac:dyDescent="0.35">
      <c r="I1761" s="63"/>
      <c r="J1761" s="63"/>
    </row>
    <row r="1762" spans="9:10" x14ac:dyDescent="0.35">
      <c r="I1762" s="63"/>
      <c r="J1762" s="63"/>
    </row>
    <row r="1763" spans="9:10" x14ac:dyDescent="0.35">
      <c r="I1763" s="63"/>
      <c r="J1763" s="63"/>
    </row>
    <row r="1764" spans="9:10" x14ac:dyDescent="0.35">
      <c r="I1764" s="63"/>
      <c r="J1764" s="63"/>
    </row>
    <row r="1765" spans="9:10" x14ac:dyDescent="0.35">
      <c r="I1765" s="63"/>
      <c r="J1765" s="63"/>
    </row>
    <row r="1766" spans="9:10" x14ac:dyDescent="0.35">
      <c r="I1766" s="63"/>
      <c r="J1766" s="63"/>
    </row>
    <row r="1767" spans="9:10" x14ac:dyDescent="0.35">
      <c r="I1767" s="63"/>
      <c r="J1767" s="63"/>
    </row>
    <row r="1768" spans="9:10" x14ac:dyDescent="0.35">
      <c r="I1768" s="63"/>
      <c r="J1768" s="63"/>
    </row>
    <row r="1769" spans="9:10" x14ac:dyDescent="0.35">
      <c r="I1769" s="63"/>
      <c r="J1769" s="63"/>
    </row>
    <row r="1770" spans="9:10" x14ac:dyDescent="0.35">
      <c r="I1770" s="63"/>
      <c r="J1770" s="63"/>
    </row>
    <row r="1771" spans="9:10" x14ac:dyDescent="0.35">
      <c r="I1771" s="63"/>
      <c r="J1771" s="63"/>
    </row>
    <row r="1772" spans="9:10" x14ac:dyDescent="0.35">
      <c r="I1772" s="63"/>
      <c r="J1772" s="63"/>
    </row>
    <row r="1773" spans="9:10" x14ac:dyDescent="0.35">
      <c r="I1773" s="63"/>
      <c r="J1773" s="63"/>
    </row>
    <row r="1774" spans="9:10" x14ac:dyDescent="0.35">
      <c r="I1774" s="63"/>
      <c r="J1774" s="63"/>
    </row>
    <row r="1775" spans="9:10" x14ac:dyDescent="0.35">
      <c r="I1775" s="63"/>
      <c r="J1775" s="63"/>
    </row>
    <row r="1776" spans="9:10" x14ac:dyDescent="0.35">
      <c r="I1776" s="63"/>
      <c r="J1776" s="63"/>
    </row>
    <row r="1777" spans="9:10" x14ac:dyDescent="0.35">
      <c r="I1777" s="63"/>
      <c r="J1777" s="63"/>
    </row>
    <row r="1778" spans="9:10" x14ac:dyDescent="0.35">
      <c r="I1778" s="63"/>
      <c r="J1778" s="63"/>
    </row>
    <row r="1779" spans="9:10" x14ac:dyDescent="0.35">
      <c r="I1779" s="63"/>
      <c r="J1779" s="63"/>
    </row>
    <row r="1780" spans="9:10" x14ac:dyDescent="0.35">
      <c r="I1780" s="63"/>
      <c r="J1780" s="63"/>
    </row>
    <row r="1781" spans="9:10" x14ac:dyDescent="0.35">
      <c r="I1781" s="63"/>
      <c r="J1781" s="63"/>
    </row>
    <row r="1782" spans="9:10" x14ac:dyDescent="0.35">
      <c r="I1782" s="63"/>
      <c r="J1782" s="63"/>
    </row>
    <row r="1783" spans="9:10" x14ac:dyDescent="0.35">
      <c r="I1783" s="63"/>
      <c r="J1783" s="63"/>
    </row>
    <row r="1784" spans="9:10" x14ac:dyDescent="0.35">
      <c r="I1784" s="63"/>
      <c r="J1784" s="63"/>
    </row>
    <row r="1785" spans="9:10" x14ac:dyDescent="0.35">
      <c r="I1785" s="63"/>
      <c r="J1785" s="63"/>
    </row>
    <row r="1786" spans="9:10" x14ac:dyDescent="0.35">
      <c r="I1786" s="63"/>
      <c r="J1786" s="63"/>
    </row>
    <row r="1787" spans="9:10" x14ac:dyDescent="0.35">
      <c r="I1787" s="63"/>
      <c r="J1787" s="63"/>
    </row>
    <row r="1788" spans="9:10" x14ac:dyDescent="0.35">
      <c r="I1788" s="63"/>
      <c r="J1788" s="63"/>
    </row>
    <row r="1789" spans="9:10" x14ac:dyDescent="0.35">
      <c r="I1789" s="63"/>
      <c r="J1789" s="63"/>
    </row>
    <row r="1790" spans="9:10" x14ac:dyDescent="0.35">
      <c r="I1790" s="63"/>
      <c r="J1790" s="63"/>
    </row>
    <row r="1791" spans="9:10" x14ac:dyDescent="0.35">
      <c r="I1791" s="63"/>
      <c r="J1791" s="63"/>
    </row>
    <row r="1792" spans="9:10" x14ac:dyDescent="0.35">
      <c r="I1792" s="63"/>
      <c r="J1792" s="63"/>
    </row>
    <row r="1793" spans="9:10" x14ac:dyDescent="0.35">
      <c r="I1793" s="63"/>
      <c r="J1793" s="63"/>
    </row>
    <row r="1794" spans="9:10" x14ac:dyDescent="0.35">
      <c r="I1794" s="63"/>
      <c r="J1794" s="63"/>
    </row>
    <row r="1795" spans="9:10" x14ac:dyDescent="0.35">
      <c r="I1795" s="63"/>
      <c r="J1795" s="63"/>
    </row>
    <row r="1796" spans="9:10" x14ac:dyDescent="0.35">
      <c r="I1796" s="63"/>
      <c r="J1796" s="63"/>
    </row>
    <row r="1797" spans="9:10" x14ac:dyDescent="0.35">
      <c r="I1797" s="63"/>
      <c r="J1797" s="63"/>
    </row>
    <row r="1798" spans="9:10" x14ac:dyDescent="0.35">
      <c r="I1798" s="63"/>
      <c r="J1798" s="63"/>
    </row>
    <row r="1799" spans="9:10" x14ac:dyDescent="0.35">
      <c r="I1799" s="63"/>
      <c r="J1799" s="63"/>
    </row>
    <row r="1800" spans="9:10" x14ac:dyDescent="0.35">
      <c r="I1800" s="63"/>
      <c r="J1800" s="63"/>
    </row>
    <row r="1801" spans="9:10" x14ac:dyDescent="0.35">
      <c r="I1801" s="63"/>
      <c r="J1801" s="63"/>
    </row>
    <row r="1802" spans="9:10" x14ac:dyDescent="0.35">
      <c r="I1802" s="63"/>
      <c r="J1802" s="63"/>
    </row>
    <row r="1803" spans="9:10" x14ac:dyDescent="0.35">
      <c r="I1803" s="63"/>
      <c r="J1803" s="63"/>
    </row>
    <row r="1804" spans="9:10" x14ac:dyDescent="0.35">
      <c r="I1804" s="63"/>
      <c r="J1804" s="63"/>
    </row>
    <row r="1805" spans="9:10" x14ac:dyDescent="0.35">
      <c r="I1805" s="63"/>
      <c r="J1805" s="63"/>
    </row>
    <row r="1806" spans="9:10" x14ac:dyDescent="0.35">
      <c r="I1806" s="63"/>
      <c r="J1806" s="63"/>
    </row>
    <row r="1807" spans="9:10" x14ac:dyDescent="0.35">
      <c r="I1807" s="63"/>
      <c r="J1807" s="63"/>
    </row>
    <row r="1808" spans="9:10" x14ac:dyDescent="0.35">
      <c r="I1808" s="63"/>
      <c r="J1808" s="63"/>
    </row>
    <row r="1809" spans="9:10" x14ac:dyDescent="0.35">
      <c r="I1809" s="63"/>
      <c r="J1809" s="63"/>
    </row>
    <row r="1810" spans="9:10" x14ac:dyDescent="0.35">
      <c r="I1810" s="63"/>
      <c r="J1810" s="63"/>
    </row>
    <row r="1811" spans="9:10" x14ac:dyDescent="0.35">
      <c r="I1811" s="63"/>
      <c r="J1811" s="63"/>
    </row>
    <row r="1812" spans="9:10" x14ac:dyDescent="0.35">
      <c r="I1812" s="63"/>
      <c r="J1812" s="63"/>
    </row>
    <row r="1813" spans="9:10" x14ac:dyDescent="0.35">
      <c r="I1813" s="63"/>
      <c r="J1813" s="63"/>
    </row>
    <row r="1814" spans="9:10" x14ac:dyDescent="0.35">
      <c r="I1814" s="63"/>
      <c r="J1814" s="63"/>
    </row>
    <row r="1815" spans="9:10" x14ac:dyDescent="0.35">
      <c r="I1815" s="63"/>
      <c r="J1815" s="63"/>
    </row>
    <row r="1816" spans="9:10" x14ac:dyDescent="0.35">
      <c r="I1816" s="63"/>
      <c r="J1816" s="63"/>
    </row>
    <row r="1817" spans="9:10" x14ac:dyDescent="0.35">
      <c r="I1817" s="63"/>
      <c r="J1817" s="63"/>
    </row>
    <row r="1818" spans="9:10" x14ac:dyDescent="0.35">
      <c r="I1818" s="63"/>
      <c r="J1818" s="63"/>
    </row>
    <row r="1819" spans="9:10" x14ac:dyDescent="0.35">
      <c r="I1819" s="63"/>
      <c r="J1819" s="63"/>
    </row>
    <row r="1820" spans="9:10" x14ac:dyDescent="0.35">
      <c r="I1820" s="63"/>
      <c r="J1820" s="63"/>
    </row>
    <row r="1821" spans="9:10" x14ac:dyDescent="0.35">
      <c r="I1821" s="63"/>
      <c r="J1821" s="63"/>
    </row>
    <row r="1822" spans="9:10" x14ac:dyDescent="0.35">
      <c r="I1822" s="63"/>
      <c r="J1822" s="63"/>
    </row>
    <row r="1823" spans="9:10" x14ac:dyDescent="0.35">
      <c r="I1823" s="63"/>
      <c r="J1823" s="63"/>
    </row>
    <row r="1824" spans="9:10" x14ac:dyDescent="0.35">
      <c r="I1824" s="63"/>
      <c r="J1824" s="63"/>
    </row>
    <row r="1825" spans="9:10" x14ac:dyDescent="0.35">
      <c r="I1825" s="63"/>
      <c r="J1825" s="63"/>
    </row>
    <row r="1826" spans="9:10" x14ac:dyDescent="0.35">
      <c r="I1826" s="63"/>
      <c r="J1826" s="63"/>
    </row>
    <row r="1827" spans="9:10" x14ac:dyDescent="0.35">
      <c r="I1827" s="63"/>
      <c r="J1827" s="63"/>
    </row>
    <row r="1828" spans="9:10" x14ac:dyDescent="0.35">
      <c r="I1828" s="63"/>
      <c r="J1828" s="63"/>
    </row>
    <row r="1829" spans="9:10" x14ac:dyDescent="0.35">
      <c r="I1829" s="63"/>
      <c r="J1829" s="63"/>
    </row>
    <row r="1830" spans="9:10" x14ac:dyDescent="0.35">
      <c r="I1830" s="63"/>
      <c r="J1830" s="63"/>
    </row>
    <row r="1831" spans="9:10" x14ac:dyDescent="0.35">
      <c r="I1831" s="63"/>
      <c r="J1831" s="63"/>
    </row>
    <row r="1832" spans="9:10" x14ac:dyDescent="0.35">
      <c r="I1832" s="63"/>
      <c r="J1832" s="63"/>
    </row>
    <row r="1833" spans="9:10" x14ac:dyDescent="0.35">
      <c r="I1833" s="63"/>
      <c r="J1833" s="63"/>
    </row>
    <row r="1834" spans="9:10" x14ac:dyDescent="0.35">
      <c r="I1834" s="63"/>
      <c r="J1834" s="63"/>
    </row>
    <row r="1835" spans="9:10" x14ac:dyDescent="0.35">
      <c r="I1835" s="63"/>
      <c r="J1835" s="63"/>
    </row>
    <row r="1836" spans="9:10" x14ac:dyDescent="0.35">
      <c r="I1836" s="63"/>
      <c r="J1836" s="63"/>
    </row>
    <row r="1837" spans="9:10" x14ac:dyDescent="0.35">
      <c r="I1837" s="63"/>
      <c r="J1837" s="63"/>
    </row>
    <row r="1838" spans="9:10" x14ac:dyDescent="0.35">
      <c r="I1838" s="63"/>
      <c r="J1838" s="63"/>
    </row>
    <row r="1839" spans="9:10" x14ac:dyDescent="0.35">
      <c r="I1839" s="63"/>
      <c r="J1839" s="63"/>
    </row>
    <row r="1840" spans="9:10" x14ac:dyDescent="0.35">
      <c r="I1840" s="63"/>
      <c r="J1840" s="63"/>
    </row>
    <row r="1841" spans="9:10" x14ac:dyDescent="0.35">
      <c r="I1841" s="63"/>
      <c r="J1841" s="63"/>
    </row>
    <row r="1842" spans="9:10" x14ac:dyDescent="0.35">
      <c r="I1842" s="63"/>
      <c r="J1842" s="63"/>
    </row>
    <row r="1843" spans="9:10" x14ac:dyDescent="0.35">
      <c r="I1843" s="63"/>
      <c r="J1843" s="63"/>
    </row>
    <row r="1844" spans="9:10" x14ac:dyDescent="0.35">
      <c r="I1844" s="63"/>
      <c r="J1844" s="63"/>
    </row>
    <row r="1845" spans="9:10" x14ac:dyDescent="0.35">
      <c r="I1845" s="63"/>
      <c r="J1845" s="63"/>
    </row>
    <row r="1846" spans="9:10" x14ac:dyDescent="0.35">
      <c r="I1846" s="63"/>
      <c r="J1846" s="63"/>
    </row>
    <row r="1847" spans="9:10" x14ac:dyDescent="0.35">
      <c r="I1847" s="63"/>
      <c r="J1847" s="63"/>
    </row>
    <row r="1848" spans="9:10" x14ac:dyDescent="0.35">
      <c r="I1848" s="63"/>
      <c r="J1848" s="63"/>
    </row>
    <row r="1849" spans="9:10" x14ac:dyDescent="0.35">
      <c r="I1849" s="63"/>
      <c r="J1849" s="63"/>
    </row>
    <row r="1850" spans="9:10" x14ac:dyDescent="0.35">
      <c r="I1850" s="63"/>
      <c r="J1850" s="63"/>
    </row>
    <row r="1851" spans="9:10" x14ac:dyDescent="0.35">
      <c r="I1851" s="63"/>
      <c r="J1851" s="63"/>
    </row>
    <row r="1852" spans="9:10" x14ac:dyDescent="0.35">
      <c r="I1852" s="63"/>
      <c r="J1852" s="63"/>
    </row>
    <row r="1853" spans="9:10" x14ac:dyDescent="0.35">
      <c r="I1853" s="63"/>
      <c r="J1853" s="63"/>
    </row>
    <row r="1854" spans="9:10" x14ac:dyDescent="0.35">
      <c r="I1854" s="63"/>
      <c r="J1854" s="63"/>
    </row>
    <row r="1855" spans="9:10" x14ac:dyDescent="0.35">
      <c r="I1855" s="63"/>
      <c r="J1855" s="63"/>
    </row>
    <row r="1856" spans="9:10" x14ac:dyDescent="0.35">
      <c r="I1856" s="63"/>
      <c r="J1856" s="63"/>
    </row>
    <row r="1857" spans="9:10" x14ac:dyDescent="0.35">
      <c r="I1857" s="63"/>
      <c r="J1857" s="63"/>
    </row>
    <row r="1858" spans="9:10" x14ac:dyDescent="0.35">
      <c r="I1858" s="63"/>
      <c r="J1858" s="63"/>
    </row>
    <row r="1859" spans="9:10" x14ac:dyDescent="0.35">
      <c r="I1859" s="63"/>
      <c r="J1859" s="63"/>
    </row>
    <row r="1860" spans="9:10" x14ac:dyDescent="0.35">
      <c r="I1860" s="63"/>
      <c r="J1860" s="63"/>
    </row>
    <row r="1861" spans="9:10" x14ac:dyDescent="0.35">
      <c r="I1861" s="63"/>
      <c r="J1861" s="63"/>
    </row>
    <row r="1862" spans="9:10" x14ac:dyDescent="0.35">
      <c r="I1862" s="63"/>
      <c r="J1862" s="63"/>
    </row>
    <row r="1863" spans="9:10" x14ac:dyDescent="0.35">
      <c r="I1863" s="63"/>
      <c r="J1863" s="63"/>
    </row>
    <row r="1864" spans="9:10" x14ac:dyDescent="0.35">
      <c r="I1864" s="63"/>
      <c r="J1864" s="63"/>
    </row>
    <row r="1865" spans="9:10" x14ac:dyDescent="0.35">
      <c r="I1865" s="63"/>
      <c r="J1865" s="63"/>
    </row>
    <row r="1866" spans="9:10" x14ac:dyDescent="0.35">
      <c r="I1866" s="63"/>
      <c r="J1866" s="63"/>
    </row>
    <row r="1867" spans="9:10" x14ac:dyDescent="0.35">
      <c r="I1867" s="63"/>
      <c r="J1867" s="63"/>
    </row>
    <row r="1868" spans="9:10" x14ac:dyDescent="0.35">
      <c r="I1868" s="63"/>
      <c r="J1868" s="63"/>
    </row>
    <row r="1869" spans="9:10" x14ac:dyDescent="0.35">
      <c r="I1869" s="63"/>
      <c r="J1869" s="63"/>
    </row>
    <row r="1870" spans="9:10" x14ac:dyDescent="0.35">
      <c r="I1870" s="63"/>
      <c r="J1870" s="63"/>
    </row>
    <row r="1871" spans="9:10" x14ac:dyDescent="0.35">
      <c r="I1871" s="63"/>
      <c r="J1871" s="63"/>
    </row>
    <row r="1872" spans="9:10" x14ac:dyDescent="0.35">
      <c r="I1872" s="63"/>
      <c r="J1872" s="63"/>
    </row>
    <row r="1873" spans="9:10" x14ac:dyDescent="0.35">
      <c r="I1873" s="63"/>
      <c r="J1873" s="63"/>
    </row>
    <row r="1874" spans="9:10" x14ac:dyDescent="0.35">
      <c r="I1874" s="63"/>
      <c r="J1874" s="63"/>
    </row>
    <row r="1875" spans="9:10" x14ac:dyDescent="0.35">
      <c r="I1875" s="63"/>
      <c r="J1875" s="63"/>
    </row>
    <row r="1876" spans="9:10" x14ac:dyDescent="0.35">
      <c r="I1876" s="63"/>
      <c r="J1876" s="63"/>
    </row>
    <row r="1877" spans="9:10" x14ac:dyDescent="0.35">
      <c r="I1877" s="63"/>
      <c r="J1877" s="63"/>
    </row>
    <row r="1878" spans="9:10" x14ac:dyDescent="0.35">
      <c r="I1878" s="63"/>
      <c r="J1878" s="63"/>
    </row>
    <row r="1879" spans="9:10" x14ac:dyDescent="0.35">
      <c r="I1879" s="63"/>
      <c r="J1879" s="63"/>
    </row>
    <row r="1880" spans="9:10" x14ac:dyDescent="0.35">
      <c r="I1880" s="63"/>
      <c r="J1880" s="63"/>
    </row>
    <row r="1881" spans="9:10" x14ac:dyDescent="0.35">
      <c r="I1881" s="63"/>
      <c r="J1881" s="63"/>
    </row>
    <row r="1882" spans="9:10" x14ac:dyDescent="0.35">
      <c r="I1882" s="63"/>
      <c r="J1882" s="63"/>
    </row>
    <row r="1883" spans="9:10" x14ac:dyDescent="0.35">
      <c r="I1883" s="63"/>
      <c r="J1883" s="63"/>
    </row>
    <row r="1884" spans="9:10" x14ac:dyDescent="0.35">
      <c r="I1884" s="63"/>
      <c r="J1884" s="63"/>
    </row>
    <row r="1885" spans="9:10" x14ac:dyDescent="0.35">
      <c r="I1885" s="63"/>
      <c r="J1885" s="63"/>
    </row>
    <row r="1886" spans="9:10" x14ac:dyDescent="0.35">
      <c r="I1886" s="63"/>
      <c r="J1886" s="63"/>
    </row>
    <row r="1887" spans="9:10" x14ac:dyDescent="0.35">
      <c r="I1887" s="63"/>
      <c r="J1887" s="63"/>
    </row>
    <row r="1888" spans="9:10" x14ac:dyDescent="0.35">
      <c r="I1888" s="63"/>
      <c r="J1888" s="63"/>
    </row>
    <row r="1889" spans="9:10" x14ac:dyDescent="0.35">
      <c r="I1889" s="63"/>
      <c r="J1889" s="63"/>
    </row>
    <row r="1890" spans="9:10" x14ac:dyDescent="0.35">
      <c r="I1890" s="63"/>
      <c r="J1890" s="63"/>
    </row>
    <row r="1891" spans="9:10" x14ac:dyDescent="0.35">
      <c r="I1891" s="63"/>
      <c r="J1891" s="63"/>
    </row>
    <row r="1892" spans="9:10" x14ac:dyDescent="0.35">
      <c r="I1892" s="63"/>
      <c r="J1892" s="63"/>
    </row>
    <row r="1893" spans="9:10" x14ac:dyDescent="0.35">
      <c r="I1893" s="63"/>
      <c r="J1893" s="63"/>
    </row>
    <row r="1894" spans="9:10" x14ac:dyDescent="0.35">
      <c r="I1894" s="63"/>
      <c r="J1894" s="63"/>
    </row>
    <row r="1895" spans="9:10" x14ac:dyDescent="0.35">
      <c r="I1895" s="63"/>
      <c r="J1895" s="63"/>
    </row>
    <row r="1896" spans="9:10" x14ac:dyDescent="0.35">
      <c r="I1896" s="63"/>
      <c r="J1896" s="63"/>
    </row>
    <row r="1897" spans="9:10" x14ac:dyDescent="0.35">
      <c r="I1897" s="63"/>
      <c r="J1897" s="63"/>
    </row>
    <row r="1898" spans="9:10" x14ac:dyDescent="0.35">
      <c r="I1898" s="63"/>
      <c r="J1898" s="63"/>
    </row>
    <row r="1899" spans="9:10" x14ac:dyDescent="0.35">
      <c r="I1899" s="63"/>
      <c r="J1899" s="63"/>
    </row>
    <row r="1900" spans="9:10" x14ac:dyDescent="0.35">
      <c r="I1900" s="63"/>
      <c r="J1900" s="63"/>
    </row>
    <row r="1901" spans="9:10" x14ac:dyDescent="0.35">
      <c r="I1901" s="63"/>
      <c r="J1901" s="63"/>
    </row>
    <row r="1902" spans="9:10" x14ac:dyDescent="0.35">
      <c r="I1902" s="63"/>
      <c r="J1902" s="63"/>
    </row>
    <row r="1903" spans="9:10" x14ac:dyDescent="0.35">
      <c r="I1903" s="63"/>
      <c r="J1903" s="63"/>
    </row>
    <row r="1904" spans="9:10" x14ac:dyDescent="0.35">
      <c r="I1904" s="63"/>
      <c r="J1904" s="63"/>
    </row>
    <row r="1905" spans="9:10" x14ac:dyDescent="0.35">
      <c r="I1905" s="63"/>
      <c r="J1905" s="63"/>
    </row>
    <row r="1906" spans="9:10" x14ac:dyDescent="0.35">
      <c r="I1906" s="63"/>
      <c r="J1906" s="63"/>
    </row>
    <row r="1907" spans="9:10" x14ac:dyDescent="0.35">
      <c r="I1907" s="63"/>
      <c r="J1907" s="63"/>
    </row>
    <row r="1908" spans="9:10" x14ac:dyDescent="0.35">
      <c r="I1908" s="63"/>
      <c r="J1908" s="63"/>
    </row>
    <row r="1909" spans="9:10" x14ac:dyDescent="0.35">
      <c r="I1909" s="63"/>
      <c r="J1909" s="63"/>
    </row>
    <row r="1910" spans="9:10" x14ac:dyDescent="0.35">
      <c r="I1910" s="63"/>
      <c r="J1910" s="63"/>
    </row>
    <row r="1911" spans="9:10" x14ac:dyDescent="0.35">
      <c r="I1911" s="63"/>
      <c r="J1911" s="63"/>
    </row>
    <row r="1912" spans="9:10" x14ac:dyDescent="0.35">
      <c r="I1912" s="63"/>
      <c r="J1912" s="63"/>
    </row>
    <row r="1913" spans="9:10" x14ac:dyDescent="0.35">
      <c r="I1913" s="63"/>
      <c r="J1913" s="63"/>
    </row>
    <row r="1914" spans="9:10" x14ac:dyDescent="0.35">
      <c r="I1914" s="63"/>
      <c r="J1914" s="63"/>
    </row>
    <row r="1915" spans="9:10" x14ac:dyDescent="0.35">
      <c r="I1915" s="63"/>
      <c r="J1915" s="63"/>
    </row>
    <row r="1916" spans="9:10" x14ac:dyDescent="0.35">
      <c r="I1916" s="63"/>
      <c r="J1916" s="63"/>
    </row>
    <row r="1917" spans="9:10" x14ac:dyDescent="0.35">
      <c r="I1917" s="63"/>
      <c r="J1917" s="63"/>
    </row>
    <row r="1918" spans="9:10" x14ac:dyDescent="0.35">
      <c r="I1918" s="63"/>
      <c r="J1918" s="63"/>
    </row>
    <row r="1919" spans="9:10" x14ac:dyDescent="0.35">
      <c r="I1919" s="63"/>
      <c r="J1919" s="63"/>
    </row>
    <row r="1920" spans="9:10" x14ac:dyDescent="0.35">
      <c r="I1920" s="63"/>
      <c r="J1920" s="63"/>
    </row>
    <row r="1921" spans="9:10" x14ac:dyDescent="0.35">
      <c r="I1921" s="63"/>
      <c r="J1921" s="63"/>
    </row>
    <row r="1922" spans="9:10" x14ac:dyDescent="0.35">
      <c r="I1922" s="63"/>
      <c r="J1922" s="63"/>
    </row>
    <row r="1923" spans="9:10" x14ac:dyDescent="0.35">
      <c r="I1923" s="63"/>
      <c r="J1923" s="63"/>
    </row>
    <row r="1924" spans="9:10" x14ac:dyDescent="0.35">
      <c r="I1924" s="63"/>
      <c r="J1924" s="63"/>
    </row>
    <row r="1925" spans="9:10" x14ac:dyDescent="0.35">
      <c r="I1925" s="63"/>
      <c r="J1925" s="63"/>
    </row>
    <row r="1926" spans="9:10" x14ac:dyDescent="0.35">
      <c r="I1926" s="63"/>
      <c r="J1926" s="63"/>
    </row>
    <row r="1927" spans="9:10" x14ac:dyDescent="0.35">
      <c r="I1927" s="63"/>
      <c r="J1927" s="63"/>
    </row>
    <row r="1928" spans="9:10" x14ac:dyDescent="0.35">
      <c r="I1928" s="63"/>
      <c r="J1928" s="63"/>
    </row>
    <row r="1929" spans="9:10" x14ac:dyDescent="0.35">
      <c r="I1929" s="63"/>
      <c r="J1929" s="63"/>
    </row>
    <row r="1930" spans="9:10" x14ac:dyDescent="0.35">
      <c r="I1930" s="63"/>
      <c r="J1930" s="63"/>
    </row>
    <row r="1931" spans="9:10" x14ac:dyDescent="0.35">
      <c r="I1931" s="63"/>
      <c r="J1931" s="63"/>
    </row>
    <row r="1932" spans="9:10" x14ac:dyDescent="0.35">
      <c r="I1932" s="63"/>
      <c r="J1932" s="63"/>
    </row>
    <row r="1933" spans="9:10" x14ac:dyDescent="0.35">
      <c r="I1933" s="63"/>
      <c r="J1933" s="63"/>
    </row>
    <row r="1934" spans="9:10" x14ac:dyDescent="0.35">
      <c r="I1934" s="63"/>
      <c r="J1934" s="63"/>
    </row>
    <row r="1935" spans="9:10" x14ac:dyDescent="0.35">
      <c r="I1935" s="63"/>
      <c r="J1935" s="63"/>
    </row>
    <row r="1936" spans="9:10" x14ac:dyDescent="0.35">
      <c r="I1936" s="63"/>
      <c r="J1936" s="63"/>
    </row>
    <row r="1937" spans="9:10" x14ac:dyDescent="0.35">
      <c r="I1937" s="63"/>
      <c r="J1937" s="63"/>
    </row>
    <row r="1938" spans="9:10" x14ac:dyDescent="0.35">
      <c r="I1938" s="63"/>
      <c r="J1938" s="63"/>
    </row>
    <row r="1939" spans="9:10" x14ac:dyDescent="0.35">
      <c r="I1939" s="63"/>
      <c r="J1939" s="63"/>
    </row>
    <row r="1940" spans="9:10" x14ac:dyDescent="0.35">
      <c r="I1940" s="63"/>
      <c r="J1940" s="63"/>
    </row>
    <row r="1941" spans="9:10" x14ac:dyDescent="0.35">
      <c r="I1941" s="63"/>
      <c r="J1941" s="63"/>
    </row>
    <row r="1942" spans="9:10" x14ac:dyDescent="0.35">
      <c r="I1942" s="63"/>
      <c r="J1942" s="63"/>
    </row>
    <row r="1943" spans="9:10" x14ac:dyDescent="0.35">
      <c r="I1943" s="63"/>
      <c r="J1943" s="63"/>
    </row>
    <row r="1944" spans="9:10" x14ac:dyDescent="0.35">
      <c r="I1944" s="63"/>
      <c r="J1944" s="63"/>
    </row>
    <row r="1945" spans="9:10" x14ac:dyDescent="0.35">
      <c r="I1945" s="63"/>
      <c r="J1945" s="63"/>
    </row>
    <row r="1946" spans="9:10" x14ac:dyDescent="0.35">
      <c r="I1946" s="63"/>
      <c r="J1946" s="63"/>
    </row>
    <row r="1947" spans="9:10" x14ac:dyDescent="0.35">
      <c r="I1947" s="63"/>
      <c r="J1947" s="63"/>
    </row>
    <row r="1948" spans="9:10" x14ac:dyDescent="0.35">
      <c r="I1948" s="63"/>
      <c r="J1948" s="63"/>
    </row>
    <row r="1949" spans="9:10" x14ac:dyDescent="0.35">
      <c r="I1949" s="63"/>
      <c r="J1949" s="63"/>
    </row>
    <row r="1950" spans="9:10" x14ac:dyDescent="0.35">
      <c r="I1950" s="63"/>
      <c r="J1950" s="63"/>
    </row>
    <row r="1951" spans="9:10" x14ac:dyDescent="0.35">
      <c r="I1951" s="63"/>
      <c r="J1951" s="63"/>
    </row>
    <row r="1952" spans="9:10" x14ac:dyDescent="0.35">
      <c r="I1952" s="63"/>
      <c r="J1952" s="63"/>
    </row>
    <row r="1953" spans="9:10" x14ac:dyDescent="0.35">
      <c r="I1953" s="63"/>
      <c r="J1953" s="63"/>
    </row>
    <row r="1954" spans="9:10" x14ac:dyDescent="0.35">
      <c r="I1954" s="63"/>
      <c r="J1954" s="63"/>
    </row>
    <row r="1955" spans="9:10" x14ac:dyDescent="0.35">
      <c r="I1955" s="63"/>
      <c r="J1955" s="63"/>
    </row>
    <row r="1956" spans="9:10" x14ac:dyDescent="0.35">
      <c r="I1956" s="63"/>
      <c r="J1956" s="63"/>
    </row>
    <row r="1957" spans="9:10" x14ac:dyDescent="0.35">
      <c r="I1957" s="63"/>
      <c r="J1957" s="63"/>
    </row>
    <row r="1958" spans="9:10" x14ac:dyDescent="0.35">
      <c r="I1958" s="63"/>
      <c r="J1958" s="63"/>
    </row>
    <row r="1959" spans="9:10" x14ac:dyDescent="0.35">
      <c r="I1959" s="63"/>
      <c r="J1959" s="63"/>
    </row>
    <row r="1960" spans="9:10" x14ac:dyDescent="0.35">
      <c r="I1960" s="63"/>
      <c r="J1960" s="63"/>
    </row>
    <row r="1961" spans="9:10" x14ac:dyDescent="0.35">
      <c r="I1961" s="63"/>
      <c r="J1961" s="63"/>
    </row>
    <row r="1962" spans="9:10" x14ac:dyDescent="0.35">
      <c r="I1962" s="63"/>
      <c r="J1962" s="63"/>
    </row>
    <row r="1963" spans="9:10" x14ac:dyDescent="0.35">
      <c r="I1963" s="63"/>
      <c r="J1963" s="63"/>
    </row>
    <row r="1964" spans="9:10" x14ac:dyDescent="0.35">
      <c r="I1964" s="63"/>
      <c r="J1964" s="63"/>
    </row>
    <row r="1965" spans="9:10" x14ac:dyDescent="0.35">
      <c r="I1965" s="63"/>
      <c r="J1965" s="63"/>
    </row>
    <row r="1966" spans="9:10" x14ac:dyDescent="0.35">
      <c r="I1966" s="63"/>
      <c r="J1966" s="63"/>
    </row>
    <row r="1967" spans="9:10" x14ac:dyDescent="0.35">
      <c r="I1967" s="63"/>
      <c r="J1967" s="63"/>
    </row>
    <row r="1968" spans="9:10" x14ac:dyDescent="0.35">
      <c r="I1968" s="63"/>
      <c r="J1968" s="63"/>
    </row>
    <row r="1969" spans="9:10" x14ac:dyDescent="0.35">
      <c r="I1969" s="63"/>
      <c r="J1969" s="63"/>
    </row>
    <row r="1970" spans="9:10" x14ac:dyDescent="0.35">
      <c r="I1970" s="63"/>
      <c r="J1970" s="63"/>
    </row>
    <row r="1971" spans="9:10" x14ac:dyDescent="0.35">
      <c r="I1971" s="63"/>
      <c r="J1971" s="63"/>
    </row>
    <row r="1972" spans="9:10" x14ac:dyDescent="0.35">
      <c r="I1972" s="63"/>
      <c r="J1972" s="63"/>
    </row>
    <row r="1973" spans="9:10" x14ac:dyDescent="0.35">
      <c r="I1973" s="63"/>
      <c r="J1973" s="63"/>
    </row>
    <row r="1974" spans="9:10" x14ac:dyDescent="0.35">
      <c r="I1974" s="63"/>
      <c r="J1974" s="63"/>
    </row>
    <row r="1975" spans="9:10" x14ac:dyDescent="0.35">
      <c r="I1975" s="63"/>
      <c r="J1975" s="63"/>
    </row>
    <row r="1976" spans="9:10" x14ac:dyDescent="0.35">
      <c r="I1976" s="63"/>
      <c r="J1976" s="63"/>
    </row>
    <row r="1977" spans="9:10" x14ac:dyDescent="0.35">
      <c r="I1977" s="63"/>
      <c r="J1977" s="63"/>
    </row>
    <row r="1978" spans="9:10" x14ac:dyDescent="0.35">
      <c r="I1978" s="63"/>
      <c r="J1978" s="63"/>
    </row>
    <row r="1979" spans="9:10" x14ac:dyDescent="0.35">
      <c r="I1979" s="63"/>
      <c r="J1979" s="63"/>
    </row>
    <row r="1980" spans="9:10" x14ac:dyDescent="0.35">
      <c r="I1980" s="63"/>
      <c r="J1980" s="63"/>
    </row>
    <row r="1981" spans="9:10" x14ac:dyDescent="0.35">
      <c r="I1981" s="63"/>
      <c r="J1981" s="63"/>
    </row>
    <row r="1982" spans="9:10" x14ac:dyDescent="0.35">
      <c r="I1982" s="63"/>
      <c r="J1982" s="63"/>
    </row>
    <row r="1983" spans="9:10" x14ac:dyDescent="0.35">
      <c r="I1983" s="63"/>
      <c r="J1983" s="63"/>
    </row>
    <row r="1984" spans="9:10" x14ac:dyDescent="0.35">
      <c r="I1984" s="63"/>
      <c r="J1984" s="63"/>
    </row>
    <row r="1985" spans="9:10" x14ac:dyDescent="0.35">
      <c r="I1985" s="63"/>
      <c r="J1985" s="63"/>
    </row>
    <row r="1986" spans="9:10" x14ac:dyDescent="0.35">
      <c r="I1986" s="63"/>
      <c r="J1986" s="63"/>
    </row>
    <row r="1987" spans="9:10" x14ac:dyDescent="0.35">
      <c r="I1987" s="63"/>
      <c r="J1987" s="63"/>
    </row>
    <row r="1988" spans="9:10" x14ac:dyDescent="0.35">
      <c r="I1988" s="63"/>
      <c r="J1988" s="63"/>
    </row>
    <row r="1989" spans="9:10" x14ac:dyDescent="0.35">
      <c r="I1989" s="63"/>
      <c r="J1989" s="63"/>
    </row>
    <row r="1990" spans="9:10" x14ac:dyDescent="0.35">
      <c r="I1990" s="63"/>
      <c r="J1990" s="63"/>
    </row>
    <row r="1991" spans="9:10" x14ac:dyDescent="0.35">
      <c r="I1991" s="63"/>
      <c r="J1991" s="63"/>
    </row>
    <row r="1992" spans="9:10" x14ac:dyDescent="0.35">
      <c r="I1992" s="63"/>
      <c r="J1992" s="63"/>
    </row>
    <row r="1993" spans="9:10" x14ac:dyDescent="0.35">
      <c r="I1993" s="63"/>
      <c r="J1993" s="63"/>
    </row>
    <row r="1994" spans="9:10" x14ac:dyDescent="0.35">
      <c r="I1994" s="63"/>
      <c r="J1994" s="63"/>
    </row>
    <row r="1995" spans="9:10" x14ac:dyDescent="0.35">
      <c r="I1995" s="63"/>
      <c r="J1995" s="63"/>
    </row>
    <row r="1996" spans="9:10" x14ac:dyDescent="0.35">
      <c r="I1996" s="63"/>
      <c r="J1996" s="63"/>
    </row>
    <row r="1997" spans="9:10" x14ac:dyDescent="0.35">
      <c r="I1997" s="63"/>
      <c r="J1997" s="63"/>
    </row>
    <row r="1998" spans="9:10" x14ac:dyDescent="0.35">
      <c r="I1998" s="63"/>
      <c r="J1998" s="63"/>
    </row>
    <row r="1999" spans="9:10" x14ac:dyDescent="0.35">
      <c r="I1999" s="63"/>
      <c r="J1999" s="63"/>
    </row>
    <row r="2000" spans="9:10" x14ac:dyDescent="0.35">
      <c r="I2000" s="63"/>
      <c r="J2000" s="63"/>
    </row>
    <row r="2001" spans="9:10" x14ac:dyDescent="0.35">
      <c r="I2001" s="63"/>
      <c r="J2001" s="63"/>
    </row>
    <row r="2002" spans="9:10" x14ac:dyDescent="0.35">
      <c r="I2002" s="63"/>
      <c r="J2002" s="63"/>
    </row>
    <row r="2003" spans="9:10" x14ac:dyDescent="0.35">
      <c r="I2003" s="63"/>
      <c r="J2003" s="63"/>
    </row>
    <row r="2004" spans="9:10" x14ac:dyDescent="0.35">
      <c r="I2004" s="63"/>
      <c r="J2004" s="63"/>
    </row>
    <row r="2005" spans="9:10" x14ac:dyDescent="0.35">
      <c r="I2005" s="63"/>
      <c r="J2005" s="63"/>
    </row>
    <row r="2006" spans="9:10" x14ac:dyDescent="0.35">
      <c r="I2006" s="63"/>
      <c r="J2006" s="63"/>
    </row>
    <row r="2007" spans="9:10" x14ac:dyDescent="0.35">
      <c r="I2007" s="63"/>
      <c r="J2007" s="63"/>
    </row>
    <row r="2008" spans="9:10" x14ac:dyDescent="0.35">
      <c r="I2008" s="63"/>
      <c r="J2008" s="63"/>
    </row>
    <row r="2009" spans="9:10" x14ac:dyDescent="0.35">
      <c r="I2009" s="63"/>
      <c r="J2009" s="63"/>
    </row>
    <row r="2010" spans="9:10" x14ac:dyDescent="0.35">
      <c r="I2010" s="63"/>
      <c r="J2010" s="63"/>
    </row>
    <row r="2011" spans="9:10" x14ac:dyDescent="0.35">
      <c r="I2011" s="63"/>
      <c r="J2011" s="63"/>
    </row>
    <row r="2012" spans="9:10" x14ac:dyDescent="0.35">
      <c r="I2012" s="63"/>
      <c r="J2012" s="63"/>
    </row>
    <row r="2013" spans="9:10" x14ac:dyDescent="0.35">
      <c r="I2013" s="63"/>
      <c r="J2013" s="63"/>
    </row>
    <row r="2014" spans="9:10" x14ac:dyDescent="0.35">
      <c r="I2014" s="63"/>
      <c r="J2014" s="63"/>
    </row>
    <row r="2015" spans="9:10" x14ac:dyDescent="0.35">
      <c r="I2015" s="63"/>
      <c r="J2015" s="63"/>
    </row>
    <row r="2016" spans="9:10" x14ac:dyDescent="0.35">
      <c r="I2016" s="63"/>
      <c r="J2016" s="63"/>
    </row>
    <row r="2017" spans="9:10" x14ac:dyDescent="0.35">
      <c r="I2017" s="63"/>
      <c r="J2017" s="63"/>
    </row>
    <row r="2018" spans="9:10" x14ac:dyDescent="0.35">
      <c r="I2018" s="63"/>
      <c r="J2018" s="63"/>
    </row>
    <row r="2019" spans="9:10" x14ac:dyDescent="0.35">
      <c r="I2019" s="63"/>
      <c r="J2019" s="63"/>
    </row>
    <row r="2020" spans="9:10" x14ac:dyDescent="0.35">
      <c r="I2020" s="63"/>
      <c r="J2020" s="63"/>
    </row>
    <row r="2021" spans="9:10" x14ac:dyDescent="0.35">
      <c r="I2021" s="63"/>
      <c r="J2021" s="63"/>
    </row>
    <row r="2022" spans="9:10" x14ac:dyDescent="0.35">
      <c r="I2022" s="63"/>
      <c r="J2022" s="63"/>
    </row>
    <row r="2023" spans="9:10" x14ac:dyDescent="0.35">
      <c r="I2023" s="63"/>
      <c r="J2023" s="63"/>
    </row>
    <row r="2024" spans="9:10" x14ac:dyDescent="0.35">
      <c r="I2024" s="63"/>
      <c r="J2024" s="63"/>
    </row>
    <row r="2025" spans="9:10" x14ac:dyDescent="0.35">
      <c r="I2025" s="63"/>
      <c r="J2025" s="63"/>
    </row>
    <row r="2026" spans="9:10" x14ac:dyDescent="0.35">
      <c r="I2026" s="63"/>
      <c r="J2026" s="63"/>
    </row>
    <row r="2027" spans="9:10" x14ac:dyDescent="0.35">
      <c r="I2027" s="63"/>
      <c r="J2027" s="63"/>
    </row>
    <row r="2028" spans="9:10" x14ac:dyDescent="0.35">
      <c r="I2028" s="63"/>
      <c r="J2028" s="63"/>
    </row>
    <row r="2029" spans="9:10" x14ac:dyDescent="0.35">
      <c r="I2029" s="63"/>
      <c r="J2029" s="63"/>
    </row>
    <row r="2030" spans="9:10" x14ac:dyDescent="0.35">
      <c r="I2030" s="63"/>
      <c r="J2030" s="63"/>
    </row>
    <row r="2031" spans="9:10" x14ac:dyDescent="0.35">
      <c r="I2031" s="63"/>
      <c r="J2031" s="63"/>
    </row>
    <row r="2032" spans="9:10" x14ac:dyDescent="0.35">
      <c r="I2032" s="63"/>
      <c r="J2032" s="63"/>
    </row>
    <row r="2033" spans="9:10" x14ac:dyDescent="0.35">
      <c r="I2033" s="63"/>
      <c r="J2033" s="63"/>
    </row>
    <row r="2034" spans="9:10" x14ac:dyDescent="0.35">
      <c r="I2034" s="63"/>
      <c r="J2034" s="63"/>
    </row>
    <row r="2035" spans="9:10" x14ac:dyDescent="0.35">
      <c r="I2035" s="63"/>
      <c r="J2035" s="63"/>
    </row>
    <row r="2036" spans="9:10" x14ac:dyDescent="0.35">
      <c r="I2036" s="63"/>
      <c r="J2036" s="63"/>
    </row>
    <row r="2037" spans="9:10" x14ac:dyDescent="0.35">
      <c r="I2037" s="63"/>
      <c r="J2037" s="63"/>
    </row>
    <row r="2038" spans="9:10" x14ac:dyDescent="0.35">
      <c r="I2038" s="63"/>
      <c r="J2038" s="63"/>
    </row>
    <row r="2039" spans="9:10" x14ac:dyDescent="0.35">
      <c r="I2039" s="63"/>
      <c r="J2039" s="63"/>
    </row>
    <row r="2040" spans="9:10" x14ac:dyDescent="0.35">
      <c r="I2040" s="63"/>
      <c r="J2040" s="63"/>
    </row>
    <row r="2041" spans="9:10" x14ac:dyDescent="0.35">
      <c r="I2041" s="63"/>
      <c r="J2041" s="63"/>
    </row>
    <row r="2042" spans="9:10" x14ac:dyDescent="0.35">
      <c r="I2042" s="63"/>
      <c r="J2042" s="63"/>
    </row>
    <row r="2043" spans="9:10" x14ac:dyDescent="0.35">
      <c r="I2043" s="63"/>
      <c r="J2043" s="63"/>
    </row>
    <row r="2044" spans="9:10" x14ac:dyDescent="0.35">
      <c r="I2044" s="63"/>
      <c r="J2044" s="63"/>
    </row>
    <row r="2045" spans="9:10" x14ac:dyDescent="0.35">
      <c r="I2045" s="63"/>
      <c r="J2045" s="63"/>
    </row>
    <row r="2046" spans="9:10" x14ac:dyDescent="0.35">
      <c r="I2046" s="63"/>
      <c r="J2046" s="63"/>
    </row>
    <row r="2047" spans="9:10" x14ac:dyDescent="0.35">
      <c r="I2047" s="63"/>
      <c r="J2047" s="63"/>
    </row>
    <row r="2048" spans="9:10" x14ac:dyDescent="0.35">
      <c r="I2048" s="63"/>
      <c r="J2048" s="63"/>
    </row>
    <row r="2049" spans="9:10" x14ac:dyDescent="0.35">
      <c r="I2049" s="63"/>
      <c r="J2049" s="63"/>
    </row>
    <row r="2050" spans="9:10" x14ac:dyDescent="0.35">
      <c r="I2050" s="63"/>
      <c r="J2050" s="63"/>
    </row>
    <row r="2051" spans="9:10" x14ac:dyDescent="0.35">
      <c r="I2051" s="63"/>
      <c r="J2051" s="63"/>
    </row>
    <row r="2052" spans="9:10" x14ac:dyDescent="0.35">
      <c r="I2052" s="63"/>
      <c r="J2052" s="63"/>
    </row>
    <row r="2053" spans="9:10" x14ac:dyDescent="0.35">
      <c r="I2053" s="63"/>
      <c r="J2053" s="63"/>
    </row>
    <row r="2054" spans="9:10" x14ac:dyDescent="0.35">
      <c r="I2054" s="63"/>
      <c r="J2054" s="63"/>
    </row>
    <row r="2055" spans="9:10" x14ac:dyDescent="0.35">
      <c r="I2055" s="63"/>
      <c r="J2055" s="63"/>
    </row>
    <row r="2056" spans="9:10" x14ac:dyDescent="0.35">
      <c r="I2056" s="63"/>
      <c r="J2056" s="63"/>
    </row>
    <row r="2057" spans="9:10" x14ac:dyDescent="0.35">
      <c r="I2057" s="63"/>
      <c r="J2057" s="63"/>
    </row>
    <row r="2058" spans="9:10" x14ac:dyDescent="0.35">
      <c r="I2058" s="63"/>
      <c r="J2058" s="63"/>
    </row>
    <row r="2059" spans="9:10" x14ac:dyDescent="0.35">
      <c r="I2059" s="63"/>
      <c r="J2059" s="63"/>
    </row>
    <row r="2060" spans="9:10" x14ac:dyDescent="0.35">
      <c r="I2060" s="63"/>
      <c r="J2060" s="63"/>
    </row>
    <row r="2061" spans="9:10" x14ac:dyDescent="0.35">
      <c r="I2061" s="63"/>
      <c r="J2061" s="63"/>
    </row>
    <row r="2062" spans="9:10" x14ac:dyDescent="0.35">
      <c r="I2062" s="63"/>
      <c r="J2062" s="63"/>
    </row>
    <row r="2063" spans="9:10" x14ac:dyDescent="0.35">
      <c r="I2063" s="63"/>
      <c r="J2063" s="63"/>
    </row>
    <row r="2064" spans="9:10" x14ac:dyDescent="0.35">
      <c r="I2064" s="63"/>
      <c r="J2064" s="63"/>
    </row>
    <row r="2065" spans="9:10" x14ac:dyDescent="0.35">
      <c r="I2065" s="63"/>
      <c r="J2065" s="63"/>
    </row>
    <row r="2066" spans="9:10" x14ac:dyDescent="0.35">
      <c r="I2066" s="63"/>
      <c r="J2066" s="63"/>
    </row>
    <row r="2067" spans="9:10" x14ac:dyDescent="0.35">
      <c r="I2067" s="63"/>
      <c r="J2067" s="63"/>
    </row>
    <row r="2068" spans="9:10" x14ac:dyDescent="0.35">
      <c r="I2068" s="63"/>
      <c r="J2068" s="63"/>
    </row>
    <row r="2069" spans="9:10" x14ac:dyDescent="0.35">
      <c r="I2069" s="63"/>
      <c r="J2069" s="63"/>
    </row>
    <row r="2070" spans="9:10" x14ac:dyDescent="0.35">
      <c r="I2070" s="63"/>
      <c r="J2070" s="63"/>
    </row>
    <row r="2071" spans="9:10" x14ac:dyDescent="0.35">
      <c r="I2071" s="63"/>
      <c r="J2071" s="63"/>
    </row>
    <row r="2072" spans="9:10" x14ac:dyDescent="0.35">
      <c r="I2072" s="63"/>
      <c r="J2072" s="63"/>
    </row>
    <row r="2073" spans="9:10" x14ac:dyDescent="0.35">
      <c r="I2073" s="63"/>
      <c r="J2073" s="63"/>
    </row>
    <row r="2074" spans="9:10" x14ac:dyDescent="0.35">
      <c r="I2074" s="63"/>
      <c r="J2074" s="63"/>
    </row>
    <row r="2075" spans="9:10" x14ac:dyDescent="0.35">
      <c r="I2075" s="63"/>
      <c r="J2075" s="63"/>
    </row>
    <row r="2076" spans="9:10" x14ac:dyDescent="0.35">
      <c r="I2076" s="63"/>
      <c r="J2076" s="63"/>
    </row>
    <row r="2077" spans="9:10" x14ac:dyDescent="0.35">
      <c r="I2077" s="63"/>
      <c r="J2077" s="63"/>
    </row>
    <row r="2078" spans="9:10" x14ac:dyDescent="0.35">
      <c r="I2078" s="63"/>
      <c r="J2078" s="63"/>
    </row>
    <row r="2079" spans="9:10" x14ac:dyDescent="0.35">
      <c r="I2079" s="63"/>
      <c r="J2079" s="63"/>
    </row>
    <row r="2080" spans="9:10" x14ac:dyDescent="0.35">
      <c r="I2080" s="63"/>
      <c r="J2080" s="63"/>
    </row>
    <row r="2081" spans="9:10" x14ac:dyDescent="0.35">
      <c r="I2081" s="63"/>
      <c r="J2081" s="63"/>
    </row>
    <row r="2082" spans="9:10" x14ac:dyDescent="0.35">
      <c r="I2082" s="63"/>
      <c r="J2082" s="63"/>
    </row>
    <row r="2083" spans="9:10" x14ac:dyDescent="0.35">
      <c r="I2083" s="63"/>
      <c r="J2083" s="63"/>
    </row>
    <row r="2084" spans="9:10" x14ac:dyDescent="0.35">
      <c r="I2084" s="63"/>
      <c r="J2084" s="63"/>
    </row>
    <row r="2085" spans="9:10" x14ac:dyDescent="0.35">
      <c r="I2085" s="63"/>
      <c r="J2085" s="63"/>
    </row>
    <row r="2086" spans="9:10" x14ac:dyDescent="0.35">
      <c r="I2086" s="63"/>
      <c r="J2086" s="63"/>
    </row>
    <row r="2087" spans="9:10" x14ac:dyDescent="0.35">
      <c r="I2087" s="63"/>
      <c r="J2087" s="63"/>
    </row>
    <row r="2088" spans="9:10" x14ac:dyDescent="0.35">
      <c r="I2088" s="63"/>
      <c r="J2088" s="63"/>
    </row>
    <row r="2089" spans="9:10" x14ac:dyDescent="0.35">
      <c r="I2089" s="63"/>
      <c r="J2089" s="63"/>
    </row>
    <row r="2090" spans="9:10" x14ac:dyDescent="0.35">
      <c r="I2090" s="63"/>
      <c r="J2090" s="63"/>
    </row>
    <row r="2091" spans="9:10" x14ac:dyDescent="0.35">
      <c r="I2091" s="63"/>
      <c r="J2091" s="63"/>
    </row>
    <row r="2092" spans="9:10" x14ac:dyDescent="0.35">
      <c r="I2092" s="63"/>
      <c r="J2092" s="63"/>
    </row>
    <row r="2093" spans="9:10" x14ac:dyDescent="0.35">
      <c r="I2093" s="63"/>
      <c r="J2093" s="63"/>
    </row>
    <row r="2094" spans="9:10" x14ac:dyDescent="0.35">
      <c r="I2094" s="63"/>
      <c r="J2094" s="63"/>
    </row>
    <row r="2095" spans="9:10" x14ac:dyDescent="0.35">
      <c r="I2095" s="63"/>
      <c r="J2095" s="63"/>
    </row>
    <row r="2096" spans="9:10" x14ac:dyDescent="0.35">
      <c r="I2096" s="63"/>
      <c r="J2096" s="63"/>
    </row>
    <row r="2097" spans="9:10" x14ac:dyDescent="0.35">
      <c r="I2097" s="63"/>
      <c r="J2097" s="63"/>
    </row>
    <row r="2098" spans="9:10" x14ac:dyDescent="0.35">
      <c r="I2098" s="63"/>
      <c r="J2098" s="63"/>
    </row>
    <row r="2099" spans="9:10" x14ac:dyDescent="0.35">
      <c r="I2099" s="63"/>
      <c r="J2099" s="63"/>
    </row>
    <row r="2100" spans="9:10" x14ac:dyDescent="0.35">
      <c r="I2100" s="63"/>
      <c r="J2100" s="63"/>
    </row>
    <row r="2101" spans="9:10" x14ac:dyDescent="0.35">
      <c r="I2101" s="63"/>
      <c r="J2101" s="63"/>
    </row>
    <row r="2102" spans="9:10" x14ac:dyDescent="0.35">
      <c r="I2102" s="63"/>
      <c r="J2102" s="63"/>
    </row>
    <row r="2103" spans="9:10" x14ac:dyDescent="0.35">
      <c r="I2103" s="63"/>
      <c r="J2103" s="63"/>
    </row>
    <row r="2104" spans="9:10" x14ac:dyDescent="0.35">
      <c r="I2104" s="63"/>
      <c r="J2104" s="63"/>
    </row>
    <row r="2105" spans="9:10" x14ac:dyDescent="0.35">
      <c r="I2105" s="63"/>
      <c r="J2105" s="63"/>
    </row>
    <row r="2106" spans="9:10" x14ac:dyDescent="0.35">
      <c r="I2106" s="63"/>
      <c r="J2106" s="63"/>
    </row>
    <row r="2107" spans="9:10" x14ac:dyDescent="0.35">
      <c r="I2107" s="63"/>
      <c r="J2107" s="63"/>
    </row>
    <row r="2108" spans="9:10" x14ac:dyDescent="0.35">
      <c r="I2108" s="63"/>
      <c r="J2108" s="63"/>
    </row>
    <row r="2109" spans="9:10" x14ac:dyDescent="0.35">
      <c r="I2109" s="63"/>
      <c r="J2109" s="63"/>
    </row>
    <row r="2110" spans="9:10" x14ac:dyDescent="0.35">
      <c r="I2110" s="63"/>
      <c r="J2110" s="63"/>
    </row>
    <row r="2111" spans="9:10" x14ac:dyDescent="0.35">
      <c r="I2111" s="63"/>
      <c r="J2111" s="63"/>
    </row>
    <row r="2112" spans="9:10" x14ac:dyDescent="0.35">
      <c r="I2112" s="63"/>
      <c r="J2112" s="63"/>
    </row>
    <row r="2113" spans="9:10" x14ac:dyDescent="0.35">
      <c r="I2113" s="63"/>
      <c r="J2113" s="63"/>
    </row>
    <row r="2114" spans="9:10" x14ac:dyDescent="0.35">
      <c r="I2114" s="63"/>
      <c r="J2114" s="63"/>
    </row>
    <row r="2115" spans="9:10" x14ac:dyDescent="0.35">
      <c r="I2115" s="63"/>
      <c r="J2115" s="63"/>
    </row>
    <row r="2116" spans="9:10" x14ac:dyDescent="0.35">
      <c r="I2116" s="63"/>
      <c r="J2116" s="63"/>
    </row>
    <row r="2117" spans="9:10" x14ac:dyDescent="0.35">
      <c r="I2117" s="63"/>
      <c r="J2117" s="63"/>
    </row>
    <row r="2118" spans="9:10" x14ac:dyDescent="0.35">
      <c r="I2118" s="63"/>
      <c r="J2118" s="63"/>
    </row>
    <row r="2119" spans="9:10" x14ac:dyDescent="0.35">
      <c r="I2119" s="63"/>
      <c r="J2119" s="63"/>
    </row>
    <row r="2120" spans="9:10" x14ac:dyDescent="0.35">
      <c r="I2120" s="63"/>
      <c r="J2120" s="63"/>
    </row>
    <row r="2121" spans="9:10" x14ac:dyDescent="0.35">
      <c r="I2121" s="63"/>
      <c r="J2121" s="63"/>
    </row>
    <row r="2122" spans="9:10" x14ac:dyDescent="0.35">
      <c r="I2122" s="63"/>
      <c r="J2122" s="63"/>
    </row>
    <row r="2123" spans="9:10" x14ac:dyDescent="0.35">
      <c r="I2123" s="63"/>
      <c r="J2123" s="63"/>
    </row>
    <row r="2124" spans="9:10" x14ac:dyDescent="0.35">
      <c r="I2124" s="63"/>
      <c r="J2124" s="63"/>
    </row>
    <row r="2125" spans="9:10" x14ac:dyDescent="0.35">
      <c r="I2125" s="63"/>
      <c r="J2125" s="63"/>
    </row>
    <row r="2126" spans="9:10" x14ac:dyDescent="0.35">
      <c r="I2126" s="63"/>
      <c r="J2126" s="63"/>
    </row>
    <row r="2127" spans="9:10" x14ac:dyDescent="0.35">
      <c r="I2127" s="63"/>
      <c r="J2127" s="63"/>
    </row>
    <row r="2128" spans="9:10" x14ac:dyDescent="0.35">
      <c r="I2128" s="63"/>
      <c r="J2128" s="63"/>
    </row>
    <row r="2129" spans="9:10" x14ac:dyDescent="0.35">
      <c r="I2129" s="63"/>
      <c r="J2129" s="63"/>
    </row>
    <row r="2130" spans="9:10" x14ac:dyDescent="0.35">
      <c r="I2130" s="63"/>
      <c r="J2130" s="63"/>
    </row>
    <row r="2131" spans="9:10" x14ac:dyDescent="0.35">
      <c r="I2131" s="63"/>
      <c r="J2131" s="63"/>
    </row>
    <row r="2132" spans="9:10" x14ac:dyDescent="0.35">
      <c r="I2132" s="63"/>
      <c r="J2132" s="63"/>
    </row>
    <row r="2133" spans="9:10" x14ac:dyDescent="0.35">
      <c r="I2133" s="63"/>
      <c r="J2133" s="63"/>
    </row>
    <row r="2134" spans="9:10" x14ac:dyDescent="0.35">
      <c r="I2134" s="63"/>
      <c r="J2134" s="63"/>
    </row>
    <row r="2135" spans="9:10" x14ac:dyDescent="0.35">
      <c r="I2135" s="63"/>
      <c r="J2135" s="63"/>
    </row>
    <row r="2136" spans="9:10" x14ac:dyDescent="0.35">
      <c r="I2136" s="63"/>
      <c r="J2136" s="63"/>
    </row>
    <row r="2137" spans="9:10" x14ac:dyDescent="0.35">
      <c r="I2137" s="63"/>
      <c r="J2137" s="63"/>
    </row>
    <row r="2138" spans="9:10" x14ac:dyDescent="0.35">
      <c r="I2138" s="63"/>
      <c r="J2138" s="63"/>
    </row>
    <row r="2139" spans="9:10" x14ac:dyDescent="0.35">
      <c r="I2139" s="63"/>
      <c r="J2139" s="63"/>
    </row>
    <row r="2140" spans="9:10" x14ac:dyDescent="0.35">
      <c r="I2140" s="63"/>
      <c r="J2140" s="63"/>
    </row>
    <row r="2141" spans="9:10" x14ac:dyDescent="0.35">
      <c r="I2141" s="63"/>
      <c r="J2141" s="63"/>
    </row>
    <row r="2142" spans="9:10" x14ac:dyDescent="0.35">
      <c r="I2142" s="63"/>
      <c r="J2142" s="63"/>
    </row>
    <row r="2143" spans="9:10" x14ac:dyDescent="0.35">
      <c r="I2143" s="63"/>
      <c r="J2143" s="63"/>
    </row>
    <row r="2144" spans="9:10" x14ac:dyDescent="0.35">
      <c r="I2144" s="63"/>
      <c r="J2144" s="63"/>
    </row>
    <row r="2145" spans="9:10" x14ac:dyDescent="0.35">
      <c r="I2145" s="63"/>
      <c r="J2145" s="63"/>
    </row>
    <row r="2146" spans="9:10" x14ac:dyDescent="0.35">
      <c r="I2146" s="63"/>
      <c r="J2146" s="63"/>
    </row>
    <row r="2147" spans="9:10" x14ac:dyDescent="0.35">
      <c r="I2147" s="63"/>
      <c r="J2147" s="63"/>
    </row>
    <row r="2148" spans="9:10" x14ac:dyDescent="0.35">
      <c r="I2148" s="63"/>
      <c r="J2148" s="63"/>
    </row>
    <row r="2149" spans="9:10" x14ac:dyDescent="0.35">
      <c r="I2149" s="63"/>
      <c r="J2149" s="63"/>
    </row>
    <row r="2150" spans="9:10" x14ac:dyDescent="0.35">
      <c r="I2150" s="63"/>
      <c r="J2150" s="63"/>
    </row>
    <row r="2151" spans="9:10" x14ac:dyDescent="0.35">
      <c r="I2151" s="63"/>
      <c r="J2151" s="63"/>
    </row>
    <row r="2152" spans="9:10" x14ac:dyDescent="0.35">
      <c r="I2152" s="63"/>
      <c r="J2152" s="63"/>
    </row>
    <row r="2153" spans="9:10" x14ac:dyDescent="0.35">
      <c r="I2153" s="63"/>
      <c r="J2153" s="63"/>
    </row>
    <row r="2154" spans="9:10" x14ac:dyDescent="0.35">
      <c r="I2154" s="63"/>
      <c r="J2154" s="63"/>
    </row>
    <row r="2155" spans="9:10" x14ac:dyDescent="0.35">
      <c r="I2155" s="63"/>
      <c r="J2155" s="63"/>
    </row>
    <row r="2156" spans="9:10" x14ac:dyDescent="0.35">
      <c r="I2156" s="63"/>
      <c r="J2156" s="63"/>
    </row>
    <row r="2157" spans="9:10" x14ac:dyDescent="0.35">
      <c r="I2157" s="63"/>
      <c r="J2157" s="63"/>
    </row>
    <row r="2158" spans="9:10" x14ac:dyDescent="0.35">
      <c r="I2158" s="63"/>
      <c r="J2158" s="63"/>
    </row>
    <row r="2159" spans="9:10" x14ac:dyDescent="0.35">
      <c r="I2159" s="63"/>
      <c r="J2159" s="63"/>
    </row>
    <row r="2160" spans="9:10" x14ac:dyDescent="0.35">
      <c r="I2160" s="63"/>
      <c r="J2160" s="63"/>
    </row>
    <row r="2161" spans="9:10" x14ac:dyDescent="0.35">
      <c r="I2161" s="63"/>
      <c r="J2161" s="63"/>
    </row>
    <row r="2162" spans="9:10" x14ac:dyDescent="0.35">
      <c r="I2162" s="63"/>
      <c r="J2162" s="63"/>
    </row>
    <row r="2163" spans="9:10" x14ac:dyDescent="0.35">
      <c r="I2163" s="63"/>
      <c r="J2163" s="63"/>
    </row>
    <row r="2164" spans="9:10" x14ac:dyDescent="0.35">
      <c r="I2164" s="63"/>
      <c r="J2164" s="63"/>
    </row>
    <row r="2165" spans="9:10" x14ac:dyDescent="0.35">
      <c r="I2165" s="63"/>
      <c r="J2165" s="63"/>
    </row>
    <row r="2166" spans="9:10" x14ac:dyDescent="0.35">
      <c r="I2166" s="63"/>
      <c r="J2166" s="63"/>
    </row>
    <row r="2167" spans="9:10" x14ac:dyDescent="0.35">
      <c r="I2167" s="63"/>
      <c r="J2167" s="63"/>
    </row>
    <row r="2168" spans="9:10" x14ac:dyDescent="0.35">
      <c r="I2168" s="63"/>
      <c r="J2168" s="63"/>
    </row>
    <row r="2169" spans="9:10" x14ac:dyDescent="0.35">
      <c r="I2169" s="63"/>
      <c r="J2169" s="63"/>
    </row>
    <row r="2170" spans="9:10" x14ac:dyDescent="0.35">
      <c r="I2170" s="63"/>
      <c r="J2170" s="63"/>
    </row>
    <row r="2171" spans="9:10" x14ac:dyDescent="0.35">
      <c r="I2171" s="63"/>
      <c r="J2171" s="63"/>
    </row>
    <row r="2172" spans="9:10" x14ac:dyDescent="0.35">
      <c r="I2172" s="63"/>
      <c r="J2172" s="63"/>
    </row>
    <row r="2173" spans="9:10" x14ac:dyDescent="0.35">
      <c r="I2173" s="63"/>
      <c r="J2173" s="63"/>
    </row>
    <row r="2174" spans="9:10" x14ac:dyDescent="0.35">
      <c r="I2174" s="63"/>
      <c r="J2174" s="63"/>
    </row>
    <row r="2175" spans="9:10" x14ac:dyDescent="0.35">
      <c r="I2175" s="63"/>
      <c r="J2175" s="63"/>
    </row>
    <row r="2176" spans="9:10" x14ac:dyDescent="0.35">
      <c r="I2176" s="63"/>
      <c r="J2176" s="63"/>
    </row>
    <row r="2177" spans="9:10" x14ac:dyDescent="0.35">
      <c r="I2177" s="63"/>
      <c r="J2177" s="63"/>
    </row>
    <row r="2178" spans="9:10" x14ac:dyDescent="0.35">
      <c r="I2178" s="63"/>
      <c r="J2178" s="63"/>
    </row>
    <row r="2179" spans="9:10" x14ac:dyDescent="0.35">
      <c r="I2179" s="63"/>
      <c r="J2179" s="63"/>
    </row>
    <row r="2180" spans="9:10" x14ac:dyDescent="0.35">
      <c r="I2180" s="63"/>
      <c r="J2180" s="63"/>
    </row>
    <row r="2181" spans="9:10" x14ac:dyDescent="0.35">
      <c r="I2181" s="63"/>
      <c r="J2181" s="63"/>
    </row>
    <row r="2182" spans="9:10" x14ac:dyDescent="0.35">
      <c r="I2182" s="63"/>
      <c r="J2182" s="63"/>
    </row>
    <row r="2183" spans="9:10" x14ac:dyDescent="0.35">
      <c r="I2183" s="63"/>
      <c r="J2183" s="63"/>
    </row>
    <row r="2184" spans="9:10" x14ac:dyDescent="0.35">
      <c r="I2184" s="63"/>
      <c r="J2184" s="63"/>
    </row>
    <row r="2185" spans="9:10" x14ac:dyDescent="0.35">
      <c r="I2185" s="63"/>
      <c r="J2185" s="63"/>
    </row>
    <row r="2186" spans="9:10" x14ac:dyDescent="0.35">
      <c r="I2186" s="63"/>
      <c r="J2186" s="63"/>
    </row>
    <row r="2187" spans="9:10" x14ac:dyDescent="0.35">
      <c r="I2187" s="63"/>
      <c r="J2187" s="63"/>
    </row>
    <row r="2188" spans="9:10" x14ac:dyDescent="0.35">
      <c r="I2188" s="63"/>
      <c r="J2188" s="63"/>
    </row>
    <row r="2189" spans="9:10" x14ac:dyDescent="0.35">
      <c r="I2189" s="63"/>
      <c r="J2189" s="63"/>
    </row>
    <row r="2190" spans="9:10" x14ac:dyDescent="0.35">
      <c r="I2190" s="63"/>
      <c r="J2190" s="63"/>
    </row>
    <row r="2191" spans="9:10" x14ac:dyDescent="0.35">
      <c r="I2191" s="63"/>
      <c r="J2191" s="63"/>
    </row>
    <row r="2192" spans="9:10" x14ac:dyDescent="0.35">
      <c r="I2192" s="63"/>
      <c r="J2192" s="63"/>
    </row>
    <row r="2193" spans="9:10" x14ac:dyDescent="0.35">
      <c r="I2193" s="63"/>
      <c r="J2193" s="63"/>
    </row>
    <row r="2194" spans="9:10" x14ac:dyDescent="0.35">
      <c r="I2194" s="63"/>
      <c r="J2194" s="63"/>
    </row>
    <row r="2195" spans="9:10" x14ac:dyDescent="0.35">
      <c r="I2195" s="63"/>
      <c r="J2195" s="63"/>
    </row>
    <row r="2196" spans="9:10" x14ac:dyDescent="0.35">
      <c r="I2196" s="63"/>
      <c r="J2196" s="63"/>
    </row>
    <row r="2197" spans="9:10" x14ac:dyDescent="0.35">
      <c r="I2197" s="63"/>
      <c r="J2197" s="63"/>
    </row>
    <row r="2198" spans="9:10" x14ac:dyDescent="0.35">
      <c r="I2198" s="63"/>
      <c r="J2198" s="63"/>
    </row>
    <row r="2199" spans="9:10" x14ac:dyDescent="0.35">
      <c r="I2199" s="63"/>
      <c r="J2199" s="63"/>
    </row>
    <row r="2200" spans="9:10" x14ac:dyDescent="0.35">
      <c r="I2200" s="63"/>
      <c r="J2200" s="63"/>
    </row>
    <row r="2201" spans="9:10" x14ac:dyDescent="0.35">
      <c r="I2201" s="63"/>
      <c r="J2201" s="63"/>
    </row>
    <row r="2202" spans="9:10" x14ac:dyDescent="0.35">
      <c r="I2202" s="63"/>
      <c r="J2202" s="63"/>
    </row>
    <row r="2203" spans="9:10" x14ac:dyDescent="0.35">
      <c r="I2203" s="63"/>
      <c r="J2203" s="63"/>
    </row>
    <row r="2204" spans="9:10" x14ac:dyDescent="0.35">
      <c r="I2204" s="63"/>
      <c r="J2204" s="63"/>
    </row>
    <row r="2205" spans="9:10" x14ac:dyDescent="0.35">
      <c r="I2205" s="63"/>
      <c r="J2205" s="63"/>
    </row>
    <row r="2206" spans="9:10" x14ac:dyDescent="0.35">
      <c r="I2206" s="63"/>
      <c r="J2206" s="63"/>
    </row>
    <row r="2207" spans="9:10" x14ac:dyDescent="0.35">
      <c r="I2207" s="63"/>
      <c r="J2207" s="63"/>
    </row>
    <row r="2208" spans="9:10" x14ac:dyDescent="0.35">
      <c r="I2208" s="63"/>
      <c r="J2208" s="63"/>
    </row>
    <row r="2209" spans="9:10" x14ac:dyDescent="0.35">
      <c r="I2209" s="63"/>
      <c r="J2209" s="63"/>
    </row>
    <row r="2210" spans="9:10" x14ac:dyDescent="0.35">
      <c r="I2210" s="63"/>
      <c r="J2210" s="63"/>
    </row>
    <row r="2211" spans="9:10" x14ac:dyDescent="0.35">
      <c r="I2211" s="63"/>
      <c r="J2211" s="63"/>
    </row>
    <row r="2212" spans="9:10" x14ac:dyDescent="0.35">
      <c r="I2212" s="63"/>
      <c r="J2212" s="63"/>
    </row>
    <row r="2213" spans="9:10" x14ac:dyDescent="0.35">
      <c r="I2213" s="63"/>
      <c r="J2213" s="63"/>
    </row>
    <row r="2214" spans="9:10" x14ac:dyDescent="0.35">
      <c r="I2214" s="63"/>
      <c r="J2214" s="63"/>
    </row>
    <row r="2215" spans="9:10" x14ac:dyDescent="0.35">
      <c r="I2215" s="63"/>
      <c r="J2215" s="63"/>
    </row>
    <row r="2216" spans="9:10" x14ac:dyDescent="0.35">
      <c r="I2216" s="63"/>
      <c r="J2216" s="63"/>
    </row>
    <row r="2217" spans="9:10" x14ac:dyDescent="0.35">
      <c r="I2217" s="63"/>
      <c r="J2217" s="63"/>
    </row>
    <row r="2218" spans="9:10" x14ac:dyDescent="0.35">
      <c r="I2218" s="63"/>
      <c r="J2218" s="63"/>
    </row>
    <row r="2219" spans="9:10" x14ac:dyDescent="0.35">
      <c r="I2219" s="63"/>
      <c r="J2219" s="63"/>
    </row>
    <row r="2220" spans="9:10" x14ac:dyDescent="0.35">
      <c r="I2220" s="63"/>
      <c r="J2220" s="63"/>
    </row>
    <row r="2221" spans="9:10" x14ac:dyDescent="0.35">
      <c r="I2221" s="63"/>
      <c r="J2221" s="63"/>
    </row>
    <row r="2222" spans="9:10" x14ac:dyDescent="0.35">
      <c r="I2222" s="63"/>
      <c r="J2222" s="63"/>
    </row>
    <row r="2223" spans="9:10" x14ac:dyDescent="0.35">
      <c r="I2223" s="63"/>
      <c r="J2223" s="63"/>
    </row>
    <row r="2224" spans="9:10" x14ac:dyDescent="0.35">
      <c r="I2224" s="63"/>
      <c r="J2224" s="63"/>
    </row>
    <row r="2225" spans="9:10" x14ac:dyDescent="0.35">
      <c r="I2225" s="63"/>
      <c r="J2225" s="63"/>
    </row>
    <row r="2226" spans="9:10" x14ac:dyDescent="0.35">
      <c r="I2226" s="63"/>
      <c r="J2226" s="63"/>
    </row>
    <row r="2227" spans="9:10" x14ac:dyDescent="0.35">
      <c r="I2227" s="63"/>
      <c r="J2227" s="63"/>
    </row>
    <row r="2228" spans="9:10" x14ac:dyDescent="0.35">
      <c r="I2228" s="63"/>
      <c r="J2228" s="63"/>
    </row>
    <row r="2229" spans="9:10" x14ac:dyDescent="0.35">
      <c r="I2229" s="63"/>
      <c r="J2229" s="63"/>
    </row>
    <row r="2230" spans="9:10" x14ac:dyDescent="0.35">
      <c r="I2230" s="63"/>
      <c r="J2230" s="63"/>
    </row>
    <row r="2231" spans="9:10" x14ac:dyDescent="0.35">
      <c r="I2231" s="63"/>
      <c r="J2231" s="63"/>
    </row>
    <row r="2232" spans="9:10" x14ac:dyDescent="0.35">
      <c r="I2232" s="63"/>
      <c r="J2232" s="63"/>
    </row>
    <row r="2233" spans="9:10" x14ac:dyDescent="0.35">
      <c r="I2233" s="63"/>
      <c r="J2233" s="63"/>
    </row>
    <row r="2234" spans="9:10" x14ac:dyDescent="0.35">
      <c r="I2234" s="63"/>
      <c r="J2234" s="63"/>
    </row>
    <row r="2235" spans="9:10" x14ac:dyDescent="0.35">
      <c r="I2235" s="63"/>
      <c r="J2235" s="63"/>
    </row>
    <row r="2236" spans="9:10" x14ac:dyDescent="0.35">
      <c r="I2236" s="63"/>
      <c r="J2236" s="63"/>
    </row>
    <row r="2237" spans="9:10" x14ac:dyDescent="0.35">
      <c r="I2237" s="63"/>
      <c r="J2237" s="63"/>
    </row>
    <row r="2238" spans="9:10" x14ac:dyDescent="0.35">
      <c r="I2238" s="63"/>
      <c r="J2238" s="63"/>
    </row>
    <row r="2239" spans="9:10" x14ac:dyDescent="0.35">
      <c r="I2239" s="63"/>
      <c r="J2239" s="63"/>
    </row>
    <row r="2240" spans="9:10" x14ac:dyDescent="0.35">
      <c r="I2240" s="63"/>
      <c r="J2240" s="63"/>
    </row>
    <row r="2241" spans="9:10" x14ac:dyDescent="0.35">
      <c r="I2241" s="63"/>
      <c r="J2241" s="63"/>
    </row>
    <row r="2242" spans="9:10" x14ac:dyDescent="0.35">
      <c r="I2242" s="63"/>
      <c r="J2242" s="63"/>
    </row>
    <row r="2243" spans="9:10" x14ac:dyDescent="0.35">
      <c r="I2243" s="63"/>
      <c r="J2243" s="63"/>
    </row>
    <row r="2244" spans="9:10" x14ac:dyDescent="0.35">
      <c r="I2244" s="63"/>
      <c r="J2244" s="63"/>
    </row>
    <row r="2245" spans="9:10" x14ac:dyDescent="0.35">
      <c r="I2245" s="63"/>
      <c r="J2245" s="63"/>
    </row>
    <row r="2246" spans="9:10" x14ac:dyDescent="0.35">
      <c r="I2246" s="63"/>
      <c r="J2246" s="63"/>
    </row>
    <row r="2247" spans="9:10" x14ac:dyDescent="0.35">
      <c r="I2247" s="63"/>
      <c r="J2247" s="63"/>
    </row>
    <row r="2248" spans="9:10" x14ac:dyDescent="0.35">
      <c r="I2248" s="63"/>
      <c r="J2248" s="63"/>
    </row>
    <row r="2249" spans="9:10" x14ac:dyDescent="0.35">
      <c r="I2249" s="63"/>
      <c r="J2249" s="63"/>
    </row>
    <row r="2250" spans="9:10" x14ac:dyDescent="0.35">
      <c r="I2250" s="63"/>
      <c r="J2250" s="63"/>
    </row>
    <row r="2251" spans="9:10" x14ac:dyDescent="0.35">
      <c r="I2251" s="63"/>
      <c r="J2251" s="63"/>
    </row>
    <row r="2252" spans="9:10" x14ac:dyDescent="0.35">
      <c r="I2252" s="63"/>
      <c r="J2252" s="63"/>
    </row>
    <row r="2253" spans="9:10" x14ac:dyDescent="0.35">
      <c r="I2253" s="63"/>
      <c r="J2253" s="63"/>
    </row>
    <row r="2254" spans="9:10" x14ac:dyDescent="0.35">
      <c r="I2254" s="63"/>
      <c r="J2254" s="63"/>
    </row>
    <row r="2255" spans="9:10" x14ac:dyDescent="0.35">
      <c r="I2255" s="63"/>
      <c r="J2255" s="63"/>
    </row>
    <row r="2256" spans="9:10" x14ac:dyDescent="0.35">
      <c r="I2256" s="63"/>
      <c r="J2256" s="63"/>
    </row>
    <row r="2257" spans="9:10" x14ac:dyDescent="0.35">
      <c r="I2257" s="63"/>
      <c r="J2257" s="63"/>
    </row>
    <row r="2258" spans="9:10" x14ac:dyDescent="0.35">
      <c r="I2258" s="63"/>
      <c r="J2258" s="63"/>
    </row>
    <row r="2259" spans="9:10" x14ac:dyDescent="0.35">
      <c r="I2259" s="63"/>
      <c r="J2259" s="63"/>
    </row>
    <row r="2260" spans="9:10" x14ac:dyDescent="0.35">
      <c r="I2260" s="63"/>
      <c r="J2260" s="63"/>
    </row>
    <row r="2261" spans="9:10" x14ac:dyDescent="0.35">
      <c r="I2261" s="63"/>
      <c r="J2261" s="63"/>
    </row>
    <row r="2262" spans="9:10" x14ac:dyDescent="0.35">
      <c r="I2262" s="63"/>
      <c r="J2262" s="63"/>
    </row>
    <row r="2263" spans="9:10" x14ac:dyDescent="0.35">
      <c r="I2263" s="63"/>
      <c r="J2263" s="63"/>
    </row>
    <row r="2264" spans="9:10" x14ac:dyDescent="0.35">
      <c r="I2264" s="63"/>
      <c r="J2264" s="63"/>
    </row>
    <row r="2265" spans="9:10" x14ac:dyDescent="0.35">
      <c r="I2265" s="63"/>
      <c r="J2265" s="63"/>
    </row>
    <row r="2266" spans="9:10" x14ac:dyDescent="0.35">
      <c r="I2266" s="63"/>
      <c r="J2266" s="63"/>
    </row>
    <row r="2267" spans="9:10" x14ac:dyDescent="0.35">
      <c r="I2267" s="63"/>
      <c r="J2267" s="63"/>
    </row>
    <row r="2268" spans="9:10" x14ac:dyDescent="0.35">
      <c r="I2268" s="63"/>
      <c r="J2268" s="63"/>
    </row>
    <row r="2269" spans="9:10" x14ac:dyDescent="0.35">
      <c r="I2269" s="63"/>
      <c r="J2269" s="63"/>
    </row>
    <row r="2270" spans="9:10" x14ac:dyDescent="0.35">
      <c r="I2270" s="63"/>
      <c r="J2270" s="63"/>
    </row>
    <row r="2271" spans="9:10" x14ac:dyDescent="0.35">
      <c r="I2271" s="63"/>
      <c r="J2271" s="63"/>
    </row>
    <row r="2272" spans="9:10" x14ac:dyDescent="0.35">
      <c r="I2272" s="63"/>
      <c r="J2272" s="63"/>
    </row>
    <row r="2273" spans="9:10" x14ac:dyDescent="0.35">
      <c r="I2273" s="63"/>
      <c r="J2273" s="63"/>
    </row>
    <row r="2274" spans="9:10" x14ac:dyDescent="0.35">
      <c r="I2274" s="63"/>
      <c r="J2274" s="63"/>
    </row>
    <row r="2275" spans="9:10" x14ac:dyDescent="0.35">
      <c r="I2275" s="63"/>
      <c r="J2275" s="63"/>
    </row>
    <row r="2276" spans="9:10" x14ac:dyDescent="0.35">
      <c r="I2276" s="63"/>
      <c r="J2276" s="63"/>
    </row>
    <row r="2277" spans="9:10" x14ac:dyDescent="0.35">
      <c r="I2277" s="63"/>
      <c r="J2277" s="63"/>
    </row>
    <row r="2278" spans="9:10" x14ac:dyDescent="0.35">
      <c r="I2278" s="63"/>
      <c r="J2278" s="63"/>
    </row>
    <row r="2279" spans="9:10" x14ac:dyDescent="0.35">
      <c r="I2279" s="63"/>
      <c r="J2279" s="63"/>
    </row>
    <row r="2280" spans="9:10" x14ac:dyDescent="0.35">
      <c r="I2280" s="63"/>
      <c r="J2280" s="63"/>
    </row>
    <row r="2281" spans="9:10" x14ac:dyDescent="0.35">
      <c r="I2281" s="63"/>
      <c r="J2281" s="63"/>
    </row>
    <row r="2282" spans="9:10" x14ac:dyDescent="0.35">
      <c r="I2282" s="63"/>
      <c r="J2282" s="63"/>
    </row>
    <row r="2283" spans="9:10" x14ac:dyDescent="0.35">
      <c r="I2283" s="63"/>
      <c r="J2283" s="63"/>
    </row>
    <row r="2284" spans="9:10" x14ac:dyDescent="0.35">
      <c r="I2284" s="63"/>
      <c r="J2284" s="63"/>
    </row>
    <row r="2285" spans="9:10" x14ac:dyDescent="0.35">
      <c r="I2285" s="63"/>
      <c r="J2285" s="63"/>
    </row>
    <row r="2286" spans="9:10" x14ac:dyDescent="0.35">
      <c r="I2286" s="63"/>
      <c r="J2286" s="63"/>
    </row>
    <row r="2287" spans="9:10" x14ac:dyDescent="0.35">
      <c r="I2287" s="63"/>
      <c r="J2287" s="63"/>
    </row>
    <row r="2288" spans="9:10" x14ac:dyDescent="0.35">
      <c r="I2288" s="63"/>
      <c r="J2288" s="63"/>
    </row>
    <row r="2289" spans="9:10" x14ac:dyDescent="0.35">
      <c r="I2289" s="63"/>
      <c r="J2289" s="63"/>
    </row>
    <row r="2290" spans="9:10" x14ac:dyDescent="0.35">
      <c r="I2290" s="63"/>
      <c r="J2290" s="63"/>
    </row>
    <row r="2291" spans="9:10" x14ac:dyDescent="0.35">
      <c r="I2291" s="63"/>
      <c r="J2291" s="63"/>
    </row>
    <row r="2292" spans="9:10" x14ac:dyDescent="0.35">
      <c r="I2292" s="63"/>
      <c r="J2292" s="63"/>
    </row>
    <row r="2293" spans="9:10" x14ac:dyDescent="0.35">
      <c r="I2293" s="63"/>
      <c r="J2293" s="63"/>
    </row>
    <row r="2294" spans="9:10" x14ac:dyDescent="0.35">
      <c r="I2294" s="63"/>
      <c r="J2294" s="63"/>
    </row>
    <row r="2295" spans="9:10" x14ac:dyDescent="0.35">
      <c r="I2295" s="63"/>
      <c r="J2295" s="63"/>
    </row>
    <row r="2296" spans="9:10" x14ac:dyDescent="0.35">
      <c r="I2296" s="63"/>
      <c r="J2296" s="63"/>
    </row>
    <row r="2297" spans="9:10" x14ac:dyDescent="0.35">
      <c r="I2297" s="63"/>
      <c r="J2297" s="63"/>
    </row>
    <row r="2298" spans="9:10" x14ac:dyDescent="0.35">
      <c r="I2298" s="63"/>
      <c r="J2298" s="63"/>
    </row>
    <row r="2299" spans="9:10" x14ac:dyDescent="0.35">
      <c r="I2299" s="63"/>
      <c r="J2299" s="63"/>
    </row>
    <row r="2300" spans="9:10" x14ac:dyDescent="0.35">
      <c r="I2300" s="63"/>
      <c r="J2300" s="63"/>
    </row>
    <row r="2301" spans="9:10" x14ac:dyDescent="0.35">
      <c r="I2301" s="63"/>
      <c r="J2301" s="63"/>
    </row>
    <row r="2302" spans="9:10" x14ac:dyDescent="0.35">
      <c r="I2302" s="63"/>
      <c r="J2302" s="63"/>
    </row>
    <row r="2303" spans="9:10" x14ac:dyDescent="0.35">
      <c r="I2303" s="63"/>
      <c r="J2303" s="63"/>
    </row>
    <row r="2304" spans="9:10" x14ac:dyDescent="0.35">
      <c r="I2304" s="63"/>
      <c r="J2304" s="63"/>
    </row>
    <row r="2305" spans="9:10" x14ac:dyDescent="0.35">
      <c r="I2305" s="63"/>
      <c r="J2305" s="63"/>
    </row>
    <row r="2306" spans="9:10" x14ac:dyDescent="0.35">
      <c r="I2306" s="63"/>
      <c r="J2306" s="63"/>
    </row>
    <row r="2307" spans="9:10" x14ac:dyDescent="0.35">
      <c r="I2307" s="63"/>
      <c r="J2307" s="63"/>
    </row>
    <row r="2308" spans="9:10" x14ac:dyDescent="0.35">
      <c r="I2308" s="63"/>
      <c r="J2308" s="63"/>
    </row>
    <row r="2309" spans="9:10" x14ac:dyDescent="0.35">
      <c r="I2309" s="63"/>
      <c r="J2309" s="63"/>
    </row>
    <row r="2310" spans="9:10" x14ac:dyDescent="0.35">
      <c r="I2310" s="63"/>
      <c r="J2310" s="63"/>
    </row>
    <row r="2311" spans="9:10" x14ac:dyDescent="0.35">
      <c r="I2311" s="63"/>
      <c r="J2311" s="63"/>
    </row>
    <row r="2312" spans="9:10" x14ac:dyDescent="0.35">
      <c r="I2312" s="63"/>
      <c r="J2312" s="63"/>
    </row>
    <row r="2313" spans="9:10" x14ac:dyDescent="0.35">
      <c r="I2313" s="63"/>
      <c r="J2313" s="63"/>
    </row>
    <row r="2314" spans="9:10" x14ac:dyDescent="0.35">
      <c r="I2314" s="63"/>
      <c r="J2314" s="63"/>
    </row>
    <row r="2315" spans="9:10" x14ac:dyDescent="0.35">
      <c r="I2315" s="63"/>
      <c r="J2315" s="63"/>
    </row>
    <row r="2316" spans="9:10" x14ac:dyDescent="0.35">
      <c r="I2316" s="63"/>
      <c r="J2316" s="63"/>
    </row>
    <row r="2317" spans="9:10" x14ac:dyDescent="0.35">
      <c r="I2317" s="63"/>
      <c r="J2317" s="63"/>
    </row>
    <row r="2318" spans="9:10" x14ac:dyDescent="0.35">
      <c r="I2318" s="63"/>
      <c r="J2318" s="63"/>
    </row>
    <row r="2319" spans="9:10" x14ac:dyDescent="0.35">
      <c r="I2319" s="63"/>
      <c r="J2319" s="63"/>
    </row>
    <row r="2320" spans="9:10" x14ac:dyDescent="0.35">
      <c r="I2320" s="63"/>
      <c r="J2320" s="63"/>
    </row>
    <row r="2321" spans="9:10" x14ac:dyDescent="0.35">
      <c r="I2321" s="63"/>
      <c r="J2321" s="63"/>
    </row>
    <row r="2322" spans="9:10" x14ac:dyDescent="0.35">
      <c r="I2322" s="63"/>
      <c r="J2322" s="63"/>
    </row>
    <row r="2323" spans="9:10" x14ac:dyDescent="0.35">
      <c r="I2323" s="63"/>
      <c r="J2323" s="63"/>
    </row>
    <row r="2324" spans="9:10" x14ac:dyDescent="0.35">
      <c r="I2324" s="63"/>
      <c r="J2324" s="63"/>
    </row>
    <row r="2325" spans="9:10" x14ac:dyDescent="0.35">
      <c r="I2325" s="63"/>
      <c r="J2325" s="63"/>
    </row>
    <row r="2326" spans="9:10" x14ac:dyDescent="0.35">
      <c r="I2326" s="63"/>
      <c r="J2326" s="63"/>
    </row>
    <row r="2327" spans="9:10" x14ac:dyDescent="0.35">
      <c r="I2327" s="63"/>
      <c r="J2327" s="63"/>
    </row>
    <row r="2328" spans="9:10" x14ac:dyDescent="0.35">
      <c r="I2328" s="63"/>
      <c r="J2328" s="63"/>
    </row>
    <row r="2329" spans="9:10" x14ac:dyDescent="0.35">
      <c r="I2329" s="63"/>
      <c r="J2329" s="63"/>
    </row>
    <row r="2330" spans="9:10" x14ac:dyDescent="0.35">
      <c r="I2330" s="63"/>
      <c r="J2330" s="63"/>
    </row>
    <row r="2331" spans="9:10" x14ac:dyDescent="0.35">
      <c r="I2331" s="63"/>
      <c r="J2331" s="63"/>
    </row>
    <row r="2332" spans="9:10" x14ac:dyDescent="0.35">
      <c r="I2332" s="63"/>
      <c r="J2332" s="63"/>
    </row>
    <row r="2333" spans="9:10" x14ac:dyDescent="0.35">
      <c r="I2333" s="63"/>
      <c r="J2333" s="63"/>
    </row>
    <row r="2334" spans="9:10" x14ac:dyDescent="0.35">
      <c r="I2334" s="63"/>
      <c r="J2334" s="63"/>
    </row>
    <row r="2335" spans="9:10" x14ac:dyDescent="0.35">
      <c r="I2335" s="63"/>
      <c r="J2335" s="63"/>
    </row>
    <row r="2336" spans="9:10" x14ac:dyDescent="0.35">
      <c r="I2336" s="63"/>
      <c r="J2336" s="63"/>
    </row>
    <row r="2337" spans="9:10" x14ac:dyDescent="0.35">
      <c r="I2337" s="63"/>
      <c r="J2337" s="63"/>
    </row>
    <row r="2338" spans="9:10" x14ac:dyDescent="0.35">
      <c r="I2338" s="63"/>
      <c r="J2338" s="63"/>
    </row>
    <row r="2339" spans="9:10" x14ac:dyDescent="0.35">
      <c r="I2339" s="63"/>
      <c r="J2339" s="63"/>
    </row>
    <row r="2340" spans="9:10" x14ac:dyDescent="0.35">
      <c r="I2340" s="63"/>
      <c r="J2340" s="63"/>
    </row>
    <row r="2341" spans="9:10" x14ac:dyDescent="0.35">
      <c r="I2341" s="63"/>
      <c r="J2341" s="63"/>
    </row>
    <row r="2342" spans="9:10" x14ac:dyDescent="0.35">
      <c r="I2342" s="63"/>
      <c r="J2342" s="63"/>
    </row>
    <row r="2343" spans="9:10" x14ac:dyDescent="0.35">
      <c r="I2343" s="63"/>
      <c r="J2343" s="63"/>
    </row>
    <row r="2344" spans="9:10" x14ac:dyDescent="0.35">
      <c r="I2344" s="63"/>
      <c r="J2344" s="63"/>
    </row>
    <row r="2345" spans="9:10" x14ac:dyDescent="0.35">
      <c r="I2345" s="63"/>
      <c r="J2345" s="63"/>
    </row>
    <row r="2346" spans="9:10" x14ac:dyDescent="0.35">
      <c r="I2346" s="63"/>
      <c r="J2346" s="63"/>
    </row>
    <row r="2347" spans="9:10" x14ac:dyDescent="0.35">
      <c r="I2347" s="63"/>
      <c r="J2347" s="63"/>
    </row>
    <row r="2348" spans="9:10" x14ac:dyDescent="0.35">
      <c r="I2348" s="63"/>
      <c r="J2348" s="63"/>
    </row>
    <row r="2349" spans="9:10" x14ac:dyDescent="0.35">
      <c r="I2349" s="63"/>
      <c r="J2349" s="63"/>
    </row>
    <row r="2350" spans="9:10" x14ac:dyDescent="0.35">
      <c r="I2350" s="63"/>
      <c r="J2350" s="63"/>
    </row>
    <row r="2351" spans="9:10" x14ac:dyDescent="0.35">
      <c r="I2351" s="63"/>
      <c r="J2351" s="63"/>
    </row>
    <row r="2352" spans="9:10" x14ac:dyDescent="0.35">
      <c r="I2352" s="63"/>
      <c r="J2352" s="63"/>
    </row>
    <row r="2353" spans="9:10" x14ac:dyDescent="0.35">
      <c r="I2353" s="63"/>
      <c r="J2353" s="63"/>
    </row>
    <row r="2354" spans="9:10" x14ac:dyDescent="0.35">
      <c r="I2354" s="63"/>
      <c r="J2354" s="63"/>
    </row>
    <row r="2355" spans="9:10" x14ac:dyDescent="0.35">
      <c r="I2355" s="63"/>
      <c r="J2355" s="63"/>
    </row>
    <row r="2356" spans="9:10" x14ac:dyDescent="0.35">
      <c r="I2356" s="63"/>
      <c r="J2356" s="63"/>
    </row>
    <row r="2357" spans="9:10" x14ac:dyDescent="0.35">
      <c r="I2357" s="63"/>
      <c r="J2357" s="63"/>
    </row>
    <row r="2358" spans="9:10" x14ac:dyDescent="0.35">
      <c r="I2358" s="63"/>
      <c r="J2358" s="63"/>
    </row>
    <row r="2359" spans="9:10" x14ac:dyDescent="0.35">
      <c r="I2359" s="63"/>
      <c r="J2359" s="63"/>
    </row>
    <row r="2360" spans="9:10" x14ac:dyDescent="0.35">
      <c r="I2360" s="63"/>
      <c r="J2360" s="63"/>
    </row>
    <row r="2361" spans="9:10" x14ac:dyDescent="0.35">
      <c r="I2361" s="63"/>
      <c r="J2361" s="63"/>
    </row>
    <row r="2362" spans="9:10" x14ac:dyDescent="0.35">
      <c r="I2362" s="63"/>
      <c r="J2362" s="63"/>
    </row>
    <row r="2363" spans="9:10" x14ac:dyDescent="0.35">
      <c r="I2363" s="63"/>
      <c r="J2363" s="63"/>
    </row>
    <row r="2364" spans="9:10" x14ac:dyDescent="0.35">
      <c r="I2364" s="63"/>
      <c r="J2364" s="63"/>
    </row>
    <row r="2365" spans="9:10" x14ac:dyDescent="0.35">
      <c r="I2365" s="63"/>
      <c r="J2365" s="63"/>
    </row>
    <row r="2366" spans="9:10" x14ac:dyDescent="0.35">
      <c r="I2366" s="63"/>
      <c r="J2366" s="63"/>
    </row>
    <row r="2367" spans="9:10" x14ac:dyDescent="0.35">
      <c r="I2367" s="63"/>
      <c r="J2367" s="63"/>
    </row>
    <row r="2368" spans="9:10" x14ac:dyDescent="0.35">
      <c r="I2368" s="63"/>
      <c r="J2368" s="63"/>
    </row>
    <row r="2369" spans="9:10" x14ac:dyDescent="0.35">
      <c r="I2369" s="63"/>
      <c r="J2369" s="63"/>
    </row>
    <row r="2370" spans="9:10" x14ac:dyDescent="0.35">
      <c r="I2370" s="63"/>
      <c r="J2370" s="63"/>
    </row>
    <row r="2371" spans="9:10" x14ac:dyDescent="0.35">
      <c r="I2371" s="63"/>
      <c r="J2371" s="63"/>
    </row>
    <row r="2372" spans="9:10" x14ac:dyDescent="0.35">
      <c r="I2372" s="63"/>
      <c r="J2372" s="63"/>
    </row>
    <row r="2373" spans="9:10" x14ac:dyDescent="0.35">
      <c r="I2373" s="63"/>
      <c r="J2373" s="63"/>
    </row>
    <row r="2374" spans="9:10" x14ac:dyDescent="0.35">
      <c r="I2374" s="63"/>
      <c r="J2374" s="63"/>
    </row>
    <row r="2375" spans="9:10" x14ac:dyDescent="0.35">
      <c r="I2375" s="63"/>
      <c r="J2375" s="63"/>
    </row>
    <row r="2376" spans="9:10" x14ac:dyDescent="0.35">
      <c r="I2376" s="63"/>
      <c r="J2376" s="63"/>
    </row>
    <row r="2377" spans="9:10" x14ac:dyDescent="0.35">
      <c r="I2377" s="63"/>
      <c r="J2377" s="63"/>
    </row>
    <row r="2378" spans="9:10" x14ac:dyDescent="0.35">
      <c r="I2378" s="63"/>
      <c r="J2378" s="63"/>
    </row>
    <row r="2379" spans="9:10" x14ac:dyDescent="0.35">
      <c r="I2379" s="63"/>
      <c r="J2379" s="63"/>
    </row>
    <row r="2380" spans="9:10" x14ac:dyDescent="0.35">
      <c r="I2380" s="63"/>
      <c r="J2380" s="63"/>
    </row>
    <row r="2381" spans="9:10" x14ac:dyDescent="0.35">
      <c r="I2381" s="63"/>
      <c r="J2381" s="63"/>
    </row>
    <row r="2382" spans="9:10" x14ac:dyDescent="0.35">
      <c r="I2382" s="63"/>
      <c r="J2382" s="63"/>
    </row>
    <row r="2383" spans="9:10" x14ac:dyDescent="0.35">
      <c r="I2383" s="63"/>
      <c r="J2383" s="63"/>
    </row>
    <row r="2384" spans="9:10" x14ac:dyDescent="0.35">
      <c r="I2384" s="63"/>
      <c r="J2384" s="63"/>
    </row>
    <row r="2385" spans="9:10" x14ac:dyDescent="0.35">
      <c r="I2385" s="63"/>
      <c r="J2385" s="63"/>
    </row>
    <row r="2386" spans="9:10" x14ac:dyDescent="0.35">
      <c r="I2386" s="63"/>
      <c r="J2386" s="63"/>
    </row>
    <row r="2387" spans="9:10" x14ac:dyDescent="0.35">
      <c r="I2387" s="63"/>
      <c r="J2387" s="63"/>
    </row>
    <row r="2388" spans="9:10" x14ac:dyDescent="0.35">
      <c r="I2388" s="63"/>
      <c r="J2388" s="63"/>
    </row>
    <row r="2389" spans="9:10" x14ac:dyDescent="0.35">
      <c r="I2389" s="63"/>
      <c r="J2389" s="63"/>
    </row>
    <row r="2390" spans="9:10" x14ac:dyDescent="0.35">
      <c r="I2390" s="63"/>
      <c r="J2390" s="63"/>
    </row>
    <row r="2391" spans="9:10" x14ac:dyDescent="0.35">
      <c r="I2391" s="63"/>
      <c r="J2391" s="63"/>
    </row>
    <row r="2392" spans="9:10" x14ac:dyDescent="0.35">
      <c r="I2392" s="63"/>
      <c r="J2392" s="63"/>
    </row>
    <row r="2393" spans="9:10" x14ac:dyDescent="0.35">
      <c r="I2393" s="63"/>
      <c r="J2393" s="63"/>
    </row>
    <row r="2394" spans="9:10" x14ac:dyDescent="0.35">
      <c r="I2394" s="63"/>
      <c r="J2394" s="63"/>
    </row>
    <row r="2395" spans="9:10" x14ac:dyDescent="0.35">
      <c r="I2395" s="63"/>
      <c r="J2395" s="63"/>
    </row>
    <row r="2396" spans="9:10" x14ac:dyDescent="0.35">
      <c r="I2396" s="63"/>
      <c r="J2396" s="63"/>
    </row>
    <row r="2397" spans="9:10" x14ac:dyDescent="0.35">
      <c r="I2397" s="63"/>
      <c r="J2397" s="63"/>
    </row>
    <row r="2398" spans="9:10" x14ac:dyDescent="0.35">
      <c r="I2398" s="63"/>
      <c r="J2398" s="63"/>
    </row>
    <row r="2399" spans="9:10" x14ac:dyDescent="0.35">
      <c r="I2399" s="63"/>
      <c r="J2399" s="63"/>
    </row>
    <row r="2400" spans="9:10" x14ac:dyDescent="0.35">
      <c r="I2400" s="63"/>
      <c r="J2400" s="63"/>
    </row>
    <row r="2401" spans="9:10" x14ac:dyDescent="0.35">
      <c r="I2401" s="63"/>
      <c r="J2401" s="63"/>
    </row>
    <row r="2402" spans="9:10" x14ac:dyDescent="0.35">
      <c r="I2402" s="63"/>
      <c r="J2402" s="63"/>
    </row>
    <row r="2403" spans="9:10" x14ac:dyDescent="0.35">
      <c r="I2403" s="63"/>
      <c r="J2403" s="63"/>
    </row>
    <row r="2404" spans="9:10" x14ac:dyDescent="0.35">
      <c r="I2404" s="63"/>
      <c r="J2404" s="63"/>
    </row>
    <row r="2405" spans="9:10" x14ac:dyDescent="0.35">
      <c r="I2405" s="63"/>
      <c r="J2405" s="63"/>
    </row>
    <row r="2406" spans="9:10" x14ac:dyDescent="0.35">
      <c r="I2406" s="63"/>
      <c r="J2406" s="63"/>
    </row>
    <row r="2407" spans="9:10" x14ac:dyDescent="0.35">
      <c r="I2407" s="63"/>
      <c r="J2407" s="63"/>
    </row>
    <row r="2408" spans="9:10" x14ac:dyDescent="0.35">
      <c r="I2408" s="63"/>
      <c r="J2408" s="63"/>
    </row>
    <row r="2409" spans="9:10" x14ac:dyDescent="0.35">
      <c r="I2409" s="63"/>
      <c r="J2409" s="63"/>
    </row>
    <row r="2410" spans="9:10" x14ac:dyDescent="0.35">
      <c r="I2410" s="63"/>
      <c r="J2410" s="63"/>
    </row>
    <row r="2411" spans="9:10" x14ac:dyDescent="0.35">
      <c r="I2411" s="63"/>
      <c r="J2411" s="63"/>
    </row>
    <row r="2412" spans="9:10" x14ac:dyDescent="0.35">
      <c r="I2412" s="63"/>
      <c r="J2412" s="63"/>
    </row>
    <row r="2413" spans="9:10" x14ac:dyDescent="0.35">
      <c r="I2413" s="63"/>
      <c r="J2413" s="63"/>
    </row>
    <row r="2414" spans="9:10" x14ac:dyDescent="0.35">
      <c r="I2414" s="63"/>
      <c r="J2414" s="63"/>
    </row>
    <row r="2415" spans="9:10" x14ac:dyDescent="0.35">
      <c r="I2415" s="63"/>
      <c r="J2415" s="63"/>
    </row>
    <row r="2416" spans="9:10" x14ac:dyDescent="0.35">
      <c r="I2416" s="63"/>
      <c r="J2416" s="63"/>
    </row>
    <row r="2417" spans="9:10" x14ac:dyDescent="0.35">
      <c r="I2417" s="63"/>
      <c r="J2417" s="63"/>
    </row>
    <row r="2418" spans="9:10" x14ac:dyDescent="0.35">
      <c r="I2418" s="63"/>
      <c r="J2418" s="63"/>
    </row>
    <row r="2419" spans="9:10" x14ac:dyDescent="0.35">
      <c r="I2419" s="63"/>
      <c r="J2419" s="63"/>
    </row>
    <row r="2420" spans="9:10" x14ac:dyDescent="0.35">
      <c r="I2420" s="63"/>
      <c r="J2420" s="63"/>
    </row>
    <row r="2421" spans="9:10" x14ac:dyDescent="0.35">
      <c r="I2421" s="63"/>
      <c r="J2421" s="63"/>
    </row>
    <row r="2422" spans="9:10" x14ac:dyDescent="0.35">
      <c r="I2422" s="63"/>
      <c r="J2422" s="63"/>
    </row>
    <row r="2423" spans="9:10" x14ac:dyDescent="0.35">
      <c r="I2423" s="63"/>
      <c r="J2423" s="63"/>
    </row>
    <row r="2424" spans="9:10" x14ac:dyDescent="0.35">
      <c r="I2424" s="63"/>
      <c r="J2424" s="63"/>
    </row>
    <row r="2425" spans="9:10" x14ac:dyDescent="0.35">
      <c r="I2425" s="63"/>
      <c r="J2425" s="63"/>
    </row>
    <row r="2426" spans="9:10" x14ac:dyDescent="0.35">
      <c r="I2426" s="63"/>
      <c r="J2426" s="63"/>
    </row>
    <row r="2427" spans="9:10" x14ac:dyDescent="0.35">
      <c r="I2427" s="63"/>
      <c r="J2427" s="63"/>
    </row>
    <row r="2428" spans="9:10" x14ac:dyDescent="0.35">
      <c r="I2428" s="63"/>
      <c r="J2428" s="63"/>
    </row>
    <row r="2429" spans="9:10" x14ac:dyDescent="0.35">
      <c r="I2429" s="63"/>
      <c r="J2429" s="63"/>
    </row>
    <row r="2430" spans="9:10" x14ac:dyDescent="0.35">
      <c r="I2430" s="63"/>
      <c r="J2430" s="63"/>
    </row>
    <row r="2431" spans="9:10" x14ac:dyDescent="0.35">
      <c r="I2431" s="63"/>
      <c r="J2431" s="63"/>
    </row>
    <row r="2432" spans="9:10" x14ac:dyDescent="0.35">
      <c r="I2432" s="63"/>
      <c r="J2432" s="63"/>
    </row>
    <row r="2433" spans="9:10" x14ac:dyDescent="0.35">
      <c r="I2433" s="63"/>
      <c r="J2433" s="63"/>
    </row>
    <row r="2434" spans="9:10" x14ac:dyDescent="0.35">
      <c r="I2434" s="63"/>
      <c r="J2434" s="63"/>
    </row>
    <row r="2435" spans="9:10" x14ac:dyDescent="0.35">
      <c r="I2435" s="63"/>
      <c r="J2435" s="63"/>
    </row>
    <row r="2436" spans="9:10" x14ac:dyDescent="0.35">
      <c r="I2436" s="63"/>
      <c r="J2436" s="63"/>
    </row>
    <row r="2437" spans="9:10" x14ac:dyDescent="0.35">
      <c r="I2437" s="63"/>
      <c r="J2437" s="63"/>
    </row>
    <row r="2438" spans="9:10" x14ac:dyDescent="0.35">
      <c r="I2438" s="63"/>
      <c r="J2438" s="63"/>
    </row>
    <row r="2439" spans="9:10" x14ac:dyDescent="0.35">
      <c r="I2439" s="63"/>
      <c r="J2439" s="63"/>
    </row>
    <row r="2440" spans="9:10" x14ac:dyDescent="0.35">
      <c r="I2440" s="63"/>
      <c r="J2440" s="63"/>
    </row>
    <row r="2441" spans="9:10" x14ac:dyDescent="0.35">
      <c r="I2441" s="63"/>
      <c r="J2441" s="63"/>
    </row>
    <row r="2442" spans="9:10" x14ac:dyDescent="0.35">
      <c r="I2442" s="63"/>
      <c r="J2442" s="63"/>
    </row>
    <row r="2443" spans="9:10" x14ac:dyDescent="0.35">
      <c r="I2443" s="63"/>
      <c r="J2443" s="63"/>
    </row>
    <row r="2444" spans="9:10" x14ac:dyDescent="0.35">
      <c r="I2444" s="63"/>
      <c r="J2444" s="63"/>
    </row>
    <row r="2445" spans="9:10" x14ac:dyDescent="0.35">
      <c r="I2445" s="63"/>
      <c r="J2445" s="63"/>
    </row>
    <row r="2446" spans="9:10" x14ac:dyDescent="0.35">
      <c r="I2446" s="63"/>
      <c r="J2446" s="63"/>
    </row>
    <row r="2447" spans="9:10" x14ac:dyDescent="0.35">
      <c r="I2447" s="63"/>
      <c r="J2447" s="63"/>
    </row>
    <row r="2448" spans="9:10" x14ac:dyDescent="0.35">
      <c r="I2448" s="63"/>
      <c r="J2448" s="63"/>
    </row>
    <row r="2449" spans="9:10" x14ac:dyDescent="0.35">
      <c r="I2449" s="63"/>
      <c r="J2449" s="63"/>
    </row>
    <row r="2450" spans="9:10" x14ac:dyDescent="0.35">
      <c r="I2450" s="63"/>
      <c r="J2450" s="63"/>
    </row>
    <row r="2451" spans="9:10" x14ac:dyDescent="0.35">
      <c r="I2451" s="63"/>
      <c r="J2451" s="63"/>
    </row>
    <row r="2452" spans="9:10" x14ac:dyDescent="0.35">
      <c r="I2452" s="63"/>
      <c r="J2452" s="63"/>
    </row>
    <row r="2453" spans="9:10" x14ac:dyDescent="0.35">
      <c r="I2453" s="63"/>
      <c r="J2453" s="63"/>
    </row>
    <row r="2454" spans="9:10" x14ac:dyDescent="0.35">
      <c r="I2454" s="63"/>
      <c r="J2454" s="63"/>
    </row>
    <row r="2455" spans="9:10" x14ac:dyDescent="0.35">
      <c r="I2455" s="63"/>
      <c r="J2455" s="63"/>
    </row>
    <row r="2456" spans="9:10" x14ac:dyDescent="0.35">
      <c r="I2456" s="63"/>
      <c r="J2456" s="63"/>
    </row>
    <row r="2457" spans="9:10" x14ac:dyDescent="0.35">
      <c r="I2457" s="63"/>
      <c r="J2457" s="63"/>
    </row>
    <row r="2458" spans="9:10" x14ac:dyDescent="0.35">
      <c r="I2458" s="63"/>
      <c r="J2458" s="63"/>
    </row>
    <row r="2459" spans="9:10" x14ac:dyDescent="0.35">
      <c r="I2459" s="63"/>
      <c r="J2459" s="63"/>
    </row>
    <row r="2460" spans="9:10" x14ac:dyDescent="0.35">
      <c r="I2460" s="63"/>
      <c r="J2460" s="63"/>
    </row>
    <row r="2461" spans="9:10" x14ac:dyDescent="0.35">
      <c r="I2461" s="63"/>
      <c r="J2461" s="63"/>
    </row>
    <row r="2462" spans="9:10" x14ac:dyDescent="0.35">
      <c r="I2462" s="63"/>
      <c r="J2462" s="63"/>
    </row>
    <row r="2463" spans="9:10" x14ac:dyDescent="0.35">
      <c r="I2463" s="63"/>
      <c r="J2463" s="63"/>
    </row>
    <row r="2464" spans="9:10" x14ac:dyDescent="0.35">
      <c r="I2464" s="63"/>
      <c r="J2464" s="63"/>
    </row>
    <row r="2465" spans="9:10" x14ac:dyDescent="0.35">
      <c r="I2465" s="63"/>
      <c r="J2465" s="63"/>
    </row>
    <row r="2466" spans="9:10" x14ac:dyDescent="0.35">
      <c r="I2466" s="63"/>
      <c r="J2466" s="63"/>
    </row>
    <row r="2467" spans="9:10" x14ac:dyDescent="0.35">
      <c r="I2467" s="63"/>
      <c r="J2467" s="63"/>
    </row>
    <row r="2468" spans="9:10" x14ac:dyDescent="0.35">
      <c r="I2468" s="63"/>
      <c r="J2468" s="63"/>
    </row>
    <row r="2469" spans="9:10" x14ac:dyDescent="0.35">
      <c r="I2469" s="63"/>
      <c r="J2469" s="63"/>
    </row>
    <row r="2470" spans="9:10" x14ac:dyDescent="0.35">
      <c r="I2470" s="63"/>
      <c r="J2470" s="63"/>
    </row>
    <row r="2471" spans="9:10" x14ac:dyDescent="0.35">
      <c r="I2471" s="63"/>
      <c r="J2471" s="63"/>
    </row>
    <row r="2472" spans="9:10" x14ac:dyDescent="0.35">
      <c r="I2472" s="63"/>
      <c r="J2472" s="63"/>
    </row>
    <row r="2473" spans="9:10" x14ac:dyDescent="0.35">
      <c r="I2473" s="63"/>
      <c r="J2473" s="63"/>
    </row>
    <row r="2474" spans="9:10" x14ac:dyDescent="0.35">
      <c r="I2474" s="63"/>
      <c r="J2474" s="63"/>
    </row>
    <row r="2475" spans="9:10" x14ac:dyDescent="0.35">
      <c r="I2475" s="63"/>
      <c r="J2475" s="63"/>
    </row>
    <row r="2476" spans="9:10" x14ac:dyDescent="0.35">
      <c r="I2476" s="63"/>
      <c r="J2476" s="63"/>
    </row>
    <row r="2477" spans="9:10" x14ac:dyDescent="0.35">
      <c r="I2477" s="63"/>
      <c r="J2477" s="63"/>
    </row>
    <row r="2478" spans="9:10" x14ac:dyDescent="0.35">
      <c r="I2478" s="63"/>
      <c r="J2478" s="63"/>
    </row>
    <row r="2479" spans="9:10" x14ac:dyDescent="0.35">
      <c r="I2479" s="63"/>
      <c r="J2479" s="63"/>
    </row>
    <row r="2480" spans="9:10" x14ac:dyDescent="0.35">
      <c r="I2480" s="63"/>
      <c r="J2480" s="63"/>
    </row>
    <row r="2481" spans="9:10" x14ac:dyDescent="0.35">
      <c r="I2481" s="63"/>
      <c r="J2481" s="63"/>
    </row>
    <row r="2482" spans="9:10" x14ac:dyDescent="0.35">
      <c r="I2482" s="63"/>
      <c r="J2482" s="63"/>
    </row>
    <row r="2483" spans="9:10" x14ac:dyDescent="0.35">
      <c r="I2483" s="63"/>
      <c r="J2483" s="63"/>
    </row>
    <row r="2484" spans="9:10" x14ac:dyDescent="0.35">
      <c r="I2484" s="63"/>
      <c r="J2484" s="63"/>
    </row>
    <row r="2485" spans="9:10" x14ac:dyDescent="0.35">
      <c r="I2485" s="63"/>
      <c r="J2485" s="63"/>
    </row>
    <row r="2486" spans="9:10" x14ac:dyDescent="0.35">
      <c r="I2486" s="63"/>
      <c r="J2486" s="63"/>
    </row>
    <row r="2487" spans="9:10" x14ac:dyDescent="0.35">
      <c r="I2487" s="63"/>
      <c r="J2487" s="63"/>
    </row>
    <row r="2488" spans="9:10" x14ac:dyDescent="0.35">
      <c r="I2488" s="63"/>
      <c r="J2488" s="63"/>
    </row>
    <row r="2489" spans="9:10" x14ac:dyDescent="0.35">
      <c r="I2489" s="63"/>
      <c r="J2489" s="63"/>
    </row>
    <row r="2490" spans="9:10" x14ac:dyDescent="0.35">
      <c r="I2490" s="63"/>
      <c r="J2490" s="63"/>
    </row>
    <row r="2491" spans="9:10" x14ac:dyDescent="0.35">
      <c r="I2491" s="63"/>
      <c r="J2491" s="63"/>
    </row>
    <row r="2492" spans="9:10" x14ac:dyDescent="0.35">
      <c r="I2492" s="63"/>
      <c r="J2492" s="63"/>
    </row>
    <row r="2493" spans="9:10" x14ac:dyDescent="0.35">
      <c r="I2493" s="63"/>
      <c r="J2493" s="63"/>
    </row>
    <row r="2494" spans="9:10" x14ac:dyDescent="0.35">
      <c r="I2494" s="63"/>
      <c r="J2494" s="63"/>
    </row>
    <row r="2495" spans="9:10" x14ac:dyDescent="0.35">
      <c r="I2495" s="63"/>
      <c r="J2495" s="63"/>
    </row>
    <row r="2496" spans="9:10" x14ac:dyDescent="0.35">
      <c r="I2496" s="63"/>
      <c r="J2496" s="63"/>
    </row>
    <row r="2497" spans="9:10" x14ac:dyDescent="0.35">
      <c r="I2497" s="63"/>
      <c r="J2497" s="63"/>
    </row>
    <row r="2498" spans="9:10" x14ac:dyDescent="0.35">
      <c r="I2498" s="63"/>
      <c r="J2498" s="63"/>
    </row>
    <row r="2499" spans="9:10" x14ac:dyDescent="0.35">
      <c r="I2499" s="63"/>
      <c r="J2499" s="63"/>
    </row>
    <row r="2500" spans="9:10" x14ac:dyDescent="0.35">
      <c r="I2500" s="63"/>
      <c r="J2500" s="63"/>
    </row>
    <row r="2501" spans="9:10" x14ac:dyDescent="0.35">
      <c r="I2501" s="63"/>
      <c r="J2501" s="63"/>
    </row>
    <row r="2502" spans="9:10" x14ac:dyDescent="0.35">
      <c r="I2502" s="63"/>
      <c r="J2502" s="63"/>
    </row>
    <row r="2503" spans="9:10" x14ac:dyDescent="0.35">
      <c r="I2503" s="63"/>
      <c r="J2503" s="63"/>
    </row>
    <row r="2504" spans="9:10" x14ac:dyDescent="0.35">
      <c r="I2504" s="63"/>
      <c r="J2504" s="63"/>
    </row>
    <row r="2505" spans="9:10" x14ac:dyDescent="0.35">
      <c r="I2505" s="63"/>
      <c r="J2505" s="63"/>
    </row>
    <row r="2506" spans="9:10" x14ac:dyDescent="0.35">
      <c r="I2506" s="63"/>
      <c r="J2506" s="63"/>
    </row>
    <row r="2507" spans="9:10" x14ac:dyDescent="0.35">
      <c r="I2507" s="63"/>
      <c r="J2507" s="63"/>
    </row>
    <row r="2508" spans="9:10" x14ac:dyDescent="0.35">
      <c r="I2508" s="63"/>
      <c r="J2508" s="63"/>
    </row>
    <row r="2509" spans="9:10" x14ac:dyDescent="0.35">
      <c r="I2509" s="63"/>
      <c r="J2509" s="63"/>
    </row>
    <row r="2510" spans="9:10" x14ac:dyDescent="0.35">
      <c r="I2510" s="63"/>
      <c r="J2510" s="63"/>
    </row>
    <row r="2511" spans="9:10" x14ac:dyDescent="0.35">
      <c r="I2511" s="63"/>
      <c r="J2511" s="63"/>
    </row>
    <row r="2512" spans="9:10" x14ac:dyDescent="0.35">
      <c r="I2512" s="63"/>
      <c r="J2512" s="63"/>
    </row>
    <row r="2513" spans="9:10" x14ac:dyDescent="0.35">
      <c r="I2513" s="63"/>
      <c r="J2513" s="63"/>
    </row>
    <row r="2514" spans="9:10" x14ac:dyDescent="0.35">
      <c r="I2514" s="63"/>
      <c r="J2514" s="63"/>
    </row>
    <row r="2515" spans="9:10" x14ac:dyDescent="0.35">
      <c r="I2515" s="63"/>
      <c r="J2515" s="63"/>
    </row>
    <row r="2516" spans="9:10" x14ac:dyDescent="0.35">
      <c r="I2516" s="63"/>
      <c r="J2516" s="63"/>
    </row>
    <row r="2517" spans="9:10" x14ac:dyDescent="0.35">
      <c r="I2517" s="63"/>
      <c r="J2517" s="63"/>
    </row>
    <row r="2518" spans="9:10" x14ac:dyDescent="0.35">
      <c r="I2518" s="63"/>
      <c r="J2518" s="63"/>
    </row>
    <row r="2519" spans="9:10" x14ac:dyDescent="0.35">
      <c r="I2519" s="63"/>
      <c r="J2519" s="63"/>
    </row>
    <row r="2520" spans="9:10" x14ac:dyDescent="0.35">
      <c r="I2520" s="63"/>
      <c r="J2520" s="63"/>
    </row>
    <row r="2521" spans="9:10" x14ac:dyDescent="0.35">
      <c r="I2521" s="63"/>
      <c r="J2521" s="63"/>
    </row>
    <row r="2522" spans="9:10" x14ac:dyDescent="0.35">
      <c r="I2522" s="63"/>
      <c r="J2522" s="63"/>
    </row>
    <row r="2523" spans="9:10" x14ac:dyDescent="0.35">
      <c r="I2523" s="63"/>
      <c r="J2523" s="63"/>
    </row>
    <row r="2524" spans="9:10" x14ac:dyDescent="0.35">
      <c r="I2524" s="63"/>
      <c r="J2524" s="63"/>
    </row>
    <row r="2525" spans="9:10" x14ac:dyDescent="0.35">
      <c r="I2525" s="63"/>
      <c r="J2525" s="63"/>
    </row>
    <row r="2526" spans="9:10" x14ac:dyDescent="0.35">
      <c r="I2526" s="63"/>
      <c r="J2526" s="63"/>
    </row>
    <row r="2527" spans="9:10" x14ac:dyDescent="0.35">
      <c r="I2527" s="63"/>
      <c r="J2527" s="63"/>
    </row>
    <row r="2528" spans="9:10" x14ac:dyDescent="0.35">
      <c r="I2528" s="63"/>
      <c r="J2528" s="63"/>
    </row>
    <row r="2529" spans="9:10" x14ac:dyDescent="0.35">
      <c r="I2529" s="63"/>
      <c r="J2529" s="63"/>
    </row>
    <row r="2530" spans="9:10" x14ac:dyDescent="0.35">
      <c r="I2530" s="63"/>
      <c r="J2530" s="63"/>
    </row>
    <row r="2531" spans="9:10" x14ac:dyDescent="0.35">
      <c r="I2531" s="63"/>
      <c r="J2531" s="63"/>
    </row>
    <row r="2532" spans="9:10" x14ac:dyDescent="0.35">
      <c r="I2532" s="63"/>
      <c r="J2532" s="63"/>
    </row>
    <row r="2533" spans="9:10" x14ac:dyDescent="0.35">
      <c r="I2533" s="63"/>
      <c r="J2533" s="63"/>
    </row>
    <row r="2534" spans="9:10" x14ac:dyDescent="0.35">
      <c r="I2534" s="63"/>
      <c r="J2534" s="63"/>
    </row>
    <row r="2535" spans="9:10" x14ac:dyDescent="0.35">
      <c r="I2535" s="63"/>
      <c r="J2535" s="63"/>
    </row>
    <row r="2536" spans="9:10" x14ac:dyDescent="0.35">
      <c r="I2536" s="63"/>
      <c r="J2536" s="63"/>
    </row>
    <row r="2537" spans="9:10" x14ac:dyDescent="0.35">
      <c r="I2537" s="63"/>
      <c r="J2537" s="63"/>
    </row>
    <row r="2538" spans="9:10" x14ac:dyDescent="0.35">
      <c r="I2538" s="63"/>
      <c r="J2538" s="63"/>
    </row>
    <row r="2539" spans="9:10" x14ac:dyDescent="0.35">
      <c r="I2539" s="63"/>
      <c r="J2539" s="63"/>
    </row>
    <row r="2540" spans="9:10" x14ac:dyDescent="0.35">
      <c r="I2540" s="63"/>
      <c r="J2540" s="63"/>
    </row>
    <row r="2541" spans="9:10" x14ac:dyDescent="0.35">
      <c r="I2541" s="63"/>
      <c r="J2541" s="63"/>
    </row>
    <row r="2542" spans="9:10" x14ac:dyDescent="0.35">
      <c r="I2542" s="63"/>
      <c r="J2542" s="63"/>
    </row>
    <row r="2543" spans="9:10" x14ac:dyDescent="0.35">
      <c r="I2543" s="63"/>
      <c r="J2543" s="63"/>
    </row>
    <row r="2544" spans="9:10" x14ac:dyDescent="0.35">
      <c r="I2544" s="63"/>
      <c r="J2544" s="63"/>
    </row>
    <row r="2545" spans="9:10" x14ac:dyDescent="0.35">
      <c r="I2545" s="63"/>
      <c r="J2545" s="63"/>
    </row>
    <row r="2546" spans="9:10" x14ac:dyDescent="0.35">
      <c r="I2546" s="63"/>
      <c r="J2546" s="63"/>
    </row>
    <row r="2547" spans="9:10" x14ac:dyDescent="0.35">
      <c r="I2547" s="63"/>
      <c r="J2547" s="63"/>
    </row>
    <row r="2548" spans="9:10" x14ac:dyDescent="0.35">
      <c r="I2548" s="63"/>
      <c r="J2548" s="63"/>
    </row>
    <row r="2549" spans="9:10" x14ac:dyDescent="0.35">
      <c r="I2549" s="63"/>
      <c r="J2549" s="63"/>
    </row>
    <row r="2550" spans="9:10" x14ac:dyDescent="0.35">
      <c r="I2550" s="63"/>
      <c r="J2550" s="63"/>
    </row>
    <row r="2551" spans="9:10" x14ac:dyDescent="0.35">
      <c r="I2551" s="63"/>
      <c r="J2551" s="63"/>
    </row>
    <row r="2552" spans="9:10" x14ac:dyDescent="0.35">
      <c r="I2552" s="63"/>
      <c r="J2552" s="63"/>
    </row>
    <row r="2553" spans="9:10" x14ac:dyDescent="0.35">
      <c r="I2553" s="63"/>
      <c r="J2553" s="63"/>
    </row>
    <row r="2554" spans="9:10" x14ac:dyDescent="0.35">
      <c r="I2554" s="63"/>
      <c r="J2554" s="63"/>
    </row>
    <row r="2555" spans="9:10" x14ac:dyDescent="0.35">
      <c r="I2555" s="63"/>
      <c r="J2555" s="63"/>
    </row>
    <row r="2556" spans="9:10" x14ac:dyDescent="0.35">
      <c r="I2556" s="63"/>
      <c r="J2556" s="63"/>
    </row>
    <row r="2557" spans="9:10" x14ac:dyDescent="0.35">
      <c r="I2557" s="63"/>
      <c r="J2557" s="63"/>
    </row>
    <row r="2558" spans="9:10" x14ac:dyDescent="0.35">
      <c r="I2558" s="63"/>
      <c r="J2558" s="63"/>
    </row>
    <row r="2559" spans="9:10" x14ac:dyDescent="0.35">
      <c r="I2559" s="63"/>
      <c r="J2559" s="63"/>
    </row>
    <row r="2560" spans="9:10" x14ac:dyDescent="0.35">
      <c r="I2560" s="63"/>
      <c r="J2560" s="63"/>
    </row>
    <row r="2561" spans="9:10" x14ac:dyDescent="0.35">
      <c r="I2561" s="63"/>
      <c r="J2561" s="63"/>
    </row>
    <row r="2562" spans="9:10" x14ac:dyDescent="0.35">
      <c r="I2562" s="63"/>
      <c r="J2562" s="63"/>
    </row>
    <row r="2563" spans="9:10" x14ac:dyDescent="0.35">
      <c r="I2563" s="63"/>
      <c r="J2563" s="63"/>
    </row>
    <row r="2564" spans="9:10" x14ac:dyDescent="0.35">
      <c r="I2564" s="63"/>
      <c r="J2564" s="63"/>
    </row>
    <row r="2565" spans="9:10" x14ac:dyDescent="0.35">
      <c r="I2565" s="63"/>
      <c r="J2565" s="63"/>
    </row>
    <row r="2566" spans="9:10" x14ac:dyDescent="0.35">
      <c r="I2566" s="63"/>
      <c r="J2566" s="63"/>
    </row>
    <row r="2567" spans="9:10" x14ac:dyDescent="0.35">
      <c r="I2567" s="63"/>
      <c r="J2567" s="63"/>
    </row>
    <row r="2568" spans="9:10" x14ac:dyDescent="0.35">
      <c r="I2568" s="63"/>
      <c r="J2568" s="63"/>
    </row>
    <row r="2569" spans="9:10" x14ac:dyDescent="0.35">
      <c r="I2569" s="63"/>
      <c r="J2569" s="63"/>
    </row>
    <row r="2570" spans="9:10" x14ac:dyDescent="0.35">
      <c r="I2570" s="63"/>
      <c r="J2570" s="63"/>
    </row>
    <row r="2571" spans="9:10" x14ac:dyDescent="0.35">
      <c r="I2571" s="63"/>
      <c r="J2571" s="63"/>
    </row>
    <row r="2572" spans="9:10" x14ac:dyDescent="0.35">
      <c r="I2572" s="63"/>
      <c r="J2572" s="63"/>
    </row>
    <row r="2573" spans="9:10" x14ac:dyDescent="0.35">
      <c r="I2573" s="63"/>
      <c r="J2573" s="63"/>
    </row>
    <row r="2574" spans="9:10" x14ac:dyDescent="0.35">
      <c r="I2574" s="63"/>
      <c r="J2574" s="63"/>
    </row>
    <row r="2575" spans="9:10" x14ac:dyDescent="0.35">
      <c r="I2575" s="63"/>
      <c r="J2575" s="63"/>
    </row>
    <row r="2576" spans="9:10" x14ac:dyDescent="0.35">
      <c r="I2576" s="63"/>
      <c r="J2576" s="63"/>
    </row>
    <row r="2577" spans="9:10" x14ac:dyDescent="0.35">
      <c r="I2577" s="63"/>
      <c r="J2577" s="63"/>
    </row>
    <row r="2578" spans="9:10" x14ac:dyDescent="0.35">
      <c r="I2578" s="63"/>
      <c r="J2578" s="63"/>
    </row>
    <row r="2579" spans="9:10" x14ac:dyDescent="0.35">
      <c r="I2579" s="63"/>
      <c r="J2579" s="63"/>
    </row>
    <row r="2580" spans="9:10" x14ac:dyDescent="0.35">
      <c r="I2580" s="63"/>
      <c r="J2580" s="63"/>
    </row>
    <row r="2581" spans="9:10" x14ac:dyDescent="0.35">
      <c r="I2581" s="63"/>
      <c r="J2581" s="63"/>
    </row>
    <row r="2582" spans="9:10" x14ac:dyDescent="0.35">
      <c r="I2582" s="63"/>
      <c r="J2582" s="63"/>
    </row>
    <row r="2583" spans="9:10" x14ac:dyDescent="0.35">
      <c r="I2583" s="63"/>
      <c r="J2583" s="63"/>
    </row>
    <row r="2584" spans="9:10" x14ac:dyDescent="0.35">
      <c r="I2584" s="63"/>
      <c r="J2584" s="63"/>
    </row>
    <row r="2585" spans="9:10" x14ac:dyDescent="0.35">
      <c r="I2585" s="63"/>
      <c r="J2585" s="63"/>
    </row>
    <row r="2586" spans="9:10" x14ac:dyDescent="0.35">
      <c r="I2586" s="63"/>
      <c r="J2586" s="63"/>
    </row>
    <row r="2587" spans="9:10" x14ac:dyDescent="0.35">
      <c r="I2587" s="63"/>
      <c r="J2587" s="63"/>
    </row>
    <row r="2588" spans="9:10" x14ac:dyDescent="0.35">
      <c r="I2588" s="63"/>
      <c r="J2588" s="63"/>
    </row>
    <row r="2589" spans="9:10" x14ac:dyDescent="0.35">
      <c r="I2589" s="63"/>
      <c r="J2589" s="63"/>
    </row>
    <row r="2590" spans="9:10" x14ac:dyDescent="0.35">
      <c r="I2590" s="63"/>
      <c r="J2590" s="63"/>
    </row>
    <row r="2591" spans="9:10" x14ac:dyDescent="0.35">
      <c r="I2591" s="63"/>
      <c r="J2591" s="63"/>
    </row>
    <row r="2592" spans="9:10" x14ac:dyDescent="0.35">
      <c r="I2592" s="63"/>
      <c r="J2592" s="63"/>
    </row>
    <row r="2593" spans="9:10" x14ac:dyDescent="0.35">
      <c r="I2593" s="63"/>
      <c r="J2593" s="63"/>
    </row>
    <row r="2594" spans="9:10" x14ac:dyDescent="0.35">
      <c r="I2594" s="63"/>
      <c r="J2594" s="63"/>
    </row>
    <row r="2595" spans="9:10" x14ac:dyDescent="0.35">
      <c r="I2595" s="63"/>
      <c r="J2595" s="63"/>
    </row>
    <row r="2596" spans="9:10" x14ac:dyDescent="0.35">
      <c r="I2596" s="63"/>
      <c r="J2596" s="63"/>
    </row>
    <row r="2597" spans="9:10" x14ac:dyDescent="0.35">
      <c r="I2597" s="63"/>
      <c r="J2597" s="63"/>
    </row>
    <row r="2598" spans="9:10" x14ac:dyDescent="0.35">
      <c r="I2598" s="63"/>
      <c r="J2598" s="63"/>
    </row>
    <row r="2599" spans="9:10" x14ac:dyDescent="0.35">
      <c r="I2599" s="63"/>
      <c r="J2599" s="63"/>
    </row>
    <row r="2600" spans="9:10" x14ac:dyDescent="0.35">
      <c r="I2600" s="63"/>
      <c r="J2600" s="63"/>
    </row>
    <row r="2601" spans="9:10" x14ac:dyDescent="0.35">
      <c r="I2601" s="63"/>
      <c r="J2601" s="63"/>
    </row>
    <row r="2602" spans="9:10" x14ac:dyDescent="0.35">
      <c r="I2602" s="63"/>
      <c r="J2602" s="63"/>
    </row>
    <row r="2603" spans="9:10" x14ac:dyDescent="0.35">
      <c r="I2603" s="63"/>
      <c r="J2603" s="63"/>
    </row>
    <row r="2604" spans="9:10" x14ac:dyDescent="0.35">
      <c r="I2604" s="63"/>
      <c r="J2604" s="63"/>
    </row>
    <row r="2605" spans="9:10" x14ac:dyDescent="0.35">
      <c r="I2605" s="63"/>
      <c r="J2605" s="63"/>
    </row>
    <row r="2606" spans="9:10" x14ac:dyDescent="0.35">
      <c r="I2606" s="63"/>
      <c r="J2606" s="63"/>
    </row>
    <row r="2607" spans="9:10" x14ac:dyDescent="0.35">
      <c r="I2607" s="63"/>
      <c r="J2607" s="63"/>
    </row>
    <row r="2608" spans="9:10" x14ac:dyDescent="0.35">
      <c r="I2608" s="63"/>
      <c r="J2608" s="63"/>
    </row>
    <row r="2609" spans="9:10" x14ac:dyDescent="0.35">
      <c r="I2609" s="63"/>
      <c r="J2609" s="63"/>
    </row>
    <row r="2610" spans="9:10" x14ac:dyDescent="0.35">
      <c r="I2610" s="63"/>
      <c r="J2610" s="63"/>
    </row>
    <row r="2611" spans="9:10" x14ac:dyDescent="0.35">
      <c r="I2611" s="63"/>
      <c r="J2611" s="63"/>
    </row>
    <row r="2612" spans="9:10" x14ac:dyDescent="0.35">
      <c r="I2612" s="63"/>
      <c r="J2612" s="63"/>
    </row>
    <row r="2613" spans="9:10" x14ac:dyDescent="0.35">
      <c r="I2613" s="63"/>
      <c r="J2613" s="63"/>
    </row>
    <row r="2614" spans="9:10" x14ac:dyDescent="0.35">
      <c r="I2614" s="63"/>
      <c r="J2614" s="63"/>
    </row>
    <row r="2615" spans="9:10" x14ac:dyDescent="0.35">
      <c r="I2615" s="63"/>
      <c r="J2615" s="63"/>
    </row>
    <row r="2616" spans="9:10" x14ac:dyDescent="0.35">
      <c r="I2616" s="63"/>
      <c r="J2616" s="63"/>
    </row>
    <row r="2617" spans="9:10" x14ac:dyDescent="0.35">
      <c r="I2617" s="63"/>
      <c r="J2617" s="63"/>
    </row>
    <row r="2618" spans="9:10" x14ac:dyDescent="0.35">
      <c r="I2618" s="63"/>
      <c r="J2618" s="63"/>
    </row>
    <row r="2619" spans="9:10" x14ac:dyDescent="0.35">
      <c r="I2619" s="63"/>
      <c r="J2619" s="63"/>
    </row>
    <row r="2620" spans="9:10" x14ac:dyDescent="0.35">
      <c r="I2620" s="63"/>
      <c r="J2620" s="63"/>
    </row>
    <row r="2621" spans="9:10" x14ac:dyDescent="0.35">
      <c r="I2621" s="63"/>
      <c r="J2621" s="63"/>
    </row>
    <row r="2622" spans="9:10" x14ac:dyDescent="0.35">
      <c r="I2622" s="63"/>
      <c r="J2622" s="63"/>
    </row>
    <row r="2623" spans="9:10" x14ac:dyDescent="0.35">
      <c r="I2623" s="63"/>
      <c r="J2623" s="63"/>
    </row>
    <row r="2624" spans="9:10" x14ac:dyDescent="0.35">
      <c r="I2624" s="63"/>
      <c r="J2624" s="63"/>
    </row>
    <row r="2625" spans="9:10" x14ac:dyDescent="0.35">
      <c r="I2625" s="63"/>
      <c r="J2625" s="63"/>
    </row>
    <row r="2626" spans="9:10" x14ac:dyDescent="0.35">
      <c r="I2626" s="63"/>
      <c r="J2626" s="63"/>
    </row>
    <row r="2627" spans="9:10" x14ac:dyDescent="0.35">
      <c r="I2627" s="63"/>
      <c r="J2627" s="63"/>
    </row>
    <row r="2628" spans="9:10" x14ac:dyDescent="0.35">
      <c r="I2628" s="63"/>
      <c r="J2628" s="63"/>
    </row>
    <row r="2629" spans="9:10" x14ac:dyDescent="0.35">
      <c r="I2629" s="63"/>
      <c r="J2629" s="63"/>
    </row>
    <row r="2630" spans="9:10" x14ac:dyDescent="0.35">
      <c r="I2630" s="63"/>
      <c r="J2630" s="63"/>
    </row>
    <row r="2631" spans="9:10" x14ac:dyDescent="0.35">
      <c r="I2631" s="63"/>
      <c r="J2631" s="63"/>
    </row>
    <row r="2632" spans="9:10" x14ac:dyDescent="0.35">
      <c r="I2632" s="63"/>
      <c r="J2632" s="63"/>
    </row>
    <row r="2633" spans="9:10" x14ac:dyDescent="0.35">
      <c r="I2633" s="63"/>
      <c r="J2633" s="63"/>
    </row>
    <row r="2634" spans="9:10" x14ac:dyDescent="0.35">
      <c r="I2634" s="63"/>
      <c r="J2634" s="63"/>
    </row>
    <row r="2635" spans="9:10" x14ac:dyDescent="0.35">
      <c r="I2635" s="63"/>
      <c r="J2635" s="63"/>
    </row>
    <row r="2636" spans="9:10" x14ac:dyDescent="0.35">
      <c r="I2636" s="63"/>
      <c r="J2636" s="63"/>
    </row>
    <row r="2637" spans="9:10" x14ac:dyDescent="0.35">
      <c r="I2637" s="63"/>
      <c r="J2637" s="63"/>
    </row>
    <row r="2638" spans="9:10" x14ac:dyDescent="0.35">
      <c r="I2638" s="63"/>
      <c r="J2638" s="63"/>
    </row>
    <row r="2639" spans="9:10" x14ac:dyDescent="0.35">
      <c r="I2639" s="63"/>
      <c r="J2639" s="63"/>
    </row>
    <row r="2640" spans="9:10" x14ac:dyDescent="0.35">
      <c r="I2640" s="63"/>
      <c r="J2640" s="63"/>
    </row>
    <row r="2641" spans="9:10" x14ac:dyDescent="0.35">
      <c r="I2641" s="63"/>
      <c r="J2641" s="63"/>
    </row>
    <row r="2642" spans="9:10" x14ac:dyDescent="0.35">
      <c r="I2642" s="63"/>
      <c r="J2642" s="63"/>
    </row>
    <row r="2643" spans="9:10" x14ac:dyDescent="0.35">
      <c r="I2643" s="63"/>
      <c r="J2643" s="63"/>
    </row>
    <row r="2644" spans="9:10" x14ac:dyDescent="0.35">
      <c r="I2644" s="63"/>
      <c r="J2644" s="63"/>
    </row>
    <row r="2645" spans="9:10" x14ac:dyDescent="0.35">
      <c r="I2645" s="63"/>
      <c r="J2645" s="63"/>
    </row>
    <row r="2646" spans="9:10" x14ac:dyDescent="0.35">
      <c r="I2646" s="63"/>
      <c r="J2646" s="63"/>
    </row>
    <row r="2647" spans="9:10" x14ac:dyDescent="0.35">
      <c r="I2647" s="63"/>
      <c r="J2647" s="63"/>
    </row>
    <row r="2648" spans="9:10" x14ac:dyDescent="0.35">
      <c r="I2648" s="63"/>
      <c r="J2648" s="63"/>
    </row>
    <row r="2649" spans="9:10" x14ac:dyDescent="0.35">
      <c r="I2649" s="63"/>
      <c r="J2649" s="63"/>
    </row>
    <row r="2650" spans="9:10" x14ac:dyDescent="0.35">
      <c r="I2650" s="63"/>
      <c r="J2650" s="63"/>
    </row>
    <row r="2651" spans="9:10" x14ac:dyDescent="0.35">
      <c r="I2651" s="63"/>
      <c r="J2651" s="63"/>
    </row>
    <row r="2652" spans="9:10" x14ac:dyDescent="0.35">
      <c r="I2652" s="63"/>
      <c r="J2652" s="63"/>
    </row>
    <row r="2653" spans="9:10" x14ac:dyDescent="0.35">
      <c r="I2653" s="63"/>
      <c r="J2653" s="63"/>
    </row>
    <row r="2654" spans="9:10" x14ac:dyDescent="0.35">
      <c r="I2654" s="63"/>
      <c r="J2654" s="63"/>
    </row>
    <row r="2655" spans="9:10" x14ac:dyDescent="0.35">
      <c r="I2655" s="63"/>
      <c r="J2655" s="63"/>
    </row>
    <row r="2656" spans="9:10" x14ac:dyDescent="0.35">
      <c r="I2656" s="63"/>
      <c r="J2656" s="63"/>
    </row>
    <row r="2657" spans="9:10" x14ac:dyDescent="0.35">
      <c r="I2657" s="63"/>
      <c r="J2657" s="63"/>
    </row>
    <row r="2658" spans="9:10" x14ac:dyDescent="0.35">
      <c r="I2658" s="63"/>
      <c r="J2658" s="63"/>
    </row>
    <row r="2659" spans="9:10" x14ac:dyDescent="0.35">
      <c r="I2659" s="63"/>
      <c r="J2659" s="63"/>
    </row>
    <row r="2660" spans="9:10" x14ac:dyDescent="0.35">
      <c r="I2660" s="63"/>
      <c r="J2660" s="63"/>
    </row>
    <row r="2661" spans="9:10" x14ac:dyDescent="0.35">
      <c r="I2661" s="63"/>
      <c r="J2661" s="63"/>
    </row>
    <row r="2662" spans="9:10" x14ac:dyDescent="0.35">
      <c r="I2662" s="63"/>
      <c r="J2662" s="63"/>
    </row>
    <row r="2663" spans="9:10" x14ac:dyDescent="0.35">
      <c r="I2663" s="63"/>
      <c r="J2663" s="63"/>
    </row>
    <row r="2664" spans="9:10" x14ac:dyDescent="0.35">
      <c r="I2664" s="63"/>
      <c r="J2664" s="63"/>
    </row>
    <row r="2665" spans="9:10" x14ac:dyDescent="0.35">
      <c r="I2665" s="63"/>
      <c r="J2665" s="63"/>
    </row>
    <row r="2666" spans="9:10" x14ac:dyDescent="0.35">
      <c r="I2666" s="63"/>
      <c r="J2666" s="63"/>
    </row>
    <row r="2667" spans="9:10" x14ac:dyDescent="0.35">
      <c r="I2667" s="63"/>
      <c r="J2667" s="63"/>
    </row>
    <row r="2668" spans="9:10" x14ac:dyDescent="0.35">
      <c r="I2668" s="63"/>
      <c r="J2668" s="63"/>
    </row>
    <row r="2669" spans="9:10" x14ac:dyDescent="0.35">
      <c r="I2669" s="63"/>
      <c r="J2669" s="63"/>
    </row>
    <row r="2670" spans="9:10" x14ac:dyDescent="0.35">
      <c r="I2670" s="63"/>
      <c r="J2670" s="63"/>
    </row>
    <row r="2671" spans="9:10" x14ac:dyDescent="0.35">
      <c r="I2671" s="63"/>
      <c r="J2671" s="63"/>
    </row>
    <row r="2672" spans="9:10" x14ac:dyDescent="0.35">
      <c r="I2672" s="63"/>
      <c r="J2672" s="63"/>
    </row>
    <row r="2673" spans="9:10" x14ac:dyDescent="0.35">
      <c r="I2673" s="63"/>
      <c r="J2673" s="63"/>
    </row>
    <row r="2674" spans="9:10" x14ac:dyDescent="0.35">
      <c r="I2674" s="63"/>
      <c r="J2674" s="63"/>
    </row>
    <row r="2675" spans="9:10" x14ac:dyDescent="0.35">
      <c r="I2675" s="63"/>
      <c r="J2675" s="63"/>
    </row>
    <row r="2676" spans="9:10" x14ac:dyDescent="0.35">
      <c r="I2676" s="63"/>
      <c r="J2676" s="63"/>
    </row>
    <row r="2677" spans="9:10" x14ac:dyDescent="0.35">
      <c r="I2677" s="63"/>
      <c r="J2677" s="63"/>
    </row>
    <row r="2678" spans="9:10" x14ac:dyDescent="0.35">
      <c r="I2678" s="63"/>
      <c r="J2678" s="63"/>
    </row>
    <row r="2679" spans="9:10" x14ac:dyDescent="0.35">
      <c r="I2679" s="63"/>
      <c r="J2679" s="63"/>
    </row>
    <row r="2680" spans="9:10" x14ac:dyDescent="0.35">
      <c r="I2680" s="63"/>
      <c r="J2680" s="63"/>
    </row>
    <row r="2681" spans="9:10" x14ac:dyDescent="0.35">
      <c r="I2681" s="63"/>
      <c r="J2681" s="63"/>
    </row>
    <row r="2682" spans="9:10" x14ac:dyDescent="0.35">
      <c r="I2682" s="63"/>
      <c r="J2682" s="63"/>
    </row>
    <row r="2683" spans="9:10" x14ac:dyDescent="0.35">
      <c r="I2683" s="63"/>
      <c r="J2683" s="63"/>
    </row>
    <row r="2684" spans="9:10" x14ac:dyDescent="0.35">
      <c r="I2684" s="63"/>
      <c r="J2684" s="63"/>
    </row>
    <row r="2685" spans="9:10" x14ac:dyDescent="0.35">
      <c r="I2685" s="63"/>
      <c r="J2685" s="63"/>
    </row>
    <row r="2686" spans="9:10" x14ac:dyDescent="0.35">
      <c r="I2686" s="63"/>
      <c r="J2686" s="63"/>
    </row>
    <row r="2687" spans="9:10" x14ac:dyDescent="0.35">
      <c r="I2687" s="63"/>
      <c r="J2687" s="63"/>
    </row>
    <row r="2688" spans="9:10" x14ac:dyDescent="0.35">
      <c r="I2688" s="63"/>
      <c r="J2688" s="63"/>
    </row>
    <row r="2689" spans="9:10" x14ac:dyDescent="0.35">
      <c r="I2689" s="63"/>
      <c r="J2689" s="63"/>
    </row>
    <row r="2690" spans="9:10" x14ac:dyDescent="0.35">
      <c r="I2690" s="63"/>
      <c r="J2690" s="63"/>
    </row>
    <row r="2691" spans="9:10" x14ac:dyDescent="0.35">
      <c r="I2691" s="63"/>
      <c r="J2691" s="63"/>
    </row>
    <row r="2692" spans="9:10" x14ac:dyDescent="0.35">
      <c r="I2692" s="63"/>
      <c r="J2692" s="63"/>
    </row>
    <row r="2693" spans="9:10" x14ac:dyDescent="0.35">
      <c r="I2693" s="63"/>
      <c r="J2693" s="63"/>
    </row>
    <row r="2694" spans="9:10" x14ac:dyDescent="0.35">
      <c r="I2694" s="63"/>
      <c r="J2694" s="63"/>
    </row>
    <row r="2695" spans="9:10" x14ac:dyDescent="0.35">
      <c r="I2695" s="63"/>
      <c r="J2695" s="63"/>
    </row>
    <row r="2696" spans="9:10" x14ac:dyDescent="0.35">
      <c r="I2696" s="63"/>
      <c r="J2696" s="63"/>
    </row>
    <row r="2697" spans="9:10" x14ac:dyDescent="0.35">
      <c r="I2697" s="63"/>
      <c r="J2697" s="63"/>
    </row>
    <row r="2698" spans="9:10" x14ac:dyDescent="0.35">
      <c r="I2698" s="63"/>
      <c r="J2698" s="63"/>
    </row>
    <row r="2699" spans="9:10" x14ac:dyDescent="0.35">
      <c r="I2699" s="63"/>
      <c r="J2699" s="63"/>
    </row>
    <row r="2700" spans="9:10" x14ac:dyDescent="0.35">
      <c r="I2700" s="63"/>
      <c r="J2700" s="63"/>
    </row>
    <row r="2701" spans="9:10" x14ac:dyDescent="0.35">
      <c r="I2701" s="63"/>
      <c r="J2701" s="63"/>
    </row>
    <row r="2702" spans="9:10" x14ac:dyDescent="0.35">
      <c r="I2702" s="63"/>
      <c r="J2702" s="63"/>
    </row>
    <row r="2703" spans="9:10" x14ac:dyDescent="0.35">
      <c r="I2703" s="63"/>
      <c r="J2703" s="63"/>
    </row>
    <row r="2704" spans="9:10" x14ac:dyDescent="0.35">
      <c r="I2704" s="63"/>
      <c r="J2704" s="63"/>
    </row>
    <row r="2705" spans="9:10" x14ac:dyDescent="0.35">
      <c r="I2705" s="63"/>
      <c r="J2705" s="63"/>
    </row>
    <row r="2706" spans="9:10" x14ac:dyDescent="0.35">
      <c r="I2706" s="63"/>
      <c r="J2706" s="63"/>
    </row>
    <row r="2707" spans="9:10" x14ac:dyDescent="0.35">
      <c r="I2707" s="63"/>
      <c r="J2707" s="63"/>
    </row>
    <row r="2708" spans="9:10" x14ac:dyDescent="0.35">
      <c r="I2708" s="63"/>
      <c r="J2708" s="63"/>
    </row>
    <row r="2709" spans="9:10" x14ac:dyDescent="0.35">
      <c r="I2709" s="63"/>
      <c r="J2709" s="63"/>
    </row>
    <row r="2710" spans="9:10" x14ac:dyDescent="0.35">
      <c r="I2710" s="63"/>
      <c r="J2710" s="63"/>
    </row>
    <row r="2711" spans="9:10" x14ac:dyDescent="0.35">
      <c r="I2711" s="63"/>
      <c r="J2711" s="63"/>
    </row>
    <row r="2712" spans="9:10" x14ac:dyDescent="0.35">
      <c r="I2712" s="63"/>
      <c r="J2712" s="63"/>
    </row>
    <row r="2713" spans="9:10" x14ac:dyDescent="0.35">
      <c r="I2713" s="63"/>
      <c r="J2713" s="63"/>
    </row>
    <row r="2714" spans="9:10" x14ac:dyDescent="0.35">
      <c r="I2714" s="63"/>
      <c r="J2714" s="63"/>
    </row>
    <row r="2715" spans="9:10" x14ac:dyDescent="0.35">
      <c r="I2715" s="63"/>
      <c r="J2715" s="63"/>
    </row>
    <row r="2716" spans="9:10" x14ac:dyDescent="0.35">
      <c r="I2716" s="63"/>
      <c r="J2716" s="63"/>
    </row>
    <row r="2717" spans="9:10" x14ac:dyDescent="0.35">
      <c r="I2717" s="63"/>
      <c r="J2717" s="63"/>
    </row>
    <row r="2718" spans="9:10" x14ac:dyDescent="0.35">
      <c r="I2718" s="63"/>
      <c r="J2718" s="63"/>
    </row>
    <row r="2719" spans="9:10" x14ac:dyDescent="0.35">
      <c r="I2719" s="63"/>
      <c r="J2719" s="63"/>
    </row>
    <row r="2720" spans="9:10" x14ac:dyDescent="0.35">
      <c r="I2720" s="63"/>
      <c r="J2720" s="63"/>
    </row>
    <row r="2721" spans="9:10" x14ac:dyDescent="0.35">
      <c r="I2721" s="63"/>
      <c r="J2721" s="63"/>
    </row>
    <row r="2722" spans="9:10" x14ac:dyDescent="0.35">
      <c r="I2722" s="63"/>
      <c r="J2722" s="63"/>
    </row>
    <row r="2723" spans="9:10" x14ac:dyDescent="0.35">
      <c r="I2723" s="63"/>
      <c r="J2723" s="63"/>
    </row>
    <row r="2724" spans="9:10" x14ac:dyDescent="0.35">
      <c r="I2724" s="63"/>
      <c r="J2724" s="63"/>
    </row>
    <row r="2725" spans="9:10" x14ac:dyDescent="0.35">
      <c r="I2725" s="63"/>
      <c r="J2725" s="63"/>
    </row>
    <row r="2726" spans="9:10" x14ac:dyDescent="0.35">
      <c r="I2726" s="63"/>
      <c r="J2726" s="63"/>
    </row>
    <row r="2727" spans="9:10" x14ac:dyDescent="0.35">
      <c r="I2727" s="63"/>
      <c r="J2727" s="63"/>
    </row>
    <row r="2728" spans="9:10" x14ac:dyDescent="0.35">
      <c r="I2728" s="63"/>
      <c r="J2728" s="63"/>
    </row>
    <row r="2729" spans="9:10" x14ac:dyDescent="0.35">
      <c r="I2729" s="63"/>
      <c r="J2729" s="63"/>
    </row>
    <row r="2730" spans="9:10" x14ac:dyDescent="0.35">
      <c r="I2730" s="63"/>
      <c r="J2730" s="63"/>
    </row>
    <row r="2731" spans="9:10" x14ac:dyDescent="0.35">
      <c r="I2731" s="63"/>
      <c r="J2731" s="63"/>
    </row>
    <row r="2732" spans="9:10" x14ac:dyDescent="0.35">
      <c r="I2732" s="63"/>
      <c r="J2732" s="63"/>
    </row>
    <row r="2733" spans="9:10" x14ac:dyDescent="0.35">
      <c r="I2733" s="63"/>
      <c r="J2733" s="63"/>
    </row>
    <row r="2734" spans="9:10" x14ac:dyDescent="0.35">
      <c r="I2734" s="63"/>
      <c r="J2734" s="63"/>
    </row>
    <row r="2735" spans="9:10" x14ac:dyDescent="0.35">
      <c r="I2735" s="63"/>
      <c r="J2735" s="63"/>
    </row>
    <row r="2736" spans="9:10" x14ac:dyDescent="0.35">
      <c r="I2736" s="63"/>
      <c r="J2736" s="63"/>
    </row>
    <row r="2737" spans="9:10" x14ac:dyDescent="0.35">
      <c r="I2737" s="63"/>
      <c r="J2737" s="63"/>
    </row>
    <row r="2738" spans="9:10" x14ac:dyDescent="0.35">
      <c r="I2738" s="63"/>
      <c r="J2738" s="63"/>
    </row>
    <row r="2739" spans="9:10" x14ac:dyDescent="0.35">
      <c r="I2739" s="63"/>
      <c r="J2739" s="63"/>
    </row>
    <row r="2740" spans="9:10" x14ac:dyDescent="0.35">
      <c r="I2740" s="63"/>
      <c r="J2740" s="63"/>
    </row>
    <row r="2741" spans="9:10" x14ac:dyDescent="0.35">
      <c r="I2741" s="63"/>
      <c r="J2741" s="63"/>
    </row>
    <row r="2742" spans="9:10" x14ac:dyDescent="0.35">
      <c r="I2742" s="63"/>
      <c r="J2742" s="63"/>
    </row>
    <row r="2743" spans="9:10" x14ac:dyDescent="0.35">
      <c r="I2743" s="63"/>
      <c r="J2743" s="63"/>
    </row>
    <row r="2744" spans="9:10" x14ac:dyDescent="0.35">
      <c r="I2744" s="63"/>
      <c r="J2744" s="63"/>
    </row>
    <row r="2745" spans="9:10" x14ac:dyDescent="0.35">
      <c r="I2745" s="63"/>
      <c r="J2745" s="63"/>
    </row>
    <row r="2746" spans="9:10" x14ac:dyDescent="0.35">
      <c r="I2746" s="63"/>
      <c r="J2746" s="63"/>
    </row>
    <row r="2747" spans="9:10" x14ac:dyDescent="0.35">
      <c r="I2747" s="63"/>
      <c r="J2747" s="63"/>
    </row>
    <row r="2748" spans="9:10" x14ac:dyDescent="0.35">
      <c r="I2748" s="63"/>
      <c r="J2748" s="63"/>
    </row>
    <row r="2749" spans="9:10" x14ac:dyDescent="0.35">
      <c r="I2749" s="63"/>
      <c r="J2749" s="63"/>
    </row>
    <row r="2750" spans="9:10" x14ac:dyDescent="0.35">
      <c r="I2750" s="63"/>
      <c r="J2750" s="63"/>
    </row>
    <row r="2751" spans="9:10" x14ac:dyDescent="0.35">
      <c r="I2751" s="63"/>
      <c r="J2751" s="63"/>
    </row>
    <row r="2752" spans="9:10" x14ac:dyDescent="0.35">
      <c r="I2752" s="63"/>
      <c r="J2752" s="63"/>
    </row>
    <row r="2753" spans="9:10" x14ac:dyDescent="0.35">
      <c r="I2753" s="63"/>
      <c r="J2753" s="63"/>
    </row>
    <row r="2754" spans="9:10" x14ac:dyDescent="0.35">
      <c r="I2754" s="63"/>
      <c r="J2754" s="63"/>
    </row>
    <row r="2755" spans="9:10" x14ac:dyDescent="0.35">
      <c r="I2755" s="63"/>
      <c r="J2755" s="63"/>
    </row>
    <row r="2756" spans="9:10" x14ac:dyDescent="0.35">
      <c r="I2756" s="63"/>
      <c r="J2756" s="63"/>
    </row>
    <row r="2757" spans="9:10" x14ac:dyDescent="0.35">
      <c r="I2757" s="63"/>
      <c r="J2757" s="63"/>
    </row>
    <row r="2758" spans="9:10" x14ac:dyDescent="0.35">
      <c r="I2758" s="63"/>
      <c r="J2758" s="63"/>
    </row>
    <row r="2759" spans="9:10" x14ac:dyDescent="0.35">
      <c r="I2759" s="63"/>
      <c r="J2759" s="63"/>
    </row>
    <row r="2760" spans="9:10" x14ac:dyDescent="0.35">
      <c r="I2760" s="63"/>
      <c r="J2760" s="63"/>
    </row>
    <row r="2761" spans="9:10" x14ac:dyDescent="0.35">
      <c r="I2761" s="63"/>
      <c r="J2761" s="63"/>
    </row>
    <row r="2762" spans="9:10" x14ac:dyDescent="0.35">
      <c r="I2762" s="63"/>
      <c r="J2762" s="63"/>
    </row>
    <row r="2763" spans="9:10" x14ac:dyDescent="0.35">
      <c r="I2763" s="63"/>
      <c r="J2763" s="63"/>
    </row>
    <row r="2764" spans="9:10" x14ac:dyDescent="0.35">
      <c r="I2764" s="63"/>
      <c r="J2764" s="63"/>
    </row>
    <row r="2765" spans="9:10" x14ac:dyDescent="0.35">
      <c r="I2765" s="63"/>
      <c r="J2765" s="63"/>
    </row>
    <row r="2766" spans="9:10" x14ac:dyDescent="0.35">
      <c r="I2766" s="63"/>
      <c r="J2766" s="63"/>
    </row>
    <row r="2767" spans="9:10" x14ac:dyDescent="0.35">
      <c r="I2767" s="63"/>
      <c r="J2767" s="63"/>
    </row>
    <row r="2768" spans="9:10" x14ac:dyDescent="0.35">
      <c r="I2768" s="63"/>
      <c r="J2768" s="63"/>
    </row>
    <row r="2769" spans="9:10" x14ac:dyDescent="0.35">
      <c r="I2769" s="63"/>
      <c r="J2769" s="63"/>
    </row>
    <row r="2770" spans="9:10" x14ac:dyDescent="0.35">
      <c r="I2770" s="63"/>
      <c r="J2770" s="63"/>
    </row>
    <row r="2771" spans="9:10" x14ac:dyDescent="0.35">
      <c r="I2771" s="63"/>
      <c r="J2771" s="63"/>
    </row>
    <row r="2772" spans="9:10" x14ac:dyDescent="0.35">
      <c r="I2772" s="63"/>
      <c r="J2772" s="63"/>
    </row>
    <row r="2773" spans="9:10" x14ac:dyDescent="0.35">
      <c r="I2773" s="63"/>
      <c r="J2773" s="63"/>
    </row>
    <row r="2774" spans="9:10" x14ac:dyDescent="0.35">
      <c r="I2774" s="63"/>
      <c r="J2774" s="63"/>
    </row>
    <row r="2775" spans="9:10" x14ac:dyDescent="0.35">
      <c r="I2775" s="63"/>
      <c r="J2775" s="63"/>
    </row>
    <row r="2776" spans="9:10" x14ac:dyDescent="0.35">
      <c r="I2776" s="63"/>
      <c r="J2776" s="63"/>
    </row>
    <row r="2777" spans="9:10" x14ac:dyDescent="0.35">
      <c r="I2777" s="63"/>
      <c r="J2777" s="63"/>
    </row>
    <row r="2778" spans="9:10" x14ac:dyDescent="0.35">
      <c r="I2778" s="63"/>
      <c r="J2778" s="63"/>
    </row>
    <row r="2779" spans="9:10" x14ac:dyDescent="0.35">
      <c r="I2779" s="63"/>
      <c r="J2779" s="63"/>
    </row>
    <row r="2780" spans="9:10" x14ac:dyDescent="0.35">
      <c r="I2780" s="63"/>
      <c r="J2780" s="63"/>
    </row>
    <row r="2781" spans="9:10" x14ac:dyDescent="0.35">
      <c r="I2781" s="63"/>
      <c r="J2781" s="63"/>
    </row>
    <row r="2782" spans="9:10" x14ac:dyDescent="0.35">
      <c r="I2782" s="63"/>
      <c r="J2782" s="63"/>
    </row>
    <row r="2783" spans="9:10" x14ac:dyDescent="0.35">
      <c r="I2783" s="63"/>
      <c r="J2783" s="63"/>
    </row>
    <row r="2784" spans="9:10" x14ac:dyDescent="0.35">
      <c r="I2784" s="63"/>
      <c r="J2784" s="63"/>
    </row>
    <row r="2785" spans="9:10" x14ac:dyDescent="0.35">
      <c r="I2785" s="63"/>
      <c r="J2785" s="63"/>
    </row>
    <row r="2786" spans="9:10" x14ac:dyDescent="0.35">
      <c r="I2786" s="63"/>
      <c r="J2786" s="63"/>
    </row>
    <row r="2787" spans="9:10" x14ac:dyDescent="0.35">
      <c r="I2787" s="63"/>
      <c r="J2787" s="63"/>
    </row>
    <row r="2788" spans="9:10" x14ac:dyDescent="0.35">
      <c r="I2788" s="63"/>
      <c r="J2788" s="63"/>
    </row>
    <row r="2789" spans="9:10" x14ac:dyDescent="0.35">
      <c r="I2789" s="63"/>
      <c r="J2789" s="63"/>
    </row>
    <row r="2790" spans="9:10" x14ac:dyDescent="0.35">
      <c r="I2790" s="63"/>
      <c r="J2790" s="63"/>
    </row>
    <row r="2791" spans="9:10" x14ac:dyDescent="0.35">
      <c r="I2791" s="63"/>
      <c r="J2791" s="63"/>
    </row>
    <row r="2792" spans="9:10" x14ac:dyDescent="0.35">
      <c r="I2792" s="63"/>
      <c r="J2792" s="63"/>
    </row>
    <row r="2793" spans="9:10" x14ac:dyDescent="0.35">
      <c r="I2793" s="63"/>
      <c r="J2793" s="63"/>
    </row>
    <row r="2794" spans="9:10" x14ac:dyDescent="0.35">
      <c r="I2794" s="63"/>
      <c r="J2794" s="63"/>
    </row>
    <row r="2795" spans="9:10" x14ac:dyDescent="0.35">
      <c r="I2795" s="63"/>
      <c r="J2795" s="63"/>
    </row>
    <row r="2796" spans="9:10" x14ac:dyDescent="0.35">
      <c r="I2796" s="63"/>
      <c r="J2796" s="63"/>
    </row>
    <row r="2797" spans="9:10" x14ac:dyDescent="0.35">
      <c r="I2797" s="63"/>
      <c r="J2797" s="63"/>
    </row>
    <row r="2798" spans="9:10" x14ac:dyDescent="0.35">
      <c r="I2798" s="63"/>
      <c r="J2798" s="63"/>
    </row>
    <row r="2799" spans="9:10" x14ac:dyDescent="0.35">
      <c r="I2799" s="63"/>
      <c r="J2799" s="63"/>
    </row>
    <row r="2800" spans="9:10" x14ac:dyDescent="0.35">
      <c r="I2800" s="63"/>
      <c r="J2800" s="63"/>
    </row>
    <row r="2801" spans="9:10" x14ac:dyDescent="0.35">
      <c r="I2801" s="63"/>
      <c r="J2801" s="63"/>
    </row>
    <row r="2802" spans="9:10" x14ac:dyDescent="0.35">
      <c r="I2802" s="63"/>
      <c r="J2802" s="63"/>
    </row>
    <row r="2803" spans="9:10" x14ac:dyDescent="0.35">
      <c r="I2803" s="63"/>
      <c r="J2803" s="63"/>
    </row>
    <row r="2804" spans="9:10" x14ac:dyDescent="0.35">
      <c r="I2804" s="63"/>
      <c r="J2804" s="63"/>
    </row>
    <row r="2805" spans="9:10" x14ac:dyDescent="0.35">
      <c r="I2805" s="63"/>
      <c r="J2805" s="63"/>
    </row>
    <row r="2806" spans="9:10" x14ac:dyDescent="0.35">
      <c r="I2806" s="63"/>
      <c r="J2806" s="63"/>
    </row>
    <row r="2807" spans="9:10" x14ac:dyDescent="0.35">
      <c r="I2807" s="63"/>
      <c r="J2807" s="63"/>
    </row>
    <row r="2808" spans="9:10" x14ac:dyDescent="0.35">
      <c r="I2808" s="63"/>
      <c r="J2808" s="63"/>
    </row>
    <row r="2809" spans="9:10" x14ac:dyDescent="0.35">
      <c r="I2809" s="63"/>
      <c r="J2809" s="63"/>
    </row>
    <row r="2810" spans="9:10" x14ac:dyDescent="0.35">
      <c r="I2810" s="63"/>
      <c r="J2810" s="63"/>
    </row>
    <row r="2811" spans="9:10" x14ac:dyDescent="0.35">
      <c r="I2811" s="63"/>
      <c r="J2811" s="63"/>
    </row>
    <row r="2812" spans="9:10" x14ac:dyDescent="0.35">
      <c r="I2812" s="63"/>
      <c r="J2812" s="63"/>
    </row>
    <row r="2813" spans="9:10" x14ac:dyDescent="0.35">
      <c r="I2813" s="63"/>
      <c r="J2813" s="63"/>
    </row>
    <row r="2814" spans="9:10" x14ac:dyDescent="0.35">
      <c r="I2814" s="63"/>
      <c r="J2814" s="63"/>
    </row>
    <row r="2815" spans="9:10" x14ac:dyDescent="0.35">
      <c r="I2815" s="63"/>
      <c r="J2815" s="63"/>
    </row>
    <row r="2816" spans="9:10" x14ac:dyDescent="0.35">
      <c r="I2816" s="63"/>
      <c r="J2816" s="63"/>
    </row>
    <row r="2817" spans="9:10" x14ac:dyDescent="0.35">
      <c r="I2817" s="63"/>
      <c r="J2817" s="63"/>
    </row>
    <row r="2818" spans="9:10" x14ac:dyDescent="0.35">
      <c r="I2818" s="63"/>
      <c r="J2818" s="63"/>
    </row>
    <row r="2819" spans="9:10" x14ac:dyDescent="0.35">
      <c r="I2819" s="63"/>
      <c r="J2819" s="63"/>
    </row>
    <row r="2820" spans="9:10" x14ac:dyDescent="0.35">
      <c r="I2820" s="63"/>
      <c r="J2820" s="63"/>
    </row>
    <row r="2821" spans="9:10" x14ac:dyDescent="0.35">
      <c r="I2821" s="63"/>
      <c r="J2821" s="63"/>
    </row>
    <row r="2822" spans="9:10" x14ac:dyDescent="0.35">
      <c r="I2822" s="63"/>
      <c r="J2822" s="63"/>
    </row>
    <row r="2823" spans="9:10" x14ac:dyDescent="0.35">
      <c r="I2823" s="63"/>
      <c r="J2823" s="63"/>
    </row>
    <row r="2824" spans="9:10" x14ac:dyDescent="0.35">
      <c r="I2824" s="63"/>
      <c r="J2824" s="63"/>
    </row>
    <row r="2825" spans="9:10" x14ac:dyDescent="0.35">
      <c r="I2825" s="63"/>
      <c r="J2825" s="63"/>
    </row>
    <row r="2826" spans="9:10" x14ac:dyDescent="0.35">
      <c r="I2826" s="63"/>
      <c r="J2826" s="63"/>
    </row>
    <row r="2827" spans="9:10" x14ac:dyDescent="0.35">
      <c r="I2827" s="63"/>
      <c r="J2827" s="63"/>
    </row>
    <row r="2828" spans="9:10" x14ac:dyDescent="0.35">
      <c r="I2828" s="63"/>
      <c r="J2828" s="63"/>
    </row>
    <row r="2829" spans="9:10" x14ac:dyDescent="0.35">
      <c r="I2829" s="63"/>
      <c r="J2829" s="63"/>
    </row>
    <row r="2830" spans="9:10" x14ac:dyDescent="0.35">
      <c r="I2830" s="63"/>
      <c r="J2830" s="63"/>
    </row>
    <row r="2831" spans="9:10" x14ac:dyDescent="0.35">
      <c r="I2831" s="63"/>
      <c r="J2831" s="63"/>
    </row>
    <row r="2832" spans="9:10" x14ac:dyDescent="0.35">
      <c r="I2832" s="63"/>
      <c r="J2832" s="63"/>
    </row>
    <row r="2833" spans="9:10" x14ac:dyDescent="0.35">
      <c r="I2833" s="63"/>
      <c r="J2833" s="63"/>
    </row>
    <row r="2834" spans="9:10" x14ac:dyDescent="0.35">
      <c r="I2834" s="63"/>
      <c r="J2834" s="63"/>
    </row>
    <row r="2835" spans="9:10" x14ac:dyDescent="0.35">
      <c r="I2835" s="63"/>
      <c r="J2835" s="63"/>
    </row>
    <row r="2836" spans="9:10" x14ac:dyDescent="0.35">
      <c r="I2836" s="63"/>
      <c r="J2836" s="63"/>
    </row>
    <row r="2837" spans="9:10" x14ac:dyDescent="0.35">
      <c r="I2837" s="63"/>
      <c r="J2837" s="63"/>
    </row>
    <row r="2838" spans="9:10" x14ac:dyDescent="0.35">
      <c r="I2838" s="63"/>
      <c r="J2838" s="63"/>
    </row>
    <row r="2839" spans="9:10" x14ac:dyDescent="0.35">
      <c r="I2839" s="63"/>
      <c r="J2839" s="63"/>
    </row>
    <row r="2840" spans="9:10" x14ac:dyDescent="0.35">
      <c r="I2840" s="63"/>
      <c r="J2840" s="63"/>
    </row>
    <row r="2841" spans="9:10" x14ac:dyDescent="0.35">
      <c r="I2841" s="63"/>
      <c r="J2841" s="63"/>
    </row>
    <row r="2842" spans="9:10" x14ac:dyDescent="0.35">
      <c r="I2842" s="63"/>
      <c r="J2842" s="63"/>
    </row>
    <row r="2843" spans="9:10" x14ac:dyDescent="0.35">
      <c r="I2843" s="63"/>
      <c r="J2843" s="63"/>
    </row>
    <row r="2844" spans="9:10" x14ac:dyDescent="0.35">
      <c r="I2844" s="63"/>
      <c r="J2844" s="63"/>
    </row>
    <row r="2845" spans="9:10" x14ac:dyDescent="0.35">
      <c r="I2845" s="63"/>
      <c r="J2845" s="63"/>
    </row>
    <row r="2846" spans="9:10" x14ac:dyDescent="0.35">
      <c r="I2846" s="63"/>
      <c r="J2846" s="63"/>
    </row>
    <row r="2847" spans="9:10" x14ac:dyDescent="0.35">
      <c r="I2847" s="63"/>
      <c r="J2847" s="63"/>
    </row>
    <row r="2848" spans="9:10" x14ac:dyDescent="0.35">
      <c r="I2848" s="63"/>
      <c r="J2848" s="63"/>
    </row>
    <row r="2849" spans="9:10" x14ac:dyDescent="0.35">
      <c r="I2849" s="63"/>
      <c r="J2849" s="63"/>
    </row>
    <row r="2850" spans="9:10" x14ac:dyDescent="0.35">
      <c r="I2850" s="63"/>
      <c r="J2850" s="63"/>
    </row>
    <row r="2851" spans="9:10" x14ac:dyDescent="0.35">
      <c r="I2851" s="63"/>
      <c r="J2851" s="63"/>
    </row>
    <row r="2852" spans="9:10" x14ac:dyDescent="0.35">
      <c r="I2852" s="63"/>
      <c r="J2852" s="63"/>
    </row>
    <row r="2853" spans="9:10" x14ac:dyDescent="0.35">
      <c r="I2853" s="63"/>
      <c r="J2853" s="63"/>
    </row>
    <row r="2854" spans="9:10" x14ac:dyDescent="0.35">
      <c r="I2854" s="63"/>
      <c r="J2854" s="63"/>
    </row>
    <row r="2855" spans="9:10" x14ac:dyDescent="0.35">
      <c r="I2855" s="63"/>
      <c r="J2855" s="63"/>
    </row>
    <row r="2856" spans="9:10" x14ac:dyDescent="0.35">
      <c r="I2856" s="63"/>
      <c r="J2856" s="63"/>
    </row>
    <row r="2857" spans="9:10" x14ac:dyDescent="0.35">
      <c r="I2857" s="63"/>
      <c r="J2857" s="63"/>
    </row>
    <row r="2858" spans="9:10" x14ac:dyDescent="0.35">
      <c r="I2858" s="63"/>
      <c r="J2858" s="63"/>
    </row>
    <row r="2859" spans="9:10" x14ac:dyDescent="0.35">
      <c r="I2859" s="63"/>
      <c r="J2859" s="63"/>
    </row>
    <row r="2860" spans="9:10" x14ac:dyDescent="0.35">
      <c r="I2860" s="63"/>
      <c r="J2860" s="63"/>
    </row>
    <row r="2861" spans="9:10" x14ac:dyDescent="0.35">
      <c r="I2861" s="63"/>
      <c r="J2861" s="63"/>
    </row>
    <row r="2862" spans="9:10" x14ac:dyDescent="0.35">
      <c r="I2862" s="63"/>
      <c r="J2862" s="63"/>
    </row>
    <row r="2863" spans="9:10" x14ac:dyDescent="0.35">
      <c r="I2863" s="63"/>
      <c r="J2863" s="63"/>
    </row>
    <row r="2864" spans="9:10" x14ac:dyDescent="0.35">
      <c r="I2864" s="63"/>
      <c r="J2864" s="63"/>
    </row>
    <row r="2865" spans="9:10" x14ac:dyDescent="0.35">
      <c r="I2865" s="63"/>
      <c r="J2865" s="63"/>
    </row>
    <row r="2866" spans="9:10" x14ac:dyDescent="0.35">
      <c r="I2866" s="63"/>
      <c r="J2866" s="63"/>
    </row>
    <row r="2867" spans="9:10" x14ac:dyDescent="0.35">
      <c r="I2867" s="63"/>
      <c r="J2867" s="63"/>
    </row>
    <row r="2868" spans="9:10" x14ac:dyDescent="0.35">
      <c r="I2868" s="63"/>
      <c r="J2868" s="63"/>
    </row>
    <row r="2869" spans="9:10" x14ac:dyDescent="0.35">
      <c r="I2869" s="63"/>
      <c r="J2869" s="63"/>
    </row>
    <row r="2870" spans="9:10" x14ac:dyDescent="0.35">
      <c r="I2870" s="63"/>
      <c r="J2870" s="63"/>
    </row>
    <row r="2871" spans="9:10" x14ac:dyDescent="0.35">
      <c r="I2871" s="63"/>
      <c r="J2871" s="63"/>
    </row>
    <row r="2872" spans="9:10" x14ac:dyDescent="0.35">
      <c r="I2872" s="63"/>
      <c r="J2872" s="63"/>
    </row>
    <row r="2873" spans="9:10" x14ac:dyDescent="0.35">
      <c r="I2873" s="63"/>
      <c r="J2873" s="63"/>
    </row>
    <row r="2874" spans="9:10" x14ac:dyDescent="0.35">
      <c r="I2874" s="63"/>
      <c r="J2874" s="63"/>
    </row>
    <row r="2875" spans="9:10" x14ac:dyDescent="0.35">
      <c r="I2875" s="63"/>
      <c r="J2875" s="63"/>
    </row>
    <row r="2876" spans="9:10" x14ac:dyDescent="0.35">
      <c r="I2876" s="63"/>
      <c r="J2876" s="63"/>
    </row>
    <row r="2877" spans="9:10" x14ac:dyDescent="0.35">
      <c r="I2877" s="63"/>
      <c r="J2877" s="63"/>
    </row>
    <row r="2878" spans="9:10" x14ac:dyDescent="0.35">
      <c r="I2878" s="63"/>
      <c r="J2878" s="63"/>
    </row>
    <row r="2879" spans="9:10" x14ac:dyDescent="0.35">
      <c r="I2879" s="63"/>
      <c r="J2879" s="63"/>
    </row>
    <row r="2880" spans="9:10" x14ac:dyDescent="0.35">
      <c r="I2880" s="63"/>
      <c r="J2880" s="63"/>
    </row>
    <row r="2881" spans="9:10" x14ac:dyDescent="0.35">
      <c r="I2881" s="63"/>
      <c r="J2881" s="63"/>
    </row>
    <row r="2882" spans="9:10" x14ac:dyDescent="0.35">
      <c r="I2882" s="63"/>
      <c r="J2882" s="63"/>
    </row>
    <row r="2883" spans="9:10" x14ac:dyDescent="0.35">
      <c r="I2883" s="63"/>
      <c r="J2883" s="63"/>
    </row>
    <row r="2884" spans="9:10" x14ac:dyDescent="0.35">
      <c r="I2884" s="63"/>
      <c r="J2884" s="63"/>
    </row>
    <row r="2885" spans="9:10" x14ac:dyDescent="0.35">
      <c r="I2885" s="63"/>
      <c r="J2885" s="63"/>
    </row>
    <row r="2886" spans="9:10" x14ac:dyDescent="0.35">
      <c r="I2886" s="63"/>
      <c r="J2886" s="63"/>
    </row>
    <row r="2887" spans="9:10" x14ac:dyDescent="0.35">
      <c r="I2887" s="63"/>
      <c r="J2887" s="63"/>
    </row>
    <row r="2888" spans="9:10" x14ac:dyDescent="0.35">
      <c r="I2888" s="63"/>
      <c r="J2888" s="63"/>
    </row>
    <row r="2889" spans="9:10" x14ac:dyDescent="0.35">
      <c r="I2889" s="63"/>
      <c r="J2889" s="63"/>
    </row>
    <row r="2890" spans="9:10" x14ac:dyDescent="0.35">
      <c r="I2890" s="63"/>
      <c r="J2890" s="63"/>
    </row>
    <row r="2891" spans="9:10" x14ac:dyDescent="0.35">
      <c r="I2891" s="63"/>
      <c r="J2891" s="63"/>
    </row>
    <row r="2892" spans="9:10" x14ac:dyDescent="0.35">
      <c r="I2892" s="63"/>
      <c r="J2892" s="63"/>
    </row>
    <row r="2893" spans="9:10" x14ac:dyDescent="0.35">
      <c r="I2893" s="63"/>
      <c r="J2893" s="63"/>
    </row>
    <row r="2894" spans="9:10" x14ac:dyDescent="0.35">
      <c r="I2894" s="63"/>
      <c r="J2894" s="63"/>
    </row>
    <row r="2895" spans="9:10" x14ac:dyDescent="0.35">
      <c r="I2895" s="63"/>
      <c r="J2895" s="63"/>
    </row>
    <row r="2896" spans="9:10" x14ac:dyDescent="0.35">
      <c r="I2896" s="63"/>
      <c r="J2896" s="63"/>
    </row>
    <row r="2897" spans="9:10" x14ac:dyDescent="0.35">
      <c r="I2897" s="63"/>
      <c r="J2897" s="63"/>
    </row>
    <row r="2898" spans="9:10" x14ac:dyDescent="0.35">
      <c r="I2898" s="63"/>
      <c r="J2898" s="63"/>
    </row>
    <row r="2899" spans="9:10" x14ac:dyDescent="0.35">
      <c r="I2899" s="63"/>
      <c r="J2899" s="63"/>
    </row>
    <row r="2900" spans="9:10" x14ac:dyDescent="0.35">
      <c r="I2900" s="63"/>
      <c r="J2900" s="63"/>
    </row>
    <row r="2901" spans="9:10" x14ac:dyDescent="0.35">
      <c r="I2901" s="63"/>
      <c r="J2901" s="63"/>
    </row>
    <row r="2902" spans="9:10" x14ac:dyDescent="0.35">
      <c r="I2902" s="63"/>
      <c r="J2902" s="63"/>
    </row>
    <row r="2903" spans="9:10" x14ac:dyDescent="0.35">
      <c r="I2903" s="63"/>
      <c r="J2903" s="63"/>
    </row>
    <row r="2904" spans="9:10" x14ac:dyDescent="0.35">
      <c r="I2904" s="63"/>
      <c r="J2904" s="63"/>
    </row>
    <row r="2905" spans="9:10" x14ac:dyDescent="0.35">
      <c r="I2905" s="63"/>
      <c r="J2905" s="63"/>
    </row>
    <row r="2906" spans="9:10" x14ac:dyDescent="0.35">
      <c r="I2906" s="63"/>
      <c r="J2906" s="63"/>
    </row>
    <row r="2907" spans="9:10" x14ac:dyDescent="0.35">
      <c r="I2907" s="63"/>
      <c r="J2907" s="63"/>
    </row>
    <row r="2908" spans="9:10" x14ac:dyDescent="0.35">
      <c r="I2908" s="63"/>
      <c r="J2908" s="63"/>
    </row>
    <row r="2909" spans="9:10" x14ac:dyDescent="0.35">
      <c r="I2909" s="63"/>
      <c r="J2909" s="63"/>
    </row>
    <row r="2910" spans="9:10" x14ac:dyDescent="0.35">
      <c r="I2910" s="63"/>
      <c r="J2910" s="63"/>
    </row>
    <row r="2911" spans="9:10" x14ac:dyDescent="0.35">
      <c r="I2911" s="63"/>
      <c r="J2911" s="63"/>
    </row>
    <row r="2912" spans="9:10" x14ac:dyDescent="0.35">
      <c r="I2912" s="63"/>
      <c r="J2912" s="63"/>
    </row>
    <row r="2913" spans="9:10" x14ac:dyDescent="0.35">
      <c r="I2913" s="63"/>
      <c r="J2913" s="63"/>
    </row>
    <row r="2914" spans="9:10" x14ac:dyDescent="0.35">
      <c r="I2914" s="63"/>
      <c r="J2914" s="63"/>
    </row>
    <row r="2915" spans="9:10" x14ac:dyDescent="0.35">
      <c r="I2915" s="63"/>
      <c r="J2915" s="63"/>
    </row>
    <row r="2916" spans="9:10" x14ac:dyDescent="0.35">
      <c r="I2916" s="63"/>
      <c r="J2916" s="63"/>
    </row>
    <row r="2917" spans="9:10" x14ac:dyDescent="0.35">
      <c r="I2917" s="63"/>
      <c r="J2917" s="63"/>
    </row>
    <row r="2918" spans="9:10" x14ac:dyDescent="0.35">
      <c r="I2918" s="63"/>
      <c r="J2918" s="63"/>
    </row>
    <row r="2919" spans="9:10" x14ac:dyDescent="0.35">
      <c r="I2919" s="63"/>
      <c r="J2919" s="63"/>
    </row>
    <row r="2920" spans="9:10" x14ac:dyDescent="0.35">
      <c r="I2920" s="63"/>
      <c r="J2920" s="63"/>
    </row>
    <row r="2921" spans="9:10" x14ac:dyDescent="0.35">
      <c r="I2921" s="63"/>
      <c r="J2921" s="63"/>
    </row>
    <row r="2922" spans="9:10" x14ac:dyDescent="0.35">
      <c r="I2922" s="63"/>
      <c r="J2922" s="63"/>
    </row>
    <row r="2923" spans="9:10" x14ac:dyDescent="0.35">
      <c r="I2923" s="63"/>
      <c r="J2923" s="63"/>
    </row>
    <row r="2924" spans="9:10" x14ac:dyDescent="0.35">
      <c r="I2924" s="63"/>
      <c r="J2924" s="63"/>
    </row>
    <row r="2925" spans="9:10" x14ac:dyDescent="0.35">
      <c r="I2925" s="63"/>
      <c r="J2925" s="63"/>
    </row>
    <row r="2926" spans="9:10" x14ac:dyDescent="0.35">
      <c r="I2926" s="63"/>
      <c r="J2926" s="63"/>
    </row>
    <row r="2927" spans="9:10" x14ac:dyDescent="0.35">
      <c r="I2927" s="63"/>
      <c r="J2927" s="63"/>
    </row>
    <row r="2928" spans="9:10" x14ac:dyDescent="0.35">
      <c r="I2928" s="63"/>
      <c r="J2928" s="63"/>
    </row>
    <row r="2929" spans="9:10" x14ac:dyDescent="0.35">
      <c r="I2929" s="63"/>
      <c r="J2929" s="63"/>
    </row>
    <row r="2930" spans="9:10" x14ac:dyDescent="0.35">
      <c r="I2930" s="63"/>
      <c r="J2930" s="63"/>
    </row>
    <row r="2931" spans="9:10" x14ac:dyDescent="0.35">
      <c r="I2931" s="63"/>
      <c r="J2931" s="63"/>
    </row>
    <row r="2932" spans="9:10" x14ac:dyDescent="0.35">
      <c r="I2932" s="63"/>
      <c r="J2932" s="63"/>
    </row>
    <row r="2933" spans="9:10" x14ac:dyDescent="0.35">
      <c r="I2933" s="63"/>
      <c r="J2933" s="63"/>
    </row>
    <row r="2934" spans="9:10" x14ac:dyDescent="0.35">
      <c r="I2934" s="63"/>
      <c r="J2934" s="63"/>
    </row>
    <row r="2935" spans="9:10" x14ac:dyDescent="0.35">
      <c r="I2935" s="63"/>
      <c r="J2935" s="63"/>
    </row>
    <row r="2936" spans="9:10" x14ac:dyDescent="0.35">
      <c r="I2936" s="63"/>
      <c r="J2936" s="63"/>
    </row>
    <row r="2937" spans="9:10" x14ac:dyDescent="0.35">
      <c r="I2937" s="63"/>
      <c r="J2937" s="63"/>
    </row>
    <row r="2938" spans="9:10" x14ac:dyDescent="0.35">
      <c r="I2938" s="63"/>
      <c r="J2938" s="63"/>
    </row>
    <row r="2939" spans="9:10" x14ac:dyDescent="0.35">
      <c r="I2939" s="63"/>
      <c r="J2939" s="63"/>
    </row>
    <row r="2940" spans="9:10" x14ac:dyDescent="0.35">
      <c r="I2940" s="63"/>
      <c r="J2940" s="63"/>
    </row>
    <row r="2941" spans="9:10" x14ac:dyDescent="0.35">
      <c r="I2941" s="63"/>
      <c r="J2941" s="63"/>
    </row>
    <row r="2942" spans="9:10" x14ac:dyDescent="0.35">
      <c r="I2942" s="63"/>
      <c r="J2942" s="63"/>
    </row>
    <row r="2943" spans="9:10" x14ac:dyDescent="0.35">
      <c r="I2943" s="63"/>
      <c r="J2943" s="63"/>
    </row>
    <row r="2944" spans="9:10" x14ac:dyDescent="0.35">
      <c r="I2944" s="63"/>
      <c r="J2944" s="63"/>
    </row>
    <row r="2945" spans="9:10" x14ac:dyDescent="0.35">
      <c r="I2945" s="63"/>
      <c r="J2945" s="63"/>
    </row>
    <row r="2946" spans="9:10" x14ac:dyDescent="0.35">
      <c r="I2946" s="63"/>
      <c r="J2946" s="63"/>
    </row>
    <row r="2947" spans="9:10" x14ac:dyDescent="0.35">
      <c r="I2947" s="63"/>
      <c r="J2947" s="63"/>
    </row>
    <row r="2948" spans="9:10" x14ac:dyDescent="0.35">
      <c r="I2948" s="63"/>
      <c r="J2948" s="63"/>
    </row>
    <row r="2949" spans="9:10" x14ac:dyDescent="0.35">
      <c r="I2949" s="63"/>
      <c r="J2949" s="63"/>
    </row>
    <row r="2950" spans="9:10" x14ac:dyDescent="0.35">
      <c r="I2950" s="63"/>
      <c r="J2950" s="63"/>
    </row>
    <row r="2951" spans="9:10" x14ac:dyDescent="0.35">
      <c r="I2951" s="63"/>
      <c r="J2951" s="63"/>
    </row>
    <row r="2952" spans="9:10" x14ac:dyDescent="0.35">
      <c r="I2952" s="63"/>
      <c r="J2952" s="63"/>
    </row>
    <row r="2953" spans="9:10" x14ac:dyDescent="0.35">
      <c r="I2953" s="63"/>
      <c r="J2953" s="63"/>
    </row>
    <row r="2954" spans="9:10" x14ac:dyDescent="0.35">
      <c r="I2954" s="63"/>
      <c r="J2954" s="63"/>
    </row>
    <row r="2955" spans="9:10" x14ac:dyDescent="0.35">
      <c r="I2955" s="63"/>
      <c r="J2955" s="63"/>
    </row>
    <row r="2956" spans="9:10" x14ac:dyDescent="0.35">
      <c r="I2956" s="63"/>
      <c r="J2956" s="63"/>
    </row>
    <row r="2957" spans="9:10" x14ac:dyDescent="0.35">
      <c r="I2957" s="63"/>
      <c r="J2957" s="63"/>
    </row>
    <row r="2958" spans="9:10" x14ac:dyDescent="0.35">
      <c r="I2958" s="63"/>
      <c r="J2958" s="63"/>
    </row>
    <row r="2959" spans="9:10" x14ac:dyDescent="0.35">
      <c r="I2959" s="63"/>
      <c r="J2959" s="63"/>
    </row>
    <row r="2960" spans="9:10" x14ac:dyDescent="0.35">
      <c r="I2960" s="63"/>
      <c r="J2960" s="63"/>
    </row>
    <row r="2961" spans="9:10" x14ac:dyDescent="0.35">
      <c r="I2961" s="63"/>
      <c r="J2961" s="63"/>
    </row>
    <row r="2962" spans="9:10" x14ac:dyDescent="0.35">
      <c r="I2962" s="63"/>
      <c r="J2962" s="63"/>
    </row>
    <row r="2963" spans="9:10" x14ac:dyDescent="0.35">
      <c r="I2963" s="63"/>
      <c r="J2963" s="63"/>
    </row>
    <row r="2964" spans="9:10" x14ac:dyDescent="0.35">
      <c r="I2964" s="63"/>
      <c r="J2964" s="63"/>
    </row>
    <row r="2965" spans="9:10" x14ac:dyDescent="0.35">
      <c r="I2965" s="63"/>
      <c r="J2965" s="63"/>
    </row>
    <row r="2966" spans="9:10" x14ac:dyDescent="0.35">
      <c r="I2966" s="63"/>
      <c r="J2966" s="63"/>
    </row>
    <row r="2967" spans="9:10" x14ac:dyDescent="0.35">
      <c r="I2967" s="63"/>
      <c r="J2967" s="63"/>
    </row>
    <row r="2968" spans="9:10" x14ac:dyDescent="0.35">
      <c r="I2968" s="63"/>
      <c r="J2968" s="63"/>
    </row>
    <row r="2969" spans="9:10" x14ac:dyDescent="0.35">
      <c r="I2969" s="63"/>
      <c r="J2969" s="63"/>
    </row>
    <row r="2970" spans="9:10" x14ac:dyDescent="0.35">
      <c r="I2970" s="63"/>
      <c r="J2970" s="63"/>
    </row>
    <row r="2971" spans="9:10" x14ac:dyDescent="0.35">
      <c r="I2971" s="63"/>
      <c r="J2971" s="63"/>
    </row>
    <row r="2972" spans="9:10" x14ac:dyDescent="0.35">
      <c r="I2972" s="63"/>
      <c r="J2972" s="63"/>
    </row>
    <row r="2973" spans="9:10" x14ac:dyDescent="0.35">
      <c r="I2973" s="63"/>
      <c r="J2973" s="63"/>
    </row>
    <row r="2974" spans="9:10" x14ac:dyDescent="0.35">
      <c r="I2974" s="63"/>
      <c r="J2974" s="63"/>
    </row>
    <row r="2975" spans="9:10" x14ac:dyDescent="0.35">
      <c r="I2975" s="63"/>
      <c r="J2975" s="63"/>
    </row>
    <row r="2976" spans="9:10" x14ac:dyDescent="0.35">
      <c r="I2976" s="63"/>
      <c r="J2976" s="63"/>
    </row>
    <row r="2977" spans="9:10" x14ac:dyDescent="0.35">
      <c r="I2977" s="63"/>
      <c r="J2977" s="63"/>
    </row>
    <row r="2978" spans="9:10" x14ac:dyDescent="0.35">
      <c r="I2978" s="63"/>
      <c r="J2978" s="63"/>
    </row>
    <row r="2979" spans="9:10" x14ac:dyDescent="0.35">
      <c r="I2979" s="63"/>
      <c r="J2979" s="63"/>
    </row>
    <row r="2980" spans="9:10" x14ac:dyDescent="0.35">
      <c r="I2980" s="63"/>
      <c r="J2980" s="63"/>
    </row>
    <row r="2981" spans="9:10" x14ac:dyDescent="0.35">
      <c r="I2981" s="63"/>
      <c r="J2981" s="63"/>
    </row>
    <row r="2982" spans="9:10" x14ac:dyDescent="0.35">
      <c r="I2982" s="63"/>
      <c r="J2982" s="63"/>
    </row>
    <row r="2983" spans="9:10" x14ac:dyDescent="0.35">
      <c r="I2983" s="63"/>
      <c r="J2983" s="63"/>
    </row>
    <row r="2984" spans="9:10" x14ac:dyDescent="0.35">
      <c r="I2984" s="63"/>
      <c r="J2984" s="63"/>
    </row>
    <row r="2985" spans="9:10" x14ac:dyDescent="0.35">
      <c r="I2985" s="63"/>
      <c r="J2985" s="63"/>
    </row>
    <row r="2986" spans="9:10" x14ac:dyDescent="0.35">
      <c r="I2986" s="63"/>
      <c r="J2986" s="63"/>
    </row>
    <row r="2987" spans="9:10" x14ac:dyDescent="0.35">
      <c r="I2987" s="63"/>
      <c r="J2987" s="63"/>
    </row>
    <row r="2988" spans="9:10" x14ac:dyDescent="0.35">
      <c r="I2988" s="63"/>
      <c r="J2988" s="63"/>
    </row>
    <row r="2989" spans="9:10" x14ac:dyDescent="0.35">
      <c r="I2989" s="63"/>
      <c r="J2989" s="63"/>
    </row>
    <row r="2990" spans="9:10" x14ac:dyDescent="0.35">
      <c r="I2990" s="63"/>
      <c r="J2990" s="63"/>
    </row>
    <row r="2991" spans="9:10" x14ac:dyDescent="0.35">
      <c r="I2991" s="63"/>
      <c r="J2991" s="63"/>
    </row>
    <row r="2992" spans="9:10" x14ac:dyDescent="0.35">
      <c r="I2992" s="63"/>
      <c r="J2992" s="63"/>
    </row>
    <row r="2993" spans="9:10" x14ac:dyDescent="0.35">
      <c r="I2993" s="63"/>
      <c r="J2993" s="63"/>
    </row>
    <row r="2994" spans="9:10" x14ac:dyDescent="0.35">
      <c r="I2994" s="63"/>
      <c r="J2994" s="63"/>
    </row>
    <row r="2995" spans="9:10" x14ac:dyDescent="0.35">
      <c r="I2995" s="63"/>
      <c r="J2995" s="63"/>
    </row>
    <row r="2996" spans="9:10" x14ac:dyDescent="0.35">
      <c r="I2996" s="63"/>
      <c r="J2996" s="63"/>
    </row>
    <row r="2997" spans="9:10" x14ac:dyDescent="0.35">
      <c r="I2997" s="63"/>
      <c r="J2997" s="63"/>
    </row>
    <row r="2998" spans="9:10" x14ac:dyDescent="0.35">
      <c r="I2998" s="63"/>
      <c r="J2998" s="63"/>
    </row>
    <row r="2999" spans="9:10" x14ac:dyDescent="0.35">
      <c r="I2999" s="63"/>
      <c r="J2999" s="63"/>
    </row>
    <row r="3000" spans="9:10" x14ac:dyDescent="0.35">
      <c r="I3000" s="63"/>
      <c r="J3000" s="63"/>
    </row>
    <row r="3001" spans="9:10" x14ac:dyDescent="0.35">
      <c r="I3001" s="63"/>
      <c r="J3001" s="63"/>
    </row>
    <row r="3002" spans="9:10" x14ac:dyDescent="0.35">
      <c r="I3002" s="63"/>
      <c r="J3002" s="63"/>
    </row>
    <row r="3003" spans="9:10" x14ac:dyDescent="0.35">
      <c r="I3003" s="63"/>
      <c r="J3003" s="63"/>
    </row>
    <row r="3004" spans="9:10" x14ac:dyDescent="0.35">
      <c r="I3004" s="63"/>
      <c r="J3004" s="63"/>
    </row>
    <row r="3005" spans="9:10" x14ac:dyDescent="0.35">
      <c r="I3005" s="63"/>
      <c r="J3005" s="63"/>
    </row>
    <row r="3006" spans="9:10" x14ac:dyDescent="0.35">
      <c r="I3006" s="63"/>
      <c r="J3006" s="63"/>
    </row>
    <row r="3007" spans="9:10" x14ac:dyDescent="0.35">
      <c r="I3007" s="63"/>
      <c r="J3007" s="63"/>
    </row>
    <row r="3008" spans="9:10" x14ac:dyDescent="0.35">
      <c r="I3008" s="63"/>
      <c r="J3008" s="63"/>
    </row>
    <row r="3009" spans="9:10" x14ac:dyDescent="0.35">
      <c r="I3009" s="63"/>
      <c r="J3009" s="63"/>
    </row>
    <row r="3010" spans="9:10" x14ac:dyDescent="0.35">
      <c r="I3010" s="63"/>
      <c r="J3010" s="63"/>
    </row>
    <row r="3011" spans="9:10" x14ac:dyDescent="0.35">
      <c r="I3011" s="63"/>
      <c r="J3011" s="63"/>
    </row>
    <row r="3012" spans="9:10" x14ac:dyDescent="0.35">
      <c r="I3012" s="63"/>
      <c r="J3012" s="63"/>
    </row>
    <row r="3013" spans="9:10" x14ac:dyDescent="0.35">
      <c r="I3013" s="63"/>
      <c r="J3013" s="63"/>
    </row>
    <row r="3014" spans="9:10" x14ac:dyDescent="0.35">
      <c r="I3014" s="63"/>
      <c r="J3014" s="63"/>
    </row>
    <row r="3015" spans="9:10" x14ac:dyDescent="0.35">
      <c r="I3015" s="63"/>
      <c r="J3015" s="63"/>
    </row>
    <row r="3016" spans="9:10" x14ac:dyDescent="0.35">
      <c r="I3016" s="63"/>
      <c r="J3016" s="63"/>
    </row>
    <row r="3017" spans="9:10" x14ac:dyDescent="0.35">
      <c r="I3017" s="63"/>
      <c r="J3017" s="63"/>
    </row>
    <row r="3018" spans="9:10" x14ac:dyDescent="0.35">
      <c r="I3018" s="63"/>
      <c r="J3018" s="63"/>
    </row>
    <row r="3019" spans="9:10" x14ac:dyDescent="0.35">
      <c r="I3019" s="63"/>
      <c r="J3019" s="63"/>
    </row>
    <row r="3020" spans="9:10" x14ac:dyDescent="0.35">
      <c r="I3020" s="63"/>
      <c r="J3020" s="63"/>
    </row>
    <row r="3021" spans="9:10" x14ac:dyDescent="0.35">
      <c r="I3021" s="63"/>
      <c r="J3021" s="63"/>
    </row>
    <row r="3022" spans="9:10" x14ac:dyDescent="0.35">
      <c r="I3022" s="63"/>
      <c r="J3022" s="63"/>
    </row>
    <row r="3023" spans="9:10" x14ac:dyDescent="0.35">
      <c r="I3023" s="63"/>
      <c r="J3023" s="63"/>
    </row>
    <row r="3024" spans="9:10" x14ac:dyDescent="0.35">
      <c r="I3024" s="63"/>
      <c r="J3024" s="63"/>
    </row>
    <row r="3025" spans="9:10" x14ac:dyDescent="0.35">
      <c r="I3025" s="63"/>
      <c r="J3025" s="63"/>
    </row>
    <row r="3026" spans="9:10" x14ac:dyDescent="0.35">
      <c r="I3026" s="63"/>
      <c r="J3026" s="63"/>
    </row>
    <row r="3027" spans="9:10" x14ac:dyDescent="0.35">
      <c r="I3027" s="63"/>
      <c r="J3027" s="63"/>
    </row>
    <row r="3028" spans="9:10" x14ac:dyDescent="0.35">
      <c r="I3028" s="63"/>
      <c r="J3028" s="63"/>
    </row>
    <row r="3029" spans="9:10" x14ac:dyDescent="0.35">
      <c r="I3029" s="63"/>
      <c r="J3029" s="63"/>
    </row>
    <row r="3030" spans="9:10" x14ac:dyDescent="0.35">
      <c r="I3030" s="63"/>
      <c r="J3030" s="63"/>
    </row>
    <row r="3031" spans="9:10" x14ac:dyDescent="0.35">
      <c r="I3031" s="63"/>
      <c r="J3031" s="63"/>
    </row>
    <row r="3032" spans="9:10" x14ac:dyDescent="0.35">
      <c r="I3032" s="63"/>
      <c r="J3032" s="63"/>
    </row>
    <row r="3033" spans="9:10" x14ac:dyDescent="0.35">
      <c r="I3033" s="63"/>
      <c r="J3033" s="63"/>
    </row>
    <row r="3034" spans="9:10" x14ac:dyDescent="0.35">
      <c r="I3034" s="63"/>
      <c r="J3034" s="63"/>
    </row>
    <row r="3035" spans="9:10" x14ac:dyDescent="0.35">
      <c r="I3035" s="63"/>
      <c r="J3035" s="63"/>
    </row>
    <row r="3036" spans="9:10" x14ac:dyDescent="0.35">
      <c r="I3036" s="63"/>
      <c r="J3036" s="63"/>
    </row>
    <row r="3037" spans="9:10" x14ac:dyDescent="0.35">
      <c r="I3037" s="63"/>
      <c r="J3037" s="63"/>
    </row>
    <row r="3038" spans="9:10" x14ac:dyDescent="0.35">
      <c r="I3038" s="63"/>
      <c r="J3038" s="63"/>
    </row>
    <row r="3039" spans="9:10" x14ac:dyDescent="0.35">
      <c r="I3039" s="63"/>
      <c r="J3039" s="63"/>
    </row>
    <row r="3040" spans="9:10" x14ac:dyDescent="0.35">
      <c r="I3040" s="63"/>
      <c r="J3040" s="63"/>
    </row>
    <row r="3041" spans="9:10" x14ac:dyDescent="0.35">
      <c r="I3041" s="63"/>
      <c r="J3041" s="63"/>
    </row>
    <row r="3042" spans="9:10" x14ac:dyDescent="0.35">
      <c r="I3042" s="63"/>
      <c r="J3042" s="63"/>
    </row>
    <row r="3043" spans="9:10" x14ac:dyDescent="0.35">
      <c r="I3043" s="63"/>
      <c r="J3043" s="63"/>
    </row>
    <row r="3044" spans="9:10" x14ac:dyDescent="0.35">
      <c r="I3044" s="63"/>
      <c r="J3044" s="63"/>
    </row>
    <row r="3045" spans="9:10" x14ac:dyDescent="0.35">
      <c r="I3045" s="63"/>
      <c r="J3045" s="63"/>
    </row>
    <row r="3046" spans="9:10" x14ac:dyDescent="0.35">
      <c r="I3046" s="63"/>
      <c r="J3046" s="63"/>
    </row>
    <row r="3047" spans="9:10" x14ac:dyDescent="0.35">
      <c r="I3047" s="63"/>
      <c r="J3047" s="63"/>
    </row>
    <row r="3048" spans="9:10" x14ac:dyDescent="0.35">
      <c r="I3048" s="63"/>
      <c r="J3048" s="63"/>
    </row>
    <row r="3049" spans="9:10" x14ac:dyDescent="0.35">
      <c r="I3049" s="63"/>
      <c r="J3049" s="63"/>
    </row>
    <row r="3050" spans="9:10" x14ac:dyDescent="0.35">
      <c r="I3050" s="63"/>
      <c r="J3050" s="63"/>
    </row>
    <row r="3051" spans="9:10" x14ac:dyDescent="0.35">
      <c r="I3051" s="63"/>
      <c r="J3051" s="63"/>
    </row>
    <row r="3052" spans="9:10" x14ac:dyDescent="0.35">
      <c r="I3052" s="63"/>
      <c r="J3052" s="63"/>
    </row>
    <row r="3053" spans="9:10" x14ac:dyDescent="0.35">
      <c r="I3053" s="63"/>
      <c r="J3053" s="63"/>
    </row>
    <row r="3054" spans="9:10" x14ac:dyDescent="0.35">
      <c r="I3054" s="63"/>
      <c r="J3054" s="63"/>
    </row>
    <row r="3055" spans="9:10" x14ac:dyDescent="0.35">
      <c r="I3055" s="63"/>
      <c r="J3055" s="63"/>
    </row>
    <row r="3056" spans="9:10" x14ac:dyDescent="0.35">
      <c r="I3056" s="63"/>
      <c r="J3056" s="63"/>
    </row>
    <row r="3057" spans="9:10" x14ac:dyDescent="0.35">
      <c r="I3057" s="63"/>
      <c r="J3057" s="63"/>
    </row>
    <row r="3058" spans="9:10" x14ac:dyDescent="0.35">
      <c r="I3058" s="63"/>
      <c r="J3058" s="63"/>
    </row>
    <row r="3059" spans="9:10" x14ac:dyDescent="0.35">
      <c r="I3059" s="63"/>
      <c r="J3059" s="63"/>
    </row>
    <row r="3060" spans="9:10" x14ac:dyDescent="0.35">
      <c r="I3060" s="63"/>
      <c r="J3060" s="63"/>
    </row>
    <row r="3061" spans="9:10" x14ac:dyDescent="0.35">
      <c r="I3061" s="63"/>
      <c r="J3061" s="63"/>
    </row>
    <row r="3062" spans="9:10" x14ac:dyDescent="0.35">
      <c r="I3062" s="63"/>
      <c r="J3062" s="63"/>
    </row>
    <row r="3063" spans="9:10" x14ac:dyDescent="0.35">
      <c r="I3063" s="63"/>
      <c r="J3063" s="63"/>
    </row>
    <row r="3064" spans="9:10" x14ac:dyDescent="0.35">
      <c r="I3064" s="63"/>
      <c r="J3064" s="63"/>
    </row>
    <row r="3065" spans="9:10" x14ac:dyDescent="0.35">
      <c r="I3065" s="63"/>
      <c r="J3065" s="63"/>
    </row>
    <row r="3066" spans="9:10" x14ac:dyDescent="0.35">
      <c r="I3066" s="63"/>
      <c r="J3066" s="63"/>
    </row>
    <row r="3067" spans="9:10" x14ac:dyDescent="0.35">
      <c r="I3067" s="63"/>
      <c r="J3067" s="63"/>
    </row>
    <row r="3068" spans="9:10" x14ac:dyDescent="0.35">
      <c r="I3068" s="63"/>
      <c r="J3068" s="63"/>
    </row>
    <row r="3069" spans="9:10" x14ac:dyDescent="0.35">
      <c r="I3069" s="63"/>
      <c r="J3069" s="63"/>
    </row>
    <row r="3070" spans="9:10" x14ac:dyDescent="0.35">
      <c r="I3070" s="63"/>
      <c r="J3070" s="63"/>
    </row>
    <row r="3071" spans="9:10" x14ac:dyDescent="0.35">
      <c r="I3071" s="63"/>
      <c r="J3071" s="63"/>
    </row>
    <row r="3072" spans="9:10" x14ac:dyDescent="0.35">
      <c r="I3072" s="63"/>
      <c r="J3072" s="63"/>
    </row>
    <row r="3073" spans="9:10" x14ac:dyDescent="0.35">
      <c r="I3073" s="63"/>
      <c r="J3073" s="63"/>
    </row>
    <row r="3074" spans="9:10" x14ac:dyDescent="0.35">
      <c r="I3074" s="63"/>
      <c r="J3074" s="63"/>
    </row>
    <row r="3075" spans="9:10" x14ac:dyDescent="0.35">
      <c r="I3075" s="63"/>
      <c r="J3075" s="63"/>
    </row>
    <row r="3076" spans="9:10" x14ac:dyDescent="0.35">
      <c r="I3076" s="63"/>
      <c r="J3076" s="63"/>
    </row>
    <row r="3077" spans="9:10" x14ac:dyDescent="0.35">
      <c r="I3077" s="63"/>
      <c r="J3077" s="63"/>
    </row>
    <row r="3078" spans="9:10" x14ac:dyDescent="0.35">
      <c r="I3078" s="63"/>
      <c r="J3078" s="63"/>
    </row>
    <row r="3079" spans="9:10" x14ac:dyDescent="0.35">
      <c r="I3079" s="63"/>
      <c r="J3079" s="63"/>
    </row>
    <row r="3080" spans="9:10" x14ac:dyDescent="0.35">
      <c r="I3080" s="63"/>
      <c r="J3080" s="63"/>
    </row>
    <row r="3081" spans="9:10" x14ac:dyDescent="0.35">
      <c r="I3081" s="63"/>
      <c r="J3081" s="63"/>
    </row>
    <row r="3082" spans="9:10" x14ac:dyDescent="0.35">
      <c r="I3082" s="63"/>
      <c r="J3082" s="63"/>
    </row>
    <row r="3083" spans="9:10" x14ac:dyDescent="0.35">
      <c r="I3083" s="63"/>
      <c r="J3083" s="63"/>
    </row>
    <row r="3084" spans="9:10" x14ac:dyDescent="0.35">
      <c r="I3084" s="63"/>
      <c r="J3084" s="63"/>
    </row>
    <row r="3085" spans="9:10" x14ac:dyDescent="0.35">
      <c r="I3085" s="63"/>
      <c r="J3085" s="63"/>
    </row>
    <row r="3086" spans="9:10" x14ac:dyDescent="0.35">
      <c r="I3086" s="63"/>
      <c r="J3086" s="63"/>
    </row>
    <row r="3087" spans="9:10" x14ac:dyDescent="0.35">
      <c r="I3087" s="63"/>
      <c r="J3087" s="63"/>
    </row>
    <row r="3088" spans="9:10" x14ac:dyDescent="0.35">
      <c r="I3088" s="63"/>
      <c r="J3088" s="63"/>
    </row>
    <row r="3089" spans="9:10" x14ac:dyDescent="0.35">
      <c r="I3089" s="63"/>
      <c r="J3089" s="63"/>
    </row>
    <row r="3090" spans="9:10" x14ac:dyDescent="0.35">
      <c r="I3090" s="63"/>
      <c r="J3090" s="63"/>
    </row>
    <row r="3091" spans="9:10" x14ac:dyDescent="0.35">
      <c r="I3091" s="63"/>
      <c r="J3091" s="63"/>
    </row>
    <row r="3092" spans="9:10" x14ac:dyDescent="0.35">
      <c r="I3092" s="63"/>
      <c r="J3092" s="63"/>
    </row>
    <row r="3093" spans="9:10" x14ac:dyDescent="0.35">
      <c r="I3093" s="63"/>
      <c r="J3093" s="63"/>
    </row>
    <row r="3094" spans="9:10" x14ac:dyDescent="0.35">
      <c r="I3094" s="63"/>
      <c r="J3094" s="63"/>
    </row>
    <row r="3095" spans="9:10" x14ac:dyDescent="0.35">
      <c r="I3095" s="63"/>
      <c r="J3095" s="63"/>
    </row>
    <row r="3096" spans="9:10" x14ac:dyDescent="0.35">
      <c r="I3096" s="63"/>
      <c r="J3096" s="63"/>
    </row>
    <row r="3097" spans="9:10" x14ac:dyDescent="0.35">
      <c r="I3097" s="63"/>
      <c r="J3097" s="63"/>
    </row>
    <row r="3098" spans="9:10" x14ac:dyDescent="0.35">
      <c r="I3098" s="63"/>
      <c r="J3098" s="63"/>
    </row>
    <row r="3099" spans="9:10" x14ac:dyDescent="0.35">
      <c r="I3099" s="63"/>
      <c r="J3099" s="63"/>
    </row>
    <row r="3100" spans="9:10" x14ac:dyDescent="0.35">
      <c r="I3100" s="63"/>
      <c r="J3100" s="63"/>
    </row>
    <row r="3101" spans="9:10" x14ac:dyDescent="0.35">
      <c r="I3101" s="63"/>
      <c r="J3101" s="63"/>
    </row>
    <row r="3102" spans="9:10" x14ac:dyDescent="0.35">
      <c r="I3102" s="63"/>
      <c r="J3102" s="63"/>
    </row>
    <row r="3103" spans="9:10" x14ac:dyDescent="0.35">
      <c r="I3103" s="63"/>
      <c r="J3103" s="63"/>
    </row>
    <row r="3104" spans="9:10" x14ac:dyDescent="0.35">
      <c r="I3104" s="63"/>
      <c r="J3104" s="63"/>
    </row>
    <row r="3105" spans="9:10" x14ac:dyDescent="0.35">
      <c r="I3105" s="63"/>
      <c r="J3105" s="63"/>
    </row>
    <row r="3106" spans="9:10" x14ac:dyDescent="0.35">
      <c r="I3106" s="63"/>
      <c r="J3106" s="63"/>
    </row>
    <row r="3107" spans="9:10" x14ac:dyDescent="0.35">
      <c r="I3107" s="63"/>
      <c r="J3107" s="63"/>
    </row>
    <row r="3108" spans="9:10" x14ac:dyDescent="0.35">
      <c r="I3108" s="63"/>
      <c r="J3108" s="63"/>
    </row>
    <row r="3109" spans="9:10" x14ac:dyDescent="0.35">
      <c r="I3109" s="63"/>
      <c r="J3109" s="63"/>
    </row>
    <row r="3110" spans="9:10" x14ac:dyDescent="0.35">
      <c r="I3110" s="63"/>
      <c r="J3110" s="63"/>
    </row>
    <row r="3111" spans="9:10" x14ac:dyDescent="0.35">
      <c r="I3111" s="63"/>
      <c r="J3111" s="63"/>
    </row>
    <row r="3112" spans="9:10" x14ac:dyDescent="0.35">
      <c r="I3112" s="63"/>
      <c r="J3112" s="63"/>
    </row>
    <row r="3113" spans="9:10" x14ac:dyDescent="0.35">
      <c r="I3113" s="63"/>
      <c r="J3113" s="63"/>
    </row>
    <row r="3114" spans="9:10" x14ac:dyDescent="0.35">
      <c r="I3114" s="63"/>
      <c r="J3114" s="63"/>
    </row>
    <row r="3115" spans="9:10" x14ac:dyDescent="0.35">
      <c r="I3115" s="63"/>
      <c r="J3115" s="63"/>
    </row>
    <row r="3116" spans="9:10" x14ac:dyDescent="0.35">
      <c r="I3116" s="63"/>
      <c r="J3116" s="63"/>
    </row>
    <row r="3117" spans="9:10" x14ac:dyDescent="0.35">
      <c r="I3117" s="63"/>
      <c r="J3117" s="63"/>
    </row>
    <row r="3118" spans="9:10" x14ac:dyDescent="0.35">
      <c r="I3118" s="63"/>
      <c r="J3118" s="63"/>
    </row>
    <row r="3119" spans="9:10" x14ac:dyDescent="0.35">
      <c r="I3119" s="63"/>
      <c r="J3119" s="63"/>
    </row>
    <row r="3120" spans="9:10" x14ac:dyDescent="0.35">
      <c r="I3120" s="63"/>
      <c r="J3120" s="63"/>
    </row>
    <row r="3121" spans="9:10" x14ac:dyDescent="0.35">
      <c r="I3121" s="63"/>
      <c r="J3121" s="63"/>
    </row>
    <row r="3122" spans="9:10" x14ac:dyDescent="0.35">
      <c r="I3122" s="63"/>
      <c r="J3122" s="63"/>
    </row>
    <row r="3123" spans="9:10" x14ac:dyDescent="0.35">
      <c r="I3123" s="63"/>
      <c r="J3123" s="63"/>
    </row>
    <row r="3124" spans="9:10" x14ac:dyDescent="0.35">
      <c r="I3124" s="63"/>
      <c r="J3124" s="63"/>
    </row>
    <row r="3125" spans="9:10" x14ac:dyDescent="0.35">
      <c r="I3125" s="63"/>
      <c r="J3125" s="63"/>
    </row>
    <row r="3126" spans="9:10" x14ac:dyDescent="0.35">
      <c r="I3126" s="63"/>
      <c r="J3126" s="63"/>
    </row>
    <row r="3127" spans="9:10" x14ac:dyDescent="0.35">
      <c r="I3127" s="63"/>
      <c r="J3127" s="63"/>
    </row>
    <row r="3128" spans="9:10" x14ac:dyDescent="0.35">
      <c r="I3128" s="63"/>
      <c r="J3128" s="63"/>
    </row>
    <row r="3129" spans="9:10" x14ac:dyDescent="0.35">
      <c r="I3129" s="63"/>
      <c r="J3129" s="63"/>
    </row>
    <row r="3130" spans="9:10" x14ac:dyDescent="0.35">
      <c r="I3130" s="63"/>
      <c r="J3130" s="63"/>
    </row>
    <row r="3131" spans="9:10" x14ac:dyDescent="0.35">
      <c r="I3131" s="63"/>
      <c r="J3131" s="63"/>
    </row>
    <row r="3132" spans="9:10" x14ac:dyDescent="0.35">
      <c r="I3132" s="63"/>
      <c r="J3132" s="63"/>
    </row>
    <row r="3133" spans="9:10" x14ac:dyDescent="0.35">
      <c r="I3133" s="63"/>
      <c r="J3133" s="63"/>
    </row>
    <row r="3134" spans="9:10" x14ac:dyDescent="0.35">
      <c r="I3134" s="63"/>
      <c r="J3134" s="63"/>
    </row>
    <row r="3135" spans="9:10" x14ac:dyDescent="0.35">
      <c r="I3135" s="63"/>
      <c r="J3135" s="63"/>
    </row>
    <row r="3136" spans="9:10" x14ac:dyDescent="0.35">
      <c r="I3136" s="63"/>
      <c r="J3136" s="63"/>
    </row>
    <row r="3137" spans="9:10" x14ac:dyDescent="0.35">
      <c r="I3137" s="63"/>
      <c r="J3137" s="63"/>
    </row>
    <row r="3138" spans="9:10" x14ac:dyDescent="0.35">
      <c r="I3138" s="63"/>
      <c r="J3138" s="63"/>
    </row>
    <row r="3139" spans="9:10" x14ac:dyDescent="0.35">
      <c r="I3139" s="63"/>
      <c r="J3139" s="63"/>
    </row>
    <row r="3140" spans="9:10" x14ac:dyDescent="0.35">
      <c r="I3140" s="63"/>
      <c r="J3140" s="63"/>
    </row>
    <row r="3141" spans="9:10" x14ac:dyDescent="0.35">
      <c r="I3141" s="63"/>
      <c r="J3141" s="63"/>
    </row>
    <row r="3142" spans="9:10" x14ac:dyDescent="0.35">
      <c r="I3142" s="63"/>
      <c r="J3142" s="63"/>
    </row>
    <row r="3143" spans="9:10" x14ac:dyDescent="0.35">
      <c r="I3143" s="63"/>
      <c r="J3143" s="63"/>
    </row>
    <row r="3144" spans="9:10" x14ac:dyDescent="0.35">
      <c r="I3144" s="63"/>
      <c r="J3144" s="63"/>
    </row>
    <row r="3145" spans="9:10" x14ac:dyDescent="0.35">
      <c r="I3145" s="63"/>
      <c r="J3145" s="63"/>
    </row>
    <row r="3146" spans="9:10" x14ac:dyDescent="0.35">
      <c r="I3146" s="63"/>
      <c r="J3146" s="63"/>
    </row>
    <row r="3147" spans="9:10" x14ac:dyDescent="0.35">
      <c r="I3147" s="63"/>
      <c r="J3147" s="63"/>
    </row>
    <row r="3148" spans="9:10" x14ac:dyDescent="0.35">
      <c r="I3148" s="63"/>
      <c r="J3148" s="63"/>
    </row>
    <row r="3149" spans="9:10" x14ac:dyDescent="0.35">
      <c r="I3149" s="63"/>
      <c r="J3149" s="63"/>
    </row>
    <row r="3150" spans="9:10" x14ac:dyDescent="0.35">
      <c r="I3150" s="63"/>
      <c r="J3150" s="63"/>
    </row>
    <row r="3151" spans="9:10" x14ac:dyDescent="0.35">
      <c r="I3151" s="63"/>
      <c r="J3151" s="63"/>
    </row>
    <row r="3152" spans="9:10" x14ac:dyDescent="0.35">
      <c r="I3152" s="63"/>
      <c r="J3152" s="63"/>
    </row>
    <row r="3153" spans="9:10" x14ac:dyDescent="0.35">
      <c r="I3153" s="63"/>
      <c r="J3153" s="63"/>
    </row>
    <row r="3154" spans="9:10" x14ac:dyDescent="0.35">
      <c r="I3154" s="63"/>
      <c r="J3154" s="63"/>
    </row>
    <row r="3155" spans="9:10" x14ac:dyDescent="0.35">
      <c r="I3155" s="63"/>
      <c r="J3155" s="63"/>
    </row>
    <row r="3156" spans="9:10" x14ac:dyDescent="0.35">
      <c r="I3156" s="63"/>
      <c r="J3156" s="63"/>
    </row>
    <row r="3157" spans="9:10" x14ac:dyDescent="0.35">
      <c r="I3157" s="63"/>
      <c r="J3157" s="63"/>
    </row>
    <row r="3158" spans="9:10" x14ac:dyDescent="0.35">
      <c r="I3158" s="63"/>
      <c r="J3158" s="63"/>
    </row>
    <row r="3159" spans="9:10" x14ac:dyDescent="0.35">
      <c r="I3159" s="63"/>
      <c r="J3159" s="63"/>
    </row>
    <row r="3160" spans="9:10" x14ac:dyDescent="0.35">
      <c r="I3160" s="63"/>
      <c r="J3160" s="63"/>
    </row>
    <row r="3161" spans="9:10" x14ac:dyDescent="0.35">
      <c r="I3161" s="63"/>
      <c r="J3161" s="63"/>
    </row>
    <row r="3162" spans="9:10" x14ac:dyDescent="0.35">
      <c r="I3162" s="63"/>
      <c r="J3162" s="63"/>
    </row>
    <row r="3163" spans="9:10" x14ac:dyDescent="0.35">
      <c r="I3163" s="63"/>
      <c r="J3163" s="63"/>
    </row>
    <row r="3164" spans="9:10" x14ac:dyDescent="0.35">
      <c r="I3164" s="63"/>
      <c r="J3164" s="63"/>
    </row>
    <row r="3165" spans="9:10" x14ac:dyDescent="0.35">
      <c r="I3165" s="63"/>
      <c r="J3165" s="63"/>
    </row>
    <row r="3166" spans="9:10" x14ac:dyDescent="0.35">
      <c r="I3166" s="63"/>
      <c r="J3166" s="63"/>
    </row>
    <row r="3167" spans="9:10" x14ac:dyDescent="0.35">
      <c r="I3167" s="63"/>
      <c r="J3167" s="63"/>
    </row>
    <row r="3168" spans="9:10" x14ac:dyDescent="0.35">
      <c r="I3168" s="63"/>
      <c r="J3168" s="63"/>
    </row>
    <row r="3169" spans="9:10" x14ac:dyDescent="0.35">
      <c r="I3169" s="63"/>
      <c r="J3169" s="63"/>
    </row>
    <row r="3170" spans="9:10" x14ac:dyDescent="0.35">
      <c r="I3170" s="63"/>
      <c r="J3170" s="63"/>
    </row>
    <row r="3171" spans="9:10" x14ac:dyDescent="0.35">
      <c r="I3171" s="63"/>
      <c r="J3171" s="63"/>
    </row>
    <row r="3172" spans="9:10" x14ac:dyDescent="0.35">
      <c r="I3172" s="63"/>
      <c r="J3172" s="63"/>
    </row>
    <row r="3173" spans="9:10" x14ac:dyDescent="0.35">
      <c r="I3173" s="63"/>
      <c r="J3173" s="63"/>
    </row>
    <row r="3174" spans="9:10" x14ac:dyDescent="0.35">
      <c r="I3174" s="63"/>
      <c r="J3174" s="63"/>
    </row>
    <row r="3175" spans="9:10" x14ac:dyDescent="0.35">
      <c r="I3175" s="63"/>
      <c r="J3175" s="63"/>
    </row>
    <row r="3176" spans="9:10" x14ac:dyDescent="0.35">
      <c r="I3176" s="63"/>
      <c r="J3176" s="63"/>
    </row>
    <row r="3177" spans="9:10" x14ac:dyDescent="0.35">
      <c r="I3177" s="63"/>
      <c r="J3177" s="63"/>
    </row>
    <row r="3178" spans="9:10" x14ac:dyDescent="0.35">
      <c r="I3178" s="63"/>
      <c r="J3178" s="63"/>
    </row>
    <row r="3179" spans="9:10" x14ac:dyDescent="0.35">
      <c r="I3179" s="63"/>
      <c r="J3179" s="63"/>
    </row>
    <row r="3180" spans="9:10" x14ac:dyDescent="0.35">
      <c r="I3180" s="63"/>
      <c r="J3180" s="63"/>
    </row>
    <row r="3181" spans="9:10" x14ac:dyDescent="0.35">
      <c r="I3181" s="63"/>
      <c r="J3181" s="63"/>
    </row>
    <row r="3182" spans="9:10" x14ac:dyDescent="0.35">
      <c r="I3182" s="63"/>
      <c r="J3182" s="63"/>
    </row>
    <row r="3183" spans="9:10" x14ac:dyDescent="0.35">
      <c r="I3183" s="63"/>
      <c r="J3183" s="63"/>
    </row>
    <row r="3184" spans="9:10" x14ac:dyDescent="0.35">
      <c r="I3184" s="63"/>
      <c r="J3184" s="63"/>
    </row>
    <row r="3185" spans="9:10" x14ac:dyDescent="0.35">
      <c r="I3185" s="63"/>
      <c r="J3185" s="63"/>
    </row>
    <row r="3186" spans="9:10" x14ac:dyDescent="0.35">
      <c r="I3186" s="63"/>
      <c r="J3186" s="63"/>
    </row>
    <row r="3187" spans="9:10" x14ac:dyDescent="0.35">
      <c r="I3187" s="63"/>
      <c r="J3187" s="63"/>
    </row>
    <row r="3188" spans="9:10" x14ac:dyDescent="0.35">
      <c r="I3188" s="63"/>
      <c r="J3188" s="63"/>
    </row>
    <row r="3189" spans="9:10" x14ac:dyDescent="0.35">
      <c r="I3189" s="63"/>
      <c r="J3189" s="63"/>
    </row>
    <row r="3190" spans="9:10" x14ac:dyDescent="0.35">
      <c r="I3190" s="63"/>
      <c r="J3190" s="63"/>
    </row>
    <row r="3191" spans="9:10" x14ac:dyDescent="0.35">
      <c r="I3191" s="63"/>
      <c r="J3191" s="63"/>
    </row>
    <row r="3192" spans="9:10" x14ac:dyDescent="0.35">
      <c r="I3192" s="63"/>
      <c r="J3192" s="63"/>
    </row>
    <row r="3193" spans="9:10" x14ac:dyDescent="0.35">
      <c r="I3193" s="63"/>
      <c r="J3193" s="63"/>
    </row>
    <row r="3194" spans="9:10" x14ac:dyDescent="0.35">
      <c r="I3194" s="63"/>
      <c r="J3194" s="63"/>
    </row>
    <row r="3195" spans="9:10" x14ac:dyDescent="0.35">
      <c r="I3195" s="63"/>
      <c r="J3195" s="63"/>
    </row>
    <row r="3196" spans="9:10" x14ac:dyDescent="0.35">
      <c r="I3196" s="63"/>
      <c r="J3196" s="63"/>
    </row>
    <row r="3197" spans="9:10" x14ac:dyDescent="0.35">
      <c r="I3197" s="63"/>
      <c r="J3197" s="63"/>
    </row>
    <row r="3198" spans="9:10" x14ac:dyDescent="0.35">
      <c r="I3198" s="63"/>
      <c r="J3198" s="63"/>
    </row>
    <row r="3199" spans="9:10" x14ac:dyDescent="0.35">
      <c r="I3199" s="63"/>
      <c r="J3199" s="63"/>
    </row>
    <row r="3200" spans="9:10" x14ac:dyDescent="0.35">
      <c r="I3200" s="63"/>
      <c r="J3200" s="63"/>
    </row>
    <row r="3201" spans="9:10" x14ac:dyDescent="0.35">
      <c r="I3201" s="63"/>
      <c r="J3201" s="63"/>
    </row>
    <row r="3202" spans="9:10" x14ac:dyDescent="0.35">
      <c r="I3202" s="63"/>
      <c r="J3202" s="63"/>
    </row>
    <row r="3203" spans="9:10" x14ac:dyDescent="0.35">
      <c r="I3203" s="63"/>
      <c r="J3203" s="63"/>
    </row>
    <row r="3204" spans="9:10" x14ac:dyDescent="0.35">
      <c r="I3204" s="63"/>
      <c r="J3204" s="63"/>
    </row>
    <row r="3205" spans="9:10" x14ac:dyDescent="0.35">
      <c r="I3205" s="63"/>
      <c r="J3205" s="63"/>
    </row>
    <row r="3206" spans="9:10" x14ac:dyDescent="0.35">
      <c r="I3206" s="63"/>
      <c r="J3206" s="63"/>
    </row>
    <row r="3207" spans="9:10" x14ac:dyDescent="0.35">
      <c r="I3207" s="63"/>
      <c r="J3207" s="63"/>
    </row>
    <row r="3208" spans="9:10" x14ac:dyDescent="0.35">
      <c r="I3208" s="63"/>
      <c r="J3208" s="63"/>
    </row>
    <row r="3209" spans="9:10" x14ac:dyDescent="0.35">
      <c r="I3209" s="63"/>
      <c r="J3209" s="63"/>
    </row>
    <row r="3210" spans="9:10" x14ac:dyDescent="0.35">
      <c r="I3210" s="63"/>
      <c r="J3210" s="63"/>
    </row>
    <row r="3211" spans="9:10" x14ac:dyDescent="0.35">
      <c r="I3211" s="63"/>
      <c r="J3211" s="63"/>
    </row>
    <row r="3212" spans="9:10" x14ac:dyDescent="0.35">
      <c r="I3212" s="63"/>
      <c r="J3212" s="63"/>
    </row>
    <row r="3213" spans="9:10" x14ac:dyDescent="0.35">
      <c r="I3213" s="63"/>
      <c r="J3213" s="63"/>
    </row>
    <row r="3214" spans="9:10" x14ac:dyDescent="0.35">
      <c r="I3214" s="63"/>
      <c r="J3214" s="63"/>
    </row>
    <row r="3215" spans="9:10" x14ac:dyDescent="0.35">
      <c r="I3215" s="63"/>
      <c r="J3215" s="63"/>
    </row>
    <row r="3216" spans="9:10" x14ac:dyDescent="0.35">
      <c r="I3216" s="63"/>
      <c r="J3216" s="63"/>
    </row>
    <row r="3217" spans="9:10" x14ac:dyDescent="0.35">
      <c r="I3217" s="63"/>
      <c r="J3217" s="63"/>
    </row>
    <row r="3218" spans="9:10" x14ac:dyDescent="0.35">
      <c r="I3218" s="63"/>
      <c r="J3218" s="63"/>
    </row>
    <row r="3219" spans="9:10" x14ac:dyDescent="0.35">
      <c r="I3219" s="63"/>
      <c r="J3219" s="63"/>
    </row>
    <row r="3220" spans="9:10" x14ac:dyDescent="0.35">
      <c r="I3220" s="63"/>
      <c r="J3220" s="63"/>
    </row>
    <row r="3221" spans="9:10" x14ac:dyDescent="0.35">
      <c r="I3221" s="63"/>
      <c r="J3221" s="63"/>
    </row>
    <row r="3222" spans="9:10" x14ac:dyDescent="0.35">
      <c r="I3222" s="63"/>
      <c r="J3222" s="63"/>
    </row>
    <row r="3223" spans="9:10" x14ac:dyDescent="0.35">
      <c r="I3223" s="63"/>
      <c r="J3223" s="63"/>
    </row>
    <row r="3224" spans="9:10" x14ac:dyDescent="0.35">
      <c r="I3224" s="63"/>
      <c r="J3224" s="63"/>
    </row>
    <row r="3225" spans="9:10" x14ac:dyDescent="0.35">
      <c r="I3225" s="63"/>
      <c r="J3225" s="63"/>
    </row>
    <row r="3226" spans="9:10" x14ac:dyDescent="0.35">
      <c r="I3226" s="63"/>
      <c r="J3226" s="63"/>
    </row>
    <row r="3227" spans="9:10" x14ac:dyDescent="0.35">
      <c r="I3227" s="63"/>
      <c r="J3227" s="63"/>
    </row>
    <row r="3228" spans="9:10" x14ac:dyDescent="0.35">
      <c r="I3228" s="63"/>
      <c r="J3228" s="63"/>
    </row>
    <row r="3229" spans="9:10" x14ac:dyDescent="0.35">
      <c r="I3229" s="63"/>
      <c r="J3229" s="63"/>
    </row>
    <row r="3230" spans="9:10" x14ac:dyDescent="0.35">
      <c r="I3230" s="63"/>
      <c r="J3230" s="63"/>
    </row>
    <row r="3231" spans="9:10" x14ac:dyDescent="0.35">
      <c r="I3231" s="63"/>
      <c r="J3231" s="63"/>
    </row>
    <row r="3232" spans="9:10" x14ac:dyDescent="0.35">
      <c r="I3232" s="63"/>
      <c r="J3232" s="63"/>
    </row>
    <row r="3233" spans="9:10" x14ac:dyDescent="0.35">
      <c r="I3233" s="63"/>
      <c r="J3233" s="63"/>
    </row>
    <row r="3234" spans="9:10" x14ac:dyDescent="0.35">
      <c r="I3234" s="63"/>
      <c r="J3234" s="63"/>
    </row>
    <row r="3235" spans="9:10" x14ac:dyDescent="0.35">
      <c r="I3235" s="63"/>
      <c r="J3235" s="63"/>
    </row>
    <row r="3236" spans="9:10" x14ac:dyDescent="0.35">
      <c r="I3236" s="63"/>
      <c r="J3236" s="63"/>
    </row>
    <row r="3237" spans="9:10" x14ac:dyDescent="0.35">
      <c r="I3237" s="63"/>
      <c r="J3237" s="63"/>
    </row>
    <row r="3238" spans="9:10" x14ac:dyDescent="0.35">
      <c r="I3238" s="63"/>
      <c r="J3238" s="63"/>
    </row>
    <row r="3239" spans="9:10" x14ac:dyDescent="0.35">
      <c r="I3239" s="63"/>
      <c r="J3239" s="63"/>
    </row>
    <row r="3240" spans="9:10" x14ac:dyDescent="0.35">
      <c r="I3240" s="63"/>
      <c r="J3240" s="63"/>
    </row>
    <row r="3241" spans="9:10" x14ac:dyDescent="0.35">
      <c r="I3241" s="63"/>
      <c r="J3241" s="63"/>
    </row>
    <row r="3242" spans="9:10" x14ac:dyDescent="0.35">
      <c r="I3242" s="63"/>
      <c r="J3242" s="63"/>
    </row>
    <row r="3243" spans="9:10" x14ac:dyDescent="0.35">
      <c r="I3243" s="63"/>
      <c r="J3243" s="63"/>
    </row>
    <row r="3244" spans="9:10" x14ac:dyDescent="0.35">
      <c r="I3244" s="63"/>
      <c r="J3244" s="63"/>
    </row>
    <row r="3245" spans="9:10" x14ac:dyDescent="0.35">
      <c r="I3245" s="63"/>
      <c r="J3245" s="63"/>
    </row>
    <row r="3246" spans="9:10" x14ac:dyDescent="0.35">
      <c r="I3246" s="63"/>
      <c r="J3246" s="63"/>
    </row>
    <row r="3247" spans="9:10" x14ac:dyDescent="0.35">
      <c r="I3247" s="63"/>
      <c r="J3247" s="63"/>
    </row>
    <row r="3248" spans="9:10" x14ac:dyDescent="0.35">
      <c r="I3248" s="63"/>
      <c r="J3248" s="63"/>
    </row>
    <row r="3249" spans="9:10" x14ac:dyDescent="0.35">
      <c r="I3249" s="63"/>
      <c r="J3249" s="63"/>
    </row>
    <row r="3250" spans="9:10" x14ac:dyDescent="0.35">
      <c r="I3250" s="63"/>
      <c r="J3250" s="63"/>
    </row>
    <row r="3251" spans="9:10" x14ac:dyDescent="0.35">
      <c r="I3251" s="63"/>
      <c r="J3251" s="63"/>
    </row>
    <row r="3252" spans="9:10" x14ac:dyDescent="0.35">
      <c r="I3252" s="63"/>
      <c r="J3252" s="63"/>
    </row>
    <row r="3253" spans="9:10" x14ac:dyDescent="0.35">
      <c r="I3253" s="63"/>
      <c r="J3253" s="63"/>
    </row>
    <row r="3254" spans="9:10" x14ac:dyDescent="0.35">
      <c r="I3254" s="63"/>
      <c r="J3254" s="63"/>
    </row>
    <row r="3255" spans="9:10" x14ac:dyDescent="0.35">
      <c r="I3255" s="63"/>
      <c r="J3255" s="63"/>
    </row>
    <row r="3256" spans="9:10" x14ac:dyDescent="0.35">
      <c r="I3256" s="63"/>
      <c r="J3256" s="63"/>
    </row>
    <row r="3257" spans="9:10" x14ac:dyDescent="0.35">
      <c r="I3257" s="63"/>
      <c r="J3257" s="63"/>
    </row>
    <row r="3258" spans="9:10" x14ac:dyDescent="0.35">
      <c r="I3258" s="63"/>
      <c r="J3258" s="63"/>
    </row>
    <row r="3259" spans="9:10" x14ac:dyDescent="0.35">
      <c r="I3259" s="63"/>
      <c r="J3259" s="63"/>
    </row>
    <row r="3260" spans="9:10" x14ac:dyDescent="0.35">
      <c r="I3260" s="63"/>
      <c r="J3260" s="63"/>
    </row>
    <row r="3261" spans="9:10" x14ac:dyDescent="0.35">
      <c r="I3261" s="63"/>
      <c r="J3261" s="63"/>
    </row>
    <row r="3262" spans="9:10" x14ac:dyDescent="0.35">
      <c r="I3262" s="63"/>
      <c r="J3262" s="63"/>
    </row>
    <row r="3263" spans="9:10" x14ac:dyDescent="0.35">
      <c r="I3263" s="63"/>
      <c r="J3263" s="63"/>
    </row>
    <row r="3264" spans="9:10" x14ac:dyDescent="0.35">
      <c r="I3264" s="63"/>
      <c r="J3264" s="63"/>
    </row>
    <row r="3265" spans="9:10" x14ac:dyDescent="0.35">
      <c r="I3265" s="63"/>
      <c r="J3265" s="63"/>
    </row>
    <row r="3266" spans="9:10" x14ac:dyDescent="0.35">
      <c r="I3266" s="63"/>
      <c r="J3266" s="63"/>
    </row>
    <row r="3267" spans="9:10" x14ac:dyDescent="0.35">
      <c r="I3267" s="63"/>
      <c r="J3267" s="63"/>
    </row>
    <row r="3268" spans="9:10" x14ac:dyDescent="0.35">
      <c r="I3268" s="63"/>
      <c r="J3268" s="63"/>
    </row>
    <row r="3269" spans="9:10" x14ac:dyDescent="0.35">
      <c r="I3269" s="63"/>
      <c r="J3269" s="63"/>
    </row>
    <row r="3270" spans="9:10" x14ac:dyDescent="0.35">
      <c r="I3270" s="63"/>
      <c r="J3270" s="63"/>
    </row>
    <row r="3271" spans="9:10" x14ac:dyDescent="0.35">
      <c r="I3271" s="63"/>
      <c r="J3271" s="63"/>
    </row>
    <row r="3272" spans="9:10" x14ac:dyDescent="0.35">
      <c r="I3272" s="63"/>
      <c r="J3272" s="63"/>
    </row>
    <row r="3273" spans="9:10" x14ac:dyDescent="0.35">
      <c r="I3273" s="63"/>
      <c r="J3273" s="63"/>
    </row>
    <row r="3274" spans="9:10" x14ac:dyDescent="0.35">
      <c r="I3274" s="63"/>
      <c r="J3274" s="63"/>
    </row>
    <row r="3275" spans="9:10" x14ac:dyDescent="0.35">
      <c r="I3275" s="63"/>
      <c r="J3275" s="63"/>
    </row>
    <row r="3276" spans="9:10" x14ac:dyDescent="0.35">
      <c r="I3276" s="63"/>
      <c r="J3276" s="63"/>
    </row>
    <row r="3277" spans="9:10" x14ac:dyDescent="0.35">
      <c r="I3277" s="63"/>
      <c r="J3277" s="63"/>
    </row>
    <row r="3278" spans="9:10" x14ac:dyDescent="0.35">
      <c r="I3278" s="63"/>
      <c r="J3278" s="63"/>
    </row>
    <row r="3279" spans="9:10" x14ac:dyDescent="0.35">
      <c r="I3279" s="63"/>
      <c r="J3279" s="63"/>
    </row>
    <row r="3280" spans="9:10" x14ac:dyDescent="0.35">
      <c r="I3280" s="63"/>
      <c r="J3280" s="63"/>
    </row>
    <row r="3281" spans="9:10" x14ac:dyDescent="0.35">
      <c r="I3281" s="63"/>
      <c r="J3281" s="63"/>
    </row>
    <row r="3282" spans="9:10" x14ac:dyDescent="0.35">
      <c r="I3282" s="63"/>
      <c r="J3282" s="63"/>
    </row>
    <row r="3283" spans="9:10" x14ac:dyDescent="0.35">
      <c r="I3283" s="63"/>
      <c r="J3283" s="63"/>
    </row>
    <row r="3284" spans="9:10" x14ac:dyDescent="0.35">
      <c r="I3284" s="63"/>
      <c r="J3284" s="63"/>
    </row>
    <row r="3285" spans="9:10" x14ac:dyDescent="0.35">
      <c r="I3285" s="63"/>
      <c r="J3285" s="63"/>
    </row>
    <row r="3286" spans="9:10" x14ac:dyDescent="0.35">
      <c r="I3286" s="63"/>
      <c r="J3286" s="63"/>
    </row>
    <row r="3287" spans="9:10" x14ac:dyDescent="0.35">
      <c r="I3287" s="63"/>
      <c r="J3287" s="63"/>
    </row>
    <row r="3288" spans="9:10" x14ac:dyDescent="0.35">
      <c r="I3288" s="63"/>
      <c r="J3288" s="63"/>
    </row>
    <row r="3289" spans="9:10" x14ac:dyDescent="0.35">
      <c r="I3289" s="63"/>
      <c r="J3289" s="63"/>
    </row>
    <row r="3290" spans="9:10" x14ac:dyDescent="0.35">
      <c r="I3290" s="63"/>
      <c r="J3290" s="63"/>
    </row>
    <row r="3291" spans="9:10" x14ac:dyDescent="0.35">
      <c r="I3291" s="63"/>
      <c r="J3291" s="63"/>
    </row>
    <row r="3292" spans="9:10" x14ac:dyDescent="0.35">
      <c r="I3292" s="63"/>
      <c r="J3292" s="63"/>
    </row>
    <row r="3293" spans="9:10" x14ac:dyDescent="0.35">
      <c r="I3293" s="63"/>
      <c r="J3293" s="63"/>
    </row>
    <row r="3294" spans="9:10" x14ac:dyDescent="0.35">
      <c r="I3294" s="63"/>
      <c r="J3294" s="63"/>
    </row>
    <row r="3295" spans="9:10" x14ac:dyDescent="0.35">
      <c r="I3295" s="63"/>
      <c r="J3295" s="63"/>
    </row>
    <row r="3296" spans="9:10" x14ac:dyDescent="0.35">
      <c r="I3296" s="63"/>
      <c r="J3296" s="63"/>
    </row>
    <row r="3297" spans="9:10" x14ac:dyDescent="0.35">
      <c r="I3297" s="63"/>
      <c r="J3297" s="63"/>
    </row>
    <row r="3298" spans="9:10" x14ac:dyDescent="0.35">
      <c r="I3298" s="63"/>
      <c r="J3298" s="63"/>
    </row>
    <row r="3299" spans="9:10" x14ac:dyDescent="0.35">
      <c r="I3299" s="63"/>
      <c r="J3299" s="63"/>
    </row>
    <row r="3300" spans="9:10" x14ac:dyDescent="0.35">
      <c r="I3300" s="63"/>
      <c r="J3300" s="63"/>
    </row>
    <row r="3301" spans="9:10" x14ac:dyDescent="0.35">
      <c r="I3301" s="63"/>
      <c r="J3301" s="63"/>
    </row>
    <row r="3302" spans="9:10" x14ac:dyDescent="0.35">
      <c r="I3302" s="63"/>
      <c r="J3302" s="63"/>
    </row>
    <row r="3303" spans="9:10" x14ac:dyDescent="0.35">
      <c r="I3303" s="63"/>
      <c r="J3303" s="63"/>
    </row>
    <row r="3304" spans="9:10" x14ac:dyDescent="0.35">
      <c r="I3304" s="63"/>
      <c r="J3304" s="63"/>
    </row>
    <row r="3305" spans="9:10" x14ac:dyDescent="0.35">
      <c r="I3305" s="63"/>
      <c r="J3305" s="63"/>
    </row>
    <row r="3306" spans="9:10" x14ac:dyDescent="0.35">
      <c r="I3306" s="63"/>
      <c r="J3306" s="63"/>
    </row>
    <row r="3307" spans="9:10" x14ac:dyDescent="0.35">
      <c r="I3307" s="63"/>
      <c r="J3307" s="63"/>
    </row>
    <row r="3308" spans="9:10" x14ac:dyDescent="0.35">
      <c r="I3308" s="63"/>
      <c r="J3308" s="63"/>
    </row>
    <row r="3309" spans="9:10" x14ac:dyDescent="0.35">
      <c r="I3309" s="63"/>
      <c r="J3309" s="63"/>
    </row>
    <row r="3310" spans="9:10" x14ac:dyDescent="0.35">
      <c r="I3310" s="63"/>
      <c r="J3310" s="63"/>
    </row>
    <row r="3311" spans="9:10" x14ac:dyDescent="0.35">
      <c r="I3311" s="63"/>
      <c r="J3311" s="63"/>
    </row>
    <row r="3312" spans="9:10" x14ac:dyDescent="0.35">
      <c r="I3312" s="63"/>
      <c r="J3312" s="63"/>
    </row>
    <row r="3313" spans="9:10" x14ac:dyDescent="0.35">
      <c r="I3313" s="63"/>
      <c r="J3313" s="63"/>
    </row>
    <row r="3314" spans="9:10" x14ac:dyDescent="0.35">
      <c r="I3314" s="63"/>
      <c r="J3314" s="63"/>
    </row>
    <row r="3315" spans="9:10" x14ac:dyDescent="0.35">
      <c r="I3315" s="63"/>
      <c r="J3315" s="63"/>
    </row>
    <row r="3316" spans="9:10" x14ac:dyDescent="0.35">
      <c r="I3316" s="63"/>
      <c r="J3316" s="63"/>
    </row>
    <row r="3317" spans="9:10" x14ac:dyDescent="0.35">
      <c r="I3317" s="63"/>
      <c r="J3317" s="63"/>
    </row>
    <row r="3318" spans="9:10" x14ac:dyDescent="0.35">
      <c r="I3318" s="63"/>
      <c r="J3318" s="63"/>
    </row>
    <row r="3319" spans="9:10" x14ac:dyDescent="0.35">
      <c r="I3319" s="63"/>
      <c r="J3319" s="63"/>
    </row>
    <row r="3320" spans="9:10" x14ac:dyDescent="0.35">
      <c r="I3320" s="63"/>
      <c r="J3320" s="63"/>
    </row>
    <row r="3321" spans="9:10" x14ac:dyDescent="0.35">
      <c r="I3321" s="63"/>
      <c r="J3321" s="63"/>
    </row>
    <row r="3322" spans="9:10" x14ac:dyDescent="0.35">
      <c r="I3322" s="63"/>
      <c r="J3322" s="63"/>
    </row>
    <row r="3323" spans="9:10" x14ac:dyDescent="0.35">
      <c r="I3323" s="63"/>
      <c r="J3323" s="63"/>
    </row>
    <row r="3324" spans="9:10" x14ac:dyDescent="0.35">
      <c r="I3324" s="63"/>
      <c r="J3324" s="63"/>
    </row>
    <row r="3325" spans="9:10" x14ac:dyDescent="0.35">
      <c r="I3325" s="63"/>
      <c r="J3325" s="63"/>
    </row>
    <row r="3326" spans="9:10" x14ac:dyDescent="0.35">
      <c r="I3326" s="63"/>
      <c r="J3326" s="63"/>
    </row>
    <row r="3327" spans="9:10" x14ac:dyDescent="0.35">
      <c r="I3327" s="63"/>
      <c r="J3327" s="63"/>
    </row>
    <row r="3328" spans="9:10" x14ac:dyDescent="0.35">
      <c r="I3328" s="63"/>
      <c r="J3328" s="63"/>
    </row>
    <row r="3329" spans="9:10" x14ac:dyDescent="0.35">
      <c r="I3329" s="63"/>
      <c r="J3329" s="63"/>
    </row>
    <row r="3330" spans="9:10" x14ac:dyDescent="0.35">
      <c r="I3330" s="63"/>
      <c r="J3330" s="63"/>
    </row>
    <row r="3331" spans="9:10" x14ac:dyDescent="0.35">
      <c r="I3331" s="63"/>
      <c r="J3331" s="63"/>
    </row>
    <row r="3332" spans="9:10" x14ac:dyDescent="0.35">
      <c r="I3332" s="63"/>
      <c r="J3332" s="63"/>
    </row>
    <row r="3333" spans="9:10" x14ac:dyDescent="0.35">
      <c r="I3333" s="63"/>
      <c r="J3333" s="63"/>
    </row>
    <row r="3334" spans="9:10" x14ac:dyDescent="0.35">
      <c r="I3334" s="63"/>
      <c r="J3334" s="63"/>
    </row>
    <row r="3335" spans="9:10" x14ac:dyDescent="0.35">
      <c r="I3335" s="63"/>
      <c r="J3335" s="63"/>
    </row>
    <row r="3336" spans="9:10" x14ac:dyDescent="0.35">
      <c r="I3336" s="63"/>
      <c r="J3336" s="63"/>
    </row>
    <row r="3337" spans="9:10" x14ac:dyDescent="0.35">
      <c r="I3337" s="63"/>
      <c r="J3337" s="63"/>
    </row>
    <row r="3338" spans="9:10" x14ac:dyDescent="0.35">
      <c r="I3338" s="63"/>
      <c r="J3338" s="63"/>
    </row>
    <row r="3339" spans="9:10" x14ac:dyDescent="0.35">
      <c r="I3339" s="63"/>
      <c r="J3339" s="63"/>
    </row>
    <row r="3340" spans="9:10" x14ac:dyDescent="0.35">
      <c r="I3340" s="63"/>
      <c r="J3340" s="63"/>
    </row>
    <row r="3341" spans="9:10" x14ac:dyDescent="0.35">
      <c r="I3341" s="63"/>
      <c r="J3341" s="63"/>
    </row>
    <row r="3342" spans="9:10" x14ac:dyDescent="0.35">
      <c r="I3342" s="63"/>
      <c r="J3342" s="63"/>
    </row>
    <row r="3343" spans="9:10" x14ac:dyDescent="0.35">
      <c r="I3343" s="63"/>
      <c r="J3343" s="63"/>
    </row>
    <row r="3344" spans="9:10" x14ac:dyDescent="0.35">
      <c r="I3344" s="63"/>
      <c r="J3344" s="63"/>
    </row>
    <row r="3345" spans="9:10" x14ac:dyDescent="0.35">
      <c r="I3345" s="63"/>
      <c r="J3345" s="63"/>
    </row>
    <row r="3346" spans="9:10" x14ac:dyDescent="0.35">
      <c r="I3346" s="63"/>
      <c r="J3346" s="63"/>
    </row>
    <row r="3347" spans="9:10" x14ac:dyDescent="0.35">
      <c r="I3347" s="63"/>
      <c r="J3347" s="63"/>
    </row>
    <row r="3348" spans="9:10" x14ac:dyDescent="0.35">
      <c r="I3348" s="63"/>
      <c r="J3348" s="63"/>
    </row>
    <row r="3349" spans="9:10" x14ac:dyDescent="0.35">
      <c r="I3349" s="63"/>
      <c r="J3349" s="63"/>
    </row>
    <row r="3350" spans="9:10" x14ac:dyDescent="0.35">
      <c r="I3350" s="63"/>
      <c r="J3350" s="63"/>
    </row>
    <row r="3351" spans="9:10" x14ac:dyDescent="0.35">
      <c r="I3351" s="63"/>
      <c r="J3351" s="63"/>
    </row>
    <row r="3352" spans="9:10" x14ac:dyDescent="0.35">
      <c r="I3352" s="63"/>
      <c r="J3352" s="63"/>
    </row>
    <row r="3353" spans="9:10" x14ac:dyDescent="0.35">
      <c r="I3353" s="63"/>
      <c r="J3353" s="63"/>
    </row>
    <row r="3354" spans="9:10" x14ac:dyDescent="0.35">
      <c r="I3354" s="63"/>
      <c r="J3354" s="63"/>
    </row>
    <row r="3355" spans="9:10" x14ac:dyDescent="0.35">
      <c r="I3355" s="63"/>
      <c r="J3355" s="63"/>
    </row>
    <row r="3356" spans="9:10" x14ac:dyDescent="0.35">
      <c r="I3356" s="63"/>
      <c r="J3356" s="63"/>
    </row>
    <row r="3357" spans="9:10" x14ac:dyDescent="0.35">
      <c r="I3357" s="63"/>
      <c r="J3357" s="63"/>
    </row>
    <row r="3358" spans="9:10" x14ac:dyDescent="0.35">
      <c r="I3358" s="63"/>
      <c r="J3358" s="63"/>
    </row>
    <row r="3359" spans="9:10" x14ac:dyDescent="0.35">
      <c r="I3359" s="63"/>
      <c r="J3359" s="63"/>
    </row>
    <row r="3360" spans="9:10" x14ac:dyDescent="0.35">
      <c r="I3360" s="63"/>
      <c r="J3360" s="63"/>
    </row>
    <row r="3361" spans="9:10" x14ac:dyDescent="0.35">
      <c r="I3361" s="63"/>
      <c r="J3361" s="63"/>
    </row>
    <row r="3362" spans="9:10" x14ac:dyDescent="0.35">
      <c r="I3362" s="63"/>
      <c r="J3362" s="63"/>
    </row>
    <row r="3363" spans="9:10" x14ac:dyDescent="0.35">
      <c r="I3363" s="63"/>
      <c r="J3363" s="63"/>
    </row>
    <row r="3364" spans="9:10" x14ac:dyDescent="0.35">
      <c r="I3364" s="63"/>
      <c r="J3364" s="63"/>
    </row>
    <row r="3365" spans="9:10" x14ac:dyDescent="0.35">
      <c r="I3365" s="63"/>
      <c r="J3365" s="63"/>
    </row>
    <row r="3366" spans="9:10" x14ac:dyDescent="0.35">
      <c r="I3366" s="63"/>
      <c r="J3366" s="63"/>
    </row>
    <row r="3367" spans="9:10" x14ac:dyDescent="0.35">
      <c r="I3367" s="63"/>
      <c r="J3367" s="63"/>
    </row>
    <row r="3368" spans="9:10" x14ac:dyDescent="0.35">
      <c r="I3368" s="63"/>
      <c r="J3368" s="63"/>
    </row>
    <row r="3369" spans="9:10" x14ac:dyDescent="0.35">
      <c r="I3369" s="63"/>
      <c r="J3369" s="63"/>
    </row>
    <row r="3370" spans="9:10" x14ac:dyDescent="0.35">
      <c r="I3370" s="63"/>
      <c r="J3370" s="63"/>
    </row>
    <row r="3371" spans="9:10" x14ac:dyDescent="0.35">
      <c r="I3371" s="63"/>
      <c r="J3371" s="63"/>
    </row>
    <row r="3372" spans="9:10" x14ac:dyDescent="0.35">
      <c r="I3372" s="63"/>
      <c r="J3372" s="63"/>
    </row>
    <row r="3373" spans="9:10" x14ac:dyDescent="0.35">
      <c r="I3373" s="63"/>
      <c r="J3373" s="63"/>
    </row>
    <row r="3374" spans="9:10" x14ac:dyDescent="0.35">
      <c r="I3374" s="63"/>
      <c r="J3374" s="63"/>
    </row>
    <row r="3375" spans="9:10" x14ac:dyDescent="0.35">
      <c r="I3375" s="63"/>
      <c r="J3375" s="63"/>
    </row>
    <row r="3376" spans="9:10" x14ac:dyDescent="0.35">
      <c r="I3376" s="63"/>
      <c r="J3376" s="63"/>
    </row>
    <row r="3377" spans="9:10" x14ac:dyDescent="0.35">
      <c r="I3377" s="63"/>
      <c r="J3377" s="63"/>
    </row>
    <row r="3378" spans="9:10" x14ac:dyDescent="0.35">
      <c r="I3378" s="63"/>
      <c r="J3378" s="63"/>
    </row>
    <row r="3379" spans="9:10" x14ac:dyDescent="0.35">
      <c r="I3379" s="63"/>
      <c r="J3379" s="63"/>
    </row>
    <row r="3380" spans="9:10" x14ac:dyDescent="0.35">
      <c r="I3380" s="63"/>
      <c r="J3380" s="63"/>
    </row>
    <row r="3381" spans="9:10" x14ac:dyDescent="0.35">
      <c r="I3381" s="63"/>
      <c r="J3381" s="63"/>
    </row>
    <row r="3382" spans="9:10" x14ac:dyDescent="0.35">
      <c r="I3382" s="63"/>
      <c r="J3382" s="63"/>
    </row>
    <row r="3383" spans="9:10" x14ac:dyDescent="0.35">
      <c r="I3383" s="63"/>
      <c r="J3383" s="63"/>
    </row>
    <row r="3384" spans="9:10" x14ac:dyDescent="0.35">
      <c r="I3384" s="63"/>
      <c r="J3384" s="63"/>
    </row>
    <row r="3385" spans="9:10" x14ac:dyDescent="0.35">
      <c r="I3385" s="63"/>
      <c r="J3385" s="63"/>
    </row>
    <row r="3386" spans="9:10" x14ac:dyDescent="0.35">
      <c r="I3386" s="63"/>
      <c r="J3386" s="63"/>
    </row>
    <row r="3387" spans="9:10" x14ac:dyDescent="0.35">
      <c r="I3387" s="63"/>
      <c r="J3387" s="63"/>
    </row>
    <row r="3388" spans="9:10" x14ac:dyDescent="0.35">
      <c r="I3388" s="63"/>
      <c r="J3388" s="63"/>
    </row>
    <row r="3389" spans="9:10" x14ac:dyDescent="0.35">
      <c r="I3389" s="63"/>
      <c r="J3389" s="63"/>
    </row>
    <row r="3390" spans="9:10" x14ac:dyDescent="0.35">
      <c r="I3390" s="63"/>
      <c r="J3390" s="63"/>
    </row>
    <row r="3391" spans="9:10" x14ac:dyDescent="0.35">
      <c r="I3391" s="63"/>
      <c r="J3391" s="63"/>
    </row>
    <row r="3392" spans="9:10" x14ac:dyDescent="0.35">
      <c r="I3392" s="63"/>
      <c r="J3392" s="63"/>
    </row>
    <row r="3393" spans="9:10" x14ac:dyDescent="0.35">
      <c r="I3393" s="63"/>
      <c r="J3393" s="63"/>
    </row>
    <row r="3394" spans="9:10" x14ac:dyDescent="0.35">
      <c r="I3394" s="63"/>
      <c r="J3394" s="63"/>
    </row>
    <row r="3395" spans="9:10" x14ac:dyDescent="0.35">
      <c r="I3395" s="63"/>
      <c r="J3395" s="63"/>
    </row>
    <row r="3396" spans="9:10" x14ac:dyDescent="0.35">
      <c r="I3396" s="63"/>
      <c r="J3396" s="63"/>
    </row>
    <row r="3397" spans="9:10" x14ac:dyDescent="0.35">
      <c r="I3397" s="63"/>
      <c r="J3397" s="63"/>
    </row>
    <row r="3398" spans="9:10" x14ac:dyDescent="0.35">
      <c r="I3398" s="63"/>
      <c r="J3398" s="63"/>
    </row>
    <row r="3399" spans="9:10" x14ac:dyDescent="0.35">
      <c r="I3399" s="63"/>
      <c r="J3399" s="63"/>
    </row>
    <row r="3400" spans="9:10" x14ac:dyDescent="0.35">
      <c r="I3400" s="63"/>
      <c r="J3400" s="63"/>
    </row>
    <row r="3401" spans="9:10" x14ac:dyDescent="0.35">
      <c r="I3401" s="63"/>
      <c r="J3401" s="63"/>
    </row>
    <row r="3402" spans="9:10" x14ac:dyDescent="0.35">
      <c r="I3402" s="63"/>
      <c r="J3402" s="63"/>
    </row>
    <row r="3403" spans="9:10" x14ac:dyDescent="0.35">
      <c r="I3403" s="63"/>
      <c r="J3403" s="63"/>
    </row>
    <row r="3404" spans="9:10" x14ac:dyDescent="0.35">
      <c r="I3404" s="63"/>
      <c r="J3404" s="63"/>
    </row>
    <row r="3405" spans="9:10" x14ac:dyDescent="0.35">
      <c r="I3405" s="63"/>
      <c r="J3405" s="63"/>
    </row>
    <row r="3406" spans="9:10" x14ac:dyDescent="0.35">
      <c r="I3406" s="63"/>
      <c r="J3406" s="63"/>
    </row>
    <row r="3407" spans="9:10" x14ac:dyDescent="0.35">
      <c r="I3407" s="63"/>
      <c r="J3407" s="63"/>
    </row>
    <row r="3408" spans="9:10" x14ac:dyDescent="0.35">
      <c r="I3408" s="63"/>
      <c r="J3408" s="63"/>
    </row>
    <row r="3409" spans="9:10" x14ac:dyDescent="0.35">
      <c r="I3409" s="63"/>
      <c r="J3409" s="63"/>
    </row>
    <row r="3410" spans="9:10" x14ac:dyDescent="0.35">
      <c r="I3410" s="63"/>
      <c r="J3410" s="63"/>
    </row>
    <row r="3411" spans="9:10" x14ac:dyDescent="0.35">
      <c r="I3411" s="63"/>
      <c r="J3411" s="63"/>
    </row>
    <row r="3412" spans="9:10" x14ac:dyDescent="0.35">
      <c r="I3412" s="63"/>
      <c r="J3412" s="63"/>
    </row>
    <row r="3413" spans="9:10" x14ac:dyDescent="0.35">
      <c r="I3413" s="63"/>
      <c r="J3413" s="63"/>
    </row>
    <row r="3414" spans="9:10" x14ac:dyDescent="0.35">
      <c r="I3414" s="63"/>
      <c r="J3414" s="63"/>
    </row>
    <row r="3415" spans="9:10" x14ac:dyDescent="0.35">
      <c r="I3415" s="63"/>
      <c r="J3415" s="63"/>
    </row>
    <row r="3416" spans="9:10" x14ac:dyDescent="0.35">
      <c r="I3416" s="63"/>
      <c r="J3416" s="63"/>
    </row>
    <row r="3417" spans="9:10" x14ac:dyDescent="0.35">
      <c r="I3417" s="63"/>
      <c r="J3417" s="63"/>
    </row>
    <row r="3418" spans="9:10" x14ac:dyDescent="0.35">
      <c r="I3418" s="63"/>
      <c r="J3418" s="63"/>
    </row>
    <row r="3419" spans="9:10" x14ac:dyDescent="0.35">
      <c r="I3419" s="63"/>
      <c r="J3419" s="63"/>
    </row>
    <row r="3420" spans="9:10" x14ac:dyDescent="0.35">
      <c r="I3420" s="63"/>
      <c r="J3420" s="63"/>
    </row>
    <row r="3421" spans="9:10" x14ac:dyDescent="0.35">
      <c r="I3421" s="63"/>
      <c r="J3421" s="63"/>
    </row>
    <row r="3422" spans="9:10" x14ac:dyDescent="0.35">
      <c r="I3422" s="63"/>
      <c r="J3422" s="63"/>
    </row>
    <row r="3423" spans="9:10" x14ac:dyDescent="0.35">
      <c r="I3423" s="63"/>
      <c r="J3423" s="63"/>
    </row>
    <row r="3424" spans="9:10" x14ac:dyDescent="0.35">
      <c r="I3424" s="63"/>
      <c r="J3424" s="63"/>
    </row>
    <row r="3425" spans="9:10" x14ac:dyDescent="0.35">
      <c r="I3425" s="63"/>
      <c r="J3425" s="63"/>
    </row>
    <row r="3426" spans="9:10" x14ac:dyDescent="0.35">
      <c r="I3426" s="63"/>
      <c r="J3426" s="63"/>
    </row>
    <row r="3427" spans="9:10" x14ac:dyDescent="0.35">
      <c r="I3427" s="63"/>
      <c r="J3427" s="63"/>
    </row>
    <row r="3428" spans="9:10" x14ac:dyDescent="0.35">
      <c r="I3428" s="63"/>
      <c r="J3428" s="63"/>
    </row>
    <row r="3429" spans="9:10" x14ac:dyDescent="0.35">
      <c r="I3429" s="63"/>
      <c r="J3429" s="63"/>
    </row>
    <row r="3430" spans="9:10" x14ac:dyDescent="0.35">
      <c r="I3430" s="63"/>
      <c r="J3430" s="63"/>
    </row>
    <row r="3431" spans="9:10" x14ac:dyDescent="0.35">
      <c r="I3431" s="63"/>
      <c r="J3431" s="63"/>
    </row>
    <row r="3432" spans="9:10" x14ac:dyDescent="0.35">
      <c r="I3432" s="63"/>
      <c r="J3432" s="63"/>
    </row>
    <row r="3433" spans="9:10" x14ac:dyDescent="0.35">
      <c r="I3433" s="63"/>
      <c r="J3433" s="63"/>
    </row>
    <row r="3434" spans="9:10" x14ac:dyDescent="0.35">
      <c r="I3434" s="63"/>
      <c r="J3434" s="63"/>
    </row>
    <row r="3435" spans="9:10" x14ac:dyDescent="0.35">
      <c r="I3435" s="63"/>
      <c r="J3435" s="63"/>
    </row>
    <row r="3436" spans="9:10" x14ac:dyDescent="0.35">
      <c r="I3436" s="63"/>
      <c r="J3436" s="63"/>
    </row>
    <row r="3437" spans="9:10" x14ac:dyDescent="0.35">
      <c r="I3437" s="63"/>
      <c r="J3437" s="63"/>
    </row>
    <row r="3438" spans="9:10" x14ac:dyDescent="0.35">
      <c r="I3438" s="63"/>
      <c r="J3438" s="63"/>
    </row>
    <row r="3439" spans="9:10" x14ac:dyDescent="0.35">
      <c r="I3439" s="63"/>
      <c r="J3439" s="63"/>
    </row>
    <row r="3440" spans="9:10" x14ac:dyDescent="0.35">
      <c r="I3440" s="63"/>
      <c r="J3440" s="63"/>
    </row>
    <row r="3441" spans="9:10" x14ac:dyDescent="0.35">
      <c r="I3441" s="63"/>
      <c r="J3441" s="63"/>
    </row>
    <row r="3442" spans="9:10" x14ac:dyDescent="0.35">
      <c r="I3442" s="63"/>
      <c r="J3442" s="63"/>
    </row>
    <row r="3443" spans="9:10" x14ac:dyDescent="0.35">
      <c r="I3443" s="63"/>
      <c r="J3443" s="63"/>
    </row>
    <row r="3444" spans="9:10" x14ac:dyDescent="0.35">
      <c r="I3444" s="63"/>
      <c r="J3444" s="63"/>
    </row>
    <row r="3445" spans="9:10" x14ac:dyDescent="0.35">
      <c r="I3445" s="63"/>
      <c r="J3445" s="63"/>
    </row>
    <row r="3446" spans="9:10" x14ac:dyDescent="0.35">
      <c r="I3446" s="63"/>
      <c r="J3446" s="63"/>
    </row>
    <row r="3447" spans="9:10" x14ac:dyDescent="0.35">
      <c r="I3447" s="63"/>
      <c r="J3447" s="63"/>
    </row>
    <row r="3448" spans="9:10" x14ac:dyDescent="0.35">
      <c r="I3448" s="63"/>
      <c r="J3448" s="63"/>
    </row>
    <row r="3449" spans="9:10" x14ac:dyDescent="0.35">
      <c r="I3449" s="63"/>
      <c r="J3449" s="63"/>
    </row>
    <row r="3450" spans="9:10" x14ac:dyDescent="0.35">
      <c r="I3450" s="63"/>
      <c r="J3450" s="63"/>
    </row>
    <row r="3451" spans="9:10" x14ac:dyDescent="0.35">
      <c r="I3451" s="63"/>
      <c r="J3451" s="63"/>
    </row>
    <row r="3452" spans="9:10" x14ac:dyDescent="0.35">
      <c r="I3452" s="63"/>
      <c r="J3452" s="63"/>
    </row>
    <row r="3453" spans="9:10" x14ac:dyDescent="0.35">
      <c r="I3453" s="63"/>
      <c r="J3453" s="63"/>
    </row>
    <row r="3454" spans="9:10" x14ac:dyDescent="0.35">
      <c r="I3454" s="63"/>
      <c r="J3454" s="63"/>
    </row>
    <row r="3455" spans="9:10" x14ac:dyDescent="0.35">
      <c r="I3455" s="63"/>
      <c r="J3455" s="63"/>
    </row>
    <row r="3456" spans="9:10" x14ac:dyDescent="0.35">
      <c r="I3456" s="63"/>
      <c r="J3456" s="63"/>
    </row>
    <row r="3457" spans="9:10" x14ac:dyDescent="0.35">
      <c r="I3457" s="63"/>
      <c r="J3457" s="63"/>
    </row>
    <row r="3458" spans="9:10" x14ac:dyDescent="0.35">
      <c r="I3458" s="63"/>
      <c r="J3458" s="63"/>
    </row>
    <row r="3459" spans="9:10" x14ac:dyDescent="0.35">
      <c r="I3459" s="63"/>
      <c r="J3459" s="63"/>
    </row>
    <row r="3460" spans="9:10" x14ac:dyDescent="0.35">
      <c r="I3460" s="63"/>
      <c r="J3460" s="63"/>
    </row>
    <row r="3461" spans="9:10" x14ac:dyDescent="0.35">
      <c r="I3461" s="63"/>
      <c r="J3461" s="63"/>
    </row>
    <row r="3462" spans="9:10" x14ac:dyDescent="0.35">
      <c r="I3462" s="63"/>
      <c r="J3462" s="63"/>
    </row>
    <row r="3463" spans="9:10" x14ac:dyDescent="0.35">
      <c r="I3463" s="63"/>
      <c r="J3463" s="63"/>
    </row>
    <row r="3464" spans="9:10" x14ac:dyDescent="0.35">
      <c r="I3464" s="63"/>
      <c r="J3464" s="63"/>
    </row>
    <row r="3465" spans="9:10" x14ac:dyDescent="0.35">
      <c r="I3465" s="63"/>
      <c r="J3465" s="63"/>
    </row>
    <row r="3466" spans="9:10" x14ac:dyDescent="0.35">
      <c r="I3466" s="63"/>
      <c r="J3466" s="63"/>
    </row>
    <row r="3467" spans="9:10" x14ac:dyDescent="0.35">
      <c r="I3467" s="63"/>
      <c r="J3467" s="63"/>
    </row>
    <row r="3468" spans="9:10" x14ac:dyDescent="0.35">
      <c r="I3468" s="63"/>
      <c r="J3468" s="63"/>
    </row>
    <row r="3469" spans="9:10" x14ac:dyDescent="0.35">
      <c r="I3469" s="63"/>
      <c r="J3469" s="63"/>
    </row>
    <row r="3470" spans="9:10" x14ac:dyDescent="0.35">
      <c r="I3470" s="63"/>
      <c r="J3470" s="63"/>
    </row>
    <row r="3471" spans="9:10" x14ac:dyDescent="0.35">
      <c r="I3471" s="63"/>
      <c r="J3471" s="63"/>
    </row>
    <row r="3472" spans="9:10" x14ac:dyDescent="0.35">
      <c r="I3472" s="63"/>
      <c r="J3472" s="63"/>
    </row>
    <row r="3473" spans="9:10" x14ac:dyDescent="0.35">
      <c r="I3473" s="63"/>
      <c r="J3473" s="63"/>
    </row>
    <row r="3474" spans="9:10" x14ac:dyDescent="0.35">
      <c r="I3474" s="63"/>
      <c r="J3474" s="63"/>
    </row>
    <row r="3475" spans="9:10" x14ac:dyDescent="0.35">
      <c r="I3475" s="63"/>
      <c r="J3475" s="63"/>
    </row>
    <row r="3476" spans="9:10" x14ac:dyDescent="0.35">
      <c r="I3476" s="63"/>
      <c r="J3476" s="63"/>
    </row>
    <row r="3477" spans="9:10" x14ac:dyDescent="0.35">
      <c r="I3477" s="63"/>
      <c r="J3477" s="63"/>
    </row>
    <row r="3478" spans="9:10" x14ac:dyDescent="0.35">
      <c r="I3478" s="63"/>
      <c r="J3478" s="63"/>
    </row>
    <row r="3479" spans="9:10" x14ac:dyDescent="0.35">
      <c r="I3479" s="63"/>
      <c r="J3479" s="63"/>
    </row>
    <row r="3480" spans="9:10" x14ac:dyDescent="0.35">
      <c r="I3480" s="63"/>
      <c r="J3480" s="63"/>
    </row>
    <row r="3481" spans="9:10" x14ac:dyDescent="0.35">
      <c r="I3481" s="63"/>
      <c r="J3481" s="63"/>
    </row>
    <row r="3482" spans="9:10" x14ac:dyDescent="0.35">
      <c r="I3482" s="63"/>
      <c r="J3482" s="63"/>
    </row>
    <row r="3483" spans="9:10" x14ac:dyDescent="0.35">
      <c r="I3483" s="63"/>
      <c r="J3483" s="63"/>
    </row>
    <row r="3484" spans="9:10" x14ac:dyDescent="0.35">
      <c r="I3484" s="63"/>
      <c r="J3484" s="63"/>
    </row>
    <row r="3485" spans="9:10" x14ac:dyDescent="0.35">
      <c r="I3485" s="63"/>
      <c r="J3485" s="63"/>
    </row>
    <row r="3486" spans="9:10" x14ac:dyDescent="0.35">
      <c r="I3486" s="63"/>
      <c r="J3486" s="63"/>
    </row>
    <row r="3487" spans="9:10" x14ac:dyDescent="0.35">
      <c r="I3487" s="63"/>
      <c r="J3487" s="63"/>
    </row>
    <row r="3488" spans="9:10" x14ac:dyDescent="0.35">
      <c r="I3488" s="63"/>
      <c r="J3488" s="63"/>
    </row>
    <row r="3489" spans="9:10" x14ac:dyDescent="0.35">
      <c r="I3489" s="63"/>
      <c r="J3489" s="63"/>
    </row>
    <row r="3490" spans="9:10" x14ac:dyDescent="0.35">
      <c r="I3490" s="63"/>
      <c r="J3490" s="63"/>
    </row>
    <row r="3491" spans="9:10" x14ac:dyDescent="0.35">
      <c r="I3491" s="63"/>
      <c r="J3491" s="63"/>
    </row>
    <row r="3492" spans="9:10" x14ac:dyDescent="0.35">
      <c r="I3492" s="63"/>
      <c r="J3492" s="63"/>
    </row>
    <row r="3493" spans="9:10" x14ac:dyDescent="0.35">
      <c r="I3493" s="63"/>
      <c r="J3493" s="63"/>
    </row>
    <row r="3494" spans="9:10" x14ac:dyDescent="0.35">
      <c r="I3494" s="63"/>
      <c r="J3494" s="63"/>
    </row>
    <row r="3495" spans="9:10" x14ac:dyDescent="0.35">
      <c r="I3495" s="63"/>
      <c r="J3495" s="63"/>
    </row>
    <row r="3496" spans="9:10" x14ac:dyDescent="0.35">
      <c r="I3496" s="63"/>
      <c r="J3496" s="63"/>
    </row>
    <row r="3497" spans="9:10" x14ac:dyDescent="0.35">
      <c r="I3497" s="63"/>
      <c r="J3497" s="63"/>
    </row>
    <row r="3498" spans="9:10" x14ac:dyDescent="0.35">
      <c r="I3498" s="63"/>
      <c r="J3498" s="63"/>
    </row>
    <row r="3499" spans="9:10" x14ac:dyDescent="0.35">
      <c r="I3499" s="63"/>
      <c r="J3499" s="63"/>
    </row>
    <row r="3500" spans="9:10" x14ac:dyDescent="0.35">
      <c r="I3500" s="63"/>
      <c r="J3500" s="63"/>
    </row>
    <row r="3501" spans="9:10" x14ac:dyDescent="0.35">
      <c r="I3501" s="63"/>
      <c r="J3501" s="63"/>
    </row>
    <row r="3502" spans="9:10" x14ac:dyDescent="0.35">
      <c r="I3502" s="63"/>
      <c r="J3502" s="63"/>
    </row>
    <row r="3503" spans="9:10" x14ac:dyDescent="0.35">
      <c r="I3503" s="63"/>
      <c r="J3503" s="63"/>
    </row>
    <row r="3504" spans="9:10" x14ac:dyDescent="0.35">
      <c r="I3504" s="63"/>
      <c r="J3504" s="63"/>
    </row>
    <row r="3505" spans="9:10" x14ac:dyDescent="0.35">
      <c r="I3505" s="63"/>
      <c r="J3505" s="63"/>
    </row>
    <row r="3506" spans="9:10" x14ac:dyDescent="0.35">
      <c r="I3506" s="63"/>
      <c r="J3506" s="63"/>
    </row>
    <row r="3507" spans="9:10" x14ac:dyDescent="0.35">
      <c r="I3507" s="63"/>
      <c r="J3507" s="63"/>
    </row>
    <row r="3508" spans="9:10" x14ac:dyDescent="0.35">
      <c r="I3508" s="63"/>
      <c r="J3508" s="63"/>
    </row>
    <row r="3509" spans="9:10" x14ac:dyDescent="0.35">
      <c r="I3509" s="63"/>
      <c r="J3509" s="63"/>
    </row>
    <row r="3510" spans="9:10" x14ac:dyDescent="0.35">
      <c r="I3510" s="63"/>
      <c r="J3510" s="63"/>
    </row>
    <row r="3511" spans="9:10" x14ac:dyDescent="0.35">
      <c r="I3511" s="63"/>
      <c r="J3511" s="63"/>
    </row>
    <row r="3512" spans="9:10" x14ac:dyDescent="0.35">
      <c r="I3512" s="63"/>
      <c r="J3512" s="63"/>
    </row>
    <row r="3513" spans="9:10" x14ac:dyDescent="0.35">
      <c r="I3513" s="63"/>
      <c r="J3513" s="63"/>
    </row>
    <row r="3514" spans="9:10" x14ac:dyDescent="0.35">
      <c r="I3514" s="63"/>
      <c r="J3514" s="63"/>
    </row>
    <row r="3515" spans="9:10" x14ac:dyDescent="0.35">
      <c r="I3515" s="63"/>
      <c r="J3515" s="63"/>
    </row>
    <row r="3516" spans="9:10" x14ac:dyDescent="0.35">
      <c r="I3516" s="63"/>
      <c r="J3516" s="63"/>
    </row>
    <row r="3517" spans="9:10" x14ac:dyDescent="0.35">
      <c r="I3517" s="63"/>
      <c r="J3517" s="63"/>
    </row>
    <row r="3518" spans="9:10" x14ac:dyDescent="0.35">
      <c r="I3518" s="63"/>
      <c r="J3518" s="63"/>
    </row>
    <row r="3519" spans="9:10" x14ac:dyDescent="0.35">
      <c r="I3519" s="63"/>
      <c r="J3519" s="63"/>
    </row>
    <row r="3520" spans="9:10" x14ac:dyDescent="0.35">
      <c r="I3520" s="63"/>
      <c r="J3520" s="63"/>
    </row>
    <row r="3521" spans="9:10" x14ac:dyDescent="0.35">
      <c r="I3521" s="63"/>
      <c r="J3521" s="63"/>
    </row>
    <row r="3522" spans="9:10" x14ac:dyDescent="0.35">
      <c r="I3522" s="63"/>
      <c r="J3522" s="63"/>
    </row>
    <row r="3523" spans="9:10" x14ac:dyDescent="0.35">
      <c r="I3523" s="63"/>
      <c r="J3523" s="63"/>
    </row>
    <row r="3524" spans="9:10" x14ac:dyDescent="0.35">
      <c r="I3524" s="63"/>
      <c r="J3524" s="63"/>
    </row>
    <row r="3525" spans="9:10" x14ac:dyDescent="0.35">
      <c r="I3525" s="63"/>
      <c r="J3525" s="63"/>
    </row>
    <row r="3526" spans="9:10" x14ac:dyDescent="0.35">
      <c r="I3526" s="63"/>
      <c r="J3526" s="63"/>
    </row>
    <row r="3527" spans="9:10" x14ac:dyDescent="0.35">
      <c r="I3527" s="63"/>
      <c r="J3527" s="63"/>
    </row>
    <row r="3528" spans="9:10" x14ac:dyDescent="0.35">
      <c r="I3528" s="63"/>
      <c r="J3528" s="63"/>
    </row>
    <row r="3529" spans="9:10" x14ac:dyDescent="0.35">
      <c r="I3529" s="63"/>
      <c r="J3529" s="63"/>
    </row>
    <row r="3530" spans="9:10" x14ac:dyDescent="0.35">
      <c r="I3530" s="63"/>
      <c r="J3530" s="63"/>
    </row>
    <row r="3531" spans="9:10" x14ac:dyDescent="0.35">
      <c r="I3531" s="63"/>
      <c r="J3531" s="63"/>
    </row>
    <row r="3532" spans="9:10" x14ac:dyDescent="0.35">
      <c r="I3532" s="63"/>
      <c r="J3532" s="63"/>
    </row>
    <row r="3533" spans="9:10" x14ac:dyDescent="0.35">
      <c r="I3533" s="63"/>
      <c r="J3533" s="63"/>
    </row>
    <row r="3534" spans="9:10" x14ac:dyDescent="0.35">
      <c r="I3534" s="63"/>
      <c r="J3534" s="63"/>
    </row>
    <row r="3535" spans="9:10" x14ac:dyDescent="0.35">
      <c r="I3535" s="63"/>
      <c r="J3535" s="63"/>
    </row>
    <row r="3536" spans="9:10" x14ac:dyDescent="0.35">
      <c r="I3536" s="63"/>
      <c r="J3536" s="63"/>
    </row>
    <row r="3537" spans="9:10" x14ac:dyDescent="0.35">
      <c r="I3537" s="63"/>
      <c r="J3537" s="63"/>
    </row>
    <row r="3538" spans="9:10" x14ac:dyDescent="0.35">
      <c r="I3538" s="63"/>
      <c r="J3538" s="63"/>
    </row>
    <row r="3539" spans="9:10" x14ac:dyDescent="0.35">
      <c r="I3539" s="63"/>
      <c r="J3539" s="63"/>
    </row>
    <row r="3540" spans="9:10" x14ac:dyDescent="0.35">
      <c r="I3540" s="63"/>
      <c r="J3540" s="63"/>
    </row>
    <row r="3541" spans="9:10" x14ac:dyDescent="0.35">
      <c r="I3541" s="63"/>
      <c r="J3541" s="63"/>
    </row>
    <row r="3542" spans="9:10" x14ac:dyDescent="0.35">
      <c r="I3542" s="63"/>
      <c r="J3542" s="63"/>
    </row>
    <row r="3543" spans="9:10" x14ac:dyDescent="0.35">
      <c r="I3543" s="63"/>
      <c r="J3543" s="63"/>
    </row>
    <row r="3544" spans="9:10" x14ac:dyDescent="0.35">
      <c r="I3544" s="63"/>
      <c r="J3544" s="63"/>
    </row>
    <row r="3545" spans="9:10" x14ac:dyDescent="0.35">
      <c r="I3545" s="63"/>
      <c r="J3545" s="63"/>
    </row>
    <row r="3546" spans="9:10" x14ac:dyDescent="0.35">
      <c r="I3546" s="63"/>
      <c r="J3546" s="63"/>
    </row>
    <row r="3547" spans="9:10" x14ac:dyDescent="0.35">
      <c r="I3547" s="63"/>
      <c r="J3547" s="63"/>
    </row>
    <row r="3548" spans="9:10" x14ac:dyDescent="0.35">
      <c r="I3548" s="63"/>
      <c r="J3548" s="63"/>
    </row>
    <row r="3549" spans="9:10" x14ac:dyDescent="0.35">
      <c r="I3549" s="63"/>
      <c r="J3549" s="63"/>
    </row>
    <row r="3550" spans="9:10" x14ac:dyDescent="0.35">
      <c r="I3550" s="63"/>
      <c r="J3550" s="63"/>
    </row>
    <row r="3551" spans="9:10" x14ac:dyDescent="0.35">
      <c r="I3551" s="63"/>
      <c r="J3551" s="63"/>
    </row>
    <row r="3552" spans="9:10" x14ac:dyDescent="0.35">
      <c r="I3552" s="63"/>
      <c r="J3552" s="63"/>
    </row>
    <row r="3553" spans="9:10" x14ac:dyDescent="0.35">
      <c r="I3553" s="63"/>
      <c r="J3553" s="63"/>
    </row>
    <row r="3554" spans="9:10" x14ac:dyDescent="0.35">
      <c r="I3554" s="63"/>
      <c r="J3554" s="63"/>
    </row>
    <row r="3555" spans="9:10" x14ac:dyDescent="0.35">
      <c r="I3555" s="63"/>
      <c r="J3555" s="63"/>
    </row>
    <row r="3556" spans="9:10" x14ac:dyDescent="0.35">
      <c r="I3556" s="63"/>
      <c r="J3556" s="63"/>
    </row>
    <row r="3557" spans="9:10" x14ac:dyDescent="0.35">
      <c r="I3557" s="63"/>
      <c r="J3557" s="63"/>
    </row>
    <row r="3558" spans="9:10" x14ac:dyDescent="0.35">
      <c r="I3558" s="63"/>
      <c r="J3558" s="63"/>
    </row>
    <row r="3559" spans="9:10" x14ac:dyDescent="0.35">
      <c r="I3559" s="63"/>
      <c r="J3559" s="63"/>
    </row>
    <row r="3560" spans="9:10" x14ac:dyDescent="0.35">
      <c r="I3560" s="63"/>
      <c r="J3560" s="63"/>
    </row>
    <row r="3561" spans="9:10" x14ac:dyDescent="0.35">
      <c r="I3561" s="63"/>
      <c r="J3561" s="63"/>
    </row>
    <row r="3562" spans="9:10" x14ac:dyDescent="0.35">
      <c r="I3562" s="63"/>
      <c r="J3562" s="63"/>
    </row>
    <row r="3563" spans="9:10" x14ac:dyDescent="0.35">
      <c r="I3563" s="63"/>
      <c r="J3563" s="63"/>
    </row>
    <row r="3564" spans="9:10" x14ac:dyDescent="0.35">
      <c r="I3564" s="63"/>
      <c r="J3564" s="63"/>
    </row>
    <row r="3565" spans="9:10" x14ac:dyDescent="0.35">
      <c r="I3565" s="63"/>
      <c r="J3565" s="63"/>
    </row>
    <row r="3566" spans="9:10" x14ac:dyDescent="0.35">
      <c r="I3566" s="63"/>
      <c r="J3566" s="63"/>
    </row>
    <row r="3567" spans="9:10" x14ac:dyDescent="0.35">
      <c r="I3567" s="63"/>
      <c r="J3567" s="63"/>
    </row>
    <row r="3568" spans="9:10" x14ac:dyDescent="0.35">
      <c r="I3568" s="63"/>
      <c r="J3568" s="63"/>
    </row>
    <row r="3569" spans="9:10" x14ac:dyDescent="0.35">
      <c r="I3569" s="63"/>
      <c r="J3569" s="63"/>
    </row>
    <row r="3570" spans="9:10" x14ac:dyDescent="0.35">
      <c r="I3570" s="63"/>
      <c r="J3570" s="63"/>
    </row>
    <row r="3571" spans="9:10" x14ac:dyDescent="0.35">
      <c r="I3571" s="63"/>
      <c r="J3571" s="63"/>
    </row>
    <row r="3572" spans="9:10" x14ac:dyDescent="0.35">
      <c r="I3572" s="63"/>
      <c r="J3572" s="63"/>
    </row>
    <row r="3573" spans="9:10" x14ac:dyDescent="0.35">
      <c r="I3573" s="63"/>
      <c r="J3573" s="63"/>
    </row>
    <row r="3574" spans="9:10" x14ac:dyDescent="0.35">
      <c r="I3574" s="63"/>
      <c r="J3574" s="63"/>
    </row>
    <row r="3575" spans="9:10" x14ac:dyDescent="0.35">
      <c r="I3575" s="63"/>
      <c r="J3575" s="63"/>
    </row>
    <row r="3576" spans="9:10" x14ac:dyDescent="0.35">
      <c r="I3576" s="63"/>
      <c r="J3576" s="63"/>
    </row>
    <row r="3577" spans="9:10" x14ac:dyDescent="0.35">
      <c r="I3577" s="63"/>
      <c r="J3577" s="63"/>
    </row>
    <row r="3578" spans="9:10" x14ac:dyDescent="0.35">
      <c r="I3578" s="63"/>
      <c r="J3578" s="63"/>
    </row>
    <row r="3579" spans="9:10" x14ac:dyDescent="0.35">
      <c r="I3579" s="63"/>
      <c r="J3579" s="63"/>
    </row>
    <row r="3580" spans="9:10" x14ac:dyDescent="0.35">
      <c r="I3580" s="63"/>
      <c r="J3580" s="63"/>
    </row>
    <row r="3581" spans="9:10" x14ac:dyDescent="0.35">
      <c r="I3581" s="63"/>
      <c r="J3581" s="63"/>
    </row>
    <row r="3582" spans="9:10" x14ac:dyDescent="0.35">
      <c r="I3582" s="63"/>
      <c r="J3582" s="63"/>
    </row>
    <row r="3583" spans="9:10" x14ac:dyDescent="0.35">
      <c r="I3583" s="63"/>
      <c r="J3583" s="63"/>
    </row>
    <row r="3584" spans="9:10" x14ac:dyDescent="0.35">
      <c r="I3584" s="63"/>
      <c r="J3584" s="63"/>
    </row>
    <row r="3585" spans="9:10" x14ac:dyDescent="0.35">
      <c r="I3585" s="63"/>
      <c r="J3585" s="63"/>
    </row>
    <row r="3586" spans="9:10" x14ac:dyDescent="0.35">
      <c r="I3586" s="63"/>
      <c r="J3586" s="63"/>
    </row>
    <row r="3587" spans="9:10" x14ac:dyDescent="0.35">
      <c r="I3587" s="63"/>
      <c r="J3587" s="63"/>
    </row>
    <row r="3588" spans="9:10" x14ac:dyDescent="0.35">
      <c r="I3588" s="63"/>
      <c r="J3588" s="63"/>
    </row>
    <row r="3589" spans="9:10" x14ac:dyDescent="0.35">
      <c r="I3589" s="63"/>
      <c r="J3589" s="63"/>
    </row>
    <row r="3590" spans="9:10" x14ac:dyDescent="0.35">
      <c r="I3590" s="63"/>
      <c r="J3590" s="63"/>
    </row>
    <row r="3591" spans="9:10" x14ac:dyDescent="0.35">
      <c r="I3591" s="63"/>
      <c r="J3591" s="63"/>
    </row>
    <row r="3592" spans="9:10" x14ac:dyDescent="0.35">
      <c r="I3592" s="63"/>
      <c r="J3592" s="63"/>
    </row>
    <row r="3593" spans="9:10" x14ac:dyDescent="0.35">
      <c r="I3593" s="63"/>
      <c r="J3593" s="63"/>
    </row>
    <row r="3594" spans="9:10" x14ac:dyDescent="0.35">
      <c r="I3594" s="63"/>
      <c r="J3594" s="63"/>
    </row>
    <row r="3595" spans="9:10" x14ac:dyDescent="0.35">
      <c r="I3595" s="63"/>
      <c r="J3595" s="63"/>
    </row>
    <row r="3596" spans="9:10" x14ac:dyDescent="0.35">
      <c r="I3596" s="63"/>
      <c r="J3596" s="63"/>
    </row>
    <row r="3597" spans="9:10" x14ac:dyDescent="0.35">
      <c r="I3597" s="63"/>
      <c r="J3597" s="63"/>
    </row>
    <row r="3598" spans="9:10" x14ac:dyDescent="0.35">
      <c r="I3598" s="63"/>
      <c r="J3598" s="63"/>
    </row>
    <row r="3599" spans="9:10" x14ac:dyDescent="0.35">
      <c r="I3599" s="63"/>
      <c r="J3599" s="63"/>
    </row>
    <row r="3600" spans="9:10" x14ac:dyDescent="0.35">
      <c r="I3600" s="63"/>
      <c r="J3600" s="63"/>
    </row>
    <row r="3601" spans="9:10" x14ac:dyDescent="0.35">
      <c r="I3601" s="63"/>
      <c r="J3601" s="63"/>
    </row>
    <row r="3602" spans="9:10" x14ac:dyDescent="0.35">
      <c r="I3602" s="63"/>
      <c r="J3602" s="63"/>
    </row>
    <row r="3603" spans="9:10" x14ac:dyDescent="0.35">
      <c r="I3603" s="63"/>
      <c r="J3603" s="63"/>
    </row>
    <row r="3604" spans="9:10" x14ac:dyDescent="0.35">
      <c r="I3604" s="63"/>
      <c r="J3604" s="63"/>
    </row>
    <row r="3605" spans="9:10" x14ac:dyDescent="0.35">
      <c r="I3605" s="63"/>
      <c r="J3605" s="63"/>
    </row>
    <row r="3606" spans="9:10" x14ac:dyDescent="0.35">
      <c r="I3606" s="63"/>
      <c r="J3606" s="63"/>
    </row>
    <row r="3607" spans="9:10" x14ac:dyDescent="0.35">
      <c r="I3607" s="63"/>
      <c r="J3607" s="63"/>
    </row>
    <row r="3608" spans="9:10" x14ac:dyDescent="0.35">
      <c r="I3608" s="63"/>
      <c r="J3608" s="63"/>
    </row>
    <row r="3609" spans="9:10" x14ac:dyDescent="0.35">
      <c r="I3609" s="63"/>
      <c r="J3609" s="63"/>
    </row>
    <row r="3610" spans="9:10" x14ac:dyDescent="0.35">
      <c r="I3610" s="63"/>
      <c r="J3610" s="63"/>
    </row>
    <row r="3611" spans="9:10" x14ac:dyDescent="0.35">
      <c r="I3611" s="63"/>
      <c r="J3611" s="63"/>
    </row>
    <row r="3612" spans="9:10" x14ac:dyDescent="0.35">
      <c r="I3612" s="63"/>
      <c r="J3612" s="63"/>
    </row>
    <row r="3613" spans="9:10" x14ac:dyDescent="0.35">
      <c r="I3613" s="63"/>
      <c r="J3613" s="63"/>
    </row>
    <row r="3614" spans="9:10" x14ac:dyDescent="0.35">
      <c r="I3614" s="63"/>
      <c r="J3614" s="63"/>
    </row>
    <row r="3615" spans="9:10" x14ac:dyDescent="0.35">
      <c r="I3615" s="63"/>
      <c r="J3615" s="63"/>
    </row>
    <row r="3616" spans="9:10" x14ac:dyDescent="0.35">
      <c r="I3616" s="63"/>
      <c r="J3616" s="63"/>
    </row>
    <row r="3617" spans="9:10" x14ac:dyDescent="0.35">
      <c r="I3617" s="63"/>
      <c r="J3617" s="63"/>
    </row>
    <row r="3618" spans="9:10" x14ac:dyDescent="0.35">
      <c r="I3618" s="63"/>
      <c r="J3618" s="63"/>
    </row>
    <row r="3619" spans="9:10" x14ac:dyDescent="0.35">
      <c r="I3619" s="63"/>
      <c r="J3619" s="63"/>
    </row>
    <row r="3620" spans="9:10" x14ac:dyDescent="0.35">
      <c r="I3620" s="63"/>
      <c r="J3620" s="63"/>
    </row>
    <row r="3621" spans="9:10" x14ac:dyDescent="0.35">
      <c r="I3621" s="63"/>
      <c r="J3621" s="63"/>
    </row>
    <row r="3622" spans="9:10" x14ac:dyDescent="0.35">
      <c r="I3622" s="63"/>
      <c r="J3622" s="63"/>
    </row>
    <row r="3623" spans="9:10" x14ac:dyDescent="0.35">
      <c r="I3623" s="63"/>
      <c r="J3623" s="63"/>
    </row>
    <row r="3624" spans="9:10" x14ac:dyDescent="0.35">
      <c r="I3624" s="63"/>
      <c r="J3624" s="63"/>
    </row>
    <row r="3625" spans="9:10" x14ac:dyDescent="0.35">
      <c r="I3625" s="63"/>
      <c r="J3625" s="63"/>
    </row>
    <row r="3626" spans="9:10" x14ac:dyDescent="0.35">
      <c r="I3626" s="63"/>
      <c r="J3626" s="63"/>
    </row>
    <row r="3627" spans="9:10" x14ac:dyDescent="0.35">
      <c r="I3627" s="63"/>
      <c r="J3627" s="63"/>
    </row>
    <row r="3628" spans="9:10" x14ac:dyDescent="0.35">
      <c r="I3628" s="63"/>
      <c r="J3628" s="63"/>
    </row>
    <row r="3629" spans="9:10" x14ac:dyDescent="0.35">
      <c r="I3629" s="63"/>
      <c r="J3629" s="63"/>
    </row>
    <row r="3630" spans="9:10" x14ac:dyDescent="0.35">
      <c r="I3630" s="63"/>
      <c r="J3630" s="63"/>
    </row>
    <row r="3631" spans="9:10" x14ac:dyDescent="0.35">
      <c r="I3631" s="63"/>
      <c r="J3631" s="63"/>
    </row>
    <row r="3632" spans="9:10" x14ac:dyDescent="0.35">
      <c r="I3632" s="63"/>
      <c r="J3632" s="63"/>
    </row>
    <row r="3633" spans="9:10" x14ac:dyDescent="0.35">
      <c r="I3633" s="63"/>
      <c r="J3633" s="63"/>
    </row>
    <row r="3634" spans="9:10" x14ac:dyDescent="0.35">
      <c r="I3634" s="63"/>
      <c r="J3634" s="63"/>
    </row>
    <row r="3635" spans="9:10" x14ac:dyDescent="0.35">
      <c r="I3635" s="63"/>
      <c r="J3635" s="63"/>
    </row>
    <row r="3636" spans="9:10" x14ac:dyDescent="0.35">
      <c r="I3636" s="63"/>
      <c r="J3636" s="63"/>
    </row>
    <row r="3637" spans="9:10" x14ac:dyDescent="0.35">
      <c r="I3637" s="63"/>
      <c r="J3637" s="63"/>
    </row>
    <row r="3638" spans="9:10" x14ac:dyDescent="0.35">
      <c r="I3638" s="63"/>
      <c r="J3638" s="63"/>
    </row>
    <row r="3639" spans="9:10" x14ac:dyDescent="0.35">
      <c r="I3639" s="63"/>
      <c r="J3639" s="63"/>
    </row>
    <row r="3640" spans="9:10" x14ac:dyDescent="0.35">
      <c r="I3640" s="63"/>
      <c r="J3640" s="63"/>
    </row>
    <row r="3641" spans="9:10" x14ac:dyDescent="0.35">
      <c r="I3641" s="63"/>
      <c r="J3641" s="63"/>
    </row>
    <row r="3642" spans="9:10" x14ac:dyDescent="0.35">
      <c r="I3642" s="63"/>
      <c r="J3642" s="63"/>
    </row>
    <row r="3643" spans="9:10" x14ac:dyDescent="0.35">
      <c r="I3643" s="63"/>
      <c r="J3643" s="63"/>
    </row>
    <row r="3644" spans="9:10" x14ac:dyDescent="0.35">
      <c r="I3644" s="63"/>
      <c r="J3644" s="63"/>
    </row>
    <row r="3645" spans="9:10" x14ac:dyDescent="0.35">
      <c r="I3645" s="63"/>
      <c r="J3645" s="63"/>
    </row>
    <row r="3646" spans="9:10" x14ac:dyDescent="0.35">
      <c r="I3646" s="63"/>
      <c r="J3646" s="63"/>
    </row>
    <row r="3647" spans="9:10" x14ac:dyDescent="0.35">
      <c r="I3647" s="63"/>
      <c r="J3647" s="63"/>
    </row>
    <row r="3648" spans="9:10" x14ac:dyDescent="0.35">
      <c r="I3648" s="63"/>
      <c r="J3648" s="63"/>
    </row>
    <row r="3649" spans="9:10" x14ac:dyDescent="0.35">
      <c r="I3649" s="63"/>
      <c r="J3649" s="63"/>
    </row>
    <row r="3650" spans="9:10" x14ac:dyDescent="0.35">
      <c r="I3650" s="63"/>
      <c r="J3650" s="63"/>
    </row>
    <row r="3651" spans="9:10" x14ac:dyDescent="0.35">
      <c r="I3651" s="63"/>
      <c r="J3651" s="63"/>
    </row>
    <row r="3652" spans="9:10" x14ac:dyDescent="0.35">
      <c r="I3652" s="63"/>
      <c r="J3652" s="63"/>
    </row>
    <row r="3653" spans="9:10" x14ac:dyDescent="0.35">
      <c r="I3653" s="63"/>
      <c r="J3653" s="63"/>
    </row>
    <row r="3654" spans="9:10" x14ac:dyDescent="0.35">
      <c r="I3654" s="63"/>
      <c r="J3654" s="63"/>
    </row>
    <row r="3655" spans="9:10" x14ac:dyDescent="0.35">
      <c r="I3655" s="63"/>
      <c r="J3655" s="63"/>
    </row>
    <row r="3656" spans="9:10" x14ac:dyDescent="0.35">
      <c r="I3656" s="63"/>
      <c r="J3656" s="63"/>
    </row>
    <row r="3657" spans="9:10" x14ac:dyDescent="0.35">
      <c r="I3657" s="63"/>
      <c r="J3657" s="63"/>
    </row>
    <row r="3658" spans="9:10" x14ac:dyDescent="0.35">
      <c r="I3658" s="63"/>
      <c r="J3658" s="63"/>
    </row>
    <row r="3659" spans="9:10" x14ac:dyDescent="0.35">
      <c r="I3659" s="63"/>
      <c r="J3659" s="63"/>
    </row>
    <row r="3660" spans="9:10" x14ac:dyDescent="0.35">
      <c r="I3660" s="63"/>
      <c r="J3660" s="63"/>
    </row>
    <row r="3661" spans="9:10" x14ac:dyDescent="0.35">
      <c r="I3661" s="63"/>
      <c r="J3661" s="63"/>
    </row>
    <row r="3662" spans="9:10" x14ac:dyDescent="0.35">
      <c r="I3662" s="63"/>
      <c r="J3662" s="63"/>
    </row>
    <row r="3663" spans="9:10" x14ac:dyDescent="0.35">
      <c r="I3663" s="63"/>
      <c r="J3663" s="63"/>
    </row>
    <row r="3664" spans="9:10" x14ac:dyDescent="0.35">
      <c r="I3664" s="63"/>
      <c r="J3664" s="63"/>
    </row>
    <row r="3665" spans="9:10" x14ac:dyDescent="0.35">
      <c r="I3665" s="63"/>
      <c r="J3665" s="63"/>
    </row>
    <row r="3666" spans="9:10" x14ac:dyDescent="0.35">
      <c r="I3666" s="63"/>
      <c r="J3666" s="63"/>
    </row>
    <row r="3667" spans="9:10" x14ac:dyDescent="0.35">
      <c r="I3667" s="63"/>
      <c r="J3667" s="63"/>
    </row>
    <row r="3668" spans="9:10" x14ac:dyDescent="0.35">
      <c r="I3668" s="63"/>
      <c r="J3668" s="63"/>
    </row>
    <row r="3669" spans="9:10" x14ac:dyDescent="0.35">
      <c r="I3669" s="63"/>
      <c r="J3669" s="63"/>
    </row>
    <row r="3670" spans="9:10" x14ac:dyDescent="0.35">
      <c r="I3670" s="63"/>
      <c r="J3670" s="63"/>
    </row>
    <row r="3671" spans="9:10" x14ac:dyDescent="0.35">
      <c r="I3671" s="63"/>
      <c r="J3671" s="63"/>
    </row>
    <row r="3672" spans="9:10" x14ac:dyDescent="0.35">
      <c r="I3672" s="63"/>
      <c r="J3672" s="63"/>
    </row>
    <row r="3673" spans="9:10" x14ac:dyDescent="0.35">
      <c r="I3673" s="63"/>
      <c r="J3673" s="63"/>
    </row>
    <row r="3674" spans="9:10" x14ac:dyDescent="0.35">
      <c r="I3674" s="63"/>
      <c r="J3674" s="63"/>
    </row>
    <row r="3675" spans="9:10" x14ac:dyDescent="0.35">
      <c r="I3675" s="63"/>
      <c r="J3675" s="63"/>
    </row>
    <row r="3676" spans="9:10" x14ac:dyDescent="0.35">
      <c r="I3676" s="63"/>
      <c r="J3676" s="63"/>
    </row>
    <row r="3677" spans="9:10" x14ac:dyDescent="0.35">
      <c r="I3677" s="63"/>
      <c r="J3677" s="63"/>
    </row>
    <row r="3678" spans="9:10" x14ac:dyDescent="0.35">
      <c r="I3678" s="63"/>
      <c r="J3678" s="63"/>
    </row>
    <row r="3679" spans="9:10" x14ac:dyDescent="0.35">
      <c r="I3679" s="63"/>
      <c r="J3679" s="63"/>
    </row>
    <row r="3680" spans="9:10" x14ac:dyDescent="0.35">
      <c r="I3680" s="63"/>
      <c r="J3680" s="63"/>
    </row>
    <row r="3681" spans="9:10" x14ac:dyDescent="0.35">
      <c r="I3681" s="63"/>
      <c r="J3681" s="63"/>
    </row>
    <row r="3682" spans="9:10" x14ac:dyDescent="0.35">
      <c r="I3682" s="63"/>
      <c r="J3682" s="63"/>
    </row>
    <row r="3683" spans="9:10" x14ac:dyDescent="0.35">
      <c r="I3683" s="63"/>
      <c r="J3683" s="63"/>
    </row>
    <row r="3684" spans="9:10" x14ac:dyDescent="0.35">
      <c r="I3684" s="63"/>
      <c r="J3684" s="63"/>
    </row>
    <row r="3685" spans="9:10" x14ac:dyDescent="0.35">
      <c r="I3685" s="63"/>
      <c r="J3685" s="63"/>
    </row>
    <row r="3686" spans="9:10" x14ac:dyDescent="0.35">
      <c r="I3686" s="63"/>
      <c r="J3686" s="63"/>
    </row>
    <row r="3687" spans="9:10" x14ac:dyDescent="0.35">
      <c r="I3687" s="63"/>
      <c r="J3687" s="63"/>
    </row>
    <row r="3688" spans="9:10" x14ac:dyDescent="0.35">
      <c r="I3688" s="63"/>
      <c r="J3688" s="63"/>
    </row>
    <row r="3689" spans="9:10" x14ac:dyDescent="0.35">
      <c r="I3689" s="63"/>
      <c r="J3689" s="63"/>
    </row>
    <row r="3690" spans="9:10" x14ac:dyDescent="0.35">
      <c r="I3690" s="63"/>
      <c r="J3690" s="63"/>
    </row>
    <row r="3691" spans="9:10" x14ac:dyDescent="0.35">
      <c r="I3691" s="63"/>
      <c r="J3691" s="63"/>
    </row>
    <row r="3692" spans="9:10" x14ac:dyDescent="0.35">
      <c r="I3692" s="63"/>
      <c r="J3692" s="63"/>
    </row>
    <row r="3693" spans="9:10" x14ac:dyDescent="0.35">
      <c r="I3693" s="63"/>
      <c r="J3693" s="63"/>
    </row>
    <row r="3694" spans="9:10" x14ac:dyDescent="0.35">
      <c r="I3694" s="63"/>
      <c r="J3694" s="63"/>
    </row>
    <row r="3695" spans="9:10" x14ac:dyDescent="0.35">
      <c r="I3695" s="63"/>
      <c r="J3695" s="63"/>
    </row>
    <row r="3696" spans="9:10" x14ac:dyDescent="0.35">
      <c r="I3696" s="63"/>
      <c r="J3696" s="63"/>
    </row>
    <row r="3697" spans="9:10" x14ac:dyDescent="0.35">
      <c r="I3697" s="63"/>
      <c r="J3697" s="63"/>
    </row>
    <row r="3698" spans="9:10" x14ac:dyDescent="0.35">
      <c r="I3698" s="63"/>
      <c r="J3698" s="63"/>
    </row>
    <row r="3699" spans="9:10" x14ac:dyDescent="0.35">
      <c r="I3699" s="63"/>
      <c r="J3699" s="63"/>
    </row>
    <row r="3700" spans="9:10" x14ac:dyDescent="0.35">
      <c r="I3700" s="63"/>
      <c r="J3700" s="63"/>
    </row>
    <row r="3701" spans="9:10" x14ac:dyDescent="0.35">
      <c r="I3701" s="63"/>
      <c r="J3701" s="63"/>
    </row>
    <row r="3702" spans="9:10" x14ac:dyDescent="0.35">
      <c r="I3702" s="63"/>
      <c r="J3702" s="63"/>
    </row>
    <row r="3703" spans="9:10" x14ac:dyDescent="0.35">
      <c r="I3703" s="63"/>
      <c r="J3703" s="63"/>
    </row>
    <row r="3704" spans="9:10" x14ac:dyDescent="0.35">
      <c r="I3704" s="63"/>
      <c r="J3704" s="63"/>
    </row>
    <row r="3705" spans="9:10" x14ac:dyDescent="0.35">
      <c r="I3705" s="63"/>
      <c r="J3705" s="63"/>
    </row>
    <row r="3706" spans="9:10" x14ac:dyDescent="0.35">
      <c r="I3706" s="63"/>
      <c r="J3706" s="63"/>
    </row>
    <row r="3707" spans="9:10" x14ac:dyDescent="0.35">
      <c r="I3707" s="63"/>
      <c r="J3707" s="63"/>
    </row>
    <row r="3708" spans="9:10" x14ac:dyDescent="0.35">
      <c r="I3708" s="63"/>
      <c r="J3708" s="63"/>
    </row>
    <row r="3709" spans="9:10" x14ac:dyDescent="0.35">
      <c r="I3709" s="63"/>
      <c r="J3709" s="63"/>
    </row>
    <row r="3710" spans="9:10" x14ac:dyDescent="0.35">
      <c r="I3710" s="63"/>
      <c r="J3710" s="63"/>
    </row>
    <row r="3711" spans="9:10" x14ac:dyDescent="0.35">
      <c r="I3711" s="63"/>
      <c r="J3711" s="63"/>
    </row>
    <row r="3712" spans="9:10" x14ac:dyDescent="0.35">
      <c r="I3712" s="63"/>
      <c r="J3712" s="63"/>
    </row>
    <row r="3713" spans="9:10" x14ac:dyDescent="0.35">
      <c r="I3713" s="63"/>
      <c r="J3713" s="63"/>
    </row>
    <row r="3714" spans="9:10" x14ac:dyDescent="0.35">
      <c r="I3714" s="63"/>
      <c r="J3714" s="63"/>
    </row>
    <row r="3715" spans="9:10" x14ac:dyDescent="0.35">
      <c r="I3715" s="63"/>
      <c r="J3715" s="63"/>
    </row>
    <row r="3716" spans="9:10" x14ac:dyDescent="0.35">
      <c r="I3716" s="63"/>
      <c r="J3716" s="63"/>
    </row>
    <row r="3717" spans="9:10" x14ac:dyDescent="0.35">
      <c r="I3717" s="63"/>
      <c r="J3717" s="63"/>
    </row>
    <row r="3718" spans="9:10" x14ac:dyDescent="0.35">
      <c r="I3718" s="63"/>
      <c r="J3718" s="63"/>
    </row>
    <row r="3719" spans="9:10" x14ac:dyDescent="0.35">
      <c r="I3719" s="63"/>
      <c r="J3719" s="63"/>
    </row>
    <row r="3720" spans="9:10" x14ac:dyDescent="0.35">
      <c r="I3720" s="63"/>
      <c r="J3720" s="63"/>
    </row>
    <row r="3721" spans="9:10" x14ac:dyDescent="0.35">
      <c r="I3721" s="63"/>
      <c r="J3721" s="63"/>
    </row>
    <row r="3722" spans="9:10" x14ac:dyDescent="0.35">
      <c r="I3722" s="63"/>
      <c r="J3722" s="63"/>
    </row>
    <row r="3723" spans="9:10" x14ac:dyDescent="0.35">
      <c r="I3723" s="63"/>
      <c r="J3723" s="63"/>
    </row>
    <row r="3724" spans="9:10" x14ac:dyDescent="0.35">
      <c r="I3724" s="63"/>
      <c r="J3724" s="63"/>
    </row>
    <row r="3725" spans="9:10" x14ac:dyDescent="0.35">
      <c r="I3725" s="63"/>
      <c r="J3725" s="63"/>
    </row>
    <row r="3726" spans="9:10" x14ac:dyDescent="0.35">
      <c r="I3726" s="63"/>
      <c r="J3726" s="63"/>
    </row>
    <row r="3727" spans="9:10" x14ac:dyDescent="0.35">
      <c r="I3727" s="63"/>
      <c r="J3727" s="63"/>
    </row>
    <row r="3728" spans="9:10" x14ac:dyDescent="0.35">
      <c r="I3728" s="63"/>
      <c r="J3728" s="63"/>
    </row>
    <row r="3729" spans="9:10" x14ac:dyDescent="0.35">
      <c r="I3729" s="63"/>
      <c r="J3729" s="63"/>
    </row>
    <row r="3730" spans="9:10" x14ac:dyDescent="0.35">
      <c r="I3730" s="63"/>
      <c r="J3730" s="63"/>
    </row>
    <row r="3731" spans="9:10" x14ac:dyDescent="0.35">
      <c r="I3731" s="63"/>
      <c r="J3731" s="63"/>
    </row>
    <row r="3732" spans="9:10" x14ac:dyDescent="0.35">
      <c r="I3732" s="63"/>
      <c r="J3732" s="63"/>
    </row>
    <row r="3733" spans="9:10" x14ac:dyDescent="0.35">
      <c r="I3733" s="63"/>
      <c r="J3733" s="63"/>
    </row>
    <row r="3734" spans="9:10" x14ac:dyDescent="0.35">
      <c r="I3734" s="63"/>
      <c r="J3734" s="63"/>
    </row>
    <row r="3735" spans="9:10" x14ac:dyDescent="0.35">
      <c r="I3735" s="63"/>
      <c r="J3735" s="63"/>
    </row>
    <row r="3736" spans="9:10" x14ac:dyDescent="0.35">
      <c r="I3736" s="63"/>
      <c r="J3736" s="63"/>
    </row>
    <row r="3737" spans="9:10" x14ac:dyDescent="0.35">
      <c r="I3737" s="63"/>
      <c r="J3737" s="63"/>
    </row>
    <row r="3738" spans="9:10" x14ac:dyDescent="0.35">
      <c r="I3738" s="63"/>
      <c r="J3738" s="63"/>
    </row>
    <row r="3739" spans="9:10" x14ac:dyDescent="0.35">
      <c r="I3739" s="63"/>
      <c r="J3739" s="63"/>
    </row>
    <row r="3740" spans="9:10" x14ac:dyDescent="0.35">
      <c r="I3740" s="63"/>
      <c r="J3740" s="63"/>
    </row>
    <row r="3741" spans="9:10" x14ac:dyDescent="0.35">
      <c r="I3741" s="63"/>
      <c r="J3741" s="63"/>
    </row>
    <row r="3742" spans="9:10" x14ac:dyDescent="0.35">
      <c r="I3742" s="63"/>
      <c r="J3742" s="63"/>
    </row>
    <row r="3743" spans="9:10" x14ac:dyDescent="0.35">
      <c r="I3743" s="63"/>
      <c r="J3743" s="63"/>
    </row>
    <row r="3744" spans="9:10" x14ac:dyDescent="0.35">
      <c r="I3744" s="63"/>
      <c r="J3744" s="63"/>
    </row>
    <row r="3745" spans="9:10" x14ac:dyDescent="0.35">
      <c r="I3745" s="63"/>
      <c r="J3745" s="63"/>
    </row>
    <row r="3746" spans="9:10" x14ac:dyDescent="0.35">
      <c r="I3746" s="63"/>
      <c r="J3746" s="63"/>
    </row>
    <row r="3747" spans="9:10" x14ac:dyDescent="0.35">
      <c r="I3747" s="63"/>
      <c r="J3747" s="63"/>
    </row>
    <row r="3748" spans="9:10" x14ac:dyDescent="0.35">
      <c r="I3748" s="63"/>
      <c r="J3748" s="63"/>
    </row>
    <row r="3749" spans="9:10" x14ac:dyDescent="0.35">
      <c r="I3749" s="63"/>
      <c r="J3749" s="63"/>
    </row>
    <row r="3750" spans="9:10" x14ac:dyDescent="0.35">
      <c r="I3750" s="63"/>
      <c r="J3750" s="63"/>
    </row>
    <row r="3751" spans="9:10" x14ac:dyDescent="0.35">
      <c r="I3751" s="63"/>
      <c r="J3751" s="63"/>
    </row>
    <row r="3752" spans="9:10" x14ac:dyDescent="0.35">
      <c r="I3752" s="63"/>
      <c r="J3752" s="63"/>
    </row>
    <row r="3753" spans="9:10" x14ac:dyDescent="0.35">
      <c r="I3753" s="63"/>
      <c r="J3753" s="63"/>
    </row>
    <row r="3754" spans="9:10" x14ac:dyDescent="0.35">
      <c r="I3754" s="63"/>
      <c r="J3754" s="63"/>
    </row>
    <row r="3755" spans="9:10" x14ac:dyDescent="0.35">
      <c r="I3755" s="63"/>
      <c r="J3755" s="63"/>
    </row>
    <row r="3756" spans="9:10" x14ac:dyDescent="0.35">
      <c r="I3756" s="63"/>
      <c r="J3756" s="63"/>
    </row>
    <row r="3757" spans="9:10" x14ac:dyDescent="0.35">
      <c r="I3757" s="63"/>
      <c r="J3757" s="63"/>
    </row>
    <row r="3758" spans="9:10" x14ac:dyDescent="0.35">
      <c r="I3758" s="63"/>
      <c r="J3758" s="63"/>
    </row>
    <row r="3759" spans="9:10" x14ac:dyDescent="0.35">
      <c r="I3759" s="63"/>
      <c r="J3759" s="63"/>
    </row>
    <row r="3760" spans="9:10" x14ac:dyDescent="0.35">
      <c r="I3760" s="63"/>
      <c r="J3760" s="63"/>
    </row>
    <row r="3761" spans="9:10" x14ac:dyDescent="0.35">
      <c r="I3761" s="63"/>
      <c r="J3761" s="63"/>
    </row>
    <row r="3762" spans="9:10" x14ac:dyDescent="0.35">
      <c r="I3762" s="63"/>
      <c r="J3762" s="63"/>
    </row>
    <row r="3763" spans="9:10" x14ac:dyDescent="0.35">
      <c r="I3763" s="63"/>
      <c r="J3763" s="63"/>
    </row>
    <row r="3764" spans="9:10" x14ac:dyDescent="0.35">
      <c r="I3764" s="63"/>
      <c r="J3764" s="63"/>
    </row>
    <row r="3765" spans="9:10" x14ac:dyDescent="0.35">
      <c r="I3765" s="63"/>
      <c r="J3765" s="63"/>
    </row>
    <row r="3766" spans="9:10" x14ac:dyDescent="0.35">
      <c r="I3766" s="63"/>
      <c r="J3766" s="63"/>
    </row>
    <row r="3767" spans="9:10" x14ac:dyDescent="0.35">
      <c r="I3767" s="63"/>
      <c r="J3767" s="63"/>
    </row>
    <row r="3768" spans="9:10" x14ac:dyDescent="0.35">
      <c r="I3768" s="63"/>
      <c r="J3768" s="63"/>
    </row>
    <row r="3769" spans="9:10" x14ac:dyDescent="0.35">
      <c r="I3769" s="63"/>
      <c r="J3769" s="63"/>
    </row>
    <row r="3770" spans="9:10" x14ac:dyDescent="0.35">
      <c r="I3770" s="63"/>
      <c r="J3770" s="63"/>
    </row>
    <row r="3771" spans="9:10" x14ac:dyDescent="0.35">
      <c r="I3771" s="63"/>
      <c r="J3771" s="63"/>
    </row>
    <row r="3772" spans="9:10" x14ac:dyDescent="0.35">
      <c r="I3772" s="63"/>
      <c r="J3772" s="63"/>
    </row>
    <row r="3773" spans="9:10" x14ac:dyDescent="0.35">
      <c r="I3773" s="63"/>
      <c r="J3773" s="63"/>
    </row>
    <row r="3774" spans="9:10" x14ac:dyDescent="0.35">
      <c r="I3774" s="63"/>
      <c r="J3774" s="63"/>
    </row>
    <row r="3775" spans="9:10" x14ac:dyDescent="0.35">
      <c r="I3775" s="63"/>
      <c r="J3775" s="63"/>
    </row>
    <row r="3776" spans="9:10" x14ac:dyDescent="0.35">
      <c r="I3776" s="63"/>
      <c r="J3776" s="63"/>
    </row>
    <row r="3777" spans="9:10" x14ac:dyDescent="0.35">
      <c r="I3777" s="63"/>
      <c r="J3777" s="63"/>
    </row>
    <row r="3778" spans="9:10" x14ac:dyDescent="0.35">
      <c r="I3778" s="63"/>
      <c r="J3778" s="63"/>
    </row>
    <row r="3779" spans="9:10" x14ac:dyDescent="0.35">
      <c r="I3779" s="63"/>
      <c r="J3779" s="63"/>
    </row>
    <row r="3780" spans="9:10" x14ac:dyDescent="0.35">
      <c r="I3780" s="63"/>
      <c r="J3780" s="63"/>
    </row>
    <row r="3781" spans="9:10" x14ac:dyDescent="0.35">
      <c r="I3781" s="63"/>
      <c r="J3781" s="63"/>
    </row>
    <row r="3782" spans="9:10" x14ac:dyDescent="0.35">
      <c r="I3782" s="63"/>
      <c r="J3782" s="63"/>
    </row>
    <row r="3783" spans="9:10" x14ac:dyDescent="0.35">
      <c r="I3783" s="63"/>
      <c r="J3783" s="63"/>
    </row>
    <row r="3784" spans="9:10" x14ac:dyDescent="0.35">
      <c r="I3784" s="63"/>
      <c r="J3784" s="63"/>
    </row>
    <row r="3785" spans="9:10" x14ac:dyDescent="0.35">
      <c r="I3785" s="63"/>
      <c r="J3785" s="63"/>
    </row>
    <row r="3786" spans="9:10" x14ac:dyDescent="0.35">
      <c r="I3786" s="63"/>
      <c r="J3786" s="63"/>
    </row>
    <row r="3787" spans="9:10" x14ac:dyDescent="0.35">
      <c r="I3787" s="63"/>
      <c r="J3787" s="63"/>
    </row>
    <row r="3788" spans="9:10" x14ac:dyDescent="0.35">
      <c r="I3788" s="63"/>
      <c r="J3788" s="63"/>
    </row>
    <row r="3789" spans="9:10" x14ac:dyDescent="0.35">
      <c r="I3789" s="63"/>
      <c r="J3789" s="63"/>
    </row>
    <row r="3790" spans="9:10" x14ac:dyDescent="0.35">
      <c r="I3790" s="63"/>
      <c r="J3790" s="63"/>
    </row>
    <row r="3791" spans="9:10" x14ac:dyDescent="0.35">
      <c r="I3791" s="63"/>
      <c r="J3791" s="63"/>
    </row>
    <row r="3792" spans="9:10" x14ac:dyDescent="0.35">
      <c r="I3792" s="63"/>
      <c r="J3792" s="63"/>
    </row>
    <row r="3793" spans="9:10" x14ac:dyDescent="0.35">
      <c r="I3793" s="63"/>
      <c r="J3793" s="63"/>
    </row>
    <row r="3794" spans="9:10" x14ac:dyDescent="0.35">
      <c r="I3794" s="63"/>
      <c r="J3794" s="63"/>
    </row>
    <row r="3795" spans="9:10" x14ac:dyDescent="0.35">
      <c r="I3795" s="63"/>
      <c r="J3795" s="63"/>
    </row>
    <row r="3796" spans="9:10" x14ac:dyDescent="0.35">
      <c r="I3796" s="63"/>
      <c r="J3796" s="63"/>
    </row>
    <row r="3797" spans="9:10" x14ac:dyDescent="0.35">
      <c r="I3797" s="63"/>
      <c r="J3797" s="63"/>
    </row>
    <row r="3798" spans="9:10" x14ac:dyDescent="0.35">
      <c r="I3798" s="63"/>
      <c r="J3798" s="63"/>
    </row>
    <row r="3799" spans="9:10" x14ac:dyDescent="0.35">
      <c r="I3799" s="63"/>
      <c r="J3799" s="63"/>
    </row>
    <row r="3800" spans="9:10" x14ac:dyDescent="0.35">
      <c r="I3800" s="63"/>
      <c r="J3800" s="63"/>
    </row>
    <row r="3801" spans="9:10" x14ac:dyDescent="0.35">
      <c r="I3801" s="63"/>
      <c r="J3801" s="63"/>
    </row>
    <row r="3802" spans="9:10" x14ac:dyDescent="0.35">
      <c r="I3802" s="63"/>
      <c r="J3802" s="63"/>
    </row>
    <row r="3803" spans="9:10" x14ac:dyDescent="0.35">
      <c r="I3803" s="63"/>
      <c r="J3803" s="63"/>
    </row>
    <row r="3804" spans="9:10" x14ac:dyDescent="0.35">
      <c r="I3804" s="63"/>
      <c r="J3804" s="63"/>
    </row>
    <row r="3805" spans="9:10" x14ac:dyDescent="0.35">
      <c r="I3805" s="63"/>
      <c r="J3805" s="63"/>
    </row>
    <row r="3806" spans="9:10" x14ac:dyDescent="0.35">
      <c r="I3806" s="63"/>
      <c r="J3806" s="63"/>
    </row>
    <row r="3807" spans="9:10" x14ac:dyDescent="0.35">
      <c r="I3807" s="63"/>
      <c r="J3807" s="63"/>
    </row>
    <row r="3808" spans="9:10" x14ac:dyDescent="0.35">
      <c r="I3808" s="63"/>
      <c r="J3808" s="63"/>
    </row>
    <row r="3809" spans="9:10" x14ac:dyDescent="0.35">
      <c r="I3809" s="63"/>
      <c r="J3809" s="63"/>
    </row>
    <row r="3810" spans="9:10" x14ac:dyDescent="0.35">
      <c r="I3810" s="63"/>
      <c r="J3810" s="63"/>
    </row>
    <row r="3811" spans="9:10" x14ac:dyDescent="0.35">
      <c r="I3811" s="63"/>
      <c r="J3811" s="63"/>
    </row>
    <row r="3812" spans="9:10" x14ac:dyDescent="0.35">
      <c r="I3812" s="63"/>
      <c r="J3812" s="63"/>
    </row>
    <row r="3813" spans="9:10" x14ac:dyDescent="0.35">
      <c r="I3813" s="63"/>
      <c r="J3813" s="63"/>
    </row>
    <row r="3814" spans="9:10" x14ac:dyDescent="0.35">
      <c r="I3814" s="63"/>
      <c r="J3814" s="63"/>
    </row>
    <row r="3815" spans="9:10" x14ac:dyDescent="0.35">
      <c r="I3815" s="63"/>
      <c r="J3815" s="63"/>
    </row>
    <row r="3816" spans="9:10" x14ac:dyDescent="0.35">
      <c r="I3816" s="63"/>
      <c r="J3816" s="63"/>
    </row>
    <row r="3817" spans="9:10" x14ac:dyDescent="0.35">
      <c r="I3817" s="63"/>
      <c r="J3817" s="63"/>
    </row>
    <row r="3818" spans="9:10" x14ac:dyDescent="0.35">
      <c r="I3818" s="63"/>
      <c r="J3818" s="63"/>
    </row>
    <row r="3819" spans="9:10" x14ac:dyDescent="0.35">
      <c r="I3819" s="63"/>
      <c r="J3819" s="63"/>
    </row>
    <row r="3820" spans="9:10" x14ac:dyDescent="0.35">
      <c r="I3820" s="63"/>
      <c r="J3820" s="63"/>
    </row>
    <row r="3821" spans="9:10" x14ac:dyDescent="0.35">
      <c r="I3821" s="63"/>
      <c r="J3821" s="63"/>
    </row>
    <row r="3822" spans="9:10" x14ac:dyDescent="0.35">
      <c r="I3822" s="63"/>
      <c r="J3822" s="63"/>
    </row>
    <row r="3823" spans="9:10" x14ac:dyDescent="0.35">
      <c r="I3823" s="63"/>
      <c r="J3823" s="63"/>
    </row>
    <row r="3824" spans="9:10" x14ac:dyDescent="0.35">
      <c r="I3824" s="63"/>
      <c r="J3824" s="63"/>
    </row>
    <row r="3825" spans="9:10" x14ac:dyDescent="0.35">
      <c r="I3825" s="63"/>
      <c r="J3825" s="63"/>
    </row>
    <row r="3826" spans="9:10" x14ac:dyDescent="0.35">
      <c r="I3826" s="63"/>
      <c r="J3826" s="63"/>
    </row>
    <row r="3827" spans="9:10" x14ac:dyDescent="0.35">
      <c r="I3827" s="63"/>
      <c r="J3827" s="63"/>
    </row>
    <row r="3828" spans="9:10" x14ac:dyDescent="0.35">
      <c r="I3828" s="63"/>
      <c r="J3828" s="63"/>
    </row>
    <row r="3829" spans="9:10" x14ac:dyDescent="0.35">
      <c r="I3829" s="63"/>
      <c r="J3829" s="63"/>
    </row>
    <row r="3830" spans="9:10" x14ac:dyDescent="0.35">
      <c r="I3830" s="63"/>
      <c r="J3830" s="63"/>
    </row>
    <row r="3831" spans="9:10" x14ac:dyDescent="0.35">
      <c r="I3831" s="63"/>
      <c r="J3831" s="63"/>
    </row>
    <row r="3832" spans="9:10" x14ac:dyDescent="0.35">
      <c r="I3832" s="63"/>
      <c r="J3832" s="63"/>
    </row>
    <row r="3833" spans="9:10" x14ac:dyDescent="0.35">
      <c r="I3833" s="63"/>
      <c r="J3833" s="63"/>
    </row>
    <row r="3834" spans="9:10" x14ac:dyDescent="0.35">
      <c r="I3834" s="63"/>
      <c r="J3834" s="63"/>
    </row>
    <row r="3835" spans="9:10" x14ac:dyDescent="0.35">
      <c r="I3835" s="63"/>
      <c r="J3835" s="63"/>
    </row>
    <row r="3836" spans="9:10" x14ac:dyDescent="0.35">
      <c r="I3836" s="63"/>
      <c r="J3836" s="63"/>
    </row>
    <row r="3837" spans="9:10" x14ac:dyDescent="0.35">
      <c r="I3837" s="63"/>
      <c r="J3837" s="63"/>
    </row>
    <row r="3838" spans="9:10" x14ac:dyDescent="0.35">
      <c r="I3838" s="63"/>
      <c r="J3838" s="63"/>
    </row>
    <row r="3839" spans="9:10" x14ac:dyDescent="0.35">
      <c r="I3839" s="63"/>
      <c r="J3839" s="63"/>
    </row>
    <row r="3840" spans="9:10" x14ac:dyDescent="0.35">
      <c r="I3840" s="63"/>
      <c r="J3840" s="63"/>
    </row>
    <row r="3841" spans="9:10" x14ac:dyDescent="0.35">
      <c r="I3841" s="63"/>
      <c r="J3841" s="63"/>
    </row>
    <row r="3842" spans="9:10" x14ac:dyDescent="0.35">
      <c r="I3842" s="63"/>
      <c r="J3842" s="63"/>
    </row>
    <row r="3843" spans="9:10" x14ac:dyDescent="0.35">
      <c r="I3843" s="63"/>
      <c r="J3843" s="63"/>
    </row>
    <row r="3844" spans="9:10" x14ac:dyDescent="0.35">
      <c r="I3844" s="63"/>
      <c r="J3844" s="63"/>
    </row>
    <row r="3845" spans="9:10" x14ac:dyDescent="0.35">
      <c r="I3845" s="63"/>
      <c r="J3845" s="63"/>
    </row>
    <row r="3846" spans="9:10" x14ac:dyDescent="0.35">
      <c r="I3846" s="63"/>
      <c r="J3846" s="63"/>
    </row>
    <row r="3847" spans="9:10" x14ac:dyDescent="0.35">
      <c r="I3847" s="63"/>
      <c r="J3847" s="63"/>
    </row>
    <row r="3848" spans="9:10" x14ac:dyDescent="0.35">
      <c r="I3848" s="63"/>
      <c r="J3848" s="63"/>
    </row>
    <row r="3849" spans="9:10" x14ac:dyDescent="0.35">
      <c r="I3849" s="63"/>
      <c r="J3849" s="63"/>
    </row>
    <row r="3850" spans="9:10" x14ac:dyDescent="0.35">
      <c r="I3850" s="63"/>
      <c r="J3850" s="63"/>
    </row>
    <row r="3851" spans="9:10" x14ac:dyDescent="0.35">
      <c r="I3851" s="63"/>
      <c r="J3851" s="63"/>
    </row>
    <row r="3852" spans="9:10" x14ac:dyDescent="0.35">
      <c r="I3852" s="63"/>
      <c r="J3852" s="63"/>
    </row>
    <row r="3853" spans="9:10" x14ac:dyDescent="0.35">
      <c r="I3853" s="63"/>
      <c r="J3853" s="63"/>
    </row>
    <row r="3854" spans="9:10" x14ac:dyDescent="0.35">
      <c r="I3854" s="63"/>
      <c r="J3854" s="63"/>
    </row>
    <row r="3855" spans="9:10" x14ac:dyDescent="0.35">
      <c r="I3855" s="63"/>
      <c r="J3855" s="63"/>
    </row>
    <row r="3856" spans="9:10" x14ac:dyDescent="0.35">
      <c r="I3856" s="63"/>
      <c r="J3856" s="63"/>
    </row>
    <row r="3857" spans="9:10" x14ac:dyDescent="0.35">
      <c r="I3857" s="63"/>
      <c r="J3857" s="63"/>
    </row>
    <row r="3858" spans="9:10" x14ac:dyDescent="0.35">
      <c r="I3858" s="63"/>
      <c r="J3858" s="63"/>
    </row>
    <row r="3859" spans="9:10" x14ac:dyDescent="0.35">
      <c r="I3859" s="63"/>
      <c r="J3859" s="63"/>
    </row>
    <row r="3860" spans="9:10" x14ac:dyDescent="0.35">
      <c r="I3860" s="63"/>
      <c r="J3860" s="63"/>
    </row>
    <row r="3861" spans="9:10" x14ac:dyDescent="0.35">
      <c r="I3861" s="63"/>
      <c r="J3861" s="63"/>
    </row>
    <row r="3862" spans="9:10" x14ac:dyDescent="0.35">
      <c r="I3862" s="63"/>
      <c r="J3862" s="63"/>
    </row>
    <row r="3863" spans="9:10" x14ac:dyDescent="0.35">
      <c r="I3863" s="63"/>
      <c r="J3863" s="63"/>
    </row>
    <row r="3864" spans="9:10" x14ac:dyDescent="0.35">
      <c r="I3864" s="63"/>
      <c r="J3864" s="63"/>
    </row>
    <row r="3865" spans="9:10" x14ac:dyDescent="0.35">
      <c r="I3865" s="63"/>
      <c r="J3865" s="63"/>
    </row>
    <row r="3866" spans="9:10" x14ac:dyDescent="0.35">
      <c r="I3866" s="63"/>
      <c r="J3866" s="63"/>
    </row>
    <row r="3867" spans="9:10" x14ac:dyDescent="0.35">
      <c r="I3867" s="63"/>
      <c r="J3867" s="63"/>
    </row>
    <row r="3868" spans="9:10" x14ac:dyDescent="0.35">
      <c r="I3868" s="63"/>
      <c r="J3868" s="63"/>
    </row>
    <row r="3869" spans="9:10" x14ac:dyDescent="0.35">
      <c r="I3869" s="63"/>
      <c r="J3869" s="63"/>
    </row>
    <row r="3870" spans="9:10" x14ac:dyDescent="0.35">
      <c r="I3870" s="63"/>
      <c r="J3870" s="63"/>
    </row>
    <row r="3871" spans="9:10" x14ac:dyDescent="0.35">
      <c r="I3871" s="63"/>
      <c r="J3871" s="63"/>
    </row>
    <row r="3872" spans="9:10" x14ac:dyDescent="0.35">
      <c r="I3872" s="63"/>
      <c r="J3872" s="63"/>
    </row>
    <row r="3873" spans="9:10" x14ac:dyDescent="0.35">
      <c r="I3873" s="63"/>
      <c r="J3873" s="63"/>
    </row>
    <row r="3874" spans="9:10" x14ac:dyDescent="0.35">
      <c r="I3874" s="63"/>
      <c r="J3874" s="63"/>
    </row>
    <row r="3875" spans="9:10" x14ac:dyDescent="0.35">
      <c r="I3875" s="63"/>
      <c r="J3875" s="63"/>
    </row>
    <row r="3876" spans="9:10" x14ac:dyDescent="0.35">
      <c r="I3876" s="63"/>
      <c r="J3876" s="63"/>
    </row>
    <row r="3877" spans="9:10" x14ac:dyDescent="0.35">
      <c r="I3877" s="63"/>
      <c r="J3877" s="63"/>
    </row>
    <row r="3878" spans="9:10" x14ac:dyDescent="0.35">
      <c r="I3878" s="63"/>
      <c r="J3878" s="63"/>
    </row>
    <row r="3879" spans="9:10" x14ac:dyDescent="0.35">
      <c r="I3879" s="63"/>
      <c r="J3879" s="63"/>
    </row>
    <row r="3880" spans="9:10" x14ac:dyDescent="0.35">
      <c r="I3880" s="63"/>
      <c r="J3880" s="63"/>
    </row>
    <row r="3881" spans="9:10" x14ac:dyDescent="0.35">
      <c r="I3881" s="63"/>
      <c r="J3881" s="63"/>
    </row>
    <row r="3882" spans="9:10" x14ac:dyDescent="0.35">
      <c r="I3882" s="63"/>
      <c r="J3882" s="63"/>
    </row>
    <row r="3883" spans="9:10" x14ac:dyDescent="0.35">
      <c r="I3883" s="63"/>
      <c r="J3883" s="63"/>
    </row>
    <row r="3884" spans="9:10" x14ac:dyDescent="0.35">
      <c r="I3884" s="63"/>
      <c r="J3884" s="63"/>
    </row>
    <row r="3885" spans="9:10" x14ac:dyDescent="0.35">
      <c r="I3885" s="63"/>
      <c r="J3885" s="63"/>
    </row>
    <row r="3886" spans="9:10" x14ac:dyDescent="0.35">
      <c r="I3886" s="63"/>
      <c r="J3886" s="63"/>
    </row>
    <row r="3887" spans="9:10" x14ac:dyDescent="0.35">
      <c r="I3887" s="63"/>
      <c r="J3887" s="63"/>
    </row>
    <row r="3888" spans="9:10" x14ac:dyDescent="0.35">
      <c r="I3888" s="63"/>
      <c r="J3888" s="63"/>
    </row>
    <row r="3889" spans="9:10" x14ac:dyDescent="0.35">
      <c r="I3889" s="63"/>
      <c r="J3889" s="63"/>
    </row>
    <row r="3890" spans="9:10" x14ac:dyDescent="0.35">
      <c r="I3890" s="63"/>
      <c r="J3890" s="63"/>
    </row>
    <row r="3891" spans="9:10" x14ac:dyDescent="0.35">
      <c r="I3891" s="63"/>
      <c r="J3891" s="63"/>
    </row>
    <row r="3892" spans="9:10" x14ac:dyDescent="0.35">
      <c r="I3892" s="63"/>
      <c r="J3892" s="63"/>
    </row>
    <row r="3893" spans="9:10" x14ac:dyDescent="0.35">
      <c r="I3893" s="63"/>
      <c r="J3893" s="63"/>
    </row>
    <row r="3894" spans="9:10" x14ac:dyDescent="0.35">
      <c r="I3894" s="63"/>
      <c r="J3894" s="63"/>
    </row>
    <row r="3895" spans="9:10" x14ac:dyDescent="0.35">
      <c r="I3895" s="63"/>
      <c r="J3895" s="63"/>
    </row>
    <row r="3896" spans="9:10" x14ac:dyDescent="0.35">
      <c r="I3896" s="63"/>
      <c r="J3896" s="63"/>
    </row>
    <row r="3897" spans="9:10" x14ac:dyDescent="0.35">
      <c r="I3897" s="63"/>
      <c r="J3897" s="63"/>
    </row>
    <row r="3898" spans="9:10" x14ac:dyDescent="0.35">
      <c r="I3898" s="63"/>
      <c r="J3898" s="63"/>
    </row>
    <row r="3899" spans="9:10" x14ac:dyDescent="0.35">
      <c r="I3899" s="63"/>
      <c r="J3899" s="63"/>
    </row>
    <row r="3900" spans="9:10" x14ac:dyDescent="0.35">
      <c r="I3900" s="63"/>
      <c r="J3900" s="63"/>
    </row>
    <row r="3901" spans="9:10" x14ac:dyDescent="0.35">
      <c r="I3901" s="63"/>
      <c r="J3901" s="63"/>
    </row>
    <row r="3902" spans="9:10" x14ac:dyDescent="0.35">
      <c r="I3902" s="63"/>
      <c r="J3902" s="63"/>
    </row>
    <row r="3903" spans="9:10" x14ac:dyDescent="0.35">
      <c r="I3903" s="63"/>
      <c r="J3903" s="63"/>
    </row>
    <row r="3904" spans="9:10" x14ac:dyDescent="0.35">
      <c r="I3904" s="63"/>
      <c r="J3904" s="63"/>
    </row>
    <row r="3905" spans="9:10" x14ac:dyDescent="0.35">
      <c r="I3905" s="63"/>
      <c r="J3905" s="63"/>
    </row>
    <row r="3906" spans="9:10" x14ac:dyDescent="0.35">
      <c r="I3906" s="63"/>
      <c r="J3906" s="63"/>
    </row>
    <row r="3907" spans="9:10" x14ac:dyDescent="0.35">
      <c r="I3907" s="63"/>
      <c r="J3907" s="63"/>
    </row>
    <row r="3908" spans="9:10" x14ac:dyDescent="0.35">
      <c r="I3908" s="63"/>
      <c r="J3908" s="63"/>
    </row>
    <row r="3909" spans="9:10" x14ac:dyDescent="0.35">
      <c r="I3909" s="63"/>
      <c r="J3909" s="63"/>
    </row>
    <row r="3910" spans="9:10" x14ac:dyDescent="0.35">
      <c r="I3910" s="63"/>
      <c r="J3910" s="63"/>
    </row>
    <row r="3911" spans="9:10" x14ac:dyDescent="0.35">
      <c r="I3911" s="63"/>
      <c r="J3911" s="63"/>
    </row>
    <row r="3912" spans="9:10" x14ac:dyDescent="0.35">
      <c r="I3912" s="63"/>
      <c r="J3912" s="63"/>
    </row>
    <row r="3913" spans="9:10" x14ac:dyDescent="0.35">
      <c r="I3913" s="63"/>
      <c r="J3913" s="63"/>
    </row>
    <row r="3914" spans="9:10" x14ac:dyDescent="0.35">
      <c r="I3914" s="63"/>
      <c r="J3914" s="63"/>
    </row>
    <row r="3915" spans="9:10" x14ac:dyDescent="0.35">
      <c r="I3915" s="63"/>
      <c r="J3915" s="63"/>
    </row>
    <row r="3916" spans="9:10" x14ac:dyDescent="0.35">
      <c r="I3916" s="63"/>
      <c r="J3916" s="63"/>
    </row>
    <row r="3917" spans="9:10" x14ac:dyDescent="0.35">
      <c r="I3917" s="63"/>
      <c r="J3917" s="63"/>
    </row>
    <row r="3918" spans="9:10" x14ac:dyDescent="0.35">
      <c r="I3918" s="63"/>
      <c r="J3918" s="63"/>
    </row>
    <row r="3919" spans="9:10" x14ac:dyDescent="0.35">
      <c r="I3919" s="63"/>
      <c r="J3919" s="63"/>
    </row>
    <row r="3920" spans="9:10" x14ac:dyDescent="0.35">
      <c r="I3920" s="63"/>
      <c r="J3920" s="63"/>
    </row>
    <row r="3921" spans="9:10" x14ac:dyDescent="0.35">
      <c r="I3921" s="63"/>
      <c r="J3921" s="63"/>
    </row>
    <row r="3922" spans="9:10" x14ac:dyDescent="0.35">
      <c r="I3922" s="63"/>
      <c r="J3922" s="63"/>
    </row>
    <row r="3923" spans="9:10" x14ac:dyDescent="0.35">
      <c r="I3923" s="63"/>
      <c r="J3923" s="63"/>
    </row>
    <row r="3924" spans="9:10" x14ac:dyDescent="0.35">
      <c r="I3924" s="63"/>
      <c r="J3924" s="63"/>
    </row>
    <row r="3925" spans="9:10" x14ac:dyDescent="0.35">
      <c r="I3925" s="63"/>
      <c r="J3925" s="63"/>
    </row>
    <row r="3926" spans="9:10" x14ac:dyDescent="0.35">
      <c r="I3926" s="63"/>
      <c r="J3926" s="63"/>
    </row>
    <row r="3927" spans="9:10" x14ac:dyDescent="0.35">
      <c r="I3927" s="63"/>
      <c r="J3927" s="63"/>
    </row>
    <row r="3928" spans="9:10" x14ac:dyDescent="0.35">
      <c r="I3928" s="63"/>
      <c r="J3928" s="63"/>
    </row>
    <row r="3929" spans="9:10" x14ac:dyDescent="0.35">
      <c r="I3929" s="63"/>
      <c r="J3929" s="63"/>
    </row>
    <row r="3930" spans="9:10" x14ac:dyDescent="0.35">
      <c r="I3930" s="63"/>
      <c r="J3930" s="63"/>
    </row>
    <row r="3931" spans="9:10" x14ac:dyDescent="0.35">
      <c r="I3931" s="63"/>
      <c r="J3931" s="63"/>
    </row>
    <row r="3932" spans="9:10" x14ac:dyDescent="0.35">
      <c r="I3932" s="63"/>
      <c r="J3932" s="63"/>
    </row>
    <row r="3933" spans="9:10" x14ac:dyDescent="0.35">
      <c r="I3933" s="63"/>
      <c r="J3933" s="63"/>
    </row>
    <row r="3934" spans="9:10" x14ac:dyDescent="0.35">
      <c r="I3934" s="63"/>
      <c r="J3934" s="63"/>
    </row>
    <row r="3935" spans="9:10" x14ac:dyDescent="0.35">
      <c r="I3935" s="63"/>
      <c r="J3935" s="63"/>
    </row>
    <row r="3936" spans="9:10" x14ac:dyDescent="0.35">
      <c r="I3936" s="63"/>
      <c r="J3936" s="63"/>
    </row>
    <row r="3937" spans="9:10" x14ac:dyDescent="0.35">
      <c r="I3937" s="63"/>
      <c r="J3937" s="63"/>
    </row>
    <row r="3938" spans="9:10" x14ac:dyDescent="0.35">
      <c r="I3938" s="63"/>
      <c r="J3938" s="63"/>
    </row>
    <row r="3939" spans="9:10" x14ac:dyDescent="0.35">
      <c r="I3939" s="63"/>
      <c r="J3939" s="63"/>
    </row>
    <row r="3940" spans="9:10" x14ac:dyDescent="0.35">
      <c r="I3940" s="63"/>
      <c r="J3940" s="63"/>
    </row>
    <row r="3941" spans="9:10" x14ac:dyDescent="0.35">
      <c r="I3941" s="63"/>
      <c r="J3941" s="63"/>
    </row>
    <row r="3942" spans="9:10" x14ac:dyDescent="0.35">
      <c r="I3942" s="63"/>
      <c r="J3942" s="63"/>
    </row>
    <row r="3943" spans="9:10" x14ac:dyDescent="0.35">
      <c r="I3943" s="63"/>
      <c r="J3943" s="63"/>
    </row>
    <row r="3944" spans="9:10" x14ac:dyDescent="0.35">
      <c r="I3944" s="63"/>
      <c r="J3944" s="63"/>
    </row>
    <row r="3945" spans="9:10" x14ac:dyDescent="0.35">
      <c r="I3945" s="63"/>
      <c r="J3945" s="63"/>
    </row>
    <row r="3946" spans="9:10" x14ac:dyDescent="0.35">
      <c r="I3946" s="63"/>
      <c r="J3946" s="63"/>
    </row>
    <row r="3947" spans="9:10" x14ac:dyDescent="0.35">
      <c r="I3947" s="63"/>
      <c r="J3947" s="63"/>
    </row>
    <row r="3948" spans="9:10" x14ac:dyDescent="0.35">
      <c r="I3948" s="63"/>
      <c r="J3948" s="63"/>
    </row>
    <row r="3949" spans="9:10" x14ac:dyDescent="0.35">
      <c r="I3949" s="63"/>
      <c r="J3949" s="63"/>
    </row>
    <row r="3950" spans="9:10" x14ac:dyDescent="0.35">
      <c r="I3950" s="63"/>
      <c r="J3950" s="63"/>
    </row>
    <row r="3951" spans="9:10" x14ac:dyDescent="0.35">
      <c r="I3951" s="63"/>
      <c r="J3951" s="63"/>
    </row>
    <row r="3952" spans="9:10" x14ac:dyDescent="0.35">
      <c r="I3952" s="63"/>
      <c r="J3952" s="63"/>
    </row>
    <row r="3953" spans="9:10" x14ac:dyDescent="0.35">
      <c r="I3953" s="63"/>
      <c r="J3953" s="63"/>
    </row>
    <row r="3954" spans="9:10" x14ac:dyDescent="0.35">
      <c r="I3954" s="63"/>
      <c r="J3954" s="63"/>
    </row>
    <row r="3955" spans="9:10" x14ac:dyDescent="0.35">
      <c r="I3955" s="63"/>
      <c r="J3955" s="63"/>
    </row>
    <row r="3956" spans="9:10" x14ac:dyDescent="0.35">
      <c r="I3956" s="63"/>
      <c r="J3956" s="63"/>
    </row>
    <row r="3957" spans="9:10" x14ac:dyDescent="0.35">
      <c r="I3957" s="63"/>
      <c r="J3957" s="63"/>
    </row>
    <row r="3958" spans="9:10" x14ac:dyDescent="0.35">
      <c r="I3958" s="63"/>
      <c r="J3958" s="63"/>
    </row>
    <row r="3959" spans="9:10" x14ac:dyDescent="0.35">
      <c r="I3959" s="63"/>
      <c r="J3959" s="63"/>
    </row>
    <row r="3960" spans="9:10" x14ac:dyDescent="0.35">
      <c r="I3960" s="63"/>
      <c r="J3960" s="63"/>
    </row>
    <row r="3961" spans="9:10" x14ac:dyDescent="0.35">
      <c r="I3961" s="63"/>
      <c r="J3961" s="63"/>
    </row>
    <row r="3962" spans="9:10" x14ac:dyDescent="0.35">
      <c r="I3962" s="63"/>
      <c r="J3962" s="63"/>
    </row>
    <row r="3963" spans="9:10" x14ac:dyDescent="0.35">
      <c r="I3963" s="63"/>
      <c r="J3963" s="63"/>
    </row>
    <row r="3964" spans="9:10" x14ac:dyDescent="0.35">
      <c r="I3964" s="63"/>
      <c r="J3964" s="63"/>
    </row>
    <row r="3965" spans="9:10" x14ac:dyDescent="0.35">
      <c r="I3965" s="63"/>
      <c r="J3965" s="63"/>
    </row>
    <row r="3966" spans="9:10" x14ac:dyDescent="0.35">
      <c r="I3966" s="63"/>
      <c r="J3966" s="63"/>
    </row>
    <row r="3967" spans="9:10" x14ac:dyDescent="0.35">
      <c r="I3967" s="63"/>
      <c r="J3967" s="63"/>
    </row>
    <row r="3968" spans="9:10" x14ac:dyDescent="0.35">
      <c r="I3968" s="63"/>
      <c r="J3968" s="63"/>
    </row>
    <row r="3969" spans="9:10" x14ac:dyDescent="0.35">
      <c r="I3969" s="63"/>
      <c r="J3969" s="63"/>
    </row>
    <row r="3970" spans="9:10" x14ac:dyDescent="0.35">
      <c r="I3970" s="63"/>
      <c r="J3970" s="63"/>
    </row>
    <row r="3971" spans="9:10" x14ac:dyDescent="0.35">
      <c r="I3971" s="63"/>
      <c r="J3971" s="63"/>
    </row>
    <row r="3972" spans="9:10" x14ac:dyDescent="0.35">
      <c r="I3972" s="63"/>
      <c r="J3972" s="63"/>
    </row>
    <row r="3973" spans="9:10" x14ac:dyDescent="0.35">
      <c r="I3973" s="63"/>
      <c r="J3973" s="63"/>
    </row>
    <row r="3974" spans="9:10" x14ac:dyDescent="0.35">
      <c r="I3974" s="63"/>
      <c r="J3974" s="63"/>
    </row>
    <row r="3975" spans="9:10" x14ac:dyDescent="0.35">
      <c r="I3975" s="63"/>
      <c r="J3975" s="63"/>
    </row>
    <row r="3976" spans="9:10" x14ac:dyDescent="0.35">
      <c r="I3976" s="63"/>
      <c r="J3976" s="63"/>
    </row>
    <row r="3977" spans="9:10" x14ac:dyDescent="0.35">
      <c r="I3977" s="63"/>
      <c r="J3977" s="63"/>
    </row>
    <row r="3978" spans="9:10" x14ac:dyDescent="0.35">
      <c r="I3978" s="63"/>
      <c r="J3978" s="63"/>
    </row>
    <row r="3979" spans="9:10" x14ac:dyDescent="0.35">
      <c r="I3979" s="63"/>
      <c r="J3979" s="63"/>
    </row>
    <row r="3980" spans="9:10" x14ac:dyDescent="0.35">
      <c r="I3980" s="63"/>
      <c r="J3980" s="63"/>
    </row>
    <row r="3981" spans="9:10" x14ac:dyDescent="0.35">
      <c r="I3981" s="63"/>
      <c r="J3981" s="63"/>
    </row>
    <row r="3982" spans="9:10" x14ac:dyDescent="0.35">
      <c r="I3982" s="63"/>
      <c r="J3982" s="63"/>
    </row>
    <row r="3983" spans="9:10" x14ac:dyDescent="0.35">
      <c r="I3983" s="63"/>
      <c r="J3983" s="63"/>
    </row>
    <row r="3984" spans="9:10" x14ac:dyDescent="0.35">
      <c r="I3984" s="63"/>
      <c r="J3984" s="63"/>
    </row>
    <row r="3985" spans="9:10" x14ac:dyDescent="0.35">
      <c r="I3985" s="63"/>
      <c r="J3985" s="63"/>
    </row>
    <row r="3986" spans="9:10" x14ac:dyDescent="0.35">
      <c r="I3986" s="63"/>
      <c r="J3986" s="63"/>
    </row>
    <row r="3987" spans="9:10" x14ac:dyDescent="0.35">
      <c r="I3987" s="63"/>
      <c r="J3987" s="63"/>
    </row>
    <row r="3988" spans="9:10" x14ac:dyDescent="0.35">
      <c r="I3988" s="63"/>
      <c r="J3988" s="63"/>
    </row>
    <row r="3989" spans="9:10" x14ac:dyDescent="0.35">
      <c r="I3989" s="63"/>
      <c r="J3989" s="63"/>
    </row>
    <row r="3990" spans="9:10" x14ac:dyDescent="0.35">
      <c r="I3990" s="63"/>
      <c r="J3990" s="63"/>
    </row>
    <row r="3991" spans="9:10" x14ac:dyDescent="0.35">
      <c r="I3991" s="63"/>
      <c r="J3991" s="63"/>
    </row>
    <row r="3992" spans="9:10" x14ac:dyDescent="0.35">
      <c r="I3992" s="63"/>
      <c r="J3992" s="63"/>
    </row>
    <row r="3993" spans="9:10" x14ac:dyDescent="0.35">
      <c r="I3993" s="63"/>
      <c r="J3993" s="63"/>
    </row>
    <row r="3994" spans="9:10" x14ac:dyDescent="0.35">
      <c r="I3994" s="63"/>
      <c r="J3994" s="63"/>
    </row>
    <row r="3995" spans="9:10" x14ac:dyDescent="0.35">
      <c r="I3995" s="63"/>
      <c r="J3995" s="63"/>
    </row>
    <row r="3996" spans="9:10" x14ac:dyDescent="0.35">
      <c r="I3996" s="63"/>
      <c r="J3996" s="63"/>
    </row>
    <row r="3997" spans="9:10" x14ac:dyDescent="0.35">
      <c r="I3997" s="63"/>
      <c r="J3997" s="63"/>
    </row>
    <row r="3998" spans="9:10" x14ac:dyDescent="0.35">
      <c r="I3998" s="63"/>
      <c r="J3998" s="63"/>
    </row>
    <row r="3999" spans="9:10" x14ac:dyDescent="0.35">
      <c r="I3999" s="63"/>
      <c r="J3999" s="63"/>
    </row>
    <row r="4000" spans="9:10" x14ac:dyDescent="0.35">
      <c r="I4000" s="63"/>
      <c r="J4000" s="63"/>
    </row>
    <row r="4001" spans="9:10" x14ac:dyDescent="0.35">
      <c r="I4001" s="63"/>
      <c r="J4001" s="63"/>
    </row>
    <row r="4002" spans="9:10" x14ac:dyDescent="0.35">
      <c r="I4002" s="63"/>
      <c r="J4002" s="63"/>
    </row>
    <row r="4003" spans="9:10" x14ac:dyDescent="0.35">
      <c r="I4003" s="63"/>
      <c r="J4003" s="63"/>
    </row>
    <row r="4004" spans="9:10" x14ac:dyDescent="0.35">
      <c r="I4004" s="63"/>
      <c r="J4004" s="63"/>
    </row>
    <row r="4005" spans="9:10" x14ac:dyDescent="0.35">
      <c r="I4005" s="63"/>
      <c r="J4005" s="63"/>
    </row>
    <row r="4006" spans="9:10" x14ac:dyDescent="0.35">
      <c r="I4006" s="63"/>
      <c r="J4006" s="63"/>
    </row>
    <row r="4007" spans="9:10" x14ac:dyDescent="0.35">
      <c r="I4007" s="63"/>
      <c r="J4007" s="63"/>
    </row>
    <row r="4008" spans="9:10" x14ac:dyDescent="0.35">
      <c r="I4008" s="63"/>
      <c r="J4008" s="63"/>
    </row>
    <row r="4009" spans="9:10" x14ac:dyDescent="0.35">
      <c r="I4009" s="63"/>
      <c r="J4009" s="63"/>
    </row>
    <row r="4010" spans="9:10" x14ac:dyDescent="0.35">
      <c r="I4010" s="63"/>
      <c r="J4010" s="63"/>
    </row>
    <row r="4011" spans="9:10" x14ac:dyDescent="0.35">
      <c r="I4011" s="63"/>
      <c r="J4011" s="63"/>
    </row>
    <row r="4012" spans="9:10" x14ac:dyDescent="0.35">
      <c r="I4012" s="63"/>
      <c r="J4012" s="63"/>
    </row>
    <row r="4013" spans="9:10" x14ac:dyDescent="0.35">
      <c r="I4013" s="63"/>
      <c r="J4013" s="63"/>
    </row>
    <row r="4014" spans="9:10" x14ac:dyDescent="0.35">
      <c r="I4014" s="63"/>
      <c r="J4014" s="63"/>
    </row>
    <row r="4015" spans="9:10" x14ac:dyDescent="0.35">
      <c r="I4015" s="63"/>
      <c r="J4015" s="63"/>
    </row>
    <row r="4016" spans="9:10" x14ac:dyDescent="0.35">
      <c r="I4016" s="63"/>
      <c r="J4016" s="63"/>
    </row>
    <row r="4017" spans="9:10" x14ac:dyDescent="0.35">
      <c r="I4017" s="63"/>
      <c r="J4017" s="63"/>
    </row>
    <row r="4018" spans="9:10" x14ac:dyDescent="0.35">
      <c r="I4018" s="63"/>
      <c r="J4018" s="63"/>
    </row>
    <row r="4019" spans="9:10" x14ac:dyDescent="0.35">
      <c r="I4019" s="63"/>
      <c r="J4019" s="63"/>
    </row>
    <row r="4020" spans="9:10" x14ac:dyDescent="0.35">
      <c r="I4020" s="63"/>
      <c r="J4020" s="63"/>
    </row>
    <row r="4021" spans="9:10" x14ac:dyDescent="0.35">
      <c r="I4021" s="63"/>
      <c r="J4021" s="63"/>
    </row>
    <row r="4022" spans="9:10" x14ac:dyDescent="0.35">
      <c r="I4022" s="63"/>
      <c r="J4022" s="63"/>
    </row>
    <row r="4023" spans="9:10" x14ac:dyDescent="0.35">
      <c r="I4023" s="63"/>
      <c r="J4023" s="63"/>
    </row>
    <row r="4024" spans="9:10" x14ac:dyDescent="0.35">
      <c r="I4024" s="63"/>
      <c r="J4024" s="63"/>
    </row>
    <row r="4025" spans="9:10" x14ac:dyDescent="0.35">
      <c r="I4025" s="63"/>
      <c r="J4025" s="63"/>
    </row>
    <row r="4026" spans="9:10" x14ac:dyDescent="0.35">
      <c r="I4026" s="63"/>
      <c r="J4026" s="63"/>
    </row>
    <row r="4027" spans="9:10" x14ac:dyDescent="0.35">
      <c r="I4027" s="63"/>
      <c r="J4027" s="63"/>
    </row>
    <row r="4028" spans="9:10" x14ac:dyDescent="0.35">
      <c r="I4028" s="63"/>
      <c r="J4028" s="63"/>
    </row>
    <row r="4029" spans="9:10" x14ac:dyDescent="0.35">
      <c r="I4029" s="63"/>
      <c r="J4029" s="63"/>
    </row>
    <row r="4030" spans="9:10" x14ac:dyDescent="0.35">
      <c r="I4030" s="63"/>
      <c r="J4030" s="63"/>
    </row>
    <row r="4031" spans="9:10" x14ac:dyDescent="0.35">
      <c r="I4031" s="63"/>
      <c r="J4031" s="63"/>
    </row>
    <row r="4032" spans="9:10" x14ac:dyDescent="0.35">
      <c r="I4032" s="63"/>
      <c r="J4032" s="63"/>
    </row>
    <row r="4033" spans="9:10" x14ac:dyDescent="0.35">
      <c r="I4033" s="63"/>
      <c r="J4033" s="63"/>
    </row>
    <row r="4034" spans="9:10" x14ac:dyDescent="0.35">
      <c r="I4034" s="63"/>
      <c r="J4034" s="63"/>
    </row>
    <row r="4035" spans="9:10" x14ac:dyDescent="0.35">
      <c r="I4035" s="63"/>
      <c r="J4035" s="63"/>
    </row>
    <row r="4036" spans="9:10" x14ac:dyDescent="0.35">
      <c r="I4036" s="63"/>
      <c r="J4036" s="63"/>
    </row>
    <row r="4037" spans="9:10" x14ac:dyDescent="0.35">
      <c r="I4037" s="63"/>
      <c r="J4037" s="63"/>
    </row>
    <row r="4038" spans="9:10" x14ac:dyDescent="0.35">
      <c r="I4038" s="63"/>
      <c r="J4038" s="63"/>
    </row>
    <row r="4039" spans="9:10" x14ac:dyDescent="0.35">
      <c r="I4039" s="63"/>
      <c r="J4039" s="63"/>
    </row>
    <row r="4040" spans="9:10" x14ac:dyDescent="0.35">
      <c r="I4040" s="63"/>
      <c r="J4040" s="63"/>
    </row>
    <row r="4041" spans="9:10" x14ac:dyDescent="0.35">
      <c r="I4041" s="63"/>
      <c r="J4041" s="63"/>
    </row>
    <row r="4042" spans="9:10" x14ac:dyDescent="0.35">
      <c r="I4042" s="63"/>
      <c r="J4042" s="63"/>
    </row>
    <row r="4043" spans="9:10" x14ac:dyDescent="0.35">
      <c r="I4043" s="63"/>
      <c r="J4043" s="63"/>
    </row>
    <row r="4044" spans="9:10" x14ac:dyDescent="0.35">
      <c r="I4044" s="63"/>
      <c r="J4044" s="63"/>
    </row>
    <row r="4045" spans="9:10" x14ac:dyDescent="0.35">
      <c r="I4045" s="63"/>
      <c r="J4045" s="63"/>
    </row>
    <row r="4046" spans="9:10" x14ac:dyDescent="0.35">
      <c r="I4046" s="63"/>
      <c r="J4046" s="63"/>
    </row>
    <row r="4047" spans="9:10" x14ac:dyDescent="0.35">
      <c r="I4047" s="63"/>
      <c r="J4047" s="63"/>
    </row>
    <row r="4048" spans="9:10" x14ac:dyDescent="0.35">
      <c r="I4048" s="63"/>
      <c r="J4048" s="63"/>
    </row>
    <row r="4049" spans="9:10" x14ac:dyDescent="0.35">
      <c r="I4049" s="63"/>
      <c r="J4049" s="63"/>
    </row>
    <row r="4050" spans="9:10" x14ac:dyDescent="0.35">
      <c r="I4050" s="63"/>
      <c r="J4050" s="63"/>
    </row>
    <row r="4051" spans="9:10" x14ac:dyDescent="0.35">
      <c r="I4051" s="63"/>
      <c r="J4051" s="63"/>
    </row>
    <row r="4052" spans="9:10" x14ac:dyDescent="0.35">
      <c r="I4052" s="63"/>
      <c r="J4052" s="63"/>
    </row>
    <row r="4053" spans="9:10" x14ac:dyDescent="0.35">
      <c r="I4053" s="63"/>
      <c r="J4053" s="63"/>
    </row>
    <row r="4054" spans="9:10" x14ac:dyDescent="0.35">
      <c r="I4054" s="63"/>
      <c r="J4054" s="63"/>
    </row>
    <row r="4055" spans="9:10" x14ac:dyDescent="0.35">
      <c r="I4055" s="63"/>
      <c r="J4055" s="63"/>
    </row>
    <row r="4056" spans="9:10" x14ac:dyDescent="0.35">
      <c r="I4056" s="63"/>
      <c r="J4056" s="63"/>
    </row>
    <row r="4057" spans="9:10" x14ac:dyDescent="0.35">
      <c r="I4057" s="63"/>
      <c r="J4057" s="63"/>
    </row>
    <row r="4058" spans="9:10" x14ac:dyDescent="0.35">
      <c r="I4058" s="63"/>
      <c r="J4058" s="63"/>
    </row>
    <row r="4059" spans="9:10" x14ac:dyDescent="0.35">
      <c r="I4059" s="63"/>
      <c r="J4059" s="63"/>
    </row>
    <row r="4060" spans="9:10" x14ac:dyDescent="0.35">
      <c r="I4060" s="63"/>
      <c r="J4060" s="63"/>
    </row>
    <row r="4061" spans="9:10" x14ac:dyDescent="0.35">
      <c r="I4061" s="63"/>
      <c r="J4061" s="63"/>
    </row>
    <row r="4062" spans="9:10" x14ac:dyDescent="0.35">
      <c r="I4062" s="63"/>
      <c r="J4062" s="63"/>
    </row>
    <row r="4063" spans="9:10" x14ac:dyDescent="0.35">
      <c r="I4063" s="63"/>
      <c r="J4063" s="63"/>
    </row>
    <row r="4064" spans="9:10" x14ac:dyDescent="0.35">
      <c r="I4064" s="63"/>
      <c r="J4064" s="63"/>
    </row>
    <row r="4065" spans="9:10" x14ac:dyDescent="0.35">
      <c r="I4065" s="63"/>
      <c r="J4065" s="63"/>
    </row>
    <row r="4066" spans="9:10" x14ac:dyDescent="0.35">
      <c r="I4066" s="63"/>
      <c r="J4066" s="63"/>
    </row>
    <row r="4067" spans="9:10" x14ac:dyDescent="0.35">
      <c r="I4067" s="63"/>
      <c r="J4067" s="63"/>
    </row>
    <row r="4068" spans="9:10" x14ac:dyDescent="0.35">
      <c r="I4068" s="63"/>
      <c r="J4068" s="63"/>
    </row>
    <row r="4069" spans="9:10" x14ac:dyDescent="0.35">
      <c r="I4069" s="63"/>
      <c r="J4069" s="63"/>
    </row>
    <row r="4070" spans="9:10" x14ac:dyDescent="0.35">
      <c r="I4070" s="63"/>
      <c r="J4070" s="63"/>
    </row>
    <row r="4071" spans="9:10" x14ac:dyDescent="0.35">
      <c r="I4071" s="63"/>
      <c r="J4071" s="63"/>
    </row>
    <row r="4072" spans="9:10" x14ac:dyDescent="0.35">
      <c r="I4072" s="63"/>
      <c r="J4072" s="63"/>
    </row>
    <row r="4073" spans="9:10" x14ac:dyDescent="0.35">
      <c r="I4073" s="63"/>
      <c r="J4073" s="63"/>
    </row>
    <row r="4074" spans="9:10" x14ac:dyDescent="0.35">
      <c r="I4074" s="63"/>
      <c r="J4074" s="63"/>
    </row>
    <row r="4075" spans="9:10" x14ac:dyDescent="0.35">
      <c r="I4075" s="63"/>
      <c r="J4075" s="63"/>
    </row>
    <row r="4076" spans="9:10" x14ac:dyDescent="0.35">
      <c r="I4076" s="63"/>
      <c r="J4076" s="63"/>
    </row>
    <row r="4077" spans="9:10" x14ac:dyDescent="0.35">
      <c r="I4077" s="63"/>
      <c r="J4077" s="63"/>
    </row>
    <row r="4078" spans="9:10" x14ac:dyDescent="0.35">
      <c r="I4078" s="63"/>
      <c r="J4078" s="63"/>
    </row>
    <row r="4079" spans="9:10" x14ac:dyDescent="0.35">
      <c r="I4079" s="63"/>
      <c r="J4079" s="63"/>
    </row>
    <row r="4080" spans="9:10" x14ac:dyDescent="0.35">
      <c r="I4080" s="63"/>
      <c r="J4080" s="63"/>
    </row>
    <row r="4081" spans="9:10" x14ac:dyDescent="0.35">
      <c r="I4081" s="63"/>
      <c r="J4081" s="63"/>
    </row>
    <row r="4082" spans="9:10" x14ac:dyDescent="0.35">
      <c r="I4082" s="63"/>
      <c r="J4082" s="63"/>
    </row>
    <row r="4083" spans="9:10" x14ac:dyDescent="0.35">
      <c r="I4083" s="63"/>
      <c r="J4083" s="63"/>
    </row>
    <row r="4084" spans="9:10" x14ac:dyDescent="0.35">
      <c r="I4084" s="63"/>
      <c r="J4084" s="63"/>
    </row>
    <row r="4085" spans="9:10" x14ac:dyDescent="0.35">
      <c r="I4085" s="63"/>
      <c r="J4085" s="63"/>
    </row>
    <row r="4086" spans="9:10" x14ac:dyDescent="0.35">
      <c r="I4086" s="63"/>
      <c r="J4086" s="63"/>
    </row>
    <row r="4087" spans="9:10" x14ac:dyDescent="0.35">
      <c r="I4087" s="63"/>
      <c r="J4087" s="63"/>
    </row>
    <row r="4088" spans="9:10" x14ac:dyDescent="0.35">
      <c r="I4088" s="63"/>
      <c r="J4088" s="63"/>
    </row>
    <row r="4089" spans="9:10" x14ac:dyDescent="0.35">
      <c r="I4089" s="63"/>
      <c r="J4089" s="63"/>
    </row>
    <row r="4090" spans="9:10" x14ac:dyDescent="0.35">
      <c r="I4090" s="63"/>
      <c r="J4090" s="63"/>
    </row>
    <row r="4091" spans="9:10" x14ac:dyDescent="0.35">
      <c r="I4091" s="63"/>
      <c r="J4091" s="63"/>
    </row>
    <row r="4092" spans="9:10" x14ac:dyDescent="0.35">
      <c r="I4092" s="63"/>
      <c r="J4092" s="63"/>
    </row>
    <row r="4093" spans="9:10" x14ac:dyDescent="0.35">
      <c r="I4093" s="63"/>
      <c r="J4093" s="63"/>
    </row>
    <row r="4094" spans="9:10" x14ac:dyDescent="0.35">
      <c r="I4094" s="63"/>
      <c r="J4094" s="63"/>
    </row>
    <row r="4095" spans="9:10" x14ac:dyDescent="0.35">
      <c r="I4095" s="63"/>
      <c r="J4095" s="63"/>
    </row>
    <row r="4096" spans="9:10" x14ac:dyDescent="0.35">
      <c r="I4096" s="63"/>
      <c r="J4096" s="63"/>
    </row>
    <row r="4097" spans="9:10" x14ac:dyDescent="0.35">
      <c r="I4097" s="63"/>
      <c r="J4097" s="63"/>
    </row>
    <row r="4098" spans="9:10" x14ac:dyDescent="0.35">
      <c r="I4098" s="63"/>
      <c r="J4098" s="63"/>
    </row>
    <row r="4099" spans="9:10" x14ac:dyDescent="0.35">
      <c r="I4099" s="63"/>
      <c r="J4099" s="63"/>
    </row>
    <row r="4100" spans="9:10" x14ac:dyDescent="0.35">
      <c r="I4100" s="63"/>
      <c r="J4100" s="63"/>
    </row>
    <row r="4101" spans="9:10" x14ac:dyDescent="0.35">
      <c r="I4101" s="63"/>
      <c r="J4101" s="63"/>
    </row>
    <row r="4102" spans="9:10" x14ac:dyDescent="0.35">
      <c r="I4102" s="63"/>
      <c r="J4102" s="63"/>
    </row>
    <row r="4103" spans="9:10" x14ac:dyDescent="0.35">
      <c r="I4103" s="63"/>
      <c r="J4103" s="63"/>
    </row>
    <row r="4104" spans="9:10" x14ac:dyDescent="0.35">
      <c r="I4104" s="63"/>
      <c r="J4104" s="63"/>
    </row>
    <row r="4105" spans="9:10" x14ac:dyDescent="0.35">
      <c r="I4105" s="63"/>
      <c r="J4105" s="63"/>
    </row>
    <row r="4106" spans="9:10" x14ac:dyDescent="0.35">
      <c r="I4106" s="63"/>
      <c r="J4106" s="63"/>
    </row>
    <row r="4107" spans="9:10" x14ac:dyDescent="0.35">
      <c r="I4107" s="63"/>
      <c r="J4107" s="63"/>
    </row>
    <row r="4108" spans="9:10" x14ac:dyDescent="0.35">
      <c r="I4108" s="63"/>
      <c r="J4108" s="63"/>
    </row>
    <row r="4109" spans="9:10" x14ac:dyDescent="0.35">
      <c r="I4109" s="63"/>
      <c r="J4109" s="63"/>
    </row>
    <row r="4110" spans="9:10" x14ac:dyDescent="0.35">
      <c r="I4110" s="63"/>
      <c r="J4110" s="63"/>
    </row>
    <row r="4111" spans="9:10" x14ac:dyDescent="0.35">
      <c r="I4111" s="63"/>
      <c r="J4111" s="63"/>
    </row>
    <row r="4112" spans="9:10" x14ac:dyDescent="0.35">
      <c r="I4112" s="63"/>
      <c r="J4112" s="63"/>
    </row>
    <row r="4113" spans="9:10" x14ac:dyDescent="0.35">
      <c r="I4113" s="63"/>
      <c r="J4113" s="63"/>
    </row>
    <row r="4114" spans="9:10" x14ac:dyDescent="0.35">
      <c r="I4114" s="63"/>
      <c r="J4114" s="63"/>
    </row>
    <row r="4115" spans="9:10" x14ac:dyDescent="0.35">
      <c r="I4115" s="63"/>
      <c r="J4115" s="63"/>
    </row>
    <row r="4116" spans="9:10" x14ac:dyDescent="0.35">
      <c r="I4116" s="63"/>
      <c r="J4116" s="63"/>
    </row>
    <row r="4117" spans="9:10" x14ac:dyDescent="0.35">
      <c r="I4117" s="63"/>
      <c r="J4117" s="63"/>
    </row>
    <row r="4118" spans="9:10" x14ac:dyDescent="0.35">
      <c r="I4118" s="63"/>
      <c r="J4118" s="63"/>
    </row>
    <row r="4119" spans="9:10" x14ac:dyDescent="0.35">
      <c r="I4119" s="63"/>
      <c r="J4119" s="63"/>
    </row>
    <row r="4120" spans="9:10" x14ac:dyDescent="0.35">
      <c r="I4120" s="63"/>
      <c r="J4120" s="63"/>
    </row>
    <row r="4121" spans="9:10" x14ac:dyDescent="0.35">
      <c r="I4121" s="63"/>
      <c r="J4121" s="63"/>
    </row>
    <row r="4122" spans="9:10" x14ac:dyDescent="0.35">
      <c r="I4122" s="63"/>
      <c r="J4122" s="63"/>
    </row>
    <row r="4123" spans="9:10" x14ac:dyDescent="0.35">
      <c r="I4123" s="63"/>
      <c r="J4123" s="63"/>
    </row>
    <row r="4124" spans="9:10" x14ac:dyDescent="0.35">
      <c r="I4124" s="63"/>
      <c r="J4124" s="63"/>
    </row>
    <row r="4125" spans="9:10" x14ac:dyDescent="0.35">
      <c r="I4125" s="63"/>
      <c r="J4125" s="63"/>
    </row>
    <row r="4126" spans="9:10" x14ac:dyDescent="0.35">
      <c r="I4126" s="63"/>
      <c r="J4126" s="63"/>
    </row>
    <row r="4127" spans="9:10" x14ac:dyDescent="0.35">
      <c r="I4127" s="63"/>
      <c r="J4127" s="63"/>
    </row>
    <row r="4128" spans="9:10" x14ac:dyDescent="0.35">
      <c r="I4128" s="63"/>
      <c r="J4128" s="63"/>
    </row>
    <row r="4129" spans="9:10" x14ac:dyDescent="0.35">
      <c r="I4129" s="63"/>
      <c r="J4129" s="63"/>
    </row>
    <row r="4130" spans="9:10" x14ac:dyDescent="0.35">
      <c r="I4130" s="63"/>
      <c r="J4130" s="63"/>
    </row>
    <row r="4131" spans="9:10" x14ac:dyDescent="0.35">
      <c r="I4131" s="63"/>
      <c r="J4131" s="63"/>
    </row>
    <row r="4132" spans="9:10" x14ac:dyDescent="0.35">
      <c r="I4132" s="63"/>
      <c r="J4132" s="63"/>
    </row>
    <row r="4133" spans="9:10" x14ac:dyDescent="0.35">
      <c r="I4133" s="63"/>
      <c r="J4133" s="63"/>
    </row>
    <row r="4134" spans="9:10" x14ac:dyDescent="0.35">
      <c r="I4134" s="63"/>
      <c r="J4134" s="63"/>
    </row>
    <row r="4135" spans="9:10" x14ac:dyDescent="0.35">
      <c r="I4135" s="63"/>
      <c r="J4135" s="63"/>
    </row>
    <row r="4136" spans="9:10" x14ac:dyDescent="0.35">
      <c r="I4136" s="63"/>
      <c r="J4136" s="63"/>
    </row>
    <row r="4137" spans="9:10" x14ac:dyDescent="0.35">
      <c r="I4137" s="63"/>
      <c r="J4137" s="63"/>
    </row>
    <row r="4138" spans="9:10" x14ac:dyDescent="0.35">
      <c r="I4138" s="63"/>
      <c r="J4138" s="63"/>
    </row>
    <row r="4139" spans="9:10" x14ac:dyDescent="0.35">
      <c r="I4139" s="63"/>
      <c r="J4139" s="63"/>
    </row>
    <row r="4140" spans="9:10" x14ac:dyDescent="0.35">
      <c r="I4140" s="63"/>
      <c r="J4140" s="63"/>
    </row>
    <row r="4141" spans="9:10" x14ac:dyDescent="0.35">
      <c r="I4141" s="63"/>
      <c r="J4141" s="63"/>
    </row>
    <row r="4142" spans="9:10" x14ac:dyDescent="0.35">
      <c r="I4142" s="63"/>
      <c r="J4142" s="63"/>
    </row>
    <row r="4143" spans="9:10" x14ac:dyDescent="0.35">
      <c r="I4143" s="63"/>
      <c r="J4143" s="63"/>
    </row>
    <row r="4144" spans="9:10" x14ac:dyDescent="0.35">
      <c r="I4144" s="63"/>
      <c r="J4144" s="63"/>
    </row>
    <row r="4145" spans="9:10" x14ac:dyDescent="0.35">
      <c r="I4145" s="63"/>
      <c r="J4145" s="63"/>
    </row>
    <row r="4146" spans="9:10" x14ac:dyDescent="0.35">
      <c r="I4146" s="63"/>
      <c r="J4146" s="63"/>
    </row>
    <row r="4147" spans="9:10" x14ac:dyDescent="0.35">
      <c r="I4147" s="63"/>
      <c r="J4147" s="63"/>
    </row>
    <row r="4148" spans="9:10" x14ac:dyDescent="0.35">
      <c r="I4148" s="63"/>
      <c r="J4148" s="63"/>
    </row>
    <row r="4149" spans="9:10" x14ac:dyDescent="0.35">
      <c r="I4149" s="63"/>
      <c r="J4149" s="63"/>
    </row>
    <row r="4150" spans="9:10" x14ac:dyDescent="0.35">
      <c r="I4150" s="63"/>
      <c r="J4150" s="63"/>
    </row>
    <row r="4151" spans="9:10" x14ac:dyDescent="0.35">
      <c r="I4151" s="63"/>
      <c r="J4151" s="63"/>
    </row>
    <row r="4152" spans="9:10" x14ac:dyDescent="0.35">
      <c r="I4152" s="63"/>
      <c r="J4152" s="63"/>
    </row>
    <row r="4153" spans="9:10" x14ac:dyDescent="0.35">
      <c r="I4153" s="63"/>
      <c r="J4153" s="63"/>
    </row>
    <row r="4154" spans="9:10" x14ac:dyDescent="0.35">
      <c r="I4154" s="63"/>
      <c r="J4154" s="63"/>
    </row>
    <row r="4155" spans="9:10" x14ac:dyDescent="0.35">
      <c r="I4155" s="63"/>
      <c r="J4155" s="63"/>
    </row>
    <row r="4156" spans="9:10" x14ac:dyDescent="0.35">
      <c r="I4156" s="63"/>
      <c r="J4156" s="63"/>
    </row>
    <row r="4157" spans="9:10" x14ac:dyDescent="0.35">
      <c r="I4157" s="63"/>
      <c r="J4157" s="63"/>
    </row>
    <row r="4158" spans="9:10" x14ac:dyDescent="0.35">
      <c r="I4158" s="63"/>
      <c r="J4158" s="63"/>
    </row>
    <row r="4159" spans="9:10" x14ac:dyDescent="0.35">
      <c r="I4159" s="63"/>
      <c r="J4159" s="63"/>
    </row>
    <row r="4160" spans="9:10" x14ac:dyDescent="0.35">
      <c r="I4160" s="63"/>
      <c r="J4160" s="63"/>
    </row>
    <row r="4161" spans="9:10" x14ac:dyDescent="0.35">
      <c r="I4161" s="63"/>
      <c r="J4161" s="63"/>
    </row>
    <row r="4162" spans="9:10" x14ac:dyDescent="0.35">
      <c r="I4162" s="63"/>
      <c r="J4162" s="63"/>
    </row>
    <row r="4163" spans="9:10" x14ac:dyDescent="0.35">
      <c r="I4163" s="63"/>
      <c r="J4163" s="63"/>
    </row>
    <row r="4164" spans="9:10" x14ac:dyDescent="0.35">
      <c r="I4164" s="63"/>
      <c r="J4164" s="63"/>
    </row>
    <row r="4165" spans="9:10" x14ac:dyDescent="0.35">
      <c r="I4165" s="63"/>
      <c r="J4165" s="63"/>
    </row>
    <row r="4166" spans="9:10" x14ac:dyDescent="0.35">
      <c r="I4166" s="63"/>
      <c r="J4166" s="63"/>
    </row>
    <row r="4167" spans="9:10" x14ac:dyDescent="0.35">
      <c r="I4167" s="63"/>
      <c r="J4167" s="63"/>
    </row>
    <row r="4168" spans="9:10" x14ac:dyDescent="0.35">
      <c r="I4168" s="63"/>
      <c r="J4168" s="63"/>
    </row>
    <row r="4169" spans="9:10" x14ac:dyDescent="0.35">
      <c r="I4169" s="63"/>
      <c r="J4169" s="63"/>
    </row>
    <row r="4170" spans="9:10" x14ac:dyDescent="0.35">
      <c r="I4170" s="63"/>
      <c r="J4170" s="63"/>
    </row>
    <row r="4171" spans="9:10" x14ac:dyDescent="0.35">
      <c r="I4171" s="63"/>
      <c r="J4171" s="63"/>
    </row>
    <row r="4172" spans="9:10" x14ac:dyDescent="0.35">
      <c r="I4172" s="63"/>
      <c r="J4172" s="63"/>
    </row>
    <row r="4173" spans="9:10" x14ac:dyDescent="0.35">
      <c r="I4173" s="63"/>
      <c r="J4173" s="63"/>
    </row>
    <row r="4174" spans="9:10" x14ac:dyDescent="0.35">
      <c r="I4174" s="63"/>
      <c r="J4174" s="63"/>
    </row>
    <row r="4175" spans="9:10" x14ac:dyDescent="0.35">
      <c r="I4175" s="63"/>
      <c r="J4175" s="63"/>
    </row>
    <row r="4176" spans="9:10" x14ac:dyDescent="0.35">
      <c r="I4176" s="63"/>
      <c r="J4176" s="63"/>
    </row>
    <row r="4177" spans="9:10" x14ac:dyDescent="0.35">
      <c r="I4177" s="63"/>
      <c r="J4177" s="63"/>
    </row>
    <row r="4178" spans="9:10" x14ac:dyDescent="0.35">
      <c r="I4178" s="63"/>
      <c r="J4178" s="63"/>
    </row>
    <row r="4179" spans="9:10" x14ac:dyDescent="0.35">
      <c r="I4179" s="63"/>
      <c r="J4179" s="63"/>
    </row>
    <row r="4180" spans="9:10" x14ac:dyDescent="0.35">
      <c r="I4180" s="63"/>
      <c r="J4180" s="63"/>
    </row>
    <row r="4181" spans="9:10" x14ac:dyDescent="0.35">
      <c r="I4181" s="63"/>
      <c r="J4181" s="63"/>
    </row>
    <row r="4182" spans="9:10" x14ac:dyDescent="0.35">
      <c r="I4182" s="63"/>
      <c r="J4182" s="63"/>
    </row>
    <row r="4183" spans="9:10" x14ac:dyDescent="0.35">
      <c r="I4183" s="63"/>
      <c r="J4183" s="63"/>
    </row>
    <row r="4184" spans="9:10" x14ac:dyDescent="0.35">
      <c r="I4184" s="63"/>
      <c r="J4184" s="63"/>
    </row>
    <row r="4185" spans="9:10" x14ac:dyDescent="0.35">
      <c r="I4185" s="63"/>
      <c r="J4185" s="63"/>
    </row>
    <row r="4186" spans="9:10" x14ac:dyDescent="0.35">
      <c r="I4186" s="63"/>
      <c r="J4186" s="63"/>
    </row>
    <row r="4187" spans="9:10" x14ac:dyDescent="0.35">
      <c r="I4187" s="63"/>
      <c r="J4187" s="63"/>
    </row>
    <row r="4188" spans="9:10" x14ac:dyDescent="0.35">
      <c r="I4188" s="63"/>
      <c r="J4188" s="63"/>
    </row>
    <row r="4189" spans="9:10" x14ac:dyDescent="0.35">
      <c r="I4189" s="63"/>
      <c r="J4189" s="63"/>
    </row>
    <row r="4190" spans="9:10" x14ac:dyDescent="0.35">
      <c r="I4190" s="63"/>
      <c r="J4190" s="63"/>
    </row>
    <row r="4191" spans="9:10" x14ac:dyDescent="0.35">
      <c r="I4191" s="63"/>
      <c r="J4191" s="63"/>
    </row>
    <row r="4192" spans="9:10" x14ac:dyDescent="0.35">
      <c r="I4192" s="63"/>
      <c r="J4192" s="63"/>
    </row>
    <row r="4193" spans="9:10" x14ac:dyDescent="0.35">
      <c r="I4193" s="63"/>
      <c r="J4193" s="63"/>
    </row>
    <row r="4194" spans="9:10" x14ac:dyDescent="0.35">
      <c r="I4194" s="63"/>
      <c r="J4194" s="63"/>
    </row>
    <row r="4195" spans="9:10" x14ac:dyDescent="0.35">
      <c r="I4195" s="63"/>
      <c r="J4195" s="63"/>
    </row>
    <row r="4196" spans="9:10" x14ac:dyDescent="0.35">
      <c r="I4196" s="63"/>
      <c r="J4196" s="63"/>
    </row>
    <row r="4197" spans="9:10" x14ac:dyDescent="0.35">
      <c r="I4197" s="63"/>
      <c r="J4197" s="63"/>
    </row>
    <row r="4198" spans="9:10" x14ac:dyDescent="0.35">
      <c r="I4198" s="63"/>
      <c r="J4198" s="63"/>
    </row>
    <row r="4199" spans="9:10" x14ac:dyDescent="0.35">
      <c r="I4199" s="63"/>
      <c r="J4199" s="63"/>
    </row>
    <row r="4200" spans="9:10" x14ac:dyDescent="0.35">
      <c r="I4200" s="63"/>
      <c r="J4200" s="63"/>
    </row>
    <row r="4201" spans="9:10" x14ac:dyDescent="0.35">
      <c r="I4201" s="63"/>
      <c r="J4201" s="63"/>
    </row>
    <row r="4202" spans="9:10" x14ac:dyDescent="0.35">
      <c r="I4202" s="63"/>
      <c r="J4202" s="63"/>
    </row>
    <row r="4203" spans="9:10" x14ac:dyDescent="0.35">
      <c r="I4203" s="63"/>
      <c r="J4203" s="63"/>
    </row>
    <row r="4204" spans="9:10" x14ac:dyDescent="0.35">
      <c r="I4204" s="63"/>
      <c r="J4204" s="63"/>
    </row>
    <row r="4205" spans="9:10" x14ac:dyDescent="0.35">
      <c r="I4205" s="63"/>
      <c r="J4205" s="63"/>
    </row>
    <row r="4206" spans="9:10" x14ac:dyDescent="0.35">
      <c r="I4206" s="63"/>
      <c r="J4206" s="63"/>
    </row>
    <row r="4207" spans="9:10" x14ac:dyDescent="0.35">
      <c r="I4207" s="63"/>
      <c r="J4207" s="63"/>
    </row>
    <row r="4208" spans="9:10" x14ac:dyDescent="0.35">
      <c r="I4208" s="63"/>
      <c r="J4208" s="63"/>
    </row>
    <row r="4209" spans="9:10" x14ac:dyDescent="0.35">
      <c r="I4209" s="63"/>
      <c r="J4209" s="63"/>
    </row>
    <row r="4210" spans="9:10" x14ac:dyDescent="0.35">
      <c r="I4210" s="63"/>
      <c r="J4210" s="63"/>
    </row>
    <row r="4211" spans="9:10" x14ac:dyDescent="0.35">
      <c r="I4211" s="63"/>
      <c r="J4211" s="63"/>
    </row>
    <row r="4212" spans="9:10" x14ac:dyDescent="0.35">
      <c r="I4212" s="63"/>
      <c r="J4212" s="63"/>
    </row>
    <row r="4213" spans="9:10" x14ac:dyDescent="0.35">
      <c r="I4213" s="63"/>
      <c r="J4213" s="63"/>
    </row>
    <row r="4214" spans="9:10" x14ac:dyDescent="0.35">
      <c r="I4214" s="63"/>
      <c r="J4214" s="63"/>
    </row>
    <row r="4215" spans="9:10" x14ac:dyDescent="0.35">
      <c r="I4215" s="63"/>
      <c r="J4215" s="63"/>
    </row>
    <row r="4216" spans="9:10" x14ac:dyDescent="0.35">
      <c r="I4216" s="63"/>
      <c r="J4216" s="63"/>
    </row>
    <row r="4217" spans="9:10" x14ac:dyDescent="0.35">
      <c r="I4217" s="63"/>
      <c r="J4217" s="63"/>
    </row>
    <row r="4218" spans="9:10" x14ac:dyDescent="0.35">
      <c r="I4218" s="63"/>
      <c r="J4218" s="63"/>
    </row>
    <row r="4219" spans="9:10" x14ac:dyDescent="0.35">
      <c r="I4219" s="63"/>
      <c r="J4219" s="63"/>
    </row>
    <row r="4220" spans="9:10" x14ac:dyDescent="0.35">
      <c r="I4220" s="63"/>
      <c r="J4220" s="63"/>
    </row>
    <row r="4221" spans="9:10" x14ac:dyDescent="0.35">
      <c r="I4221" s="63"/>
      <c r="J4221" s="63"/>
    </row>
    <row r="4222" spans="9:10" x14ac:dyDescent="0.35">
      <c r="I4222" s="63"/>
      <c r="J4222" s="63"/>
    </row>
    <row r="4223" spans="9:10" x14ac:dyDescent="0.35">
      <c r="I4223" s="63"/>
      <c r="J4223" s="63"/>
    </row>
    <row r="4224" spans="9:10" x14ac:dyDescent="0.35">
      <c r="I4224" s="63"/>
      <c r="J4224" s="63"/>
    </row>
    <row r="4225" spans="9:10" x14ac:dyDescent="0.35">
      <c r="I4225" s="63"/>
      <c r="J4225" s="63"/>
    </row>
    <row r="4226" spans="9:10" x14ac:dyDescent="0.35">
      <c r="I4226" s="63"/>
      <c r="J4226" s="63"/>
    </row>
    <row r="4227" spans="9:10" x14ac:dyDescent="0.35">
      <c r="I4227" s="63"/>
      <c r="J4227" s="63"/>
    </row>
    <row r="4228" spans="9:10" x14ac:dyDescent="0.35">
      <c r="I4228" s="63"/>
      <c r="J4228" s="63"/>
    </row>
    <row r="4229" spans="9:10" x14ac:dyDescent="0.35">
      <c r="I4229" s="63"/>
      <c r="J4229" s="63"/>
    </row>
    <row r="4230" spans="9:10" x14ac:dyDescent="0.35">
      <c r="I4230" s="63"/>
      <c r="J4230" s="63"/>
    </row>
    <row r="4231" spans="9:10" x14ac:dyDescent="0.35">
      <c r="I4231" s="63"/>
      <c r="J4231" s="63"/>
    </row>
    <row r="4232" spans="9:10" x14ac:dyDescent="0.35">
      <c r="I4232" s="63"/>
      <c r="J4232" s="63"/>
    </row>
    <row r="4233" spans="9:10" x14ac:dyDescent="0.35">
      <c r="I4233" s="63"/>
      <c r="J4233" s="63"/>
    </row>
    <row r="4234" spans="9:10" x14ac:dyDescent="0.35">
      <c r="I4234" s="63"/>
      <c r="J4234" s="63"/>
    </row>
    <row r="4235" spans="9:10" x14ac:dyDescent="0.35">
      <c r="I4235" s="63"/>
      <c r="J4235" s="63"/>
    </row>
    <row r="4236" spans="9:10" x14ac:dyDescent="0.35">
      <c r="I4236" s="63"/>
      <c r="J4236" s="63"/>
    </row>
    <row r="4237" spans="9:10" x14ac:dyDescent="0.35">
      <c r="I4237" s="63"/>
      <c r="J4237" s="63"/>
    </row>
    <row r="4238" spans="9:10" x14ac:dyDescent="0.35">
      <c r="I4238" s="63"/>
      <c r="J4238" s="63"/>
    </row>
    <row r="4239" spans="9:10" x14ac:dyDescent="0.35">
      <c r="I4239" s="63"/>
      <c r="J4239" s="63"/>
    </row>
    <row r="4240" spans="9:10" x14ac:dyDescent="0.35">
      <c r="I4240" s="63"/>
      <c r="J4240" s="63"/>
    </row>
    <row r="4241" spans="9:10" x14ac:dyDescent="0.35">
      <c r="I4241" s="63"/>
      <c r="J4241" s="63"/>
    </row>
    <row r="4242" spans="9:10" x14ac:dyDescent="0.35">
      <c r="I4242" s="63"/>
      <c r="J4242" s="63"/>
    </row>
    <row r="4243" spans="9:10" x14ac:dyDescent="0.35">
      <c r="I4243" s="63"/>
      <c r="J4243" s="63"/>
    </row>
    <row r="4244" spans="9:10" x14ac:dyDescent="0.35">
      <c r="I4244" s="63"/>
      <c r="J4244" s="63"/>
    </row>
    <row r="4245" spans="9:10" x14ac:dyDescent="0.35">
      <c r="I4245" s="63"/>
      <c r="J4245" s="63"/>
    </row>
    <row r="4246" spans="9:10" x14ac:dyDescent="0.35">
      <c r="I4246" s="63"/>
      <c r="J4246" s="63"/>
    </row>
    <row r="4247" spans="9:10" x14ac:dyDescent="0.35">
      <c r="I4247" s="63"/>
      <c r="J4247" s="63"/>
    </row>
    <row r="4248" spans="9:10" x14ac:dyDescent="0.35">
      <c r="I4248" s="63"/>
      <c r="J4248" s="63"/>
    </row>
    <row r="4249" spans="9:10" x14ac:dyDescent="0.35">
      <c r="I4249" s="63"/>
      <c r="J4249" s="63"/>
    </row>
    <row r="4250" spans="9:10" x14ac:dyDescent="0.35">
      <c r="I4250" s="63"/>
      <c r="J4250" s="63"/>
    </row>
    <row r="4251" spans="9:10" x14ac:dyDescent="0.35">
      <c r="I4251" s="63"/>
      <c r="J4251" s="63"/>
    </row>
    <row r="4252" spans="9:10" x14ac:dyDescent="0.35">
      <c r="I4252" s="63"/>
      <c r="J4252" s="63"/>
    </row>
    <row r="4253" spans="9:10" x14ac:dyDescent="0.35">
      <c r="I4253" s="63"/>
      <c r="J4253" s="63"/>
    </row>
    <row r="4254" spans="9:10" x14ac:dyDescent="0.35">
      <c r="I4254" s="63"/>
      <c r="J4254" s="63"/>
    </row>
    <row r="4255" spans="9:10" x14ac:dyDescent="0.35">
      <c r="I4255" s="63"/>
      <c r="J4255" s="63"/>
    </row>
    <row r="4256" spans="9:10" x14ac:dyDescent="0.35">
      <c r="I4256" s="63"/>
      <c r="J4256" s="63"/>
    </row>
    <row r="4257" spans="9:10" x14ac:dyDescent="0.35">
      <c r="I4257" s="63"/>
      <c r="J4257" s="63"/>
    </row>
    <row r="4258" spans="9:10" x14ac:dyDescent="0.35">
      <c r="I4258" s="63"/>
      <c r="J4258" s="63"/>
    </row>
    <row r="4259" spans="9:10" x14ac:dyDescent="0.35">
      <c r="I4259" s="63"/>
      <c r="J4259" s="63"/>
    </row>
    <row r="4260" spans="9:10" x14ac:dyDescent="0.35">
      <c r="I4260" s="63"/>
      <c r="J4260" s="63"/>
    </row>
    <row r="4261" spans="9:10" x14ac:dyDescent="0.35">
      <c r="I4261" s="63"/>
      <c r="J4261" s="63"/>
    </row>
    <row r="4262" spans="9:10" x14ac:dyDescent="0.35">
      <c r="I4262" s="63"/>
      <c r="J4262" s="63"/>
    </row>
    <row r="4263" spans="9:10" x14ac:dyDescent="0.35">
      <c r="I4263" s="63"/>
      <c r="J4263" s="63"/>
    </row>
    <row r="4264" spans="9:10" x14ac:dyDescent="0.35">
      <c r="I4264" s="63"/>
      <c r="J4264" s="63"/>
    </row>
    <row r="4265" spans="9:10" x14ac:dyDescent="0.35">
      <c r="I4265" s="63"/>
      <c r="J4265" s="63"/>
    </row>
    <row r="4266" spans="9:10" x14ac:dyDescent="0.35">
      <c r="I4266" s="63"/>
      <c r="J4266" s="63"/>
    </row>
    <row r="4267" spans="9:10" x14ac:dyDescent="0.35">
      <c r="I4267" s="63"/>
      <c r="J4267" s="63"/>
    </row>
    <row r="4268" spans="9:10" x14ac:dyDescent="0.35">
      <c r="I4268" s="63"/>
      <c r="J4268" s="63"/>
    </row>
    <row r="4269" spans="9:10" x14ac:dyDescent="0.35">
      <c r="I4269" s="63"/>
      <c r="J4269" s="63"/>
    </row>
    <row r="4270" spans="9:10" x14ac:dyDescent="0.35">
      <c r="I4270" s="63"/>
      <c r="J4270" s="63"/>
    </row>
    <row r="4271" spans="9:10" x14ac:dyDescent="0.35">
      <c r="I4271" s="63"/>
      <c r="J4271" s="63"/>
    </row>
    <row r="4272" spans="9:10" x14ac:dyDescent="0.35">
      <c r="I4272" s="63"/>
      <c r="J4272" s="63"/>
    </row>
    <row r="4273" spans="9:10" x14ac:dyDescent="0.35">
      <c r="I4273" s="63"/>
      <c r="J4273" s="63"/>
    </row>
    <row r="4274" spans="9:10" x14ac:dyDescent="0.35">
      <c r="I4274" s="63"/>
      <c r="J4274" s="63"/>
    </row>
    <row r="4275" spans="9:10" x14ac:dyDescent="0.35">
      <c r="I4275" s="63"/>
      <c r="J4275" s="63"/>
    </row>
    <row r="4276" spans="9:10" x14ac:dyDescent="0.35">
      <c r="I4276" s="63"/>
      <c r="J4276" s="63"/>
    </row>
    <row r="4277" spans="9:10" x14ac:dyDescent="0.35">
      <c r="I4277" s="63"/>
      <c r="J4277" s="63"/>
    </row>
    <row r="4278" spans="9:10" x14ac:dyDescent="0.35">
      <c r="I4278" s="63"/>
      <c r="J4278" s="63"/>
    </row>
    <row r="4279" spans="9:10" x14ac:dyDescent="0.35">
      <c r="I4279" s="63"/>
      <c r="J4279" s="63"/>
    </row>
    <row r="4280" spans="9:10" x14ac:dyDescent="0.35">
      <c r="I4280" s="63"/>
      <c r="J4280" s="63"/>
    </row>
    <row r="4281" spans="9:10" x14ac:dyDescent="0.35">
      <c r="I4281" s="63"/>
      <c r="J4281" s="63"/>
    </row>
    <row r="4282" spans="9:10" x14ac:dyDescent="0.35">
      <c r="I4282" s="63"/>
      <c r="J4282" s="63"/>
    </row>
    <row r="4283" spans="9:10" x14ac:dyDescent="0.35">
      <c r="I4283" s="63"/>
      <c r="J4283" s="63"/>
    </row>
    <row r="4284" spans="9:10" x14ac:dyDescent="0.35">
      <c r="I4284" s="63"/>
      <c r="J4284" s="63"/>
    </row>
    <row r="4285" spans="9:10" x14ac:dyDescent="0.35">
      <c r="I4285" s="63"/>
      <c r="J4285" s="63"/>
    </row>
    <row r="4286" spans="9:10" x14ac:dyDescent="0.35">
      <c r="I4286" s="63"/>
      <c r="J4286" s="63"/>
    </row>
    <row r="4287" spans="9:10" x14ac:dyDescent="0.35">
      <c r="I4287" s="63"/>
      <c r="J4287" s="63"/>
    </row>
    <row r="4288" spans="9:10" x14ac:dyDescent="0.35">
      <c r="I4288" s="63"/>
      <c r="J4288" s="63"/>
    </row>
    <row r="4289" spans="9:10" x14ac:dyDescent="0.35">
      <c r="I4289" s="63"/>
      <c r="J4289" s="63"/>
    </row>
    <row r="4290" spans="9:10" x14ac:dyDescent="0.35">
      <c r="I4290" s="63"/>
      <c r="J4290" s="63"/>
    </row>
    <row r="4291" spans="9:10" x14ac:dyDescent="0.35">
      <c r="I4291" s="63"/>
      <c r="J4291" s="63"/>
    </row>
    <row r="4292" spans="9:10" x14ac:dyDescent="0.35">
      <c r="I4292" s="63"/>
      <c r="J4292" s="63"/>
    </row>
    <row r="4293" spans="9:10" x14ac:dyDescent="0.35">
      <c r="I4293" s="63"/>
      <c r="J4293" s="63"/>
    </row>
    <row r="4294" spans="9:10" x14ac:dyDescent="0.35">
      <c r="I4294" s="63"/>
      <c r="J4294" s="63"/>
    </row>
    <row r="4295" spans="9:10" x14ac:dyDescent="0.35">
      <c r="I4295" s="63"/>
      <c r="J4295" s="63"/>
    </row>
    <row r="4296" spans="9:10" x14ac:dyDescent="0.35">
      <c r="I4296" s="63"/>
      <c r="J4296" s="63"/>
    </row>
    <row r="4297" spans="9:10" x14ac:dyDescent="0.35">
      <c r="I4297" s="63"/>
      <c r="J4297" s="63"/>
    </row>
    <row r="4298" spans="9:10" x14ac:dyDescent="0.35">
      <c r="I4298" s="63"/>
      <c r="J4298" s="63"/>
    </row>
    <row r="4299" spans="9:10" x14ac:dyDescent="0.35">
      <c r="I4299" s="63"/>
      <c r="J4299" s="63"/>
    </row>
    <row r="4300" spans="9:10" x14ac:dyDescent="0.35">
      <c r="I4300" s="63"/>
      <c r="J4300" s="63"/>
    </row>
    <row r="4301" spans="9:10" x14ac:dyDescent="0.35">
      <c r="I4301" s="63"/>
      <c r="J4301" s="63"/>
    </row>
    <row r="4302" spans="9:10" x14ac:dyDescent="0.35">
      <c r="I4302" s="63"/>
      <c r="J4302" s="63"/>
    </row>
    <row r="4303" spans="9:10" x14ac:dyDescent="0.35">
      <c r="I4303" s="63"/>
      <c r="J4303" s="63"/>
    </row>
    <row r="4304" spans="9:10" x14ac:dyDescent="0.35">
      <c r="I4304" s="63"/>
      <c r="J4304" s="63"/>
    </row>
    <row r="4305" spans="9:10" x14ac:dyDescent="0.35">
      <c r="I4305" s="63"/>
      <c r="J4305" s="63"/>
    </row>
    <row r="4306" spans="9:10" x14ac:dyDescent="0.35">
      <c r="I4306" s="63"/>
      <c r="J4306" s="63"/>
    </row>
    <row r="4307" spans="9:10" x14ac:dyDescent="0.35">
      <c r="I4307" s="63"/>
      <c r="J4307" s="63"/>
    </row>
    <row r="4308" spans="9:10" x14ac:dyDescent="0.35">
      <c r="I4308" s="63"/>
      <c r="J4308" s="63"/>
    </row>
    <row r="4309" spans="9:10" x14ac:dyDescent="0.35">
      <c r="I4309" s="63"/>
      <c r="J4309" s="63"/>
    </row>
    <row r="4310" spans="9:10" x14ac:dyDescent="0.35">
      <c r="I4310" s="63"/>
      <c r="J4310" s="63"/>
    </row>
    <row r="4311" spans="9:10" x14ac:dyDescent="0.35">
      <c r="I4311" s="63"/>
      <c r="J4311" s="63"/>
    </row>
    <row r="4312" spans="9:10" x14ac:dyDescent="0.35">
      <c r="I4312" s="63"/>
      <c r="J4312" s="63"/>
    </row>
    <row r="4313" spans="9:10" x14ac:dyDescent="0.35">
      <c r="I4313" s="63"/>
      <c r="J4313" s="63"/>
    </row>
    <row r="4314" spans="9:10" x14ac:dyDescent="0.35">
      <c r="I4314" s="63"/>
      <c r="J4314" s="63"/>
    </row>
    <row r="4315" spans="9:10" x14ac:dyDescent="0.35">
      <c r="I4315" s="63"/>
      <c r="J4315" s="63"/>
    </row>
    <row r="4316" spans="9:10" x14ac:dyDescent="0.35">
      <c r="I4316" s="63"/>
      <c r="J4316" s="63"/>
    </row>
    <row r="4317" spans="9:10" x14ac:dyDescent="0.35">
      <c r="I4317" s="63"/>
      <c r="J4317" s="63"/>
    </row>
    <row r="4318" spans="9:10" x14ac:dyDescent="0.35">
      <c r="I4318" s="63"/>
      <c r="J4318" s="63"/>
    </row>
    <row r="4319" spans="9:10" x14ac:dyDescent="0.35">
      <c r="I4319" s="63"/>
      <c r="J4319" s="63"/>
    </row>
    <row r="4320" spans="9:10" x14ac:dyDescent="0.35">
      <c r="I4320" s="63"/>
      <c r="J4320" s="63"/>
    </row>
    <row r="4321" spans="9:10" x14ac:dyDescent="0.35">
      <c r="I4321" s="63"/>
      <c r="J4321" s="63"/>
    </row>
    <row r="4322" spans="9:10" x14ac:dyDescent="0.35">
      <c r="I4322" s="63"/>
      <c r="J4322" s="63"/>
    </row>
    <row r="4323" spans="9:10" x14ac:dyDescent="0.35">
      <c r="I4323" s="63"/>
      <c r="J4323" s="63"/>
    </row>
    <row r="4324" spans="9:10" x14ac:dyDescent="0.35">
      <c r="I4324" s="63"/>
      <c r="J4324" s="63"/>
    </row>
    <row r="4325" spans="9:10" x14ac:dyDescent="0.35">
      <c r="I4325" s="63"/>
      <c r="J4325" s="63"/>
    </row>
    <row r="4326" spans="9:10" x14ac:dyDescent="0.35">
      <c r="I4326" s="63"/>
      <c r="J4326" s="63"/>
    </row>
    <row r="4327" spans="9:10" x14ac:dyDescent="0.35">
      <c r="I4327" s="63"/>
      <c r="J4327" s="63"/>
    </row>
    <row r="4328" spans="9:10" x14ac:dyDescent="0.35">
      <c r="I4328" s="63"/>
      <c r="J4328" s="63"/>
    </row>
    <row r="4329" spans="9:10" x14ac:dyDescent="0.35">
      <c r="I4329" s="63"/>
      <c r="J4329" s="63"/>
    </row>
    <row r="4330" spans="9:10" x14ac:dyDescent="0.35">
      <c r="I4330" s="63"/>
      <c r="J4330" s="63"/>
    </row>
    <row r="4331" spans="9:10" x14ac:dyDescent="0.35">
      <c r="I4331" s="63"/>
      <c r="J4331" s="63"/>
    </row>
    <row r="4332" spans="9:10" x14ac:dyDescent="0.35">
      <c r="I4332" s="63"/>
      <c r="J4332" s="63"/>
    </row>
    <row r="4333" spans="9:10" x14ac:dyDescent="0.35">
      <c r="I4333" s="63"/>
      <c r="J4333" s="63"/>
    </row>
    <row r="4334" spans="9:10" x14ac:dyDescent="0.35">
      <c r="I4334" s="63"/>
      <c r="J4334" s="63"/>
    </row>
    <row r="4335" spans="9:10" x14ac:dyDescent="0.35">
      <c r="I4335" s="63"/>
      <c r="J4335" s="63"/>
    </row>
    <row r="4336" spans="9:10" x14ac:dyDescent="0.35">
      <c r="I4336" s="63"/>
      <c r="J4336" s="63"/>
    </row>
    <row r="4337" spans="9:10" x14ac:dyDescent="0.35">
      <c r="I4337" s="63"/>
      <c r="J4337" s="63"/>
    </row>
    <row r="4338" spans="9:10" x14ac:dyDescent="0.35">
      <c r="I4338" s="63"/>
      <c r="J4338" s="63"/>
    </row>
    <row r="4339" spans="9:10" x14ac:dyDescent="0.35">
      <c r="I4339" s="63"/>
      <c r="J4339" s="63"/>
    </row>
    <row r="4340" spans="9:10" x14ac:dyDescent="0.35">
      <c r="I4340" s="63"/>
      <c r="J4340" s="63"/>
    </row>
    <row r="4341" spans="9:10" x14ac:dyDescent="0.35">
      <c r="I4341" s="63"/>
      <c r="J4341" s="63"/>
    </row>
    <row r="4342" spans="9:10" x14ac:dyDescent="0.35">
      <c r="I4342" s="63"/>
      <c r="J4342" s="63"/>
    </row>
    <row r="4343" spans="9:10" x14ac:dyDescent="0.35">
      <c r="I4343" s="63"/>
      <c r="J4343" s="63"/>
    </row>
    <row r="4344" spans="9:10" x14ac:dyDescent="0.35">
      <c r="I4344" s="63"/>
      <c r="J4344" s="63"/>
    </row>
    <row r="4345" spans="9:10" x14ac:dyDescent="0.35">
      <c r="I4345" s="63"/>
      <c r="J4345" s="63"/>
    </row>
    <row r="4346" spans="9:10" x14ac:dyDescent="0.35">
      <c r="I4346" s="63"/>
      <c r="J4346" s="63"/>
    </row>
    <row r="4347" spans="9:10" x14ac:dyDescent="0.35">
      <c r="I4347" s="63"/>
      <c r="J4347" s="63"/>
    </row>
    <row r="4348" spans="9:10" x14ac:dyDescent="0.35">
      <c r="I4348" s="63"/>
      <c r="J4348" s="63"/>
    </row>
    <row r="4349" spans="9:10" x14ac:dyDescent="0.35">
      <c r="I4349" s="63"/>
      <c r="J4349" s="63"/>
    </row>
    <row r="4350" spans="9:10" x14ac:dyDescent="0.35">
      <c r="I4350" s="63"/>
      <c r="J4350" s="63"/>
    </row>
    <row r="4351" spans="9:10" x14ac:dyDescent="0.35">
      <c r="I4351" s="63"/>
      <c r="J4351" s="63"/>
    </row>
    <row r="4352" spans="9:10" x14ac:dyDescent="0.35">
      <c r="I4352" s="63"/>
      <c r="J4352" s="63"/>
    </row>
    <row r="4353" spans="9:10" x14ac:dyDescent="0.35">
      <c r="I4353" s="63"/>
      <c r="J4353" s="63"/>
    </row>
    <row r="4354" spans="9:10" x14ac:dyDescent="0.35">
      <c r="I4354" s="63"/>
      <c r="J4354" s="63"/>
    </row>
    <row r="4355" spans="9:10" x14ac:dyDescent="0.35">
      <c r="I4355" s="63"/>
      <c r="J4355" s="63"/>
    </row>
    <row r="4356" spans="9:10" x14ac:dyDescent="0.35">
      <c r="I4356" s="63"/>
      <c r="J4356" s="63"/>
    </row>
    <row r="4357" spans="9:10" x14ac:dyDescent="0.35">
      <c r="I4357" s="63"/>
      <c r="J4357" s="63"/>
    </row>
    <row r="4358" spans="9:10" x14ac:dyDescent="0.35">
      <c r="I4358" s="63"/>
      <c r="J4358" s="63"/>
    </row>
    <row r="4359" spans="9:10" x14ac:dyDescent="0.35">
      <c r="I4359" s="63"/>
      <c r="J4359" s="63"/>
    </row>
    <row r="4360" spans="9:10" x14ac:dyDescent="0.35">
      <c r="I4360" s="63"/>
      <c r="J4360" s="63"/>
    </row>
    <row r="4361" spans="9:10" x14ac:dyDescent="0.35">
      <c r="I4361" s="63"/>
      <c r="J4361" s="63"/>
    </row>
    <row r="4362" spans="9:10" x14ac:dyDescent="0.35">
      <c r="I4362" s="63"/>
      <c r="J4362" s="63"/>
    </row>
    <row r="4363" spans="9:10" x14ac:dyDescent="0.35">
      <c r="I4363" s="63"/>
      <c r="J4363" s="63"/>
    </row>
    <row r="4364" spans="9:10" x14ac:dyDescent="0.35">
      <c r="I4364" s="63"/>
      <c r="J4364" s="63"/>
    </row>
    <row r="4365" spans="9:10" x14ac:dyDescent="0.35">
      <c r="I4365" s="63"/>
      <c r="J4365" s="63"/>
    </row>
    <row r="4366" spans="9:10" x14ac:dyDescent="0.35">
      <c r="I4366" s="63"/>
      <c r="J4366" s="63"/>
    </row>
    <row r="4367" spans="9:10" x14ac:dyDescent="0.35">
      <c r="I4367" s="63"/>
      <c r="J4367" s="63"/>
    </row>
    <row r="4368" spans="9:10" x14ac:dyDescent="0.35">
      <c r="I4368" s="63"/>
      <c r="J4368" s="63"/>
    </row>
    <row r="4369" spans="9:10" x14ac:dyDescent="0.35">
      <c r="I4369" s="63"/>
      <c r="J4369" s="63"/>
    </row>
    <row r="4370" spans="9:10" x14ac:dyDescent="0.35">
      <c r="I4370" s="63"/>
      <c r="J4370" s="63"/>
    </row>
    <row r="4371" spans="9:10" x14ac:dyDescent="0.35">
      <c r="I4371" s="63"/>
      <c r="J4371" s="63"/>
    </row>
    <row r="4372" spans="9:10" x14ac:dyDescent="0.35">
      <c r="I4372" s="63"/>
      <c r="J4372" s="63"/>
    </row>
    <row r="4373" spans="9:10" x14ac:dyDescent="0.35">
      <c r="I4373" s="63"/>
      <c r="J4373" s="63"/>
    </row>
    <row r="4374" spans="9:10" x14ac:dyDescent="0.35">
      <c r="I4374" s="63"/>
      <c r="J4374" s="63"/>
    </row>
    <row r="4375" spans="9:10" x14ac:dyDescent="0.35">
      <c r="I4375" s="63"/>
      <c r="J4375" s="63"/>
    </row>
    <row r="4376" spans="9:10" x14ac:dyDescent="0.35">
      <c r="I4376" s="63"/>
      <c r="J4376" s="63"/>
    </row>
    <row r="4377" spans="9:10" x14ac:dyDescent="0.35">
      <c r="I4377" s="63"/>
      <c r="J4377" s="63"/>
    </row>
    <row r="4378" spans="9:10" x14ac:dyDescent="0.35">
      <c r="I4378" s="63"/>
      <c r="J4378" s="63"/>
    </row>
    <row r="4379" spans="9:10" x14ac:dyDescent="0.35">
      <c r="I4379" s="63"/>
      <c r="J4379" s="63"/>
    </row>
    <row r="4380" spans="9:10" x14ac:dyDescent="0.35">
      <c r="I4380" s="63"/>
      <c r="J4380" s="63"/>
    </row>
    <row r="4381" spans="9:10" x14ac:dyDescent="0.35">
      <c r="I4381" s="63"/>
      <c r="J4381" s="63"/>
    </row>
    <row r="4382" spans="9:10" x14ac:dyDescent="0.35">
      <c r="I4382" s="63"/>
      <c r="J4382" s="63"/>
    </row>
    <row r="4383" spans="9:10" x14ac:dyDescent="0.35">
      <c r="I4383" s="63"/>
      <c r="J4383" s="63"/>
    </row>
    <row r="4384" spans="9:10" x14ac:dyDescent="0.35">
      <c r="I4384" s="63"/>
      <c r="J4384" s="63"/>
    </row>
    <row r="4385" spans="9:10" x14ac:dyDescent="0.35">
      <c r="I4385" s="63"/>
      <c r="J4385" s="63"/>
    </row>
    <row r="4386" spans="9:10" x14ac:dyDescent="0.35">
      <c r="I4386" s="63"/>
      <c r="J4386" s="63"/>
    </row>
    <row r="4387" spans="9:10" x14ac:dyDescent="0.35">
      <c r="I4387" s="63"/>
      <c r="J4387" s="63"/>
    </row>
    <row r="4388" spans="9:10" x14ac:dyDescent="0.35">
      <c r="I4388" s="63"/>
      <c r="J4388" s="63"/>
    </row>
    <row r="4389" spans="9:10" x14ac:dyDescent="0.35">
      <c r="I4389" s="63"/>
      <c r="J4389" s="63"/>
    </row>
    <row r="4390" spans="9:10" x14ac:dyDescent="0.35">
      <c r="I4390" s="63"/>
      <c r="J4390" s="63"/>
    </row>
    <row r="4391" spans="9:10" x14ac:dyDescent="0.35">
      <c r="I4391" s="63"/>
      <c r="J4391" s="63"/>
    </row>
    <row r="4392" spans="9:10" x14ac:dyDescent="0.35">
      <c r="I4392" s="63"/>
      <c r="J4392" s="63"/>
    </row>
    <row r="4393" spans="9:10" x14ac:dyDescent="0.35">
      <c r="I4393" s="63"/>
      <c r="J4393" s="63"/>
    </row>
    <row r="4394" spans="9:10" x14ac:dyDescent="0.35">
      <c r="I4394" s="63"/>
      <c r="J4394" s="63"/>
    </row>
    <row r="4395" spans="9:10" x14ac:dyDescent="0.35">
      <c r="I4395" s="63"/>
      <c r="J4395" s="63"/>
    </row>
    <row r="4396" spans="9:10" x14ac:dyDescent="0.35">
      <c r="I4396" s="63"/>
      <c r="J4396" s="63"/>
    </row>
    <row r="4397" spans="9:10" x14ac:dyDescent="0.35">
      <c r="I4397" s="63"/>
      <c r="J4397" s="63"/>
    </row>
    <row r="4398" spans="9:10" x14ac:dyDescent="0.35">
      <c r="I4398" s="63"/>
      <c r="J4398" s="63"/>
    </row>
    <row r="4399" spans="9:10" x14ac:dyDescent="0.35">
      <c r="I4399" s="63"/>
      <c r="J4399" s="63"/>
    </row>
    <row r="4400" spans="9:10" x14ac:dyDescent="0.35">
      <c r="I4400" s="63"/>
      <c r="J4400" s="63"/>
    </row>
    <row r="4401" spans="9:10" x14ac:dyDescent="0.35">
      <c r="I4401" s="63"/>
      <c r="J4401" s="63"/>
    </row>
    <row r="4402" spans="9:10" x14ac:dyDescent="0.35">
      <c r="I4402" s="63"/>
      <c r="J4402" s="63"/>
    </row>
    <row r="4403" spans="9:10" x14ac:dyDescent="0.35">
      <c r="I4403" s="63"/>
      <c r="J4403" s="63"/>
    </row>
    <row r="4404" spans="9:10" x14ac:dyDescent="0.35">
      <c r="I4404" s="63"/>
      <c r="J4404" s="63"/>
    </row>
    <row r="4405" spans="9:10" x14ac:dyDescent="0.35">
      <c r="I4405" s="63"/>
      <c r="J4405" s="63"/>
    </row>
    <row r="4406" spans="9:10" x14ac:dyDescent="0.35">
      <c r="I4406" s="63"/>
      <c r="J4406" s="63"/>
    </row>
    <row r="4407" spans="9:10" x14ac:dyDescent="0.35">
      <c r="I4407" s="63"/>
      <c r="J4407" s="63"/>
    </row>
    <row r="4408" spans="9:10" x14ac:dyDescent="0.35">
      <c r="I4408" s="63"/>
      <c r="J4408" s="63"/>
    </row>
    <row r="4409" spans="9:10" x14ac:dyDescent="0.35">
      <c r="I4409" s="63"/>
      <c r="J4409" s="63"/>
    </row>
    <row r="4410" spans="9:10" x14ac:dyDescent="0.35">
      <c r="I4410" s="63"/>
      <c r="J4410" s="63"/>
    </row>
    <row r="4411" spans="9:10" x14ac:dyDescent="0.35">
      <c r="I4411" s="63"/>
      <c r="J4411" s="63"/>
    </row>
    <row r="4412" spans="9:10" x14ac:dyDescent="0.35">
      <c r="I4412" s="63"/>
      <c r="J4412" s="63"/>
    </row>
    <row r="4413" spans="9:10" x14ac:dyDescent="0.35">
      <c r="I4413" s="63"/>
      <c r="J4413" s="63"/>
    </row>
    <row r="4414" spans="9:10" x14ac:dyDescent="0.35">
      <c r="I4414" s="63"/>
      <c r="J4414" s="63"/>
    </row>
    <row r="4415" spans="9:10" x14ac:dyDescent="0.35">
      <c r="I4415" s="63"/>
      <c r="J4415" s="63"/>
    </row>
    <row r="4416" spans="9:10" x14ac:dyDescent="0.35">
      <c r="I4416" s="63"/>
      <c r="J4416" s="63"/>
    </row>
    <row r="4417" spans="9:10" x14ac:dyDescent="0.35">
      <c r="I4417" s="63"/>
      <c r="J4417" s="63"/>
    </row>
    <row r="4418" spans="9:10" x14ac:dyDescent="0.35">
      <c r="I4418" s="63"/>
      <c r="J4418" s="63"/>
    </row>
    <row r="4419" spans="9:10" x14ac:dyDescent="0.35">
      <c r="I4419" s="63"/>
      <c r="J4419" s="63"/>
    </row>
    <row r="4420" spans="9:10" x14ac:dyDescent="0.35">
      <c r="I4420" s="63"/>
      <c r="J4420" s="63"/>
    </row>
    <row r="4421" spans="9:10" x14ac:dyDescent="0.35">
      <c r="I4421" s="63"/>
      <c r="J4421" s="63"/>
    </row>
    <row r="4422" spans="9:10" x14ac:dyDescent="0.35">
      <c r="I4422" s="63"/>
      <c r="J4422" s="63"/>
    </row>
    <row r="4423" spans="9:10" x14ac:dyDescent="0.35">
      <c r="I4423" s="63"/>
      <c r="J4423" s="63"/>
    </row>
    <row r="4424" spans="9:10" x14ac:dyDescent="0.35">
      <c r="I4424" s="63"/>
      <c r="J4424" s="63"/>
    </row>
    <row r="4425" spans="9:10" x14ac:dyDescent="0.35">
      <c r="I4425" s="63"/>
      <c r="J4425" s="63"/>
    </row>
    <row r="4426" spans="9:10" x14ac:dyDescent="0.35">
      <c r="I4426" s="63"/>
      <c r="J4426" s="63"/>
    </row>
    <row r="4427" spans="9:10" x14ac:dyDescent="0.35">
      <c r="I4427" s="63"/>
      <c r="J4427" s="63"/>
    </row>
    <row r="4428" spans="9:10" x14ac:dyDescent="0.35">
      <c r="I4428" s="63"/>
      <c r="J4428" s="63"/>
    </row>
    <row r="4429" spans="9:10" x14ac:dyDescent="0.35">
      <c r="I4429" s="63"/>
      <c r="J4429" s="63"/>
    </row>
    <row r="4430" spans="9:10" x14ac:dyDescent="0.35">
      <c r="I4430" s="63"/>
      <c r="J4430" s="63"/>
    </row>
    <row r="4431" spans="9:10" x14ac:dyDescent="0.35">
      <c r="I4431" s="63"/>
      <c r="J4431" s="63"/>
    </row>
    <row r="4432" spans="9:10" x14ac:dyDescent="0.35">
      <c r="I4432" s="63"/>
      <c r="J4432" s="63"/>
    </row>
    <row r="4433" spans="9:10" x14ac:dyDescent="0.35">
      <c r="I4433" s="63"/>
      <c r="J4433" s="63"/>
    </row>
    <row r="4434" spans="9:10" x14ac:dyDescent="0.35">
      <c r="I4434" s="63"/>
      <c r="J4434" s="63"/>
    </row>
    <row r="4435" spans="9:10" x14ac:dyDescent="0.35">
      <c r="I4435" s="63"/>
      <c r="J4435" s="63"/>
    </row>
    <row r="4436" spans="9:10" x14ac:dyDescent="0.35">
      <c r="I4436" s="63"/>
      <c r="J4436" s="63"/>
    </row>
    <row r="4437" spans="9:10" x14ac:dyDescent="0.35">
      <c r="I4437" s="63"/>
      <c r="J4437" s="63"/>
    </row>
    <row r="4438" spans="9:10" x14ac:dyDescent="0.35">
      <c r="I4438" s="63"/>
      <c r="J4438" s="63"/>
    </row>
    <row r="4439" spans="9:10" x14ac:dyDescent="0.35">
      <c r="I4439" s="63"/>
      <c r="J4439" s="63"/>
    </row>
    <row r="4440" spans="9:10" x14ac:dyDescent="0.35">
      <c r="I4440" s="63"/>
      <c r="J4440" s="63"/>
    </row>
    <row r="4441" spans="9:10" x14ac:dyDescent="0.35">
      <c r="I4441" s="63"/>
      <c r="J4441" s="63"/>
    </row>
    <row r="4442" spans="9:10" x14ac:dyDescent="0.35">
      <c r="I4442" s="63"/>
      <c r="J4442" s="63"/>
    </row>
    <row r="4443" spans="9:10" x14ac:dyDescent="0.35">
      <c r="I4443" s="63"/>
      <c r="J4443" s="63"/>
    </row>
    <row r="4444" spans="9:10" x14ac:dyDescent="0.35">
      <c r="I4444" s="63"/>
      <c r="J4444" s="63"/>
    </row>
    <row r="4445" spans="9:10" x14ac:dyDescent="0.35">
      <c r="I4445" s="63"/>
      <c r="J4445" s="63"/>
    </row>
    <row r="4446" spans="9:10" x14ac:dyDescent="0.35">
      <c r="I4446" s="63"/>
      <c r="J4446" s="63"/>
    </row>
    <row r="4447" spans="9:10" x14ac:dyDescent="0.35">
      <c r="I4447" s="63"/>
      <c r="J4447" s="63"/>
    </row>
    <row r="4448" spans="9:10" x14ac:dyDescent="0.35">
      <c r="I4448" s="63"/>
      <c r="J4448" s="63"/>
    </row>
    <row r="4449" spans="9:10" x14ac:dyDescent="0.35">
      <c r="I4449" s="63"/>
      <c r="J4449" s="63"/>
    </row>
    <row r="4450" spans="9:10" x14ac:dyDescent="0.35">
      <c r="I4450" s="63"/>
      <c r="J4450" s="63"/>
    </row>
    <row r="4451" spans="9:10" x14ac:dyDescent="0.35">
      <c r="I4451" s="63"/>
      <c r="J4451" s="63"/>
    </row>
    <row r="4452" spans="9:10" x14ac:dyDescent="0.35">
      <c r="I4452" s="63"/>
      <c r="J4452" s="63"/>
    </row>
    <row r="4453" spans="9:10" x14ac:dyDescent="0.35">
      <c r="I4453" s="63"/>
      <c r="J4453" s="63"/>
    </row>
    <row r="4454" spans="9:10" x14ac:dyDescent="0.35">
      <c r="I4454" s="63"/>
      <c r="J4454" s="63"/>
    </row>
    <row r="4455" spans="9:10" x14ac:dyDescent="0.35">
      <c r="I4455" s="63"/>
      <c r="J4455" s="63"/>
    </row>
    <row r="4456" spans="9:10" x14ac:dyDescent="0.35">
      <c r="I4456" s="63"/>
      <c r="J4456" s="63"/>
    </row>
    <row r="4457" spans="9:10" x14ac:dyDescent="0.35">
      <c r="I4457" s="63"/>
      <c r="J4457" s="63"/>
    </row>
    <row r="4458" spans="9:10" x14ac:dyDescent="0.35">
      <c r="I4458" s="63"/>
      <c r="J4458" s="63"/>
    </row>
    <row r="4459" spans="9:10" x14ac:dyDescent="0.35">
      <c r="I4459" s="63"/>
      <c r="J4459" s="63"/>
    </row>
    <row r="4460" spans="9:10" x14ac:dyDescent="0.35">
      <c r="I4460" s="63"/>
      <c r="J4460" s="63"/>
    </row>
    <row r="4461" spans="9:10" x14ac:dyDescent="0.35">
      <c r="I4461" s="63"/>
      <c r="J4461" s="63"/>
    </row>
    <row r="4462" spans="9:10" x14ac:dyDescent="0.35">
      <c r="I4462" s="63"/>
      <c r="J4462" s="63"/>
    </row>
    <row r="4463" spans="9:10" x14ac:dyDescent="0.35">
      <c r="I4463" s="63"/>
      <c r="J4463" s="63"/>
    </row>
    <row r="4464" spans="9:10" x14ac:dyDescent="0.35">
      <c r="I4464" s="63"/>
      <c r="J4464" s="63"/>
    </row>
    <row r="4465" spans="9:10" x14ac:dyDescent="0.35">
      <c r="I4465" s="63"/>
      <c r="J4465" s="63"/>
    </row>
    <row r="4466" spans="9:10" x14ac:dyDescent="0.35">
      <c r="I4466" s="63"/>
      <c r="J4466" s="63"/>
    </row>
    <row r="4467" spans="9:10" x14ac:dyDescent="0.35">
      <c r="I4467" s="63"/>
      <c r="J4467" s="63"/>
    </row>
    <row r="4468" spans="9:10" x14ac:dyDescent="0.35">
      <c r="I4468" s="63"/>
      <c r="J4468" s="63"/>
    </row>
    <row r="4469" spans="9:10" x14ac:dyDescent="0.35">
      <c r="I4469" s="63"/>
      <c r="J4469" s="63"/>
    </row>
    <row r="4470" spans="9:10" x14ac:dyDescent="0.35">
      <c r="I4470" s="63"/>
      <c r="J4470" s="63"/>
    </row>
    <row r="4471" spans="9:10" x14ac:dyDescent="0.35">
      <c r="I4471" s="63"/>
      <c r="J4471" s="63"/>
    </row>
    <row r="4472" spans="9:10" x14ac:dyDescent="0.35">
      <c r="I4472" s="63"/>
      <c r="J4472" s="63"/>
    </row>
    <row r="4473" spans="9:10" x14ac:dyDescent="0.35">
      <c r="I4473" s="63"/>
      <c r="J4473" s="63"/>
    </row>
    <row r="4474" spans="9:10" x14ac:dyDescent="0.35">
      <c r="I4474" s="63"/>
      <c r="J4474" s="63"/>
    </row>
    <row r="4475" spans="9:10" x14ac:dyDescent="0.35">
      <c r="I4475" s="63"/>
      <c r="J4475" s="63"/>
    </row>
    <row r="4476" spans="9:10" x14ac:dyDescent="0.35">
      <c r="I4476" s="63"/>
      <c r="J4476" s="63"/>
    </row>
    <row r="4477" spans="9:10" x14ac:dyDescent="0.35">
      <c r="I4477" s="63"/>
      <c r="J4477" s="63"/>
    </row>
    <row r="4478" spans="9:10" x14ac:dyDescent="0.35">
      <c r="I4478" s="63"/>
      <c r="J4478" s="63"/>
    </row>
    <row r="4479" spans="9:10" x14ac:dyDescent="0.35">
      <c r="I4479" s="63"/>
      <c r="J4479" s="63"/>
    </row>
    <row r="4480" spans="9:10" x14ac:dyDescent="0.35">
      <c r="I4480" s="63"/>
      <c r="J4480" s="63"/>
    </row>
    <row r="4481" spans="9:10" x14ac:dyDescent="0.35">
      <c r="I4481" s="63"/>
      <c r="J4481" s="63"/>
    </row>
    <row r="4482" spans="9:10" x14ac:dyDescent="0.35">
      <c r="I4482" s="63"/>
      <c r="J4482" s="63"/>
    </row>
    <row r="4483" spans="9:10" x14ac:dyDescent="0.35">
      <c r="I4483" s="63"/>
      <c r="J4483" s="63"/>
    </row>
    <row r="4484" spans="9:10" x14ac:dyDescent="0.35">
      <c r="I4484" s="63"/>
      <c r="J4484" s="63"/>
    </row>
    <row r="4485" spans="9:10" x14ac:dyDescent="0.35">
      <c r="I4485" s="63"/>
      <c r="J4485" s="63"/>
    </row>
    <row r="4486" spans="9:10" x14ac:dyDescent="0.35">
      <c r="I4486" s="63"/>
      <c r="J4486" s="63"/>
    </row>
    <row r="4487" spans="9:10" x14ac:dyDescent="0.35">
      <c r="I4487" s="63"/>
      <c r="J4487" s="63"/>
    </row>
    <row r="4488" spans="9:10" x14ac:dyDescent="0.35">
      <c r="I4488" s="63"/>
      <c r="J4488" s="63"/>
    </row>
    <row r="4489" spans="9:10" x14ac:dyDescent="0.35">
      <c r="I4489" s="63"/>
      <c r="J4489" s="63"/>
    </row>
    <row r="4490" spans="9:10" x14ac:dyDescent="0.35">
      <c r="I4490" s="63"/>
      <c r="J4490" s="63"/>
    </row>
    <row r="4491" spans="9:10" x14ac:dyDescent="0.35">
      <c r="I4491" s="63"/>
      <c r="J4491" s="63"/>
    </row>
    <row r="4492" spans="9:10" x14ac:dyDescent="0.35">
      <c r="I4492" s="63"/>
      <c r="J4492" s="63"/>
    </row>
    <row r="4493" spans="9:10" x14ac:dyDescent="0.35">
      <c r="I4493" s="63"/>
      <c r="J4493" s="63"/>
    </row>
    <row r="4494" spans="9:10" x14ac:dyDescent="0.35">
      <c r="I4494" s="63"/>
      <c r="J4494" s="63"/>
    </row>
    <row r="4495" spans="9:10" x14ac:dyDescent="0.35">
      <c r="I4495" s="63"/>
      <c r="J4495" s="63"/>
    </row>
    <row r="4496" spans="9:10" x14ac:dyDescent="0.35">
      <c r="I4496" s="63"/>
      <c r="J4496" s="63"/>
    </row>
    <row r="4497" spans="9:10" x14ac:dyDescent="0.35">
      <c r="I4497" s="63"/>
      <c r="J4497" s="63"/>
    </row>
    <row r="4498" spans="9:10" x14ac:dyDescent="0.35">
      <c r="I4498" s="63"/>
      <c r="J4498" s="63"/>
    </row>
    <row r="4499" spans="9:10" x14ac:dyDescent="0.35">
      <c r="I4499" s="63"/>
      <c r="J4499" s="63"/>
    </row>
    <row r="4500" spans="9:10" x14ac:dyDescent="0.35">
      <c r="I4500" s="63"/>
      <c r="J4500" s="63"/>
    </row>
    <row r="4501" spans="9:10" x14ac:dyDescent="0.35">
      <c r="I4501" s="63"/>
      <c r="J4501" s="63"/>
    </row>
    <row r="4502" spans="9:10" x14ac:dyDescent="0.35">
      <c r="I4502" s="63"/>
      <c r="J4502" s="63"/>
    </row>
    <row r="4503" spans="9:10" x14ac:dyDescent="0.35">
      <c r="I4503" s="63"/>
      <c r="J4503" s="63"/>
    </row>
    <row r="4504" spans="9:10" x14ac:dyDescent="0.35">
      <c r="I4504" s="63"/>
      <c r="J4504" s="63"/>
    </row>
    <row r="4505" spans="9:10" x14ac:dyDescent="0.35">
      <c r="I4505" s="63"/>
      <c r="J4505" s="63"/>
    </row>
    <row r="4506" spans="9:10" x14ac:dyDescent="0.35">
      <c r="I4506" s="63"/>
      <c r="J4506" s="63"/>
    </row>
    <row r="4507" spans="9:10" x14ac:dyDescent="0.35">
      <c r="I4507" s="63"/>
      <c r="J4507" s="63"/>
    </row>
    <row r="4508" spans="9:10" x14ac:dyDescent="0.35">
      <c r="I4508" s="63"/>
      <c r="J4508" s="63"/>
    </row>
    <row r="4509" spans="9:10" x14ac:dyDescent="0.35">
      <c r="I4509" s="63"/>
      <c r="J4509" s="63"/>
    </row>
    <row r="4510" spans="9:10" x14ac:dyDescent="0.35">
      <c r="I4510" s="63"/>
      <c r="J4510" s="63"/>
    </row>
    <row r="4511" spans="9:10" x14ac:dyDescent="0.35">
      <c r="I4511" s="63"/>
      <c r="J4511" s="63"/>
    </row>
    <row r="4512" spans="9:10" x14ac:dyDescent="0.35">
      <c r="I4512" s="63"/>
      <c r="J4512" s="63"/>
    </row>
    <row r="4513" spans="9:10" x14ac:dyDescent="0.35">
      <c r="I4513" s="63"/>
      <c r="J4513" s="63"/>
    </row>
    <row r="4514" spans="9:10" x14ac:dyDescent="0.35">
      <c r="I4514" s="63"/>
      <c r="J4514" s="63"/>
    </row>
    <row r="4515" spans="9:10" x14ac:dyDescent="0.35">
      <c r="I4515" s="63"/>
      <c r="J4515" s="63"/>
    </row>
    <row r="4516" spans="9:10" x14ac:dyDescent="0.35">
      <c r="I4516" s="63"/>
      <c r="J4516" s="63"/>
    </row>
    <row r="4517" spans="9:10" x14ac:dyDescent="0.35">
      <c r="I4517" s="63"/>
      <c r="J4517" s="63"/>
    </row>
    <row r="4518" spans="9:10" x14ac:dyDescent="0.35">
      <c r="I4518" s="63"/>
      <c r="J4518" s="63"/>
    </row>
    <row r="4519" spans="9:10" x14ac:dyDescent="0.35">
      <c r="I4519" s="63"/>
      <c r="J4519" s="63"/>
    </row>
    <row r="4520" spans="9:10" x14ac:dyDescent="0.35">
      <c r="I4520" s="63"/>
      <c r="J4520" s="63"/>
    </row>
    <row r="4521" spans="9:10" x14ac:dyDescent="0.35">
      <c r="I4521" s="63"/>
      <c r="J4521" s="63"/>
    </row>
    <row r="4522" spans="9:10" x14ac:dyDescent="0.35">
      <c r="I4522" s="63"/>
      <c r="J4522" s="63"/>
    </row>
    <row r="4523" spans="9:10" x14ac:dyDescent="0.35">
      <c r="I4523" s="63"/>
      <c r="J4523" s="63"/>
    </row>
    <row r="4524" spans="9:10" x14ac:dyDescent="0.35">
      <c r="I4524" s="63"/>
      <c r="J4524" s="63"/>
    </row>
    <row r="4525" spans="9:10" x14ac:dyDescent="0.35">
      <c r="I4525" s="63"/>
      <c r="J4525" s="63"/>
    </row>
    <row r="4526" spans="9:10" x14ac:dyDescent="0.35">
      <c r="I4526" s="63"/>
      <c r="J4526" s="63"/>
    </row>
    <row r="4527" spans="9:10" x14ac:dyDescent="0.35">
      <c r="I4527" s="63"/>
      <c r="J4527" s="63"/>
    </row>
    <row r="4528" spans="9:10" x14ac:dyDescent="0.35">
      <c r="I4528" s="63"/>
      <c r="J4528" s="63"/>
    </row>
    <row r="4529" spans="9:10" x14ac:dyDescent="0.35">
      <c r="I4529" s="63"/>
      <c r="J4529" s="63"/>
    </row>
    <row r="4530" spans="9:10" x14ac:dyDescent="0.35">
      <c r="I4530" s="63"/>
      <c r="J4530" s="63"/>
    </row>
    <row r="4531" spans="9:10" x14ac:dyDescent="0.35">
      <c r="I4531" s="63"/>
      <c r="J4531" s="63"/>
    </row>
    <row r="4532" spans="9:10" x14ac:dyDescent="0.35">
      <c r="I4532" s="63"/>
      <c r="J4532" s="63"/>
    </row>
    <row r="4533" spans="9:10" x14ac:dyDescent="0.35">
      <c r="I4533" s="63"/>
      <c r="J4533" s="63"/>
    </row>
    <row r="4534" spans="9:10" x14ac:dyDescent="0.35">
      <c r="I4534" s="63"/>
      <c r="J4534" s="63"/>
    </row>
    <row r="4535" spans="9:10" x14ac:dyDescent="0.35">
      <c r="I4535" s="63"/>
      <c r="J4535" s="63"/>
    </row>
    <row r="4536" spans="9:10" x14ac:dyDescent="0.35">
      <c r="I4536" s="63"/>
      <c r="J4536" s="63"/>
    </row>
    <row r="4537" spans="9:10" x14ac:dyDescent="0.35">
      <c r="I4537" s="63"/>
      <c r="J4537" s="63"/>
    </row>
    <row r="4538" spans="9:10" x14ac:dyDescent="0.35">
      <c r="I4538" s="63"/>
      <c r="J4538" s="63"/>
    </row>
    <row r="4539" spans="9:10" x14ac:dyDescent="0.35">
      <c r="I4539" s="63"/>
      <c r="J4539" s="63"/>
    </row>
    <row r="4540" spans="9:10" x14ac:dyDescent="0.35">
      <c r="I4540" s="63"/>
      <c r="J4540" s="63"/>
    </row>
    <row r="4541" spans="9:10" x14ac:dyDescent="0.35">
      <c r="I4541" s="63"/>
      <c r="J4541" s="63"/>
    </row>
    <row r="4542" spans="9:10" x14ac:dyDescent="0.35">
      <c r="I4542" s="63"/>
      <c r="J4542" s="63"/>
    </row>
    <row r="4543" spans="9:10" x14ac:dyDescent="0.35">
      <c r="I4543" s="63"/>
      <c r="J4543" s="63"/>
    </row>
    <row r="4544" spans="9:10" x14ac:dyDescent="0.35">
      <c r="I4544" s="63"/>
      <c r="J4544" s="63"/>
    </row>
    <row r="4545" spans="9:10" x14ac:dyDescent="0.35">
      <c r="I4545" s="63"/>
      <c r="J4545" s="63"/>
    </row>
    <row r="4546" spans="9:10" x14ac:dyDescent="0.35">
      <c r="I4546" s="63"/>
      <c r="J4546" s="63"/>
    </row>
    <row r="4547" spans="9:10" x14ac:dyDescent="0.35">
      <c r="I4547" s="63"/>
      <c r="J4547" s="63"/>
    </row>
    <row r="4548" spans="9:10" x14ac:dyDescent="0.35">
      <c r="I4548" s="63"/>
      <c r="J4548" s="63"/>
    </row>
    <row r="4549" spans="9:10" x14ac:dyDescent="0.35">
      <c r="I4549" s="63"/>
      <c r="J4549" s="63"/>
    </row>
    <row r="4550" spans="9:10" x14ac:dyDescent="0.35">
      <c r="I4550" s="63"/>
      <c r="J4550" s="63"/>
    </row>
    <row r="4551" spans="9:10" x14ac:dyDescent="0.35">
      <c r="I4551" s="63"/>
      <c r="J4551" s="63"/>
    </row>
    <row r="4552" spans="9:10" x14ac:dyDescent="0.35">
      <c r="I4552" s="63"/>
      <c r="J4552" s="63"/>
    </row>
    <row r="4553" spans="9:10" x14ac:dyDescent="0.35">
      <c r="I4553" s="63"/>
      <c r="J4553" s="63"/>
    </row>
    <row r="4554" spans="9:10" x14ac:dyDescent="0.35">
      <c r="I4554" s="63"/>
      <c r="J4554" s="63"/>
    </row>
    <row r="4555" spans="9:10" x14ac:dyDescent="0.35">
      <c r="I4555" s="63"/>
      <c r="J4555" s="63"/>
    </row>
    <row r="4556" spans="9:10" x14ac:dyDescent="0.35">
      <c r="I4556" s="63"/>
      <c r="J4556" s="63"/>
    </row>
    <row r="4557" spans="9:10" x14ac:dyDescent="0.35">
      <c r="I4557" s="63"/>
      <c r="J4557" s="63"/>
    </row>
    <row r="4558" spans="9:10" x14ac:dyDescent="0.35">
      <c r="I4558" s="63"/>
      <c r="J4558" s="63"/>
    </row>
    <row r="4559" spans="9:10" x14ac:dyDescent="0.35">
      <c r="I4559" s="63"/>
      <c r="J4559" s="63"/>
    </row>
    <row r="4560" spans="9:10" x14ac:dyDescent="0.35">
      <c r="I4560" s="63"/>
      <c r="J4560" s="63"/>
    </row>
    <row r="4561" spans="9:10" x14ac:dyDescent="0.35">
      <c r="I4561" s="63"/>
      <c r="J4561" s="63"/>
    </row>
    <row r="4562" spans="9:10" x14ac:dyDescent="0.35">
      <c r="I4562" s="63"/>
      <c r="J4562" s="63"/>
    </row>
    <row r="4563" spans="9:10" x14ac:dyDescent="0.35">
      <c r="I4563" s="63"/>
      <c r="J4563" s="63"/>
    </row>
    <row r="4564" spans="9:10" x14ac:dyDescent="0.35">
      <c r="I4564" s="63"/>
      <c r="J4564" s="63"/>
    </row>
    <row r="4565" spans="9:10" x14ac:dyDescent="0.35">
      <c r="I4565" s="63"/>
      <c r="J4565" s="63"/>
    </row>
    <row r="4566" spans="9:10" x14ac:dyDescent="0.35">
      <c r="I4566" s="63"/>
      <c r="J4566" s="63"/>
    </row>
    <row r="4567" spans="9:10" x14ac:dyDescent="0.35">
      <c r="I4567" s="63"/>
      <c r="J4567" s="63"/>
    </row>
    <row r="4568" spans="9:10" x14ac:dyDescent="0.35">
      <c r="I4568" s="63"/>
      <c r="J4568" s="63"/>
    </row>
    <row r="4569" spans="9:10" x14ac:dyDescent="0.35">
      <c r="I4569" s="63"/>
      <c r="J4569" s="63"/>
    </row>
    <row r="4570" spans="9:10" x14ac:dyDescent="0.35">
      <c r="I4570" s="63"/>
      <c r="J4570" s="63"/>
    </row>
    <row r="4571" spans="9:10" x14ac:dyDescent="0.35">
      <c r="I4571" s="63"/>
      <c r="J4571" s="63"/>
    </row>
    <row r="4572" spans="9:10" x14ac:dyDescent="0.35">
      <c r="I4572" s="63"/>
      <c r="J4572" s="63"/>
    </row>
    <row r="4573" spans="9:10" x14ac:dyDescent="0.35">
      <c r="I4573" s="63"/>
      <c r="J4573" s="63"/>
    </row>
    <row r="4574" spans="9:10" x14ac:dyDescent="0.35">
      <c r="I4574" s="63"/>
      <c r="J4574" s="63"/>
    </row>
    <row r="4575" spans="9:10" x14ac:dyDescent="0.35">
      <c r="I4575" s="63"/>
      <c r="J4575" s="63"/>
    </row>
    <row r="4576" spans="9:10" x14ac:dyDescent="0.35">
      <c r="I4576" s="63"/>
      <c r="J4576" s="63"/>
    </row>
    <row r="4577" spans="9:10" x14ac:dyDescent="0.35">
      <c r="I4577" s="63"/>
      <c r="J4577" s="63"/>
    </row>
    <row r="4578" spans="9:10" x14ac:dyDescent="0.35">
      <c r="I4578" s="63"/>
      <c r="J4578" s="63"/>
    </row>
    <row r="4579" spans="9:10" x14ac:dyDescent="0.35">
      <c r="I4579" s="63"/>
      <c r="J4579" s="63"/>
    </row>
    <row r="4580" spans="9:10" x14ac:dyDescent="0.35">
      <c r="I4580" s="63"/>
      <c r="J4580" s="63"/>
    </row>
    <row r="4581" spans="9:10" x14ac:dyDescent="0.35">
      <c r="I4581" s="63"/>
      <c r="J4581" s="63"/>
    </row>
    <row r="4582" spans="9:10" x14ac:dyDescent="0.35">
      <c r="I4582" s="63"/>
      <c r="J4582" s="63"/>
    </row>
    <row r="4583" spans="9:10" x14ac:dyDescent="0.35">
      <c r="I4583" s="63"/>
      <c r="J4583" s="63"/>
    </row>
    <row r="4584" spans="9:10" x14ac:dyDescent="0.35">
      <c r="I4584" s="63"/>
      <c r="J4584" s="63"/>
    </row>
    <row r="4585" spans="9:10" x14ac:dyDescent="0.35">
      <c r="I4585" s="63"/>
      <c r="J4585" s="63"/>
    </row>
    <row r="4586" spans="9:10" x14ac:dyDescent="0.35">
      <c r="I4586" s="63"/>
      <c r="J4586" s="63"/>
    </row>
    <row r="4587" spans="9:10" x14ac:dyDescent="0.35">
      <c r="I4587" s="63"/>
      <c r="J4587" s="63"/>
    </row>
    <row r="4588" spans="9:10" x14ac:dyDescent="0.35">
      <c r="I4588" s="63"/>
      <c r="J4588" s="63"/>
    </row>
    <row r="4589" spans="9:10" x14ac:dyDescent="0.35">
      <c r="I4589" s="63"/>
      <c r="J4589" s="63"/>
    </row>
    <row r="4590" spans="9:10" x14ac:dyDescent="0.35">
      <c r="I4590" s="63"/>
      <c r="J4590" s="63"/>
    </row>
    <row r="4591" spans="9:10" x14ac:dyDescent="0.35">
      <c r="I4591" s="63"/>
      <c r="J4591" s="63"/>
    </row>
    <row r="4592" spans="9:10" x14ac:dyDescent="0.35">
      <c r="I4592" s="63"/>
      <c r="J4592" s="63"/>
    </row>
    <row r="4593" spans="9:10" x14ac:dyDescent="0.35">
      <c r="I4593" s="63"/>
      <c r="J4593" s="63"/>
    </row>
    <row r="4594" spans="9:10" x14ac:dyDescent="0.35">
      <c r="I4594" s="63"/>
      <c r="J4594" s="63"/>
    </row>
    <row r="4595" spans="9:10" x14ac:dyDescent="0.35">
      <c r="I4595" s="63"/>
      <c r="J4595" s="63"/>
    </row>
    <row r="4596" spans="9:10" x14ac:dyDescent="0.35">
      <c r="I4596" s="63"/>
      <c r="J4596" s="63"/>
    </row>
    <row r="4597" spans="9:10" x14ac:dyDescent="0.35">
      <c r="I4597" s="63"/>
      <c r="J4597" s="63"/>
    </row>
    <row r="4598" spans="9:10" x14ac:dyDescent="0.35">
      <c r="I4598" s="63"/>
      <c r="J4598" s="63"/>
    </row>
    <row r="4599" spans="9:10" x14ac:dyDescent="0.35">
      <c r="I4599" s="63"/>
      <c r="J4599" s="63"/>
    </row>
    <row r="4600" spans="9:10" x14ac:dyDescent="0.35">
      <c r="I4600" s="63"/>
      <c r="J4600" s="63"/>
    </row>
    <row r="4601" spans="9:10" x14ac:dyDescent="0.35">
      <c r="I4601" s="63"/>
      <c r="J4601" s="63"/>
    </row>
    <row r="4602" spans="9:10" x14ac:dyDescent="0.35">
      <c r="I4602" s="63"/>
      <c r="J4602" s="63"/>
    </row>
    <row r="4603" spans="9:10" x14ac:dyDescent="0.35">
      <c r="I4603" s="63"/>
      <c r="J4603" s="63"/>
    </row>
    <row r="4604" spans="9:10" x14ac:dyDescent="0.35">
      <c r="I4604" s="63"/>
      <c r="J4604" s="63"/>
    </row>
    <row r="4605" spans="9:10" x14ac:dyDescent="0.35">
      <c r="I4605" s="63"/>
      <c r="J4605" s="63"/>
    </row>
    <row r="4606" spans="9:10" x14ac:dyDescent="0.35">
      <c r="I4606" s="63"/>
      <c r="J4606" s="63"/>
    </row>
    <row r="4607" spans="9:10" x14ac:dyDescent="0.35">
      <c r="I4607" s="63"/>
      <c r="J4607" s="63"/>
    </row>
    <row r="4608" spans="9:10" x14ac:dyDescent="0.35">
      <c r="I4608" s="63"/>
      <c r="J4608" s="63"/>
    </row>
    <row r="4609" spans="9:10" x14ac:dyDescent="0.35">
      <c r="I4609" s="63"/>
      <c r="J4609" s="63"/>
    </row>
    <row r="4610" spans="9:10" x14ac:dyDescent="0.35">
      <c r="I4610" s="63"/>
      <c r="J4610" s="63"/>
    </row>
    <row r="4611" spans="9:10" x14ac:dyDescent="0.35">
      <c r="I4611" s="63"/>
      <c r="J4611" s="63"/>
    </row>
    <row r="4612" spans="9:10" x14ac:dyDescent="0.35">
      <c r="I4612" s="63"/>
      <c r="J4612" s="63"/>
    </row>
    <row r="4613" spans="9:10" x14ac:dyDescent="0.35">
      <c r="I4613" s="63"/>
      <c r="J4613" s="63"/>
    </row>
    <row r="4614" spans="9:10" x14ac:dyDescent="0.35">
      <c r="I4614" s="63"/>
      <c r="J4614" s="63"/>
    </row>
    <row r="4615" spans="9:10" x14ac:dyDescent="0.35">
      <c r="I4615" s="63"/>
      <c r="J4615" s="63"/>
    </row>
    <row r="4616" spans="9:10" x14ac:dyDescent="0.35">
      <c r="I4616" s="63"/>
      <c r="J4616" s="63"/>
    </row>
    <row r="4617" spans="9:10" x14ac:dyDescent="0.35">
      <c r="I4617" s="63"/>
      <c r="J4617" s="63"/>
    </row>
    <row r="4618" spans="9:10" x14ac:dyDescent="0.35">
      <c r="I4618" s="63"/>
      <c r="J4618" s="63"/>
    </row>
    <row r="4619" spans="9:10" x14ac:dyDescent="0.35">
      <c r="I4619" s="63"/>
      <c r="J4619" s="63"/>
    </row>
    <row r="4620" spans="9:10" x14ac:dyDescent="0.35">
      <c r="I4620" s="63"/>
      <c r="J4620" s="63"/>
    </row>
    <row r="4621" spans="9:10" x14ac:dyDescent="0.35">
      <c r="I4621" s="63"/>
      <c r="J4621" s="63"/>
    </row>
    <row r="4622" spans="9:10" x14ac:dyDescent="0.35">
      <c r="I4622" s="63"/>
      <c r="J4622" s="63"/>
    </row>
    <row r="4623" spans="9:10" x14ac:dyDescent="0.35">
      <c r="I4623" s="63"/>
      <c r="J4623" s="63"/>
    </row>
    <row r="4624" spans="9:10" x14ac:dyDescent="0.35">
      <c r="I4624" s="63"/>
      <c r="J4624" s="63"/>
    </row>
    <row r="4625" spans="9:10" x14ac:dyDescent="0.35">
      <c r="I4625" s="63"/>
      <c r="J4625" s="63"/>
    </row>
    <row r="4626" spans="9:10" x14ac:dyDescent="0.35">
      <c r="I4626" s="63"/>
      <c r="J4626" s="63"/>
    </row>
    <row r="4627" spans="9:10" x14ac:dyDescent="0.35">
      <c r="I4627" s="63"/>
      <c r="J4627" s="63"/>
    </row>
    <row r="4628" spans="9:10" x14ac:dyDescent="0.35">
      <c r="I4628" s="63"/>
      <c r="J4628" s="63"/>
    </row>
    <row r="4629" spans="9:10" x14ac:dyDescent="0.35">
      <c r="I4629" s="63"/>
      <c r="J4629" s="63"/>
    </row>
    <row r="4630" spans="9:10" x14ac:dyDescent="0.35">
      <c r="I4630" s="63"/>
      <c r="J4630" s="63"/>
    </row>
    <row r="4631" spans="9:10" x14ac:dyDescent="0.35">
      <c r="I4631" s="63"/>
      <c r="J4631" s="63"/>
    </row>
    <row r="4632" spans="9:10" x14ac:dyDescent="0.35">
      <c r="I4632" s="63"/>
      <c r="J4632" s="63"/>
    </row>
    <row r="4633" spans="9:10" x14ac:dyDescent="0.35">
      <c r="I4633" s="63"/>
      <c r="J4633" s="63"/>
    </row>
    <row r="4634" spans="9:10" x14ac:dyDescent="0.35">
      <c r="I4634" s="63"/>
      <c r="J4634" s="63"/>
    </row>
    <row r="4635" spans="9:10" x14ac:dyDescent="0.35">
      <c r="I4635" s="63"/>
      <c r="J4635" s="63"/>
    </row>
    <row r="4636" spans="9:10" x14ac:dyDescent="0.35">
      <c r="I4636" s="63"/>
      <c r="J4636" s="63"/>
    </row>
    <row r="4637" spans="9:10" x14ac:dyDescent="0.35">
      <c r="I4637" s="63"/>
      <c r="J4637" s="63"/>
    </row>
    <row r="4638" spans="9:10" x14ac:dyDescent="0.35">
      <c r="I4638" s="63"/>
      <c r="J4638" s="63"/>
    </row>
    <row r="4639" spans="9:10" x14ac:dyDescent="0.35">
      <c r="I4639" s="63"/>
      <c r="J4639" s="63"/>
    </row>
    <row r="4640" spans="9:10" x14ac:dyDescent="0.35">
      <c r="I4640" s="63"/>
      <c r="J4640" s="63"/>
    </row>
    <row r="4641" spans="9:10" x14ac:dyDescent="0.35">
      <c r="I4641" s="63"/>
      <c r="J4641" s="63"/>
    </row>
    <row r="4642" spans="9:10" x14ac:dyDescent="0.35">
      <c r="I4642" s="63"/>
      <c r="J4642" s="63"/>
    </row>
    <row r="4643" spans="9:10" x14ac:dyDescent="0.35">
      <c r="I4643" s="63"/>
      <c r="J4643" s="63"/>
    </row>
    <row r="4644" spans="9:10" x14ac:dyDescent="0.35">
      <c r="I4644" s="63"/>
      <c r="J4644" s="63"/>
    </row>
    <row r="4645" spans="9:10" x14ac:dyDescent="0.35">
      <c r="I4645" s="63"/>
      <c r="J4645" s="63"/>
    </row>
    <row r="4646" spans="9:10" x14ac:dyDescent="0.35">
      <c r="I4646" s="63"/>
      <c r="J4646" s="63"/>
    </row>
    <row r="4647" spans="9:10" x14ac:dyDescent="0.35">
      <c r="I4647" s="63"/>
      <c r="J4647" s="63"/>
    </row>
    <row r="4648" spans="9:10" x14ac:dyDescent="0.35">
      <c r="I4648" s="63"/>
      <c r="J4648" s="63"/>
    </row>
    <row r="4649" spans="9:10" x14ac:dyDescent="0.35">
      <c r="I4649" s="63"/>
      <c r="J4649" s="63"/>
    </row>
    <row r="4650" spans="9:10" x14ac:dyDescent="0.35">
      <c r="I4650" s="63"/>
      <c r="J4650" s="63"/>
    </row>
    <row r="4651" spans="9:10" x14ac:dyDescent="0.35">
      <c r="I4651" s="63"/>
      <c r="J4651" s="63"/>
    </row>
    <row r="4652" spans="9:10" x14ac:dyDescent="0.35">
      <c r="I4652" s="63"/>
      <c r="J4652" s="63"/>
    </row>
    <row r="4653" spans="9:10" x14ac:dyDescent="0.35">
      <c r="I4653" s="63"/>
      <c r="J4653" s="63"/>
    </row>
    <row r="4654" spans="9:10" x14ac:dyDescent="0.35">
      <c r="I4654" s="63"/>
      <c r="J4654" s="63"/>
    </row>
    <row r="4655" spans="9:10" x14ac:dyDescent="0.35">
      <c r="I4655" s="63"/>
      <c r="J4655" s="63"/>
    </row>
    <row r="4656" spans="9:10" x14ac:dyDescent="0.35">
      <c r="I4656" s="63"/>
      <c r="J4656" s="63"/>
    </row>
    <row r="4657" spans="9:10" x14ac:dyDescent="0.35">
      <c r="I4657" s="63"/>
      <c r="J4657" s="63"/>
    </row>
    <row r="4658" spans="9:10" x14ac:dyDescent="0.35">
      <c r="I4658" s="63"/>
      <c r="J4658" s="63"/>
    </row>
    <row r="4659" spans="9:10" x14ac:dyDescent="0.35">
      <c r="I4659" s="63"/>
      <c r="J4659" s="63"/>
    </row>
    <row r="4660" spans="9:10" x14ac:dyDescent="0.35">
      <c r="I4660" s="63"/>
      <c r="J4660" s="63"/>
    </row>
    <row r="4661" spans="9:10" x14ac:dyDescent="0.35">
      <c r="I4661" s="63"/>
      <c r="J4661" s="63"/>
    </row>
    <row r="4662" spans="9:10" x14ac:dyDescent="0.35">
      <c r="I4662" s="63"/>
      <c r="J4662" s="63"/>
    </row>
    <row r="4663" spans="9:10" x14ac:dyDescent="0.35">
      <c r="I4663" s="63"/>
      <c r="J4663" s="63"/>
    </row>
    <row r="4664" spans="9:10" x14ac:dyDescent="0.35">
      <c r="I4664" s="63"/>
      <c r="J4664" s="63"/>
    </row>
    <row r="4665" spans="9:10" x14ac:dyDescent="0.35">
      <c r="I4665" s="63"/>
      <c r="J4665" s="63"/>
    </row>
    <row r="4666" spans="9:10" x14ac:dyDescent="0.35">
      <c r="I4666" s="63"/>
      <c r="J4666" s="63"/>
    </row>
    <row r="4667" spans="9:10" x14ac:dyDescent="0.35">
      <c r="I4667" s="63"/>
      <c r="J4667" s="63"/>
    </row>
    <row r="4668" spans="9:10" x14ac:dyDescent="0.35">
      <c r="I4668" s="63"/>
      <c r="J4668" s="63"/>
    </row>
    <row r="4669" spans="9:10" x14ac:dyDescent="0.35">
      <c r="I4669" s="63"/>
      <c r="J4669" s="63"/>
    </row>
    <row r="4670" spans="9:10" x14ac:dyDescent="0.35">
      <c r="I4670" s="63"/>
      <c r="J4670" s="63"/>
    </row>
    <row r="4671" spans="9:10" x14ac:dyDescent="0.35">
      <c r="I4671" s="63"/>
      <c r="J4671" s="63"/>
    </row>
    <row r="4672" spans="9:10" x14ac:dyDescent="0.35">
      <c r="I4672" s="63"/>
      <c r="J4672" s="63"/>
    </row>
    <row r="4673" spans="9:10" x14ac:dyDescent="0.35">
      <c r="I4673" s="63"/>
      <c r="J4673" s="63"/>
    </row>
    <row r="4674" spans="9:10" x14ac:dyDescent="0.35">
      <c r="I4674" s="63"/>
      <c r="J4674" s="63"/>
    </row>
    <row r="4675" spans="9:10" x14ac:dyDescent="0.35">
      <c r="I4675" s="63"/>
      <c r="J4675" s="63"/>
    </row>
    <row r="4676" spans="9:10" x14ac:dyDescent="0.35">
      <c r="I4676" s="63"/>
      <c r="J4676" s="63"/>
    </row>
    <row r="4677" spans="9:10" x14ac:dyDescent="0.35">
      <c r="I4677" s="63"/>
      <c r="J4677" s="63"/>
    </row>
    <row r="4678" spans="9:10" x14ac:dyDescent="0.35">
      <c r="I4678" s="63"/>
      <c r="J4678" s="63"/>
    </row>
    <row r="4679" spans="9:10" x14ac:dyDescent="0.35">
      <c r="I4679" s="63"/>
      <c r="J4679" s="63"/>
    </row>
    <row r="4680" spans="9:10" x14ac:dyDescent="0.35">
      <c r="I4680" s="63"/>
      <c r="J4680" s="63"/>
    </row>
    <row r="4681" spans="9:10" x14ac:dyDescent="0.35">
      <c r="I4681" s="63"/>
      <c r="J4681" s="63"/>
    </row>
    <row r="4682" spans="9:10" x14ac:dyDescent="0.35">
      <c r="I4682" s="63"/>
      <c r="J4682" s="63"/>
    </row>
    <row r="4683" spans="9:10" x14ac:dyDescent="0.35">
      <c r="I4683" s="63"/>
      <c r="J4683" s="63"/>
    </row>
    <row r="4684" spans="9:10" x14ac:dyDescent="0.35">
      <c r="I4684" s="63"/>
      <c r="J4684" s="63"/>
    </row>
    <row r="4685" spans="9:10" x14ac:dyDescent="0.35">
      <c r="I4685" s="63"/>
      <c r="J4685" s="63"/>
    </row>
    <row r="4686" spans="9:10" x14ac:dyDescent="0.35">
      <c r="I4686" s="63"/>
      <c r="J4686" s="63"/>
    </row>
    <row r="4687" spans="9:10" x14ac:dyDescent="0.35">
      <c r="I4687" s="63"/>
      <c r="J4687" s="63"/>
    </row>
    <row r="4688" spans="9:10" x14ac:dyDescent="0.35">
      <c r="I4688" s="63"/>
      <c r="J4688" s="63"/>
    </row>
    <row r="4689" spans="9:10" x14ac:dyDescent="0.35">
      <c r="I4689" s="63"/>
      <c r="J4689" s="63"/>
    </row>
    <row r="4690" spans="9:10" x14ac:dyDescent="0.35">
      <c r="I4690" s="63"/>
      <c r="J4690" s="63"/>
    </row>
    <row r="4691" spans="9:10" x14ac:dyDescent="0.35">
      <c r="I4691" s="63"/>
      <c r="J4691" s="63"/>
    </row>
    <row r="4692" spans="9:10" x14ac:dyDescent="0.35">
      <c r="I4692" s="63"/>
      <c r="J4692" s="63"/>
    </row>
    <row r="4693" spans="9:10" x14ac:dyDescent="0.35">
      <c r="I4693" s="63"/>
      <c r="J4693" s="63"/>
    </row>
    <row r="4694" spans="9:10" x14ac:dyDescent="0.35">
      <c r="I4694" s="63"/>
      <c r="J4694" s="63"/>
    </row>
    <row r="4695" spans="9:10" x14ac:dyDescent="0.35">
      <c r="I4695" s="63"/>
      <c r="J4695" s="63"/>
    </row>
    <row r="4696" spans="9:10" x14ac:dyDescent="0.35">
      <c r="I4696" s="63"/>
      <c r="J4696" s="63"/>
    </row>
    <row r="4697" spans="9:10" x14ac:dyDescent="0.35">
      <c r="I4697" s="63"/>
      <c r="J4697" s="63"/>
    </row>
    <row r="4698" spans="9:10" x14ac:dyDescent="0.35">
      <c r="I4698" s="63"/>
      <c r="J4698" s="63"/>
    </row>
    <row r="4699" spans="9:10" x14ac:dyDescent="0.35">
      <c r="I4699" s="63"/>
      <c r="J4699" s="63"/>
    </row>
    <row r="4700" spans="9:10" x14ac:dyDescent="0.35">
      <c r="I4700" s="63"/>
      <c r="J4700" s="63"/>
    </row>
    <row r="4701" spans="9:10" x14ac:dyDescent="0.35">
      <c r="I4701" s="63"/>
      <c r="J4701" s="63"/>
    </row>
    <row r="4702" spans="9:10" x14ac:dyDescent="0.35">
      <c r="I4702" s="63"/>
      <c r="J4702" s="63"/>
    </row>
    <row r="4703" spans="9:10" x14ac:dyDescent="0.35">
      <c r="I4703" s="63"/>
      <c r="J4703" s="63"/>
    </row>
    <row r="4704" spans="9:10" x14ac:dyDescent="0.35">
      <c r="I4704" s="63"/>
      <c r="J4704" s="63"/>
    </row>
    <row r="4705" spans="9:10" x14ac:dyDescent="0.35">
      <c r="I4705" s="63"/>
      <c r="J4705" s="63"/>
    </row>
    <row r="4706" spans="9:10" x14ac:dyDescent="0.35">
      <c r="I4706" s="63"/>
      <c r="J4706" s="63"/>
    </row>
    <row r="4707" spans="9:10" x14ac:dyDescent="0.35">
      <c r="I4707" s="63"/>
      <c r="J4707" s="63"/>
    </row>
    <row r="4708" spans="9:10" x14ac:dyDescent="0.35">
      <c r="I4708" s="63"/>
      <c r="J4708" s="63"/>
    </row>
    <row r="4709" spans="9:10" x14ac:dyDescent="0.35">
      <c r="I4709" s="63"/>
      <c r="J4709" s="63"/>
    </row>
    <row r="4710" spans="9:10" x14ac:dyDescent="0.35">
      <c r="I4710" s="63"/>
      <c r="J4710" s="63"/>
    </row>
    <row r="4711" spans="9:10" x14ac:dyDescent="0.35">
      <c r="I4711" s="63"/>
      <c r="J4711" s="63"/>
    </row>
    <row r="4712" spans="9:10" x14ac:dyDescent="0.35">
      <c r="I4712" s="63"/>
      <c r="J4712" s="63"/>
    </row>
    <row r="4713" spans="9:10" x14ac:dyDescent="0.35">
      <c r="I4713" s="63"/>
      <c r="J4713" s="63"/>
    </row>
    <row r="4714" spans="9:10" x14ac:dyDescent="0.35">
      <c r="I4714" s="63"/>
      <c r="J4714" s="63"/>
    </row>
    <row r="4715" spans="9:10" x14ac:dyDescent="0.35">
      <c r="I4715" s="63"/>
      <c r="J4715" s="63"/>
    </row>
    <row r="4716" spans="9:10" x14ac:dyDescent="0.35">
      <c r="I4716" s="63"/>
      <c r="J4716" s="63"/>
    </row>
    <row r="4717" spans="9:10" x14ac:dyDescent="0.35">
      <c r="I4717" s="63"/>
      <c r="J4717" s="63"/>
    </row>
    <row r="4718" spans="9:10" x14ac:dyDescent="0.35">
      <c r="I4718" s="63"/>
      <c r="J4718" s="63"/>
    </row>
    <row r="4719" spans="9:10" x14ac:dyDescent="0.35">
      <c r="I4719" s="63"/>
      <c r="J4719" s="63"/>
    </row>
    <row r="4720" spans="9:10" x14ac:dyDescent="0.35">
      <c r="I4720" s="63"/>
      <c r="J4720" s="63"/>
    </row>
    <row r="4721" spans="9:10" x14ac:dyDescent="0.35">
      <c r="I4721" s="63"/>
      <c r="J4721" s="63"/>
    </row>
    <row r="4722" spans="9:10" x14ac:dyDescent="0.35">
      <c r="I4722" s="63"/>
      <c r="J4722" s="63"/>
    </row>
    <row r="4723" spans="9:10" x14ac:dyDescent="0.35">
      <c r="I4723" s="63"/>
      <c r="J4723" s="63"/>
    </row>
    <row r="4724" spans="9:10" x14ac:dyDescent="0.35">
      <c r="I4724" s="63"/>
      <c r="J4724" s="63"/>
    </row>
    <row r="4725" spans="9:10" x14ac:dyDescent="0.35">
      <c r="I4725" s="63"/>
      <c r="J4725" s="63"/>
    </row>
    <row r="4726" spans="9:10" x14ac:dyDescent="0.35">
      <c r="I4726" s="63"/>
      <c r="J4726" s="63"/>
    </row>
    <row r="4727" spans="9:10" x14ac:dyDescent="0.35">
      <c r="I4727" s="63"/>
      <c r="J4727" s="63"/>
    </row>
    <row r="4728" spans="9:10" x14ac:dyDescent="0.35">
      <c r="I4728" s="63"/>
      <c r="J4728" s="63"/>
    </row>
    <row r="4729" spans="9:10" x14ac:dyDescent="0.35">
      <c r="I4729" s="63"/>
      <c r="J4729" s="63"/>
    </row>
    <row r="4730" spans="9:10" x14ac:dyDescent="0.35">
      <c r="I4730" s="63"/>
      <c r="J4730" s="63"/>
    </row>
    <row r="4731" spans="9:10" x14ac:dyDescent="0.35">
      <c r="I4731" s="63"/>
      <c r="J4731" s="63"/>
    </row>
    <row r="4732" spans="9:10" x14ac:dyDescent="0.35">
      <c r="I4732" s="63"/>
      <c r="J4732" s="63"/>
    </row>
    <row r="4733" spans="9:10" x14ac:dyDescent="0.35">
      <c r="I4733" s="63"/>
      <c r="J4733" s="63"/>
    </row>
    <row r="4734" spans="9:10" x14ac:dyDescent="0.35">
      <c r="I4734" s="63"/>
      <c r="J4734" s="63"/>
    </row>
    <row r="4735" spans="9:10" x14ac:dyDescent="0.35">
      <c r="I4735" s="63"/>
      <c r="J4735" s="63"/>
    </row>
    <row r="4736" spans="9:10" x14ac:dyDescent="0.35">
      <c r="I4736" s="63"/>
      <c r="J4736" s="63"/>
    </row>
    <row r="4737" spans="9:10" x14ac:dyDescent="0.35">
      <c r="I4737" s="63"/>
      <c r="J4737" s="63"/>
    </row>
    <row r="4738" spans="9:10" x14ac:dyDescent="0.35">
      <c r="I4738" s="63"/>
      <c r="J4738" s="63"/>
    </row>
    <row r="4739" spans="9:10" x14ac:dyDescent="0.35">
      <c r="I4739" s="63"/>
      <c r="J4739" s="63"/>
    </row>
    <row r="4740" spans="9:10" x14ac:dyDescent="0.35">
      <c r="I4740" s="63"/>
      <c r="J4740" s="63"/>
    </row>
    <row r="4741" spans="9:10" x14ac:dyDescent="0.35">
      <c r="I4741" s="63"/>
      <c r="J4741" s="63"/>
    </row>
    <row r="4742" spans="9:10" x14ac:dyDescent="0.35">
      <c r="I4742" s="63"/>
      <c r="J4742" s="63"/>
    </row>
    <row r="4743" spans="9:10" x14ac:dyDescent="0.35">
      <c r="I4743" s="63"/>
      <c r="J4743" s="63"/>
    </row>
    <row r="4744" spans="9:10" x14ac:dyDescent="0.35">
      <c r="I4744" s="63"/>
      <c r="J4744" s="63"/>
    </row>
    <row r="4745" spans="9:10" x14ac:dyDescent="0.35">
      <c r="I4745" s="63"/>
      <c r="J4745" s="63"/>
    </row>
    <row r="4746" spans="9:10" x14ac:dyDescent="0.35">
      <c r="I4746" s="63"/>
      <c r="J4746" s="63"/>
    </row>
    <row r="4747" spans="9:10" x14ac:dyDescent="0.35">
      <c r="I4747" s="63"/>
      <c r="J4747" s="63"/>
    </row>
    <row r="4748" spans="9:10" x14ac:dyDescent="0.35">
      <c r="I4748" s="63"/>
      <c r="J4748" s="63"/>
    </row>
    <row r="4749" spans="9:10" x14ac:dyDescent="0.35">
      <c r="I4749" s="63"/>
      <c r="J4749" s="63"/>
    </row>
    <row r="4750" spans="9:10" x14ac:dyDescent="0.35">
      <c r="I4750" s="63"/>
      <c r="J4750" s="63"/>
    </row>
    <row r="4751" spans="9:10" x14ac:dyDescent="0.35">
      <c r="I4751" s="63"/>
      <c r="J4751" s="63"/>
    </row>
    <row r="4752" spans="9:10" x14ac:dyDescent="0.35">
      <c r="I4752" s="63"/>
      <c r="J4752" s="63"/>
    </row>
    <row r="4753" spans="9:10" x14ac:dyDescent="0.35">
      <c r="I4753" s="63"/>
      <c r="J4753" s="63"/>
    </row>
    <row r="4754" spans="9:10" x14ac:dyDescent="0.35">
      <c r="I4754" s="63"/>
      <c r="J4754" s="63"/>
    </row>
    <row r="4755" spans="9:10" x14ac:dyDescent="0.35">
      <c r="I4755" s="63"/>
      <c r="J4755" s="63"/>
    </row>
    <row r="4756" spans="9:10" x14ac:dyDescent="0.35">
      <c r="I4756" s="63"/>
      <c r="J4756" s="63"/>
    </row>
    <row r="4757" spans="9:10" x14ac:dyDescent="0.35">
      <c r="I4757" s="63"/>
      <c r="J4757" s="63"/>
    </row>
    <row r="4758" spans="9:10" x14ac:dyDescent="0.35">
      <c r="I4758" s="63"/>
      <c r="J4758" s="63"/>
    </row>
    <row r="4759" spans="9:10" x14ac:dyDescent="0.35">
      <c r="I4759" s="63"/>
      <c r="J4759" s="63"/>
    </row>
    <row r="4760" spans="9:10" x14ac:dyDescent="0.35">
      <c r="I4760" s="63"/>
      <c r="J4760" s="63"/>
    </row>
    <row r="4761" spans="9:10" x14ac:dyDescent="0.35">
      <c r="I4761" s="63"/>
      <c r="J4761" s="63"/>
    </row>
    <row r="4762" spans="9:10" x14ac:dyDescent="0.35">
      <c r="I4762" s="63"/>
      <c r="J4762" s="63"/>
    </row>
    <row r="4763" spans="9:10" x14ac:dyDescent="0.35">
      <c r="I4763" s="63"/>
      <c r="J4763" s="63"/>
    </row>
    <row r="4764" spans="9:10" x14ac:dyDescent="0.35">
      <c r="I4764" s="63"/>
      <c r="J4764" s="63"/>
    </row>
    <row r="4765" spans="9:10" x14ac:dyDescent="0.35">
      <c r="I4765" s="63"/>
      <c r="J4765" s="63"/>
    </row>
    <row r="4766" spans="9:10" x14ac:dyDescent="0.35">
      <c r="I4766" s="63"/>
      <c r="J4766" s="63"/>
    </row>
    <row r="4767" spans="9:10" x14ac:dyDescent="0.35">
      <c r="I4767" s="63"/>
      <c r="J4767" s="63"/>
    </row>
    <row r="4768" spans="9:10" x14ac:dyDescent="0.35">
      <c r="I4768" s="63"/>
      <c r="J4768" s="63"/>
    </row>
    <row r="4769" spans="9:10" x14ac:dyDescent="0.35">
      <c r="I4769" s="63"/>
      <c r="J4769" s="63"/>
    </row>
    <row r="4770" spans="9:10" x14ac:dyDescent="0.35">
      <c r="I4770" s="63"/>
      <c r="J4770" s="63"/>
    </row>
    <row r="4771" spans="9:10" x14ac:dyDescent="0.35">
      <c r="I4771" s="63"/>
      <c r="J4771" s="63"/>
    </row>
    <row r="4772" spans="9:10" x14ac:dyDescent="0.35">
      <c r="I4772" s="63"/>
      <c r="J4772" s="63"/>
    </row>
    <row r="4773" spans="9:10" x14ac:dyDescent="0.35">
      <c r="I4773" s="63"/>
      <c r="J4773" s="63"/>
    </row>
    <row r="4774" spans="9:10" x14ac:dyDescent="0.35">
      <c r="I4774" s="63"/>
      <c r="J4774" s="63"/>
    </row>
    <row r="4775" spans="9:10" x14ac:dyDescent="0.35">
      <c r="I4775" s="63"/>
      <c r="J4775" s="63"/>
    </row>
    <row r="4776" spans="9:10" x14ac:dyDescent="0.35">
      <c r="I4776" s="63"/>
      <c r="J4776" s="63"/>
    </row>
    <row r="4777" spans="9:10" x14ac:dyDescent="0.35">
      <c r="I4777" s="63"/>
      <c r="J4777" s="63"/>
    </row>
    <row r="4778" spans="9:10" x14ac:dyDescent="0.35">
      <c r="I4778" s="63"/>
      <c r="J4778" s="63"/>
    </row>
    <row r="4779" spans="9:10" x14ac:dyDescent="0.35">
      <c r="I4779" s="63"/>
      <c r="J4779" s="63"/>
    </row>
    <row r="4780" spans="9:10" x14ac:dyDescent="0.35">
      <c r="I4780" s="63"/>
      <c r="J4780" s="63"/>
    </row>
    <row r="4781" spans="9:10" x14ac:dyDescent="0.35">
      <c r="I4781" s="63"/>
      <c r="J4781" s="63"/>
    </row>
    <row r="4782" spans="9:10" x14ac:dyDescent="0.35">
      <c r="I4782" s="63"/>
      <c r="J4782" s="63"/>
    </row>
    <row r="4783" spans="9:10" x14ac:dyDescent="0.35">
      <c r="I4783" s="63"/>
      <c r="J4783" s="63"/>
    </row>
    <row r="4784" spans="9:10" x14ac:dyDescent="0.35">
      <c r="I4784" s="63"/>
      <c r="J4784" s="63"/>
    </row>
    <row r="4785" spans="9:10" x14ac:dyDescent="0.35">
      <c r="I4785" s="63"/>
      <c r="J4785" s="63"/>
    </row>
    <row r="4786" spans="9:10" x14ac:dyDescent="0.35">
      <c r="I4786" s="63"/>
      <c r="J4786" s="63"/>
    </row>
    <row r="4787" spans="9:10" x14ac:dyDescent="0.35">
      <c r="I4787" s="63"/>
      <c r="J4787" s="63"/>
    </row>
    <row r="4788" spans="9:10" x14ac:dyDescent="0.35">
      <c r="I4788" s="63"/>
      <c r="J4788" s="63"/>
    </row>
    <row r="4789" spans="9:10" x14ac:dyDescent="0.35">
      <c r="I4789" s="63"/>
      <c r="J4789" s="63"/>
    </row>
    <row r="4790" spans="9:10" x14ac:dyDescent="0.35">
      <c r="I4790" s="63"/>
      <c r="J4790" s="63"/>
    </row>
    <row r="4791" spans="9:10" x14ac:dyDescent="0.35">
      <c r="I4791" s="63"/>
      <c r="J4791" s="63"/>
    </row>
    <row r="4792" spans="9:10" x14ac:dyDescent="0.35">
      <c r="I4792" s="63"/>
      <c r="J4792" s="63"/>
    </row>
    <row r="4793" spans="9:10" x14ac:dyDescent="0.35">
      <c r="I4793" s="63"/>
      <c r="J4793" s="63"/>
    </row>
    <row r="4794" spans="9:10" x14ac:dyDescent="0.35">
      <c r="I4794" s="63"/>
      <c r="J4794" s="63"/>
    </row>
    <row r="4795" spans="9:10" x14ac:dyDescent="0.35">
      <c r="I4795" s="63"/>
      <c r="J4795" s="63"/>
    </row>
    <row r="4796" spans="9:10" x14ac:dyDescent="0.35">
      <c r="I4796" s="63"/>
      <c r="J4796" s="63"/>
    </row>
    <row r="4797" spans="9:10" x14ac:dyDescent="0.35">
      <c r="I4797" s="63"/>
      <c r="J4797" s="63"/>
    </row>
    <row r="4798" spans="9:10" x14ac:dyDescent="0.35">
      <c r="I4798" s="63"/>
      <c r="J4798" s="63"/>
    </row>
    <row r="4799" spans="9:10" x14ac:dyDescent="0.35">
      <c r="I4799" s="63"/>
      <c r="J4799" s="63"/>
    </row>
    <row r="4800" spans="9:10" x14ac:dyDescent="0.35">
      <c r="I4800" s="63"/>
      <c r="J4800" s="63"/>
    </row>
    <row r="4801" spans="9:10" x14ac:dyDescent="0.35">
      <c r="I4801" s="63"/>
      <c r="J4801" s="63"/>
    </row>
    <row r="4802" spans="9:10" x14ac:dyDescent="0.35">
      <c r="I4802" s="63"/>
      <c r="J4802" s="63"/>
    </row>
    <row r="4803" spans="9:10" x14ac:dyDescent="0.35">
      <c r="I4803" s="63"/>
      <c r="J4803" s="63"/>
    </row>
    <row r="4804" spans="9:10" x14ac:dyDescent="0.35">
      <c r="I4804" s="63"/>
      <c r="J4804" s="63"/>
    </row>
    <row r="4805" spans="9:10" x14ac:dyDescent="0.35">
      <c r="I4805" s="63"/>
      <c r="J4805" s="63"/>
    </row>
    <row r="4806" spans="9:10" x14ac:dyDescent="0.35">
      <c r="I4806" s="63"/>
      <c r="J4806" s="63"/>
    </row>
    <row r="4807" spans="9:10" x14ac:dyDescent="0.35">
      <c r="I4807" s="63"/>
      <c r="J4807" s="63"/>
    </row>
    <row r="4808" spans="9:10" x14ac:dyDescent="0.35">
      <c r="I4808" s="63"/>
      <c r="J4808" s="63"/>
    </row>
    <row r="4809" spans="9:10" x14ac:dyDescent="0.35">
      <c r="I4809" s="63"/>
      <c r="J4809" s="63"/>
    </row>
    <row r="4810" spans="9:10" x14ac:dyDescent="0.35">
      <c r="I4810" s="63"/>
      <c r="J4810" s="63"/>
    </row>
    <row r="4811" spans="9:10" x14ac:dyDescent="0.35">
      <c r="I4811" s="63"/>
      <c r="J4811" s="63"/>
    </row>
    <row r="4812" spans="9:10" x14ac:dyDescent="0.35">
      <c r="I4812" s="63"/>
      <c r="J4812" s="63"/>
    </row>
    <row r="4813" spans="9:10" x14ac:dyDescent="0.35">
      <c r="I4813" s="63"/>
      <c r="J4813" s="63"/>
    </row>
    <row r="4814" spans="9:10" x14ac:dyDescent="0.35">
      <c r="I4814" s="63"/>
      <c r="J4814" s="63"/>
    </row>
    <row r="4815" spans="9:10" x14ac:dyDescent="0.35">
      <c r="I4815" s="63"/>
      <c r="J4815" s="63"/>
    </row>
    <row r="4816" spans="9:10" x14ac:dyDescent="0.35">
      <c r="I4816" s="63"/>
      <c r="J4816" s="63"/>
    </row>
    <row r="4817" spans="9:10" x14ac:dyDescent="0.35">
      <c r="I4817" s="63"/>
      <c r="J4817" s="63"/>
    </row>
    <row r="4818" spans="9:10" x14ac:dyDescent="0.35">
      <c r="I4818" s="63"/>
      <c r="J4818" s="63"/>
    </row>
    <row r="4819" spans="9:10" x14ac:dyDescent="0.35">
      <c r="I4819" s="63"/>
      <c r="J4819" s="63"/>
    </row>
    <row r="4820" spans="9:10" x14ac:dyDescent="0.35">
      <c r="I4820" s="63"/>
      <c r="J4820" s="63"/>
    </row>
    <row r="4821" spans="9:10" x14ac:dyDescent="0.35">
      <c r="I4821" s="63"/>
      <c r="J4821" s="63"/>
    </row>
    <row r="4822" spans="9:10" x14ac:dyDescent="0.35">
      <c r="I4822" s="63"/>
      <c r="J4822" s="63"/>
    </row>
    <row r="4823" spans="9:10" x14ac:dyDescent="0.35">
      <c r="I4823" s="63"/>
      <c r="J4823" s="63"/>
    </row>
    <row r="4824" spans="9:10" x14ac:dyDescent="0.35">
      <c r="I4824" s="63"/>
      <c r="J4824" s="63"/>
    </row>
    <row r="4825" spans="9:10" x14ac:dyDescent="0.35">
      <c r="I4825" s="63"/>
      <c r="J4825" s="63"/>
    </row>
    <row r="4826" spans="9:10" x14ac:dyDescent="0.35">
      <c r="I4826" s="63"/>
      <c r="J4826" s="63"/>
    </row>
    <row r="4827" spans="9:10" x14ac:dyDescent="0.35">
      <c r="I4827" s="63"/>
      <c r="J4827" s="63"/>
    </row>
    <row r="4828" spans="9:10" x14ac:dyDescent="0.35">
      <c r="I4828" s="63"/>
      <c r="J4828" s="63"/>
    </row>
    <row r="4829" spans="9:10" x14ac:dyDescent="0.35">
      <c r="I4829" s="63"/>
      <c r="J4829" s="63"/>
    </row>
    <row r="4830" spans="9:10" x14ac:dyDescent="0.35">
      <c r="I4830" s="63"/>
      <c r="J4830" s="63"/>
    </row>
    <row r="4831" spans="9:10" x14ac:dyDescent="0.35">
      <c r="I4831" s="63"/>
      <c r="J4831" s="63"/>
    </row>
    <row r="4832" spans="9:10" x14ac:dyDescent="0.35">
      <c r="I4832" s="63"/>
      <c r="J4832" s="63"/>
    </row>
    <row r="4833" spans="9:10" x14ac:dyDescent="0.35">
      <c r="I4833" s="63"/>
      <c r="J4833" s="63"/>
    </row>
    <row r="4834" spans="9:10" x14ac:dyDescent="0.35">
      <c r="I4834" s="63"/>
      <c r="J4834" s="63"/>
    </row>
    <row r="4835" spans="9:10" x14ac:dyDescent="0.35">
      <c r="I4835" s="63"/>
      <c r="J4835" s="63"/>
    </row>
    <row r="4836" spans="9:10" x14ac:dyDescent="0.35">
      <c r="I4836" s="63"/>
      <c r="J4836" s="63"/>
    </row>
    <row r="4837" spans="9:10" x14ac:dyDescent="0.35">
      <c r="I4837" s="63"/>
      <c r="J4837" s="63"/>
    </row>
    <row r="4838" spans="9:10" x14ac:dyDescent="0.35">
      <c r="I4838" s="63"/>
      <c r="J4838" s="63"/>
    </row>
    <row r="4839" spans="9:10" x14ac:dyDescent="0.35">
      <c r="I4839" s="63"/>
      <c r="J4839" s="63"/>
    </row>
    <row r="4840" spans="9:10" x14ac:dyDescent="0.35">
      <c r="I4840" s="63"/>
      <c r="J4840" s="63"/>
    </row>
    <row r="4841" spans="9:10" x14ac:dyDescent="0.35">
      <c r="I4841" s="63"/>
      <c r="J4841" s="63"/>
    </row>
    <row r="4842" spans="9:10" x14ac:dyDescent="0.35">
      <c r="I4842" s="63"/>
      <c r="J4842" s="63"/>
    </row>
    <row r="4843" spans="9:10" x14ac:dyDescent="0.35">
      <c r="I4843" s="63"/>
      <c r="J4843" s="63"/>
    </row>
    <row r="4844" spans="9:10" x14ac:dyDescent="0.35">
      <c r="I4844" s="63"/>
      <c r="J4844" s="63"/>
    </row>
    <row r="4845" spans="9:10" x14ac:dyDescent="0.35">
      <c r="I4845" s="63"/>
      <c r="J4845" s="63"/>
    </row>
    <row r="4846" spans="9:10" x14ac:dyDescent="0.35">
      <c r="I4846" s="63"/>
      <c r="J4846" s="63"/>
    </row>
    <row r="4847" spans="9:10" x14ac:dyDescent="0.35">
      <c r="I4847" s="63"/>
      <c r="J4847" s="63"/>
    </row>
    <row r="4848" spans="9:10" x14ac:dyDescent="0.35">
      <c r="I4848" s="63"/>
      <c r="J4848" s="63"/>
    </row>
    <row r="4849" spans="9:10" x14ac:dyDescent="0.35">
      <c r="I4849" s="63"/>
      <c r="J4849" s="63"/>
    </row>
    <row r="4850" spans="9:10" x14ac:dyDescent="0.35">
      <c r="I4850" s="63"/>
      <c r="J4850" s="63"/>
    </row>
    <row r="4851" spans="9:10" x14ac:dyDescent="0.35">
      <c r="I4851" s="63"/>
      <c r="J4851" s="63"/>
    </row>
    <row r="4852" spans="9:10" x14ac:dyDescent="0.35">
      <c r="I4852" s="63"/>
      <c r="J4852" s="63"/>
    </row>
    <row r="4853" spans="9:10" x14ac:dyDescent="0.35">
      <c r="I4853" s="63"/>
      <c r="J4853" s="63"/>
    </row>
    <row r="4854" spans="9:10" x14ac:dyDescent="0.35">
      <c r="I4854" s="63"/>
      <c r="J4854" s="63"/>
    </row>
    <row r="4855" spans="9:10" x14ac:dyDescent="0.35">
      <c r="I4855" s="63"/>
      <c r="J4855" s="63"/>
    </row>
    <row r="4856" spans="9:10" x14ac:dyDescent="0.35">
      <c r="I4856" s="63"/>
      <c r="J4856" s="63"/>
    </row>
    <row r="4857" spans="9:10" x14ac:dyDescent="0.35">
      <c r="I4857" s="63"/>
      <c r="J4857" s="63"/>
    </row>
    <row r="4858" spans="9:10" x14ac:dyDescent="0.35">
      <c r="I4858" s="63"/>
      <c r="J4858" s="63"/>
    </row>
    <row r="4859" spans="9:10" x14ac:dyDescent="0.35">
      <c r="I4859" s="63"/>
      <c r="J4859" s="63"/>
    </row>
    <row r="4860" spans="9:10" x14ac:dyDescent="0.35">
      <c r="I4860" s="63"/>
      <c r="J4860" s="63"/>
    </row>
    <row r="4861" spans="9:10" x14ac:dyDescent="0.35">
      <c r="I4861" s="63"/>
      <c r="J4861" s="63"/>
    </row>
    <row r="4862" spans="9:10" x14ac:dyDescent="0.35">
      <c r="I4862" s="63"/>
      <c r="J4862" s="63"/>
    </row>
    <row r="4863" spans="9:10" x14ac:dyDescent="0.35">
      <c r="I4863" s="63"/>
      <c r="J4863" s="63"/>
    </row>
    <row r="4864" spans="9:10" x14ac:dyDescent="0.35">
      <c r="I4864" s="63"/>
      <c r="J4864" s="63"/>
    </row>
    <row r="4865" spans="9:10" x14ac:dyDescent="0.35">
      <c r="I4865" s="63"/>
      <c r="J4865" s="63"/>
    </row>
    <row r="4866" spans="9:10" x14ac:dyDescent="0.35">
      <c r="I4866" s="63"/>
      <c r="J4866" s="63"/>
    </row>
    <row r="4867" spans="9:10" x14ac:dyDescent="0.35">
      <c r="I4867" s="63"/>
      <c r="J4867" s="63"/>
    </row>
    <row r="4868" spans="9:10" x14ac:dyDescent="0.35">
      <c r="I4868" s="63"/>
      <c r="J4868" s="63"/>
    </row>
    <row r="4869" spans="9:10" x14ac:dyDescent="0.35">
      <c r="I4869" s="63"/>
      <c r="J4869" s="63"/>
    </row>
    <row r="4870" spans="9:10" x14ac:dyDescent="0.35">
      <c r="I4870" s="63"/>
      <c r="J4870" s="63"/>
    </row>
    <row r="4871" spans="9:10" x14ac:dyDescent="0.35">
      <c r="I4871" s="63"/>
      <c r="J4871" s="63"/>
    </row>
    <row r="4872" spans="9:10" x14ac:dyDescent="0.35">
      <c r="I4872" s="63"/>
      <c r="J4872" s="63"/>
    </row>
    <row r="4873" spans="9:10" x14ac:dyDescent="0.35">
      <c r="I4873" s="63"/>
      <c r="J4873" s="63"/>
    </row>
    <row r="4874" spans="9:10" x14ac:dyDescent="0.35">
      <c r="I4874" s="63"/>
      <c r="J4874" s="63"/>
    </row>
    <row r="4875" spans="9:10" x14ac:dyDescent="0.35">
      <c r="I4875" s="63"/>
      <c r="J4875" s="63"/>
    </row>
    <row r="4876" spans="9:10" x14ac:dyDescent="0.35">
      <c r="I4876" s="63"/>
      <c r="J4876" s="63"/>
    </row>
    <row r="4877" spans="9:10" x14ac:dyDescent="0.35">
      <c r="I4877" s="63"/>
      <c r="J4877" s="63"/>
    </row>
    <row r="4878" spans="9:10" x14ac:dyDescent="0.35">
      <c r="I4878" s="63"/>
      <c r="J4878" s="63"/>
    </row>
    <row r="4879" spans="9:10" x14ac:dyDescent="0.35">
      <c r="I4879" s="63"/>
      <c r="J4879" s="63"/>
    </row>
    <row r="4880" spans="9:10" x14ac:dyDescent="0.35">
      <c r="I4880" s="63"/>
      <c r="J4880" s="63"/>
    </row>
    <row r="4881" spans="9:10" x14ac:dyDescent="0.35">
      <c r="I4881" s="63"/>
      <c r="J4881" s="63"/>
    </row>
    <row r="4882" spans="9:10" x14ac:dyDescent="0.35">
      <c r="I4882" s="63"/>
      <c r="J4882" s="63"/>
    </row>
    <row r="4883" spans="9:10" x14ac:dyDescent="0.35">
      <c r="I4883" s="63"/>
      <c r="J4883" s="63"/>
    </row>
    <row r="4884" spans="9:10" x14ac:dyDescent="0.35">
      <c r="I4884" s="63"/>
      <c r="J4884" s="63"/>
    </row>
    <row r="4885" spans="9:10" x14ac:dyDescent="0.35">
      <c r="I4885" s="63"/>
      <c r="J4885" s="63"/>
    </row>
    <row r="4886" spans="9:10" x14ac:dyDescent="0.35">
      <c r="I4886" s="63"/>
      <c r="J4886" s="63"/>
    </row>
    <row r="4887" spans="9:10" x14ac:dyDescent="0.35">
      <c r="I4887" s="63"/>
      <c r="J4887" s="63"/>
    </row>
    <row r="4888" spans="9:10" x14ac:dyDescent="0.35">
      <c r="I4888" s="63"/>
      <c r="J4888" s="63"/>
    </row>
    <row r="4889" spans="9:10" x14ac:dyDescent="0.35">
      <c r="I4889" s="63"/>
      <c r="J4889" s="63"/>
    </row>
    <row r="4890" spans="9:10" x14ac:dyDescent="0.35">
      <c r="I4890" s="63"/>
      <c r="J4890" s="63"/>
    </row>
    <row r="4891" spans="9:10" x14ac:dyDescent="0.35">
      <c r="I4891" s="63"/>
      <c r="J4891" s="63"/>
    </row>
    <row r="4892" spans="9:10" x14ac:dyDescent="0.35">
      <c r="I4892" s="63"/>
      <c r="J4892" s="63"/>
    </row>
    <row r="4893" spans="9:10" x14ac:dyDescent="0.35">
      <c r="I4893" s="63"/>
      <c r="J4893" s="63"/>
    </row>
    <row r="4894" spans="9:10" x14ac:dyDescent="0.35">
      <c r="I4894" s="63"/>
      <c r="J4894" s="63"/>
    </row>
    <row r="4895" spans="9:10" x14ac:dyDescent="0.35">
      <c r="I4895" s="63"/>
      <c r="J4895" s="63"/>
    </row>
    <row r="4896" spans="9:10" x14ac:dyDescent="0.35">
      <c r="I4896" s="63"/>
      <c r="J4896" s="63"/>
    </row>
    <row r="4897" spans="9:10" x14ac:dyDescent="0.35">
      <c r="I4897" s="63"/>
      <c r="J4897" s="63"/>
    </row>
    <row r="4898" spans="9:10" x14ac:dyDescent="0.35">
      <c r="I4898" s="63"/>
      <c r="J4898" s="63"/>
    </row>
    <row r="4899" spans="9:10" x14ac:dyDescent="0.35">
      <c r="I4899" s="63"/>
      <c r="J4899" s="63"/>
    </row>
    <row r="4900" spans="9:10" x14ac:dyDescent="0.35">
      <c r="I4900" s="63"/>
      <c r="J4900" s="63"/>
    </row>
    <row r="4901" spans="9:10" x14ac:dyDescent="0.35">
      <c r="I4901" s="63"/>
      <c r="J4901" s="63"/>
    </row>
    <row r="4902" spans="9:10" x14ac:dyDescent="0.35">
      <c r="I4902" s="63"/>
      <c r="J4902" s="63"/>
    </row>
    <row r="4903" spans="9:10" x14ac:dyDescent="0.35">
      <c r="I4903" s="63"/>
      <c r="J4903" s="63"/>
    </row>
    <row r="4904" spans="9:10" x14ac:dyDescent="0.35">
      <c r="I4904" s="63"/>
      <c r="J4904" s="63"/>
    </row>
    <row r="4905" spans="9:10" x14ac:dyDescent="0.35">
      <c r="I4905" s="63"/>
      <c r="J4905" s="63"/>
    </row>
    <row r="4906" spans="9:10" x14ac:dyDescent="0.35">
      <c r="I4906" s="63"/>
      <c r="J4906" s="63"/>
    </row>
    <row r="4907" spans="9:10" x14ac:dyDescent="0.35">
      <c r="I4907" s="63"/>
      <c r="J4907" s="63"/>
    </row>
    <row r="4908" spans="9:10" x14ac:dyDescent="0.35">
      <c r="I4908" s="63"/>
      <c r="J4908" s="63"/>
    </row>
    <row r="4909" spans="9:10" x14ac:dyDescent="0.35">
      <c r="I4909" s="63"/>
      <c r="J4909" s="63"/>
    </row>
    <row r="4910" spans="9:10" x14ac:dyDescent="0.35">
      <c r="I4910" s="63"/>
      <c r="J4910" s="63"/>
    </row>
    <row r="4911" spans="9:10" x14ac:dyDescent="0.35">
      <c r="I4911" s="63"/>
      <c r="J4911" s="63"/>
    </row>
    <row r="4912" spans="9:10" x14ac:dyDescent="0.35">
      <c r="I4912" s="63"/>
      <c r="J4912" s="63"/>
    </row>
    <row r="4913" spans="9:10" x14ac:dyDescent="0.35">
      <c r="I4913" s="63"/>
      <c r="J4913" s="63"/>
    </row>
    <row r="4914" spans="9:10" x14ac:dyDescent="0.35">
      <c r="I4914" s="63"/>
      <c r="J4914" s="63"/>
    </row>
    <row r="4915" spans="9:10" x14ac:dyDescent="0.35">
      <c r="I4915" s="63"/>
      <c r="J4915" s="63"/>
    </row>
    <row r="4916" spans="9:10" x14ac:dyDescent="0.35">
      <c r="I4916" s="63"/>
      <c r="J4916" s="63"/>
    </row>
    <row r="4917" spans="9:10" x14ac:dyDescent="0.35">
      <c r="I4917" s="63"/>
      <c r="J4917" s="63"/>
    </row>
    <row r="4918" spans="9:10" x14ac:dyDescent="0.35">
      <c r="I4918" s="63"/>
      <c r="J4918" s="63"/>
    </row>
    <row r="4919" spans="9:10" x14ac:dyDescent="0.35">
      <c r="I4919" s="63"/>
      <c r="J4919" s="63"/>
    </row>
    <row r="4920" spans="9:10" x14ac:dyDescent="0.35">
      <c r="I4920" s="63"/>
      <c r="J4920" s="63"/>
    </row>
    <row r="4921" spans="9:10" x14ac:dyDescent="0.35">
      <c r="I4921" s="63"/>
      <c r="J4921" s="63"/>
    </row>
    <row r="4922" spans="9:10" x14ac:dyDescent="0.35">
      <c r="I4922" s="63"/>
      <c r="J4922" s="63"/>
    </row>
    <row r="4923" spans="9:10" x14ac:dyDescent="0.35">
      <c r="I4923" s="63"/>
      <c r="J4923" s="63"/>
    </row>
    <row r="4924" spans="9:10" x14ac:dyDescent="0.35">
      <c r="I4924" s="63"/>
      <c r="J4924" s="63"/>
    </row>
    <row r="4925" spans="9:10" x14ac:dyDescent="0.35">
      <c r="I4925" s="63"/>
      <c r="J4925" s="63"/>
    </row>
    <row r="4926" spans="9:10" x14ac:dyDescent="0.35">
      <c r="I4926" s="63"/>
      <c r="J4926" s="63"/>
    </row>
    <row r="4927" spans="9:10" x14ac:dyDescent="0.35">
      <c r="I4927" s="63"/>
      <c r="J4927" s="63"/>
    </row>
    <row r="4928" spans="9:10" x14ac:dyDescent="0.35">
      <c r="I4928" s="63"/>
      <c r="J4928" s="63"/>
    </row>
    <row r="4929" spans="9:10" x14ac:dyDescent="0.35">
      <c r="I4929" s="63"/>
      <c r="J4929" s="63"/>
    </row>
    <row r="4930" spans="9:10" x14ac:dyDescent="0.35">
      <c r="I4930" s="63"/>
      <c r="J4930" s="63"/>
    </row>
    <row r="4931" spans="9:10" x14ac:dyDescent="0.35">
      <c r="I4931" s="63"/>
      <c r="J4931" s="63"/>
    </row>
    <row r="4932" spans="9:10" x14ac:dyDescent="0.35">
      <c r="I4932" s="63"/>
      <c r="J4932" s="63"/>
    </row>
    <row r="4933" spans="9:10" x14ac:dyDescent="0.35">
      <c r="I4933" s="63"/>
      <c r="J4933" s="63"/>
    </row>
    <row r="4934" spans="9:10" x14ac:dyDescent="0.35">
      <c r="I4934" s="63"/>
      <c r="J4934" s="63"/>
    </row>
    <row r="4935" spans="9:10" x14ac:dyDescent="0.35">
      <c r="I4935" s="63"/>
      <c r="J4935" s="63"/>
    </row>
    <row r="4936" spans="9:10" x14ac:dyDescent="0.35">
      <c r="I4936" s="63"/>
      <c r="J4936" s="63"/>
    </row>
    <row r="4937" spans="9:10" x14ac:dyDescent="0.35">
      <c r="I4937" s="63"/>
      <c r="J4937" s="63"/>
    </row>
    <row r="4938" spans="9:10" x14ac:dyDescent="0.35">
      <c r="I4938" s="63"/>
      <c r="J4938" s="63"/>
    </row>
    <row r="4939" spans="9:10" x14ac:dyDescent="0.35">
      <c r="I4939" s="63"/>
      <c r="J4939" s="63"/>
    </row>
    <row r="4940" spans="9:10" x14ac:dyDescent="0.35">
      <c r="I4940" s="63"/>
      <c r="J4940" s="63"/>
    </row>
    <row r="4941" spans="9:10" x14ac:dyDescent="0.35">
      <c r="I4941" s="63"/>
      <c r="J4941" s="63"/>
    </row>
    <row r="4942" spans="9:10" x14ac:dyDescent="0.35">
      <c r="I4942" s="63"/>
      <c r="J4942" s="63"/>
    </row>
    <row r="4943" spans="9:10" x14ac:dyDescent="0.35">
      <c r="I4943" s="63"/>
      <c r="J4943" s="63"/>
    </row>
    <row r="4944" spans="9:10" x14ac:dyDescent="0.35">
      <c r="I4944" s="63"/>
      <c r="J4944" s="63"/>
    </row>
    <row r="4945" spans="9:10" x14ac:dyDescent="0.35">
      <c r="I4945" s="63"/>
      <c r="J4945" s="63"/>
    </row>
    <row r="4946" spans="9:10" x14ac:dyDescent="0.35">
      <c r="I4946" s="63"/>
      <c r="J4946" s="63"/>
    </row>
    <row r="4947" spans="9:10" x14ac:dyDescent="0.35">
      <c r="I4947" s="63"/>
      <c r="J4947" s="63"/>
    </row>
    <row r="4948" spans="9:10" x14ac:dyDescent="0.35">
      <c r="I4948" s="63"/>
      <c r="J4948" s="63"/>
    </row>
    <row r="4949" spans="9:10" x14ac:dyDescent="0.35">
      <c r="I4949" s="63"/>
      <c r="J4949" s="63"/>
    </row>
    <row r="4950" spans="9:10" x14ac:dyDescent="0.35">
      <c r="I4950" s="63"/>
      <c r="J4950" s="63"/>
    </row>
    <row r="4951" spans="9:10" x14ac:dyDescent="0.35">
      <c r="I4951" s="63"/>
      <c r="J4951" s="63"/>
    </row>
    <row r="4952" spans="9:10" x14ac:dyDescent="0.35">
      <c r="I4952" s="63"/>
      <c r="J4952" s="63"/>
    </row>
    <row r="4953" spans="9:10" x14ac:dyDescent="0.35">
      <c r="I4953" s="63"/>
      <c r="J4953" s="63"/>
    </row>
    <row r="4954" spans="9:10" x14ac:dyDescent="0.35">
      <c r="I4954" s="63"/>
      <c r="J4954" s="63"/>
    </row>
    <row r="4955" spans="9:10" x14ac:dyDescent="0.35">
      <c r="I4955" s="63"/>
      <c r="J4955" s="63"/>
    </row>
    <row r="4956" spans="9:10" x14ac:dyDescent="0.35">
      <c r="I4956" s="63"/>
      <c r="J4956" s="63"/>
    </row>
    <row r="4957" spans="9:10" x14ac:dyDescent="0.35">
      <c r="I4957" s="63"/>
      <c r="J4957" s="63"/>
    </row>
    <row r="4958" spans="9:10" x14ac:dyDescent="0.35">
      <c r="I4958" s="63"/>
      <c r="J4958" s="63"/>
    </row>
    <row r="4959" spans="9:10" x14ac:dyDescent="0.35">
      <c r="I4959" s="63"/>
      <c r="J4959" s="63"/>
    </row>
    <row r="4960" spans="9:10" x14ac:dyDescent="0.35">
      <c r="I4960" s="63"/>
      <c r="J4960" s="63"/>
    </row>
    <row r="4961" spans="9:10" x14ac:dyDescent="0.35">
      <c r="I4961" s="63"/>
      <c r="J4961" s="63"/>
    </row>
    <row r="4962" spans="9:10" x14ac:dyDescent="0.35">
      <c r="I4962" s="63"/>
      <c r="J4962" s="63"/>
    </row>
    <row r="4963" spans="9:10" x14ac:dyDescent="0.35">
      <c r="I4963" s="63"/>
      <c r="J4963" s="63"/>
    </row>
    <row r="4964" spans="9:10" x14ac:dyDescent="0.35">
      <c r="I4964" s="63"/>
      <c r="J4964" s="63"/>
    </row>
    <row r="4965" spans="9:10" x14ac:dyDescent="0.35">
      <c r="I4965" s="63"/>
      <c r="J4965" s="63"/>
    </row>
    <row r="4966" spans="9:10" x14ac:dyDescent="0.35">
      <c r="I4966" s="63"/>
      <c r="J4966" s="63"/>
    </row>
    <row r="4967" spans="9:10" x14ac:dyDescent="0.35">
      <c r="I4967" s="63"/>
      <c r="J4967" s="63"/>
    </row>
    <row r="4968" spans="9:10" x14ac:dyDescent="0.35">
      <c r="I4968" s="63"/>
      <c r="J4968" s="63"/>
    </row>
    <row r="4969" spans="9:10" x14ac:dyDescent="0.35">
      <c r="I4969" s="63"/>
      <c r="J4969" s="63"/>
    </row>
    <row r="4970" spans="9:10" x14ac:dyDescent="0.35">
      <c r="I4970" s="63"/>
      <c r="J4970" s="63"/>
    </row>
    <row r="4971" spans="9:10" x14ac:dyDescent="0.35">
      <c r="I4971" s="63"/>
      <c r="J4971" s="63"/>
    </row>
    <row r="4972" spans="9:10" x14ac:dyDescent="0.35">
      <c r="I4972" s="63"/>
      <c r="J4972" s="63"/>
    </row>
    <row r="4973" spans="9:10" x14ac:dyDescent="0.35">
      <c r="I4973" s="63"/>
      <c r="J4973" s="63"/>
    </row>
    <row r="4974" spans="9:10" x14ac:dyDescent="0.35">
      <c r="I4974" s="63"/>
      <c r="J4974" s="63"/>
    </row>
    <row r="4975" spans="9:10" x14ac:dyDescent="0.35">
      <c r="I4975" s="63"/>
      <c r="J4975" s="63"/>
    </row>
    <row r="4976" spans="9:10" x14ac:dyDescent="0.35">
      <c r="I4976" s="63"/>
      <c r="J4976" s="63"/>
    </row>
    <row r="4977" spans="9:10" x14ac:dyDescent="0.35">
      <c r="I4977" s="63"/>
      <c r="J4977" s="63"/>
    </row>
    <row r="4978" spans="9:10" x14ac:dyDescent="0.35">
      <c r="I4978" s="63"/>
      <c r="J4978" s="63"/>
    </row>
    <row r="4979" spans="9:10" x14ac:dyDescent="0.35">
      <c r="I4979" s="63"/>
      <c r="J4979" s="63"/>
    </row>
    <row r="4980" spans="9:10" x14ac:dyDescent="0.35">
      <c r="I4980" s="63"/>
      <c r="J4980" s="63"/>
    </row>
    <row r="4981" spans="9:10" x14ac:dyDescent="0.35">
      <c r="I4981" s="63"/>
      <c r="J4981" s="63"/>
    </row>
    <row r="4982" spans="9:10" x14ac:dyDescent="0.35">
      <c r="I4982" s="63"/>
      <c r="J4982" s="63"/>
    </row>
    <row r="4983" spans="9:10" x14ac:dyDescent="0.35">
      <c r="I4983" s="63"/>
      <c r="J4983" s="63"/>
    </row>
    <row r="4984" spans="9:10" x14ac:dyDescent="0.35">
      <c r="I4984" s="63"/>
      <c r="J4984" s="63"/>
    </row>
    <row r="4985" spans="9:10" x14ac:dyDescent="0.35">
      <c r="I4985" s="63"/>
      <c r="J4985" s="63"/>
    </row>
    <row r="4986" spans="9:10" x14ac:dyDescent="0.35">
      <c r="I4986" s="63"/>
      <c r="J4986" s="63"/>
    </row>
    <row r="4987" spans="9:10" x14ac:dyDescent="0.35">
      <c r="I4987" s="63"/>
      <c r="J4987" s="63"/>
    </row>
    <row r="4988" spans="9:10" x14ac:dyDescent="0.35">
      <c r="I4988" s="63"/>
      <c r="J4988" s="63"/>
    </row>
    <row r="4989" spans="9:10" x14ac:dyDescent="0.35">
      <c r="I4989" s="63"/>
      <c r="J4989" s="63"/>
    </row>
    <row r="4990" spans="9:10" x14ac:dyDescent="0.35">
      <c r="I4990" s="63"/>
      <c r="J4990" s="63"/>
    </row>
    <row r="4991" spans="9:10" x14ac:dyDescent="0.35">
      <c r="I4991" s="63"/>
      <c r="J4991" s="63"/>
    </row>
    <row r="4992" spans="9:10" x14ac:dyDescent="0.35">
      <c r="I4992" s="63"/>
      <c r="J4992" s="63"/>
    </row>
    <row r="4993" spans="9:10" x14ac:dyDescent="0.35">
      <c r="I4993" s="63"/>
      <c r="J4993" s="63"/>
    </row>
    <row r="4994" spans="9:10" x14ac:dyDescent="0.35">
      <c r="I4994" s="63"/>
      <c r="J4994" s="63"/>
    </row>
    <row r="4995" spans="9:10" x14ac:dyDescent="0.35">
      <c r="I4995" s="63"/>
      <c r="J4995" s="63"/>
    </row>
    <row r="4996" spans="9:10" x14ac:dyDescent="0.35">
      <c r="I4996" s="63"/>
      <c r="J4996" s="63"/>
    </row>
    <row r="4997" spans="9:10" x14ac:dyDescent="0.35">
      <c r="I4997" s="63"/>
      <c r="J4997" s="63"/>
    </row>
    <row r="4998" spans="9:10" x14ac:dyDescent="0.35">
      <c r="I4998" s="63"/>
      <c r="J4998" s="63"/>
    </row>
    <row r="4999" spans="9:10" x14ac:dyDescent="0.35">
      <c r="I4999" s="63"/>
      <c r="J4999" s="63"/>
    </row>
    <row r="5000" spans="9:10" x14ac:dyDescent="0.35">
      <c r="I5000" s="63"/>
      <c r="J5000" s="63"/>
    </row>
    <row r="5001" spans="9:10" x14ac:dyDescent="0.35">
      <c r="I5001" s="63"/>
      <c r="J5001" s="63"/>
    </row>
    <row r="5002" spans="9:10" x14ac:dyDescent="0.35">
      <c r="I5002" s="63"/>
      <c r="J5002" s="63"/>
    </row>
    <row r="5003" spans="9:10" x14ac:dyDescent="0.35">
      <c r="I5003" s="63"/>
      <c r="J5003" s="63"/>
    </row>
    <row r="5004" spans="9:10" x14ac:dyDescent="0.35">
      <c r="I5004" s="63"/>
      <c r="J5004" s="63"/>
    </row>
    <row r="5005" spans="9:10" x14ac:dyDescent="0.35">
      <c r="I5005" s="63"/>
      <c r="J5005" s="63"/>
    </row>
    <row r="5006" spans="9:10" x14ac:dyDescent="0.35">
      <c r="I5006" s="63"/>
      <c r="J5006" s="63"/>
    </row>
    <row r="5007" spans="9:10" x14ac:dyDescent="0.35">
      <c r="I5007" s="63"/>
      <c r="J5007" s="63"/>
    </row>
    <row r="5008" spans="9:10" x14ac:dyDescent="0.35">
      <c r="I5008" s="63"/>
      <c r="J5008" s="63"/>
    </row>
    <row r="5009" spans="9:10" x14ac:dyDescent="0.35">
      <c r="I5009" s="63"/>
      <c r="J5009" s="63"/>
    </row>
    <row r="5010" spans="9:10" x14ac:dyDescent="0.35">
      <c r="I5010" s="63"/>
      <c r="J5010" s="63"/>
    </row>
    <row r="5011" spans="9:10" x14ac:dyDescent="0.35">
      <c r="I5011" s="63"/>
      <c r="J5011" s="63"/>
    </row>
    <row r="5012" spans="9:10" x14ac:dyDescent="0.35">
      <c r="I5012" s="63"/>
      <c r="J5012" s="63"/>
    </row>
    <row r="5013" spans="9:10" x14ac:dyDescent="0.35">
      <c r="I5013" s="63"/>
      <c r="J5013" s="63"/>
    </row>
    <row r="5014" spans="9:10" x14ac:dyDescent="0.35">
      <c r="I5014" s="63"/>
      <c r="J5014" s="63"/>
    </row>
    <row r="5015" spans="9:10" x14ac:dyDescent="0.35">
      <c r="I5015" s="63"/>
      <c r="J5015" s="63"/>
    </row>
    <row r="5016" spans="9:10" x14ac:dyDescent="0.35">
      <c r="I5016" s="63"/>
      <c r="J5016" s="63"/>
    </row>
    <row r="5017" spans="9:10" x14ac:dyDescent="0.35">
      <c r="I5017" s="63"/>
      <c r="J5017" s="63"/>
    </row>
    <row r="5018" spans="9:10" x14ac:dyDescent="0.35">
      <c r="I5018" s="63"/>
      <c r="J5018" s="63"/>
    </row>
    <row r="5019" spans="9:10" x14ac:dyDescent="0.35">
      <c r="I5019" s="63"/>
      <c r="J5019" s="63"/>
    </row>
    <row r="5020" spans="9:10" x14ac:dyDescent="0.35">
      <c r="I5020" s="63"/>
      <c r="J5020" s="63"/>
    </row>
    <row r="5021" spans="9:10" x14ac:dyDescent="0.35">
      <c r="I5021" s="63"/>
      <c r="J5021" s="63"/>
    </row>
    <row r="5022" spans="9:10" x14ac:dyDescent="0.35">
      <c r="I5022" s="63"/>
      <c r="J5022" s="63"/>
    </row>
    <row r="5023" spans="9:10" x14ac:dyDescent="0.35">
      <c r="I5023" s="63"/>
      <c r="J5023" s="63"/>
    </row>
    <row r="5024" spans="9:10" x14ac:dyDescent="0.35">
      <c r="I5024" s="63"/>
      <c r="J5024" s="63"/>
    </row>
    <row r="5025" spans="9:10" x14ac:dyDescent="0.35">
      <c r="I5025" s="63"/>
      <c r="J5025" s="63"/>
    </row>
    <row r="5026" spans="9:10" x14ac:dyDescent="0.35">
      <c r="I5026" s="63"/>
      <c r="J5026" s="63"/>
    </row>
    <row r="5027" spans="9:10" x14ac:dyDescent="0.35">
      <c r="I5027" s="63"/>
      <c r="J5027" s="63"/>
    </row>
    <row r="5028" spans="9:10" x14ac:dyDescent="0.35">
      <c r="I5028" s="63"/>
      <c r="J5028" s="63"/>
    </row>
    <row r="5029" spans="9:10" x14ac:dyDescent="0.35">
      <c r="I5029" s="63"/>
      <c r="J5029" s="63"/>
    </row>
    <row r="5030" spans="9:10" x14ac:dyDescent="0.35">
      <c r="I5030" s="63"/>
      <c r="J5030" s="63"/>
    </row>
    <row r="5031" spans="9:10" x14ac:dyDescent="0.35">
      <c r="I5031" s="63"/>
      <c r="J5031" s="63"/>
    </row>
    <row r="5032" spans="9:10" x14ac:dyDescent="0.35">
      <c r="I5032" s="63"/>
      <c r="J5032" s="63"/>
    </row>
    <row r="5033" spans="9:10" x14ac:dyDescent="0.35">
      <c r="I5033" s="63"/>
      <c r="J5033" s="63"/>
    </row>
    <row r="5034" spans="9:10" x14ac:dyDescent="0.35">
      <c r="I5034" s="63"/>
      <c r="J5034" s="63"/>
    </row>
    <row r="5035" spans="9:10" x14ac:dyDescent="0.35">
      <c r="I5035" s="63"/>
      <c r="J5035" s="63"/>
    </row>
    <row r="5036" spans="9:10" x14ac:dyDescent="0.35">
      <c r="I5036" s="63"/>
      <c r="J5036" s="63"/>
    </row>
    <row r="5037" spans="9:10" x14ac:dyDescent="0.35">
      <c r="I5037" s="63"/>
      <c r="J5037" s="63"/>
    </row>
    <row r="5038" spans="9:10" x14ac:dyDescent="0.35">
      <c r="I5038" s="63"/>
      <c r="J5038" s="63"/>
    </row>
    <row r="5039" spans="9:10" x14ac:dyDescent="0.35">
      <c r="I5039" s="63"/>
      <c r="J5039" s="63"/>
    </row>
    <row r="5040" spans="9:10" x14ac:dyDescent="0.35">
      <c r="I5040" s="63"/>
      <c r="J5040" s="63"/>
    </row>
    <row r="5041" spans="9:10" x14ac:dyDescent="0.35">
      <c r="I5041" s="63"/>
      <c r="J5041" s="63"/>
    </row>
    <row r="5042" spans="9:10" x14ac:dyDescent="0.35">
      <c r="I5042" s="63"/>
      <c r="J5042" s="63"/>
    </row>
    <row r="5043" spans="9:10" x14ac:dyDescent="0.35">
      <c r="I5043" s="63"/>
      <c r="J5043" s="63"/>
    </row>
    <row r="5044" spans="9:10" x14ac:dyDescent="0.35">
      <c r="I5044" s="63"/>
      <c r="J5044" s="63"/>
    </row>
    <row r="5045" spans="9:10" x14ac:dyDescent="0.35">
      <c r="I5045" s="63"/>
      <c r="J5045" s="63"/>
    </row>
    <row r="5046" spans="9:10" x14ac:dyDescent="0.35">
      <c r="I5046" s="63"/>
      <c r="J5046" s="63"/>
    </row>
    <row r="5047" spans="9:10" x14ac:dyDescent="0.35">
      <c r="I5047" s="63"/>
      <c r="J5047" s="63"/>
    </row>
    <row r="5048" spans="9:10" x14ac:dyDescent="0.35">
      <c r="I5048" s="63"/>
      <c r="J5048" s="63"/>
    </row>
    <row r="5049" spans="9:10" x14ac:dyDescent="0.35">
      <c r="I5049" s="63"/>
      <c r="J5049" s="63"/>
    </row>
    <row r="5050" spans="9:10" x14ac:dyDescent="0.35">
      <c r="I5050" s="63"/>
      <c r="J5050" s="63"/>
    </row>
    <row r="5051" spans="9:10" x14ac:dyDescent="0.35">
      <c r="I5051" s="63"/>
      <c r="J5051" s="63"/>
    </row>
    <row r="5052" spans="9:10" x14ac:dyDescent="0.35">
      <c r="I5052" s="63"/>
      <c r="J5052" s="63"/>
    </row>
    <row r="5053" spans="9:10" x14ac:dyDescent="0.35">
      <c r="I5053" s="63"/>
      <c r="J5053" s="63"/>
    </row>
    <row r="5054" spans="9:10" x14ac:dyDescent="0.35">
      <c r="I5054" s="63"/>
      <c r="J5054" s="63"/>
    </row>
    <row r="5055" spans="9:10" x14ac:dyDescent="0.35">
      <c r="I5055" s="63"/>
      <c r="J5055" s="63"/>
    </row>
    <row r="5056" spans="9:10" x14ac:dyDescent="0.35">
      <c r="I5056" s="63"/>
      <c r="J5056" s="63"/>
    </row>
    <row r="5057" spans="9:10" x14ac:dyDescent="0.35">
      <c r="I5057" s="63"/>
      <c r="J5057" s="63"/>
    </row>
    <row r="5058" spans="9:10" x14ac:dyDescent="0.35">
      <c r="I5058" s="63"/>
      <c r="J5058" s="63"/>
    </row>
    <row r="5059" spans="9:10" x14ac:dyDescent="0.35">
      <c r="I5059" s="63"/>
      <c r="J5059" s="63"/>
    </row>
    <row r="5060" spans="9:10" x14ac:dyDescent="0.35">
      <c r="I5060" s="63"/>
      <c r="J5060" s="63"/>
    </row>
    <row r="5061" spans="9:10" x14ac:dyDescent="0.35">
      <c r="I5061" s="63"/>
      <c r="J5061" s="63"/>
    </row>
    <row r="5062" spans="9:10" x14ac:dyDescent="0.35">
      <c r="I5062" s="63"/>
      <c r="J5062" s="63"/>
    </row>
    <row r="5063" spans="9:10" x14ac:dyDescent="0.35">
      <c r="I5063" s="63"/>
      <c r="J5063" s="63"/>
    </row>
    <row r="5064" spans="9:10" x14ac:dyDescent="0.35">
      <c r="I5064" s="63"/>
      <c r="J5064" s="63"/>
    </row>
    <row r="5065" spans="9:10" x14ac:dyDescent="0.35">
      <c r="I5065" s="63"/>
      <c r="J5065" s="63"/>
    </row>
    <row r="5066" spans="9:10" x14ac:dyDescent="0.35">
      <c r="I5066" s="63"/>
      <c r="J5066" s="63"/>
    </row>
    <row r="5067" spans="9:10" x14ac:dyDescent="0.35">
      <c r="I5067" s="63"/>
      <c r="J5067" s="63"/>
    </row>
    <row r="5068" spans="9:10" x14ac:dyDescent="0.35">
      <c r="I5068" s="63"/>
      <c r="J5068" s="63"/>
    </row>
    <row r="5069" spans="9:10" x14ac:dyDescent="0.35">
      <c r="I5069" s="63"/>
      <c r="J5069" s="63"/>
    </row>
    <row r="5070" spans="9:10" x14ac:dyDescent="0.35">
      <c r="I5070" s="63"/>
      <c r="J5070" s="63"/>
    </row>
    <row r="5071" spans="9:10" x14ac:dyDescent="0.35">
      <c r="I5071" s="63"/>
      <c r="J5071" s="63"/>
    </row>
    <row r="5072" spans="9:10" x14ac:dyDescent="0.35">
      <c r="I5072" s="63"/>
      <c r="J5072" s="63"/>
    </row>
    <row r="5073" spans="9:10" x14ac:dyDescent="0.35">
      <c r="I5073" s="63"/>
      <c r="J5073" s="63"/>
    </row>
    <row r="5074" spans="9:10" x14ac:dyDescent="0.35">
      <c r="I5074" s="63"/>
      <c r="J5074" s="63"/>
    </row>
    <row r="5075" spans="9:10" x14ac:dyDescent="0.35">
      <c r="I5075" s="63"/>
      <c r="J5075" s="63"/>
    </row>
    <row r="5076" spans="9:10" x14ac:dyDescent="0.35">
      <c r="I5076" s="63"/>
      <c r="J5076" s="63"/>
    </row>
    <row r="5077" spans="9:10" x14ac:dyDescent="0.35">
      <c r="I5077" s="63"/>
      <c r="J5077" s="63"/>
    </row>
    <row r="5078" spans="9:10" x14ac:dyDescent="0.35">
      <c r="I5078" s="63"/>
      <c r="J5078" s="63"/>
    </row>
    <row r="5079" spans="9:10" x14ac:dyDescent="0.35">
      <c r="I5079" s="63"/>
      <c r="J5079" s="63"/>
    </row>
    <row r="5080" spans="9:10" x14ac:dyDescent="0.35">
      <c r="I5080" s="63"/>
      <c r="J5080" s="63"/>
    </row>
    <row r="5081" spans="9:10" x14ac:dyDescent="0.35">
      <c r="I5081" s="63"/>
      <c r="J5081" s="63"/>
    </row>
    <row r="5082" spans="9:10" x14ac:dyDescent="0.35">
      <c r="I5082" s="63"/>
      <c r="J5082" s="63"/>
    </row>
    <row r="5083" spans="9:10" x14ac:dyDescent="0.35">
      <c r="I5083" s="63"/>
      <c r="J5083" s="63"/>
    </row>
    <row r="5084" spans="9:10" x14ac:dyDescent="0.35">
      <c r="I5084" s="63"/>
      <c r="J5084" s="63"/>
    </row>
    <row r="5085" spans="9:10" x14ac:dyDescent="0.35">
      <c r="I5085" s="63"/>
      <c r="J5085" s="63"/>
    </row>
    <row r="5086" spans="9:10" x14ac:dyDescent="0.35">
      <c r="I5086" s="63"/>
      <c r="J5086" s="63"/>
    </row>
    <row r="5087" spans="9:10" x14ac:dyDescent="0.35">
      <c r="I5087" s="63"/>
      <c r="J5087" s="63"/>
    </row>
    <row r="5088" spans="9:10" x14ac:dyDescent="0.35">
      <c r="I5088" s="63"/>
      <c r="J5088" s="63"/>
    </row>
    <row r="5089" spans="9:10" x14ac:dyDescent="0.35">
      <c r="I5089" s="63"/>
      <c r="J5089" s="63"/>
    </row>
    <row r="5090" spans="9:10" x14ac:dyDescent="0.35">
      <c r="I5090" s="63"/>
      <c r="J5090" s="63"/>
    </row>
    <row r="5091" spans="9:10" x14ac:dyDescent="0.35">
      <c r="I5091" s="63"/>
      <c r="J5091" s="63"/>
    </row>
    <row r="5092" spans="9:10" x14ac:dyDescent="0.35">
      <c r="I5092" s="63"/>
      <c r="J5092" s="63"/>
    </row>
    <row r="5093" spans="9:10" x14ac:dyDescent="0.35">
      <c r="I5093" s="63"/>
      <c r="J5093" s="63"/>
    </row>
    <row r="5094" spans="9:10" x14ac:dyDescent="0.35">
      <c r="I5094" s="63"/>
      <c r="J5094" s="63"/>
    </row>
    <row r="5095" spans="9:10" x14ac:dyDescent="0.35">
      <c r="I5095" s="63"/>
      <c r="J5095" s="63"/>
    </row>
    <row r="5096" spans="9:10" x14ac:dyDescent="0.35">
      <c r="I5096" s="63"/>
      <c r="J5096" s="63"/>
    </row>
    <row r="5097" spans="9:10" x14ac:dyDescent="0.35">
      <c r="I5097" s="63"/>
      <c r="J5097" s="63"/>
    </row>
    <row r="5098" spans="9:10" x14ac:dyDescent="0.35">
      <c r="I5098" s="63"/>
      <c r="J5098" s="63"/>
    </row>
    <row r="5099" spans="9:10" x14ac:dyDescent="0.35">
      <c r="I5099" s="63"/>
      <c r="J5099" s="63"/>
    </row>
    <row r="5100" spans="9:10" x14ac:dyDescent="0.35">
      <c r="I5100" s="63"/>
      <c r="J5100" s="63"/>
    </row>
    <row r="5101" spans="9:10" x14ac:dyDescent="0.35">
      <c r="I5101" s="63"/>
      <c r="J5101" s="63"/>
    </row>
    <row r="5102" spans="9:10" x14ac:dyDescent="0.35">
      <c r="I5102" s="63"/>
      <c r="J5102" s="63"/>
    </row>
    <row r="5103" spans="9:10" x14ac:dyDescent="0.35">
      <c r="I5103" s="63"/>
      <c r="J5103" s="63"/>
    </row>
    <row r="5104" spans="9:10" x14ac:dyDescent="0.35">
      <c r="I5104" s="63"/>
      <c r="J5104" s="63"/>
    </row>
    <row r="5105" spans="9:10" x14ac:dyDescent="0.35">
      <c r="I5105" s="63"/>
      <c r="J5105" s="63"/>
    </row>
    <row r="5106" spans="9:10" x14ac:dyDescent="0.35">
      <c r="I5106" s="63"/>
      <c r="J5106" s="63"/>
    </row>
    <row r="5107" spans="9:10" x14ac:dyDescent="0.35">
      <c r="I5107" s="63"/>
      <c r="J5107" s="63"/>
    </row>
    <row r="5108" spans="9:10" x14ac:dyDescent="0.35">
      <c r="I5108" s="63"/>
      <c r="J5108" s="63"/>
    </row>
    <row r="5109" spans="9:10" x14ac:dyDescent="0.35">
      <c r="I5109" s="63"/>
      <c r="J5109" s="63"/>
    </row>
    <row r="5110" spans="9:10" x14ac:dyDescent="0.35">
      <c r="I5110" s="63"/>
      <c r="J5110" s="63"/>
    </row>
    <row r="5111" spans="9:10" x14ac:dyDescent="0.35">
      <c r="I5111" s="63"/>
      <c r="J5111" s="63"/>
    </row>
    <row r="5112" spans="9:10" x14ac:dyDescent="0.35">
      <c r="I5112" s="63"/>
      <c r="J5112" s="63"/>
    </row>
    <row r="5113" spans="9:10" x14ac:dyDescent="0.35">
      <c r="I5113" s="63"/>
      <c r="J5113" s="63"/>
    </row>
    <row r="5114" spans="9:10" x14ac:dyDescent="0.35">
      <c r="I5114" s="63"/>
      <c r="J5114" s="63"/>
    </row>
    <row r="5115" spans="9:10" x14ac:dyDescent="0.35">
      <c r="I5115" s="63"/>
      <c r="J5115" s="63"/>
    </row>
    <row r="5116" spans="9:10" x14ac:dyDescent="0.35">
      <c r="I5116" s="63"/>
      <c r="J5116" s="63"/>
    </row>
    <row r="5117" spans="9:10" x14ac:dyDescent="0.35">
      <c r="I5117" s="63"/>
      <c r="J5117" s="63"/>
    </row>
    <row r="5118" spans="9:10" x14ac:dyDescent="0.35">
      <c r="I5118" s="63"/>
      <c r="J5118" s="63"/>
    </row>
    <row r="5119" spans="9:10" x14ac:dyDescent="0.35">
      <c r="I5119" s="63"/>
      <c r="J5119" s="63"/>
    </row>
    <row r="5120" spans="9:10" x14ac:dyDescent="0.35">
      <c r="I5120" s="63"/>
      <c r="J5120" s="63"/>
    </row>
    <row r="5121" spans="9:10" x14ac:dyDescent="0.35">
      <c r="I5121" s="63"/>
      <c r="J5121" s="63"/>
    </row>
    <row r="5122" spans="9:10" x14ac:dyDescent="0.35">
      <c r="I5122" s="63"/>
      <c r="J5122" s="63"/>
    </row>
    <row r="5123" spans="9:10" x14ac:dyDescent="0.35">
      <c r="I5123" s="63"/>
      <c r="J5123" s="63"/>
    </row>
    <row r="5124" spans="9:10" x14ac:dyDescent="0.35">
      <c r="I5124" s="63"/>
      <c r="J5124" s="63"/>
    </row>
    <row r="5125" spans="9:10" x14ac:dyDescent="0.35">
      <c r="I5125" s="63"/>
      <c r="J5125" s="63"/>
    </row>
    <row r="5126" spans="9:10" x14ac:dyDescent="0.35">
      <c r="I5126" s="63"/>
      <c r="J5126" s="63"/>
    </row>
    <row r="5127" spans="9:10" x14ac:dyDescent="0.35">
      <c r="I5127" s="63"/>
      <c r="J5127" s="63"/>
    </row>
    <row r="5128" spans="9:10" x14ac:dyDescent="0.35">
      <c r="I5128" s="63"/>
      <c r="J5128" s="63"/>
    </row>
    <row r="5129" spans="9:10" x14ac:dyDescent="0.35">
      <c r="I5129" s="63"/>
      <c r="J5129" s="63"/>
    </row>
    <row r="5130" spans="9:10" x14ac:dyDescent="0.35">
      <c r="I5130" s="63"/>
      <c r="J5130" s="63"/>
    </row>
    <row r="5131" spans="9:10" x14ac:dyDescent="0.35">
      <c r="I5131" s="63"/>
      <c r="J5131" s="63"/>
    </row>
    <row r="5132" spans="9:10" x14ac:dyDescent="0.35">
      <c r="I5132" s="63"/>
      <c r="J5132" s="63"/>
    </row>
    <row r="5133" spans="9:10" x14ac:dyDescent="0.35">
      <c r="I5133" s="63"/>
      <c r="J5133" s="63"/>
    </row>
    <row r="5134" spans="9:10" x14ac:dyDescent="0.35">
      <c r="I5134" s="63"/>
      <c r="J5134" s="63"/>
    </row>
    <row r="5135" spans="9:10" x14ac:dyDescent="0.35">
      <c r="I5135" s="63"/>
      <c r="J5135" s="63"/>
    </row>
    <row r="5136" spans="9:10" x14ac:dyDescent="0.35">
      <c r="I5136" s="63"/>
      <c r="J5136" s="63"/>
    </row>
    <row r="5137" spans="9:10" x14ac:dyDescent="0.35">
      <c r="I5137" s="63"/>
      <c r="J5137" s="63"/>
    </row>
    <row r="5138" spans="9:10" x14ac:dyDescent="0.35">
      <c r="I5138" s="63"/>
      <c r="J5138" s="63"/>
    </row>
    <row r="5139" spans="9:10" x14ac:dyDescent="0.35">
      <c r="I5139" s="63"/>
      <c r="J5139" s="63"/>
    </row>
    <row r="5140" spans="9:10" x14ac:dyDescent="0.35">
      <c r="I5140" s="63"/>
      <c r="J5140" s="63"/>
    </row>
    <row r="5141" spans="9:10" x14ac:dyDescent="0.35">
      <c r="I5141" s="63"/>
      <c r="J5141" s="63"/>
    </row>
    <row r="5142" spans="9:10" x14ac:dyDescent="0.35">
      <c r="I5142" s="63"/>
      <c r="J5142" s="63"/>
    </row>
    <row r="5143" spans="9:10" x14ac:dyDescent="0.35">
      <c r="I5143" s="63"/>
      <c r="J5143" s="63"/>
    </row>
    <row r="5144" spans="9:10" x14ac:dyDescent="0.35">
      <c r="I5144" s="63"/>
      <c r="J5144" s="63"/>
    </row>
    <row r="5145" spans="9:10" x14ac:dyDescent="0.35">
      <c r="I5145" s="63"/>
      <c r="J5145" s="63"/>
    </row>
    <row r="5146" spans="9:10" x14ac:dyDescent="0.35">
      <c r="I5146" s="63"/>
      <c r="J5146" s="63"/>
    </row>
    <row r="5147" spans="9:10" x14ac:dyDescent="0.35">
      <c r="I5147" s="63"/>
      <c r="J5147" s="63"/>
    </row>
    <row r="5148" spans="9:10" x14ac:dyDescent="0.35">
      <c r="I5148" s="63"/>
      <c r="J5148" s="63"/>
    </row>
    <row r="5149" spans="9:10" x14ac:dyDescent="0.35">
      <c r="I5149" s="63"/>
      <c r="J5149" s="63"/>
    </row>
    <row r="5150" spans="9:10" x14ac:dyDescent="0.35">
      <c r="I5150" s="63"/>
      <c r="J5150" s="63"/>
    </row>
    <row r="5151" spans="9:10" x14ac:dyDescent="0.35">
      <c r="I5151" s="63"/>
      <c r="J5151" s="63"/>
    </row>
    <row r="5152" spans="9:10" x14ac:dyDescent="0.35">
      <c r="I5152" s="63"/>
      <c r="J5152" s="63"/>
    </row>
    <row r="5153" spans="9:10" x14ac:dyDescent="0.35">
      <c r="I5153" s="63"/>
      <c r="J5153" s="63"/>
    </row>
    <row r="5154" spans="9:10" x14ac:dyDescent="0.35">
      <c r="I5154" s="63"/>
      <c r="J5154" s="63"/>
    </row>
    <row r="5155" spans="9:10" x14ac:dyDescent="0.35">
      <c r="I5155" s="63"/>
      <c r="J5155" s="63"/>
    </row>
    <row r="5156" spans="9:10" x14ac:dyDescent="0.35">
      <c r="I5156" s="63"/>
      <c r="J5156" s="63"/>
    </row>
    <row r="5157" spans="9:10" x14ac:dyDescent="0.35">
      <c r="I5157" s="63"/>
      <c r="J5157" s="63"/>
    </row>
    <row r="5158" spans="9:10" x14ac:dyDescent="0.35">
      <c r="I5158" s="63"/>
      <c r="J5158" s="63"/>
    </row>
    <row r="5159" spans="9:10" x14ac:dyDescent="0.35">
      <c r="I5159" s="63"/>
      <c r="J5159" s="63"/>
    </row>
    <row r="5160" spans="9:10" x14ac:dyDescent="0.35">
      <c r="I5160" s="63"/>
      <c r="J5160" s="63"/>
    </row>
    <row r="5161" spans="9:10" x14ac:dyDescent="0.35">
      <c r="I5161" s="63"/>
      <c r="J5161" s="63"/>
    </row>
    <row r="5162" spans="9:10" x14ac:dyDescent="0.35">
      <c r="I5162" s="63"/>
      <c r="J5162" s="63"/>
    </row>
    <row r="5163" spans="9:10" x14ac:dyDescent="0.35">
      <c r="I5163" s="63"/>
      <c r="J5163" s="63"/>
    </row>
    <row r="5164" spans="9:10" x14ac:dyDescent="0.35">
      <c r="I5164" s="63"/>
      <c r="J5164" s="63"/>
    </row>
    <row r="5165" spans="9:10" x14ac:dyDescent="0.35">
      <c r="I5165" s="63"/>
      <c r="J5165" s="63"/>
    </row>
    <row r="5166" spans="9:10" x14ac:dyDescent="0.35">
      <c r="I5166" s="63"/>
      <c r="J5166" s="63"/>
    </row>
    <row r="5167" spans="9:10" x14ac:dyDescent="0.35">
      <c r="I5167" s="63"/>
      <c r="J5167" s="63"/>
    </row>
    <row r="5168" spans="9:10" x14ac:dyDescent="0.35">
      <c r="I5168" s="63"/>
      <c r="J5168" s="63"/>
    </row>
    <row r="5169" spans="9:10" x14ac:dyDescent="0.35">
      <c r="I5169" s="63"/>
      <c r="J5169" s="63"/>
    </row>
    <row r="5170" spans="9:10" x14ac:dyDescent="0.35">
      <c r="I5170" s="63"/>
      <c r="J5170" s="63"/>
    </row>
    <row r="5171" spans="9:10" x14ac:dyDescent="0.35">
      <c r="I5171" s="63"/>
      <c r="J5171" s="63"/>
    </row>
    <row r="5172" spans="9:10" x14ac:dyDescent="0.35">
      <c r="I5172" s="63"/>
      <c r="J5172" s="63"/>
    </row>
    <row r="5173" spans="9:10" x14ac:dyDescent="0.35">
      <c r="I5173" s="63"/>
      <c r="J5173" s="63"/>
    </row>
    <row r="5174" spans="9:10" x14ac:dyDescent="0.35">
      <c r="I5174" s="63"/>
      <c r="J5174" s="63"/>
    </row>
    <row r="5175" spans="9:10" x14ac:dyDescent="0.35">
      <c r="I5175" s="63"/>
      <c r="J5175" s="63"/>
    </row>
    <row r="5176" spans="9:10" x14ac:dyDescent="0.35">
      <c r="I5176" s="63"/>
      <c r="J5176" s="63"/>
    </row>
    <row r="5177" spans="9:10" x14ac:dyDescent="0.35">
      <c r="I5177" s="63"/>
      <c r="J5177" s="63"/>
    </row>
    <row r="5178" spans="9:10" x14ac:dyDescent="0.35">
      <c r="I5178" s="63"/>
      <c r="J5178" s="63"/>
    </row>
    <row r="5179" spans="9:10" x14ac:dyDescent="0.35">
      <c r="I5179" s="63"/>
      <c r="J5179" s="63"/>
    </row>
    <row r="5180" spans="9:10" x14ac:dyDescent="0.35">
      <c r="I5180" s="63"/>
      <c r="J5180" s="63"/>
    </row>
    <row r="5181" spans="9:10" x14ac:dyDescent="0.35">
      <c r="I5181" s="63"/>
      <c r="J5181" s="63"/>
    </row>
    <row r="5182" spans="9:10" x14ac:dyDescent="0.35">
      <c r="I5182" s="63"/>
      <c r="J5182" s="63"/>
    </row>
    <row r="5183" spans="9:10" x14ac:dyDescent="0.35">
      <c r="I5183" s="63"/>
      <c r="J5183" s="63"/>
    </row>
    <row r="5184" spans="9:10" x14ac:dyDescent="0.35">
      <c r="I5184" s="63"/>
      <c r="J5184" s="63"/>
    </row>
    <row r="5185" spans="9:10" x14ac:dyDescent="0.35">
      <c r="I5185" s="63"/>
      <c r="J5185" s="63"/>
    </row>
    <row r="5186" spans="9:10" x14ac:dyDescent="0.35">
      <c r="I5186" s="63"/>
      <c r="J5186" s="63"/>
    </row>
    <row r="5187" spans="9:10" x14ac:dyDescent="0.35">
      <c r="I5187" s="63"/>
      <c r="J5187" s="63"/>
    </row>
    <row r="5188" spans="9:10" x14ac:dyDescent="0.35">
      <c r="I5188" s="63"/>
      <c r="J5188" s="63"/>
    </row>
    <row r="5189" spans="9:10" x14ac:dyDescent="0.35">
      <c r="I5189" s="63"/>
      <c r="J5189" s="63"/>
    </row>
    <row r="5190" spans="9:10" x14ac:dyDescent="0.35">
      <c r="I5190" s="63"/>
      <c r="J5190" s="63"/>
    </row>
    <row r="5191" spans="9:10" x14ac:dyDescent="0.35">
      <c r="I5191" s="63"/>
      <c r="J5191" s="63"/>
    </row>
    <row r="5192" spans="9:10" x14ac:dyDescent="0.35">
      <c r="I5192" s="63"/>
      <c r="J5192" s="63"/>
    </row>
    <row r="5193" spans="9:10" x14ac:dyDescent="0.35">
      <c r="I5193" s="63"/>
      <c r="J5193" s="63"/>
    </row>
    <row r="5194" spans="9:10" x14ac:dyDescent="0.35">
      <c r="I5194" s="63"/>
      <c r="J5194" s="63"/>
    </row>
    <row r="5195" spans="9:10" x14ac:dyDescent="0.35">
      <c r="I5195" s="63"/>
      <c r="J5195" s="63"/>
    </row>
    <row r="5196" spans="9:10" x14ac:dyDescent="0.35">
      <c r="I5196" s="63"/>
      <c r="J5196" s="63"/>
    </row>
    <row r="5197" spans="9:10" x14ac:dyDescent="0.35">
      <c r="I5197" s="63"/>
      <c r="J5197" s="63"/>
    </row>
    <row r="5198" spans="9:10" x14ac:dyDescent="0.35">
      <c r="I5198" s="63"/>
      <c r="J5198" s="63"/>
    </row>
    <row r="5199" spans="9:10" x14ac:dyDescent="0.35">
      <c r="I5199" s="63"/>
      <c r="J5199" s="63"/>
    </row>
    <row r="5200" spans="9:10" x14ac:dyDescent="0.35">
      <c r="I5200" s="63"/>
      <c r="J5200" s="63"/>
    </row>
    <row r="5201" spans="9:10" x14ac:dyDescent="0.35">
      <c r="I5201" s="63"/>
      <c r="J5201" s="63"/>
    </row>
    <row r="5202" spans="9:10" x14ac:dyDescent="0.35">
      <c r="I5202" s="63"/>
      <c r="J5202" s="63"/>
    </row>
    <row r="5203" spans="9:10" x14ac:dyDescent="0.35">
      <c r="I5203" s="63"/>
      <c r="J5203" s="63"/>
    </row>
    <row r="5204" spans="9:10" x14ac:dyDescent="0.35">
      <c r="I5204" s="63"/>
      <c r="J5204" s="63"/>
    </row>
    <row r="5205" spans="9:10" x14ac:dyDescent="0.35">
      <c r="I5205" s="63"/>
      <c r="J5205" s="63"/>
    </row>
    <row r="5206" spans="9:10" x14ac:dyDescent="0.35">
      <c r="I5206" s="63"/>
      <c r="J5206" s="63"/>
    </row>
    <row r="5207" spans="9:10" x14ac:dyDescent="0.35">
      <c r="I5207" s="63"/>
      <c r="J5207" s="63"/>
    </row>
    <row r="5208" spans="9:10" x14ac:dyDescent="0.35">
      <c r="I5208" s="63"/>
      <c r="J5208" s="63"/>
    </row>
    <row r="5209" spans="9:10" x14ac:dyDescent="0.35">
      <c r="I5209" s="63"/>
      <c r="J5209" s="63"/>
    </row>
    <row r="5210" spans="9:10" x14ac:dyDescent="0.35">
      <c r="I5210" s="63"/>
      <c r="J5210" s="63"/>
    </row>
    <row r="5211" spans="9:10" x14ac:dyDescent="0.35">
      <c r="I5211" s="63"/>
      <c r="J5211" s="63"/>
    </row>
    <row r="5212" spans="9:10" x14ac:dyDescent="0.35">
      <c r="I5212" s="63"/>
      <c r="J5212" s="63"/>
    </row>
    <row r="5213" spans="9:10" x14ac:dyDescent="0.35">
      <c r="I5213" s="63"/>
      <c r="J5213" s="63"/>
    </row>
    <row r="5214" spans="9:10" x14ac:dyDescent="0.35">
      <c r="I5214" s="63"/>
      <c r="J5214" s="63"/>
    </row>
    <row r="5215" spans="9:10" x14ac:dyDescent="0.35">
      <c r="I5215" s="63"/>
      <c r="J5215" s="63"/>
    </row>
    <row r="5216" spans="9:10" x14ac:dyDescent="0.35">
      <c r="I5216" s="63"/>
      <c r="J5216" s="63"/>
    </row>
    <row r="5217" spans="9:10" x14ac:dyDescent="0.35">
      <c r="I5217" s="63"/>
      <c r="J5217" s="63"/>
    </row>
    <row r="5218" spans="9:10" x14ac:dyDescent="0.35">
      <c r="I5218" s="63"/>
      <c r="J5218" s="63"/>
    </row>
    <row r="5219" spans="9:10" x14ac:dyDescent="0.35">
      <c r="I5219" s="63"/>
      <c r="J5219" s="63"/>
    </row>
    <row r="5220" spans="9:10" x14ac:dyDescent="0.35">
      <c r="I5220" s="63"/>
      <c r="J5220" s="63"/>
    </row>
    <row r="5221" spans="9:10" x14ac:dyDescent="0.35">
      <c r="I5221" s="63"/>
      <c r="J5221" s="63"/>
    </row>
    <row r="5222" spans="9:10" x14ac:dyDescent="0.35">
      <c r="I5222" s="63"/>
      <c r="J5222" s="63"/>
    </row>
    <row r="5223" spans="9:10" x14ac:dyDescent="0.35">
      <c r="I5223" s="63"/>
      <c r="J5223" s="63"/>
    </row>
    <row r="5224" spans="9:10" x14ac:dyDescent="0.35">
      <c r="I5224" s="63"/>
      <c r="J5224" s="63"/>
    </row>
    <row r="5225" spans="9:10" x14ac:dyDescent="0.35">
      <c r="I5225" s="63"/>
      <c r="J5225" s="63"/>
    </row>
    <row r="5226" spans="9:10" x14ac:dyDescent="0.35">
      <c r="I5226" s="63"/>
      <c r="J5226" s="63"/>
    </row>
    <row r="5227" spans="9:10" x14ac:dyDescent="0.35">
      <c r="I5227" s="63"/>
      <c r="J5227" s="63"/>
    </row>
    <row r="5228" spans="9:10" x14ac:dyDescent="0.35">
      <c r="I5228" s="63"/>
      <c r="J5228" s="63"/>
    </row>
    <row r="5229" spans="9:10" x14ac:dyDescent="0.35">
      <c r="I5229" s="63"/>
      <c r="J5229" s="63"/>
    </row>
    <row r="5230" spans="9:10" x14ac:dyDescent="0.35">
      <c r="I5230" s="63"/>
      <c r="J5230" s="63"/>
    </row>
    <row r="5231" spans="9:10" x14ac:dyDescent="0.35">
      <c r="I5231" s="63"/>
      <c r="J5231" s="63"/>
    </row>
    <row r="5232" spans="9:10" x14ac:dyDescent="0.35">
      <c r="I5232" s="63"/>
      <c r="J5232" s="63"/>
    </row>
    <row r="5233" spans="9:10" x14ac:dyDescent="0.35">
      <c r="I5233" s="63"/>
      <c r="J5233" s="63"/>
    </row>
    <row r="5234" spans="9:10" x14ac:dyDescent="0.35">
      <c r="I5234" s="63"/>
      <c r="J5234" s="63"/>
    </row>
    <row r="5235" spans="9:10" x14ac:dyDescent="0.35">
      <c r="I5235" s="63"/>
      <c r="J5235" s="63"/>
    </row>
    <row r="5236" spans="9:10" x14ac:dyDescent="0.35">
      <c r="I5236" s="63"/>
      <c r="J5236" s="63"/>
    </row>
    <row r="5237" spans="9:10" x14ac:dyDescent="0.35">
      <c r="I5237" s="63"/>
      <c r="J5237" s="63"/>
    </row>
    <row r="5238" spans="9:10" x14ac:dyDescent="0.35">
      <c r="I5238" s="63"/>
      <c r="J5238" s="63"/>
    </row>
    <row r="5239" spans="9:10" x14ac:dyDescent="0.35">
      <c r="I5239" s="63"/>
      <c r="J5239" s="63"/>
    </row>
    <row r="5240" spans="9:10" x14ac:dyDescent="0.35">
      <c r="I5240" s="63"/>
      <c r="J5240" s="63"/>
    </row>
    <row r="5241" spans="9:10" x14ac:dyDescent="0.35">
      <c r="I5241" s="63"/>
      <c r="J5241" s="63"/>
    </row>
    <row r="5242" spans="9:10" x14ac:dyDescent="0.35">
      <c r="I5242" s="63"/>
      <c r="J5242" s="63"/>
    </row>
    <row r="5243" spans="9:10" x14ac:dyDescent="0.35">
      <c r="I5243" s="63"/>
      <c r="J5243" s="63"/>
    </row>
    <row r="5244" spans="9:10" x14ac:dyDescent="0.35">
      <c r="I5244" s="63"/>
      <c r="J5244" s="63"/>
    </row>
    <row r="5245" spans="9:10" x14ac:dyDescent="0.35">
      <c r="I5245" s="63"/>
      <c r="J5245" s="63"/>
    </row>
    <row r="5246" spans="9:10" x14ac:dyDescent="0.35">
      <c r="I5246" s="63"/>
      <c r="J5246" s="63"/>
    </row>
    <row r="5247" spans="9:10" x14ac:dyDescent="0.35">
      <c r="I5247" s="63"/>
      <c r="J5247" s="63"/>
    </row>
    <row r="5248" spans="9:10" x14ac:dyDescent="0.35">
      <c r="I5248" s="63"/>
      <c r="J5248" s="63"/>
    </row>
    <row r="5249" spans="9:10" x14ac:dyDescent="0.35">
      <c r="I5249" s="63"/>
      <c r="J5249" s="63"/>
    </row>
    <row r="5250" spans="9:10" x14ac:dyDescent="0.35">
      <c r="I5250" s="63"/>
      <c r="J5250" s="63"/>
    </row>
    <row r="5251" spans="9:10" x14ac:dyDescent="0.35">
      <c r="I5251" s="63"/>
      <c r="J5251" s="63"/>
    </row>
    <row r="5252" spans="9:10" x14ac:dyDescent="0.35">
      <c r="I5252" s="63"/>
      <c r="J5252" s="63"/>
    </row>
    <row r="5253" spans="9:10" x14ac:dyDescent="0.35">
      <c r="I5253" s="63"/>
      <c r="J5253" s="63"/>
    </row>
    <row r="5254" spans="9:10" x14ac:dyDescent="0.35">
      <c r="I5254" s="63"/>
      <c r="J5254" s="63"/>
    </row>
    <row r="5255" spans="9:10" x14ac:dyDescent="0.35">
      <c r="I5255" s="63"/>
      <c r="J5255" s="63"/>
    </row>
    <row r="5256" spans="9:10" x14ac:dyDescent="0.35">
      <c r="I5256" s="63"/>
      <c r="J5256" s="63"/>
    </row>
    <row r="5257" spans="9:10" x14ac:dyDescent="0.35">
      <c r="I5257" s="63"/>
      <c r="J5257" s="63"/>
    </row>
    <row r="5258" spans="9:10" x14ac:dyDescent="0.35">
      <c r="I5258" s="63"/>
      <c r="J5258" s="63"/>
    </row>
    <row r="5259" spans="9:10" x14ac:dyDescent="0.35">
      <c r="I5259" s="63"/>
      <c r="J5259" s="63"/>
    </row>
    <row r="5260" spans="9:10" x14ac:dyDescent="0.35">
      <c r="I5260" s="63"/>
      <c r="J5260" s="63"/>
    </row>
    <row r="5261" spans="9:10" x14ac:dyDescent="0.35">
      <c r="I5261" s="63"/>
      <c r="J5261" s="63"/>
    </row>
    <row r="5262" spans="9:10" x14ac:dyDescent="0.35">
      <c r="I5262" s="63"/>
      <c r="J5262" s="63"/>
    </row>
    <row r="5263" spans="9:10" x14ac:dyDescent="0.35">
      <c r="I5263" s="63"/>
      <c r="J5263" s="63"/>
    </row>
    <row r="5264" spans="9:10" x14ac:dyDescent="0.35">
      <c r="I5264" s="63"/>
      <c r="J5264" s="63"/>
    </row>
    <row r="5265" spans="9:10" x14ac:dyDescent="0.35">
      <c r="I5265" s="63"/>
      <c r="J5265" s="63"/>
    </row>
    <row r="5266" spans="9:10" x14ac:dyDescent="0.35">
      <c r="I5266" s="63"/>
      <c r="J5266" s="63"/>
    </row>
    <row r="5267" spans="9:10" x14ac:dyDescent="0.35">
      <c r="I5267" s="63"/>
      <c r="J5267" s="63"/>
    </row>
    <row r="5268" spans="9:10" x14ac:dyDescent="0.35">
      <c r="I5268" s="63"/>
      <c r="J5268" s="63"/>
    </row>
    <row r="5269" spans="9:10" x14ac:dyDescent="0.35">
      <c r="I5269" s="63"/>
      <c r="J5269" s="63"/>
    </row>
    <row r="5270" spans="9:10" x14ac:dyDescent="0.35">
      <c r="I5270" s="63"/>
      <c r="J5270" s="63"/>
    </row>
    <row r="5271" spans="9:10" x14ac:dyDescent="0.35">
      <c r="I5271" s="63"/>
      <c r="J5271" s="63"/>
    </row>
    <row r="5272" spans="9:10" x14ac:dyDescent="0.35">
      <c r="I5272" s="63"/>
      <c r="J5272" s="63"/>
    </row>
    <row r="5273" spans="9:10" x14ac:dyDescent="0.35">
      <c r="I5273" s="63"/>
      <c r="J5273" s="63"/>
    </row>
    <row r="5274" spans="9:10" x14ac:dyDescent="0.35">
      <c r="I5274" s="63"/>
      <c r="J5274" s="63"/>
    </row>
    <row r="5275" spans="9:10" x14ac:dyDescent="0.35">
      <c r="I5275" s="63"/>
      <c r="J5275" s="63"/>
    </row>
    <row r="5276" spans="9:10" x14ac:dyDescent="0.35">
      <c r="I5276" s="63"/>
      <c r="J5276" s="63"/>
    </row>
    <row r="5277" spans="9:10" x14ac:dyDescent="0.35">
      <c r="I5277" s="63"/>
      <c r="J5277" s="63"/>
    </row>
    <row r="5278" spans="9:10" x14ac:dyDescent="0.35">
      <c r="I5278" s="63"/>
      <c r="J5278" s="63"/>
    </row>
    <row r="5279" spans="9:10" x14ac:dyDescent="0.35">
      <c r="I5279" s="63"/>
      <c r="J5279" s="63"/>
    </row>
    <row r="5280" spans="9:10" x14ac:dyDescent="0.35">
      <c r="I5280" s="63"/>
      <c r="J5280" s="63"/>
    </row>
    <row r="5281" spans="9:10" x14ac:dyDescent="0.35">
      <c r="I5281" s="63"/>
      <c r="J5281" s="63"/>
    </row>
    <row r="5282" spans="9:10" x14ac:dyDescent="0.35">
      <c r="I5282" s="63"/>
      <c r="J5282" s="63"/>
    </row>
    <row r="5283" spans="9:10" x14ac:dyDescent="0.35">
      <c r="I5283" s="63"/>
      <c r="J5283" s="63"/>
    </row>
    <row r="5284" spans="9:10" x14ac:dyDescent="0.35">
      <c r="I5284" s="63"/>
      <c r="J5284" s="63"/>
    </row>
    <row r="5285" spans="9:10" x14ac:dyDescent="0.35">
      <c r="I5285" s="63"/>
      <c r="J5285" s="63"/>
    </row>
    <row r="5286" spans="9:10" x14ac:dyDescent="0.35">
      <c r="I5286" s="63"/>
      <c r="J5286" s="63"/>
    </row>
    <row r="5287" spans="9:10" x14ac:dyDescent="0.35">
      <c r="I5287" s="63"/>
      <c r="J5287" s="63"/>
    </row>
    <row r="5288" spans="9:10" x14ac:dyDescent="0.35">
      <c r="I5288" s="63"/>
      <c r="J5288" s="63"/>
    </row>
    <row r="5289" spans="9:10" x14ac:dyDescent="0.35">
      <c r="I5289" s="63"/>
      <c r="J5289" s="63"/>
    </row>
    <row r="5290" spans="9:10" x14ac:dyDescent="0.35">
      <c r="I5290" s="63"/>
      <c r="J5290" s="63"/>
    </row>
    <row r="5291" spans="9:10" x14ac:dyDescent="0.35">
      <c r="I5291" s="63"/>
      <c r="J5291" s="63"/>
    </row>
    <row r="5292" spans="9:10" x14ac:dyDescent="0.35">
      <c r="I5292" s="63"/>
      <c r="J5292" s="63"/>
    </row>
    <row r="5293" spans="9:10" x14ac:dyDescent="0.35">
      <c r="I5293" s="63"/>
      <c r="J5293" s="63"/>
    </row>
    <row r="5294" spans="9:10" x14ac:dyDescent="0.35">
      <c r="I5294" s="63"/>
      <c r="J5294" s="63"/>
    </row>
    <row r="5295" spans="9:10" x14ac:dyDescent="0.35">
      <c r="I5295" s="63"/>
      <c r="J5295" s="63"/>
    </row>
    <row r="5296" spans="9:10" x14ac:dyDescent="0.35">
      <c r="I5296" s="63"/>
      <c r="J5296" s="63"/>
    </row>
    <row r="5297" spans="9:10" x14ac:dyDescent="0.35">
      <c r="I5297" s="63"/>
      <c r="J5297" s="63"/>
    </row>
    <row r="5298" spans="9:10" x14ac:dyDescent="0.35">
      <c r="I5298" s="63"/>
      <c r="J5298" s="63"/>
    </row>
    <row r="5299" spans="9:10" x14ac:dyDescent="0.35">
      <c r="I5299" s="63"/>
      <c r="J5299" s="63"/>
    </row>
    <row r="5300" spans="9:10" x14ac:dyDescent="0.35">
      <c r="I5300" s="63"/>
      <c r="J5300" s="63"/>
    </row>
    <row r="5301" spans="9:10" x14ac:dyDescent="0.35">
      <c r="I5301" s="63"/>
      <c r="J5301" s="63"/>
    </row>
    <row r="5302" spans="9:10" x14ac:dyDescent="0.35">
      <c r="I5302" s="63"/>
      <c r="J5302" s="63"/>
    </row>
    <row r="5303" spans="9:10" x14ac:dyDescent="0.35">
      <c r="I5303" s="63"/>
      <c r="J5303" s="63"/>
    </row>
    <row r="5304" spans="9:10" x14ac:dyDescent="0.35">
      <c r="I5304" s="63"/>
      <c r="J5304" s="63"/>
    </row>
    <row r="5305" spans="9:10" x14ac:dyDescent="0.35">
      <c r="I5305" s="63"/>
      <c r="J5305" s="63"/>
    </row>
    <row r="5306" spans="9:10" x14ac:dyDescent="0.35">
      <c r="I5306" s="63"/>
      <c r="J5306" s="63"/>
    </row>
    <row r="5307" spans="9:10" x14ac:dyDescent="0.35">
      <c r="I5307" s="63"/>
      <c r="J5307" s="63"/>
    </row>
    <row r="5308" spans="9:10" x14ac:dyDescent="0.35">
      <c r="I5308" s="63"/>
      <c r="J5308" s="63"/>
    </row>
    <row r="5309" spans="9:10" x14ac:dyDescent="0.35">
      <c r="I5309" s="63"/>
      <c r="J5309" s="63"/>
    </row>
    <row r="5310" spans="9:10" x14ac:dyDescent="0.35">
      <c r="I5310" s="63"/>
      <c r="J5310" s="63"/>
    </row>
    <row r="5311" spans="9:10" x14ac:dyDescent="0.35">
      <c r="I5311" s="63"/>
      <c r="J5311" s="63"/>
    </row>
    <row r="5312" spans="9:10" x14ac:dyDescent="0.35">
      <c r="I5312" s="63"/>
      <c r="J5312" s="63"/>
    </row>
    <row r="5313" spans="9:10" x14ac:dyDescent="0.35">
      <c r="I5313" s="63"/>
      <c r="J5313" s="63"/>
    </row>
    <row r="5314" spans="9:10" x14ac:dyDescent="0.35">
      <c r="I5314" s="63"/>
      <c r="J5314" s="63"/>
    </row>
    <row r="5315" spans="9:10" x14ac:dyDescent="0.35">
      <c r="I5315" s="63"/>
      <c r="J5315" s="63"/>
    </row>
    <row r="5316" spans="9:10" x14ac:dyDescent="0.35">
      <c r="I5316" s="63"/>
      <c r="J5316" s="63"/>
    </row>
    <row r="5317" spans="9:10" x14ac:dyDescent="0.35">
      <c r="I5317" s="63"/>
      <c r="J5317" s="63"/>
    </row>
    <row r="5318" spans="9:10" x14ac:dyDescent="0.35">
      <c r="I5318" s="63"/>
      <c r="J5318" s="63"/>
    </row>
    <row r="5319" spans="9:10" x14ac:dyDescent="0.35">
      <c r="I5319" s="63"/>
      <c r="J5319" s="63"/>
    </row>
    <row r="5320" spans="9:10" x14ac:dyDescent="0.35">
      <c r="I5320" s="63"/>
      <c r="J5320" s="63"/>
    </row>
    <row r="5321" spans="9:10" x14ac:dyDescent="0.35">
      <c r="I5321" s="63"/>
      <c r="J5321" s="63"/>
    </row>
    <row r="5322" spans="9:10" x14ac:dyDescent="0.35">
      <c r="I5322" s="63"/>
      <c r="J5322" s="63"/>
    </row>
    <row r="5323" spans="9:10" x14ac:dyDescent="0.35">
      <c r="I5323" s="63"/>
      <c r="J5323" s="63"/>
    </row>
    <row r="5324" spans="9:10" x14ac:dyDescent="0.35">
      <c r="I5324" s="63"/>
      <c r="J5324" s="63"/>
    </row>
    <row r="5325" spans="9:10" x14ac:dyDescent="0.35">
      <c r="I5325" s="63"/>
      <c r="J5325" s="63"/>
    </row>
    <row r="5326" spans="9:10" x14ac:dyDescent="0.35">
      <c r="I5326" s="63"/>
      <c r="J5326" s="63"/>
    </row>
    <row r="5327" spans="9:10" x14ac:dyDescent="0.35">
      <c r="I5327" s="63"/>
      <c r="J5327" s="63"/>
    </row>
    <row r="5328" spans="9:10" x14ac:dyDescent="0.35">
      <c r="I5328" s="63"/>
      <c r="J5328" s="63"/>
    </row>
    <row r="5329" spans="9:10" x14ac:dyDescent="0.35">
      <c r="I5329" s="63"/>
      <c r="J5329" s="63"/>
    </row>
    <row r="5330" spans="9:10" x14ac:dyDescent="0.35">
      <c r="I5330" s="63"/>
      <c r="J5330" s="63"/>
    </row>
    <row r="5331" spans="9:10" x14ac:dyDescent="0.35">
      <c r="I5331" s="63"/>
      <c r="J5331" s="63"/>
    </row>
    <row r="5332" spans="9:10" x14ac:dyDescent="0.35">
      <c r="I5332" s="63"/>
      <c r="J5332" s="63"/>
    </row>
    <row r="5333" spans="9:10" x14ac:dyDescent="0.35">
      <c r="I5333" s="63"/>
      <c r="J5333" s="63"/>
    </row>
    <row r="5334" spans="9:10" x14ac:dyDescent="0.35">
      <c r="I5334" s="63"/>
      <c r="J5334" s="63"/>
    </row>
    <row r="5335" spans="9:10" x14ac:dyDescent="0.35">
      <c r="I5335" s="63"/>
      <c r="J5335" s="63"/>
    </row>
    <row r="5336" spans="9:10" x14ac:dyDescent="0.35">
      <c r="I5336" s="63"/>
      <c r="J5336" s="63"/>
    </row>
    <row r="5337" spans="9:10" x14ac:dyDescent="0.35">
      <c r="I5337" s="63"/>
      <c r="J5337" s="63"/>
    </row>
    <row r="5338" spans="9:10" x14ac:dyDescent="0.35">
      <c r="I5338" s="63"/>
      <c r="J5338" s="63"/>
    </row>
    <row r="5339" spans="9:10" x14ac:dyDescent="0.35">
      <c r="I5339" s="63"/>
      <c r="J5339" s="63"/>
    </row>
    <row r="5340" spans="9:10" x14ac:dyDescent="0.35">
      <c r="I5340" s="63"/>
      <c r="J5340" s="63"/>
    </row>
    <row r="5341" spans="9:10" x14ac:dyDescent="0.35">
      <c r="I5341" s="63"/>
      <c r="J5341" s="63"/>
    </row>
    <row r="5342" spans="9:10" x14ac:dyDescent="0.35">
      <c r="I5342" s="63"/>
      <c r="J5342" s="63"/>
    </row>
    <row r="5343" spans="9:10" x14ac:dyDescent="0.35">
      <c r="I5343" s="63"/>
      <c r="J5343" s="63"/>
    </row>
    <row r="5344" spans="9:10" x14ac:dyDescent="0.35">
      <c r="I5344" s="63"/>
      <c r="J5344" s="63"/>
    </row>
    <row r="5345" spans="9:10" x14ac:dyDescent="0.35">
      <c r="I5345" s="63"/>
      <c r="J5345" s="63"/>
    </row>
    <row r="5346" spans="9:10" x14ac:dyDescent="0.35">
      <c r="I5346" s="63"/>
      <c r="J5346" s="63"/>
    </row>
    <row r="5347" spans="9:10" x14ac:dyDescent="0.35">
      <c r="I5347" s="63"/>
      <c r="J5347" s="63"/>
    </row>
    <row r="5348" spans="9:10" x14ac:dyDescent="0.35">
      <c r="I5348" s="63"/>
      <c r="J5348" s="63"/>
    </row>
    <row r="5349" spans="9:10" x14ac:dyDescent="0.35">
      <c r="I5349" s="63"/>
      <c r="J5349" s="63"/>
    </row>
    <row r="5350" spans="9:10" x14ac:dyDescent="0.35">
      <c r="I5350" s="63"/>
      <c r="J5350" s="63"/>
    </row>
    <row r="5351" spans="9:10" x14ac:dyDescent="0.35">
      <c r="I5351" s="63"/>
      <c r="J5351" s="63"/>
    </row>
    <row r="5352" spans="9:10" x14ac:dyDescent="0.35">
      <c r="I5352" s="63"/>
      <c r="J5352" s="63"/>
    </row>
    <row r="5353" spans="9:10" x14ac:dyDescent="0.35">
      <c r="I5353" s="63"/>
      <c r="J5353" s="63"/>
    </row>
    <row r="5354" spans="9:10" x14ac:dyDescent="0.35">
      <c r="I5354" s="63"/>
      <c r="J5354" s="63"/>
    </row>
    <row r="5355" spans="9:10" x14ac:dyDescent="0.35">
      <c r="I5355" s="63"/>
      <c r="J5355" s="63"/>
    </row>
    <row r="5356" spans="9:10" x14ac:dyDescent="0.35">
      <c r="I5356" s="63"/>
      <c r="J5356" s="63"/>
    </row>
    <row r="5357" spans="9:10" x14ac:dyDescent="0.35">
      <c r="I5357" s="63"/>
      <c r="J5357" s="63"/>
    </row>
    <row r="5358" spans="9:10" x14ac:dyDescent="0.35">
      <c r="I5358" s="63"/>
      <c r="J5358" s="63"/>
    </row>
    <row r="5359" spans="9:10" x14ac:dyDescent="0.35">
      <c r="I5359" s="63"/>
      <c r="J5359" s="63"/>
    </row>
    <row r="5360" spans="9:10" x14ac:dyDescent="0.35">
      <c r="I5360" s="63"/>
      <c r="J5360" s="63"/>
    </row>
    <row r="5361" spans="9:10" x14ac:dyDescent="0.35">
      <c r="I5361" s="63"/>
      <c r="J5361" s="63"/>
    </row>
    <row r="5362" spans="9:10" x14ac:dyDescent="0.35">
      <c r="I5362" s="63"/>
      <c r="J5362" s="63"/>
    </row>
    <row r="5363" spans="9:10" x14ac:dyDescent="0.35">
      <c r="I5363" s="63"/>
      <c r="J5363" s="63"/>
    </row>
    <row r="5364" spans="9:10" x14ac:dyDescent="0.35">
      <c r="I5364" s="63"/>
      <c r="J5364" s="63"/>
    </row>
    <row r="5365" spans="9:10" x14ac:dyDescent="0.35">
      <c r="I5365" s="63"/>
      <c r="J5365" s="63"/>
    </row>
    <row r="5366" spans="9:10" x14ac:dyDescent="0.35">
      <c r="I5366" s="63"/>
      <c r="J5366" s="63"/>
    </row>
    <row r="5367" spans="9:10" x14ac:dyDescent="0.35">
      <c r="I5367" s="63"/>
      <c r="J5367" s="63"/>
    </row>
    <row r="5368" spans="9:10" x14ac:dyDescent="0.35">
      <c r="I5368" s="63"/>
      <c r="J5368" s="63"/>
    </row>
    <row r="5369" spans="9:10" x14ac:dyDescent="0.35">
      <c r="I5369" s="63"/>
      <c r="J5369" s="63"/>
    </row>
    <row r="5370" spans="9:10" x14ac:dyDescent="0.35">
      <c r="I5370" s="63"/>
      <c r="J5370" s="63"/>
    </row>
    <row r="5371" spans="9:10" x14ac:dyDescent="0.35">
      <c r="I5371" s="63"/>
      <c r="J5371" s="63"/>
    </row>
    <row r="5372" spans="9:10" x14ac:dyDescent="0.35">
      <c r="I5372" s="63"/>
      <c r="J5372" s="63"/>
    </row>
    <row r="5373" spans="9:10" x14ac:dyDescent="0.35">
      <c r="I5373" s="63"/>
      <c r="J5373" s="63"/>
    </row>
    <row r="5374" spans="9:10" x14ac:dyDescent="0.35">
      <c r="I5374" s="63"/>
      <c r="J5374" s="63"/>
    </row>
    <row r="5375" spans="9:10" x14ac:dyDescent="0.35">
      <c r="I5375" s="63"/>
      <c r="J5375" s="63"/>
    </row>
    <row r="5376" spans="9:10" x14ac:dyDescent="0.35">
      <c r="I5376" s="63"/>
      <c r="J5376" s="63"/>
    </row>
    <row r="5377" spans="9:10" x14ac:dyDescent="0.35">
      <c r="I5377" s="63"/>
      <c r="J5377" s="63"/>
    </row>
    <row r="5378" spans="9:10" x14ac:dyDescent="0.35">
      <c r="I5378" s="63"/>
      <c r="J5378" s="63"/>
    </row>
    <row r="5379" spans="9:10" x14ac:dyDescent="0.35">
      <c r="I5379" s="63"/>
      <c r="J5379" s="63"/>
    </row>
    <row r="5380" spans="9:10" x14ac:dyDescent="0.35">
      <c r="I5380" s="63"/>
      <c r="J5380" s="63"/>
    </row>
    <row r="5381" spans="9:10" x14ac:dyDescent="0.35">
      <c r="I5381" s="63"/>
      <c r="J5381" s="63"/>
    </row>
    <row r="5382" spans="9:10" x14ac:dyDescent="0.35">
      <c r="I5382" s="63"/>
      <c r="J5382" s="63"/>
    </row>
    <row r="5383" spans="9:10" x14ac:dyDescent="0.35">
      <c r="I5383" s="63"/>
      <c r="J5383" s="63"/>
    </row>
    <row r="5384" spans="9:10" x14ac:dyDescent="0.35">
      <c r="I5384" s="63"/>
      <c r="J5384" s="63"/>
    </row>
    <row r="5385" spans="9:10" x14ac:dyDescent="0.35">
      <c r="I5385" s="63"/>
      <c r="J5385" s="63"/>
    </row>
    <row r="5386" spans="9:10" x14ac:dyDescent="0.35">
      <c r="I5386" s="63"/>
      <c r="J5386" s="63"/>
    </row>
    <row r="5387" spans="9:10" x14ac:dyDescent="0.35">
      <c r="I5387" s="63"/>
      <c r="J5387" s="63"/>
    </row>
    <row r="5388" spans="9:10" x14ac:dyDescent="0.35">
      <c r="I5388" s="63"/>
      <c r="J5388" s="63"/>
    </row>
    <row r="5389" spans="9:10" x14ac:dyDescent="0.35">
      <c r="I5389" s="63"/>
      <c r="J5389" s="63"/>
    </row>
    <row r="5390" spans="9:10" x14ac:dyDescent="0.35">
      <c r="I5390" s="63"/>
      <c r="J5390" s="63"/>
    </row>
    <row r="5391" spans="9:10" x14ac:dyDescent="0.35">
      <c r="I5391" s="63"/>
      <c r="J5391" s="63"/>
    </row>
    <row r="5392" spans="9:10" x14ac:dyDescent="0.35">
      <c r="I5392" s="63"/>
      <c r="J5392" s="63"/>
    </row>
    <row r="5393" spans="9:10" x14ac:dyDescent="0.35">
      <c r="I5393" s="63"/>
      <c r="J5393" s="63"/>
    </row>
    <row r="5394" spans="9:10" x14ac:dyDescent="0.35">
      <c r="I5394" s="63"/>
      <c r="J5394" s="63"/>
    </row>
    <row r="5395" spans="9:10" x14ac:dyDescent="0.35">
      <c r="I5395" s="63"/>
      <c r="J5395" s="63"/>
    </row>
    <row r="5396" spans="9:10" x14ac:dyDescent="0.35">
      <c r="I5396" s="63"/>
      <c r="J5396" s="63"/>
    </row>
    <row r="5397" spans="9:10" x14ac:dyDescent="0.35">
      <c r="I5397" s="63"/>
      <c r="J5397" s="63"/>
    </row>
    <row r="5398" spans="9:10" x14ac:dyDescent="0.35">
      <c r="I5398" s="63"/>
      <c r="J5398" s="63"/>
    </row>
    <row r="5399" spans="9:10" x14ac:dyDescent="0.35">
      <c r="I5399" s="63"/>
      <c r="J5399" s="63"/>
    </row>
    <row r="5400" spans="9:10" x14ac:dyDescent="0.35">
      <c r="I5400" s="63"/>
      <c r="J5400" s="63"/>
    </row>
    <row r="5401" spans="9:10" x14ac:dyDescent="0.35">
      <c r="I5401" s="63"/>
      <c r="J5401" s="63"/>
    </row>
    <row r="5402" spans="9:10" x14ac:dyDescent="0.35">
      <c r="I5402" s="63"/>
      <c r="J5402" s="63"/>
    </row>
    <row r="5403" spans="9:10" x14ac:dyDescent="0.35">
      <c r="I5403" s="63"/>
      <c r="J5403" s="63"/>
    </row>
    <row r="5404" spans="9:10" x14ac:dyDescent="0.35">
      <c r="I5404" s="63"/>
      <c r="J5404" s="63"/>
    </row>
    <row r="5405" spans="9:10" x14ac:dyDescent="0.35">
      <c r="I5405" s="63"/>
      <c r="J5405" s="63"/>
    </row>
    <row r="5406" spans="9:10" x14ac:dyDescent="0.35">
      <c r="I5406" s="63"/>
      <c r="J5406" s="63"/>
    </row>
    <row r="5407" spans="9:10" x14ac:dyDescent="0.35">
      <c r="I5407" s="63"/>
      <c r="J5407" s="63"/>
    </row>
    <row r="5408" spans="9:10" x14ac:dyDescent="0.35">
      <c r="I5408" s="63"/>
      <c r="J5408" s="63"/>
    </row>
    <row r="5409" spans="9:10" x14ac:dyDescent="0.35">
      <c r="I5409" s="63"/>
      <c r="J5409" s="63"/>
    </row>
    <row r="5410" spans="9:10" x14ac:dyDescent="0.35">
      <c r="I5410" s="63"/>
      <c r="J5410" s="63"/>
    </row>
    <row r="5411" spans="9:10" x14ac:dyDescent="0.35">
      <c r="I5411" s="63"/>
      <c r="J5411" s="63"/>
    </row>
    <row r="5412" spans="9:10" x14ac:dyDescent="0.35">
      <c r="I5412" s="63"/>
      <c r="J5412" s="63"/>
    </row>
    <row r="5413" spans="9:10" x14ac:dyDescent="0.35">
      <c r="I5413" s="63"/>
      <c r="J5413" s="63"/>
    </row>
    <row r="5414" spans="9:10" x14ac:dyDescent="0.35">
      <c r="I5414" s="63"/>
      <c r="J5414" s="63"/>
    </row>
    <row r="5415" spans="9:10" x14ac:dyDescent="0.35">
      <c r="I5415" s="63"/>
      <c r="J5415" s="63"/>
    </row>
    <row r="5416" spans="9:10" x14ac:dyDescent="0.35">
      <c r="I5416" s="63"/>
      <c r="J5416" s="63"/>
    </row>
    <row r="5417" spans="9:10" x14ac:dyDescent="0.35">
      <c r="I5417" s="63"/>
      <c r="J5417" s="63"/>
    </row>
    <row r="5418" spans="9:10" x14ac:dyDescent="0.35">
      <c r="I5418" s="63"/>
      <c r="J5418" s="63"/>
    </row>
    <row r="5419" spans="9:10" x14ac:dyDescent="0.35">
      <c r="I5419" s="63"/>
      <c r="J5419" s="63"/>
    </row>
    <row r="5420" spans="9:10" x14ac:dyDescent="0.35">
      <c r="I5420" s="63"/>
      <c r="J5420" s="63"/>
    </row>
    <row r="5421" spans="9:10" x14ac:dyDescent="0.35">
      <c r="I5421" s="63"/>
      <c r="J5421" s="63"/>
    </row>
    <row r="5422" spans="9:10" x14ac:dyDescent="0.35">
      <c r="I5422" s="63"/>
      <c r="J5422" s="63"/>
    </row>
    <row r="5423" spans="9:10" x14ac:dyDescent="0.35">
      <c r="I5423" s="63"/>
      <c r="J5423" s="63"/>
    </row>
    <row r="5424" spans="9:10" x14ac:dyDescent="0.35">
      <c r="I5424" s="63"/>
      <c r="J5424" s="63"/>
    </row>
    <row r="5425" spans="9:10" x14ac:dyDescent="0.35">
      <c r="I5425" s="63"/>
      <c r="J5425" s="63"/>
    </row>
    <row r="5426" spans="9:10" x14ac:dyDescent="0.35">
      <c r="I5426" s="63"/>
      <c r="J5426" s="63"/>
    </row>
    <row r="5427" spans="9:10" x14ac:dyDescent="0.35">
      <c r="I5427" s="63"/>
      <c r="J5427" s="63"/>
    </row>
    <row r="5428" spans="9:10" x14ac:dyDescent="0.35">
      <c r="I5428" s="63"/>
      <c r="J5428" s="63"/>
    </row>
    <row r="5429" spans="9:10" x14ac:dyDescent="0.35">
      <c r="I5429" s="63"/>
      <c r="J5429" s="63"/>
    </row>
    <row r="5430" spans="9:10" x14ac:dyDescent="0.35">
      <c r="I5430" s="63"/>
      <c r="J5430" s="63"/>
    </row>
    <row r="5431" spans="9:10" x14ac:dyDescent="0.35">
      <c r="I5431" s="63"/>
      <c r="J5431" s="63"/>
    </row>
    <row r="5432" spans="9:10" x14ac:dyDescent="0.35">
      <c r="I5432" s="63"/>
      <c r="J5432" s="63"/>
    </row>
    <row r="5433" spans="9:10" x14ac:dyDescent="0.35">
      <c r="I5433" s="63"/>
      <c r="J5433" s="63"/>
    </row>
    <row r="5434" spans="9:10" x14ac:dyDescent="0.35">
      <c r="I5434" s="63"/>
      <c r="J5434" s="63"/>
    </row>
    <row r="5435" spans="9:10" x14ac:dyDescent="0.35">
      <c r="I5435" s="63"/>
      <c r="J5435" s="63"/>
    </row>
    <row r="5436" spans="9:10" x14ac:dyDescent="0.35">
      <c r="I5436" s="63"/>
      <c r="J5436" s="63"/>
    </row>
    <row r="5437" spans="9:10" x14ac:dyDescent="0.35">
      <c r="I5437" s="63"/>
      <c r="J5437" s="63"/>
    </row>
    <row r="5438" spans="9:10" x14ac:dyDescent="0.35">
      <c r="I5438" s="63"/>
      <c r="J5438" s="63"/>
    </row>
    <row r="5439" spans="9:10" x14ac:dyDescent="0.35">
      <c r="I5439" s="63"/>
      <c r="J5439" s="63"/>
    </row>
    <row r="5440" spans="9:10" x14ac:dyDescent="0.35">
      <c r="I5440" s="63"/>
      <c r="J5440" s="63"/>
    </row>
    <row r="5441" spans="9:10" x14ac:dyDescent="0.35">
      <c r="I5441" s="63"/>
      <c r="J5441" s="63"/>
    </row>
    <row r="5442" spans="9:10" x14ac:dyDescent="0.35">
      <c r="I5442" s="63"/>
      <c r="J5442" s="63"/>
    </row>
    <row r="5443" spans="9:10" x14ac:dyDescent="0.35">
      <c r="I5443" s="63"/>
      <c r="J5443" s="63"/>
    </row>
    <row r="5444" spans="9:10" x14ac:dyDescent="0.35">
      <c r="I5444" s="63"/>
      <c r="J5444" s="63"/>
    </row>
    <row r="5445" spans="9:10" x14ac:dyDescent="0.35">
      <c r="I5445" s="63"/>
      <c r="J5445" s="63"/>
    </row>
    <row r="5446" spans="9:10" x14ac:dyDescent="0.35">
      <c r="I5446" s="63"/>
      <c r="J5446" s="63"/>
    </row>
    <row r="5447" spans="9:10" x14ac:dyDescent="0.35">
      <c r="I5447" s="63"/>
      <c r="J5447" s="63"/>
    </row>
    <row r="5448" spans="9:10" x14ac:dyDescent="0.35">
      <c r="I5448" s="63"/>
      <c r="J5448" s="63"/>
    </row>
    <row r="5449" spans="9:10" x14ac:dyDescent="0.35">
      <c r="I5449" s="63"/>
      <c r="J5449" s="63"/>
    </row>
    <row r="5450" spans="9:10" x14ac:dyDescent="0.35">
      <c r="I5450" s="63"/>
      <c r="J5450" s="63"/>
    </row>
    <row r="5451" spans="9:10" x14ac:dyDescent="0.35">
      <c r="I5451" s="63"/>
      <c r="J5451" s="63"/>
    </row>
    <row r="5452" spans="9:10" x14ac:dyDescent="0.35">
      <c r="I5452" s="63"/>
      <c r="J5452" s="63"/>
    </row>
    <row r="5453" spans="9:10" x14ac:dyDescent="0.35">
      <c r="I5453" s="63"/>
      <c r="J5453" s="63"/>
    </row>
    <row r="5454" spans="9:10" x14ac:dyDescent="0.35">
      <c r="I5454" s="63"/>
      <c r="J5454" s="63"/>
    </row>
    <row r="5455" spans="9:10" x14ac:dyDescent="0.35">
      <c r="I5455" s="63"/>
      <c r="J5455" s="63"/>
    </row>
    <row r="5456" spans="9:10" x14ac:dyDescent="0.35">
      <c r="I5456" s="63"/>
      <c r="J5456" s="63"/>
    </row>
    <row r="5457" spans="9:10" x14ac:dyDescent="0.35">
      <c r="I5457" s="63"/>
      <c r="J5457" s="63"/>
    </row>
    <row r="5458" spans="9:10" x14ac:dyDescent="0.35">
      <c r="I5458" s="63"/>
      <c r="J5458" s="63"/>
    </row>
    <row r="5459" spans="9:10" x14ac:dyDescent="0.35">
      <c r="I5459" s="63"/>
      <c r="J5459" s="63"/>
    </row>
    <row r="5460" spans="9:10" x14ac:dyDescent="0.35">
      <c r="I5460" s="63"/>
      <c r="J5460" s="63"/>
    </row>
    <row r="5461" spans="9:10" x14ac:dyDescent="0.35">
      <c r="I5461" s="63"/>
      <c r="J5461" s="63"/>
    </row>
    <row r="5462" spans="9:10" x14ac:dyDescent="0.35">
      <c r="I5462" s="63"/>
      <c r="J5462" s="63"/>
    </row>
    <row r="5463" spans="9:10" x14ac:dyDescent="0.35">
      <c r="I5463" s="63"/>
      <c r="J5463" s="63"/>
    </row>
    <row r="5464" spans="9:10" x14ac:dyDescent="0.35">
      <c r="I5464" s="63"/>
      <c r="J5464" s="63"/>
    </row>
    <row r="5465" spans="9:10" x14ac:dyDescent="0.35">
      <c r="I5465" s="63"/>
      <c r="J5465" s="63"/>
    </row>
    <row r="5466" spans="9:10" x14ac:dyDescent="0.35">
      <c r="I5466" s="63"/>
      <c r="J5466" s="63"/>
    </row>
    <row r="5467" spans="9:10" x14ac:dyDescent="0.35">
      <c r="I5467" s="63"/>
      <c r="J5467" s="63"/>
    </row>
    <row r="5468" spans="9:10" x14ac:dyDescent="0.35">
      <c r="I5468" s="63"/>
      <c r="J5468" s="63"/>
    </row>
    <row r="5469" spans="9:10" x14ac:dyDescent="0.35">
      <c r="I5469" s="63"/>
      <c r="J5469" s="63"/>
    </row>
    <row r="5470" spans="9:10" x14ac:dyDescent="0.35">
      <c r="I5470" s="63"/>
      <c r="J5470" s="63"/>
    </row>
    <row r="5471" spans="9:10" x14ac:dyDescent="0.35">
      <c r="I5471" s="63"/>
      <c r="J5471" s="63"/>
    </row>
    <row r="5472" spans="9:10" x14ac:dyDescent="0.35">
      <c r="I5472" s="63"/>
      <c r="J5472" s="63"/>
    </row>
    <row r="5473" spans="9:10" x14ac:dyDescent="0.35">
      <c r="I5473" s="63"/>
      <c r="J5473" s="63"/>
    </row>
    <row r="5474" spans="9:10" x14ac:dyDescent="0.35">
      <c r="I5474" s="63"/>
      <c r="J5474" s="63"/>
    </row>
    <row r="5475" spans="9:10" x14ac:dyDescent="0.35">
      <c r="I5475" s="63"/>
      <c r="J5475" s="63"/>
    </row>
    <row r="5476" spans="9:10" x14ac:dyDescent="0.35">
      <c r="I5476" s="63"/>
      <c r="J5476" s="63"/>
    </row>
    <row r="5477" spans="9:10" x14ac:dyDescent="0.35">
      <c r="I5477" s="63"/>
      <c r="J5477" s="63"/>
    </row>
    <row r="5478" spans="9:10" x14ac:dyDescent="0.35">
      <c r="I5478" s="63"/>
      <c r="J5478" s="63"/>
    </row>
    <row r="5479" spans="9:10" x14ac:dyDescent="0.35">
      <c r="I5479" s="63"/>
      <c r="J5479" s="63"/>
    </row>
    <row r="5480" spans="9:10" x14ac:dyDescent="0.35">
      <c r="I5480" s="63"/>
      <c r="J5480" s="63"/>
    </row>
    <row r="5481" spans="9:10" x14ac:dyDescent="0.35">
      <c r="I5481" s="63"/>
      <c r="J5481" s="63"/>
    </row>
    <row r="5482" spans="9:10" x14ac:dyDescent="0.35">
      <c r="I5482" s="63"/>
      <c r="J5482" s="63"/>
    </row>
    <row r="5483" spans="9:10" x14ac:dyDescent="0.35">
      <c r="I5483" s="63"/>
      <c r="J5483" s="63"/>
    </row>
    <row r="5484" spans="9:10" x14ac:dyDescent="0.35">
      <c r="I5484" s="63"/>
      <c r="J5484" s="63"/>
    </row>
    <row r="5485" spans="9:10" x14ac:dyDescent="0.35">
      <c r="I5485" s="63"/>
      <c r="J5485" s="63"/>
    </row>
    <row r="5486" spans="9:10" x14ac:dyDescent="0.35">
      <c r="I5486" s="63"/>
      <c r="J5486" s="63"/>
    </row>
    <row r="5487" spans="9:10" x14ac:dyDescent="0.35">
      <c r="I5487" s="63"/>
      <c r="J5487" s="63"/>
    </row>
    <row r="5488" spans="9:10" x14ac:dyDescent="0.35">
      <c r="I5488" s="63"/>
      <c r="J5488" s="63"/>
    </row>
    <row r="5489" spans="9:10" x14ac:dyDescent="0.35">
      <c r="I5489" s="63"/>
      <c r="J5489" s="63"/>
    </row>
    <row r="5490" spans="9:10" x14ac:dyDescent="0.35">
      <c r="I5490" s="63"/>
      <c r="J5490" s="63"/>
    </row>
    <row r="5491" spans="9:10" x14ac:dyDescent="0.35">
      <c r="I5491" s="63"/>
      <c r="J5491" s="63"/>
    </row>
    <row r="5492" spans="9:10" x14ac:dyDescent="0.35">
      <c r="I5492" s="63"/>
      <c r="J5492" s="63"/>
    </row>
    <row r="5493" spans="9:10" x14ac:dyDescent="0.35">
      <c r="I5493" s="63"/>
      <c r="J5493" s="63"/>
    </row>
    <row r="5494" spans="9:10" x14ac:dyDescent="0.35">
      <c r="I5494" s="63"/>
      <c r="J5494" s="63"/>
    </row>
    <row r="5495" spans="9:10" x14ac:dyDescent="0.35">
      <c r="I5495" s="63"/>
      <c r="J5495" s="63"/>
    </row>
    <row r="5496" spans="9:10" x14ac:dyDescent="0.35">
      <c r="I5496" s="63"/>
      <c r="J5496" s="63"/>
    </row>
    <row r="5497" spans="9:10" x14ac:dyDescent="0.35">
      <c r="I5497" s="63"/>
      <c r="J5497" s="63"/>
    </row>
    <row r="5498" spans="9:10" x14ac:dyDescent="0.35">
      <c r="I5498" s="63"/>
      <c r="J5498" s="63"/>
    </row>
    <row r="5499" spans="9:10" x14ac:dyDescent="0.35">
      <c r="I5499" s="63"/>
      <c r="J5499" s="63"/>
    </row>
    <row r="5500" spans="9:10" x14ac:dyDescent="0.35">
      <c r="I5500" s="63"/>
      <c r="J5500" s="63"/>
    </row>
    <row r="5501" spans="9:10" x14ac:dyDescent="0.35">
      <c r="I5501" s="63"/>
      <c r="J5501" s="63"/>
    </row>
    <row r="5502" spans="9:10" x14ac:dyDescent="0.35">
      <c r="I5502" s="63"/>
      <c r="J5502" s="63"/>
    </row>
    <row r="5503" spans="9:10" x14ac:dyDescent="0.35">
      <c r="I5503" s="63"/>
      <c r="J5503" s="63"/>
    </row>
    <row r="5504" spans="9:10" x14ac:dyDescent="0.35">
      <c r="I5504" s="63"/>
      <c r="J5504" s="63"/>
    </row>
    <row r="5505" spans="9:10" x14ac:dyDescent="0.35">
      <c r="I5505" s="63"/>
      <c r="J5505" s="63"/>
    </row>
    <row r="5506" spans="9:10" x14ac:dyDescent="0.35">
      <c r="I5506" s="63"/>
      <c r="J5506" s="63"/>
    </row>
    <row r="5507" spans="9:10" x14ac:dyDescent="0.35">
      <c r="I5507" s="63"/>
      <c r="J5507" s="63"/>
    </row>
    <row r="5508" spans="9:10" x14ac:dyDescent="0.35">
      <c r="I5508" s="63"/>
      <c r="J5508" s="63"/>
    </row>
    <row r="5509" spans="9:10" x14ac:dyDescent="0.35">
      <c r="I5509" s="63"/>
      <c r="J5509" s="63"/>
    </row>
    <row r="5510" spans="9:10" x14ac:dyDescent="0.35">
      <c r="I5510" s="63"/>
      <c r="J5510" s="63"/>
    </row>
    <row r="5511" spans="9:10" x14ac:dyDescent="0.35">
      <c r="I5511" s="63"/>
      <c r="J5511" s="63"/>
    </row>
    <row r="5512" spans="9:10" x14ac:dyDescent="0.35">
      <c r="I5512" s="63"/>
      <c r="J5512" s="63"/>
    </row>
    <row r="5513" spans="9:10" x14ac:dyDescent="0.35">
      <c r="I5513" s="63"/>
      <c r="J5513" s="63"/>
    </row>
    <row r="5514" spans="9:10" x14ac:dyDescent="0.35">
      <c r="I5514" s="63"/>
      <c r="J5514" s="63"/>
    </row>
    <row r="5515" spans="9:10" x14ac:dyDescent="0.35">
      <c r="I5515" s="63"/>
      <c r="J5515" s="63"/>
    </row>
    <row r="5516" spans="9:10" x14ac:dyDescent="0.35">
      <c r="I5516" s="63"/>
      <c r="J5516" s="63"/>
    </row>
    <row r="5517" spans="9:10" x14ac:dyDescent="0.35">
      <c r="I5517" s="63"/>
      <c r="J5517" s="63"/>
    </row>
    <row r="5518" spans="9:10" x14ac:dyDescent="0.35">
      <c r="I5518" s="63"/>
      <c r="J5518" s="63"/>
    </row>
    <row r="5519" spans="9:10" x14ac:dyDescent="0.35">
      <c r="I5519" s="63"/>
      <c r="J5519" s="63"/>
    </row>
    <row r="5520" spans="9:10" x14ac:dyDescent="0.35">
      <c r="I5520" s="63"/>
      <c r="J5520" s="63"/>
    </row>
    <row r="5521" spans="9:10" x14ac:dyDescent="0.35">
      <c r="I5521" s="63"/>
      <c r="J5521" s="63"/>
    </row>
    <row r="5522" spans="9:10" x14ac:dyDescent="0.35">
      <c r="I5522" s="63"/>
      <c r="J5522" s="63"/>
    </row>
    <row r="5523" spans="9:10" x14ac:dyDescent="0.35">
      <c r="I5523" s="63"/>
      <c r="J5523" s="63"/>
    </row>
    <row r="5524" spans="9:10" x14ac:dyDescent="0.35">
      <c r="I5524" s="63"/>
      <c r="J5524" s="63"/>
    </row>
    <row r="5525" spans="9:10" x14ac:dyDescent="0.35">
      <c r="I5525" s="63"/>
      <c r="J5525" s="63"/>
    </row>
    <row r="5526" spans="9:10" x14ac:dyDescent="0.35">
      <c r="I5526" s="63"/>
      <c r="J5526" s="63"/>
    </row>
    <row r="5527" spans="9:10" x14ac:dyDescent="0.35">
      <c r="I5527" s="63"/>
      <c r="J5527" s="63"/>
    </row>
    <row r="5528" spans="9:10" x14ac:dyDescent="0.35">
      <c r="I5528" s="63"/>
      <c r="J5528" s="63"/>
    </row>
    <row r="5529" spans="9:10" x14ac:dyDescent="0.35">
      <c r="I5529" s="63"/>
      <c r="J5529" s="63"/>
    </row>
    <row r="5530" spans="9:10" x14ac:dyDescent="0.35">
      <c r="I5530" s="63"/>
      <c r="J5530" s="63"/>
    </row>
    <row r="5531" spans="9:10" x14ac:dyDescent="0.35">
      <c r="I5531" s="63"/>
      <c r="J5531" s="63"/>
    </row>
    <row r="5532" spans="9:10" x14ac:dyDescent="0.35">
      <c r="I5532" s="63"/>
      <c r="J5532" s="63"/>
    </row>
    <row r="5533" spans="9:10" x14ac:dyDescent="0.35">
      <c r="I5533" s="63"/>
      <c r="J5533" s="63"/>
    </row>
    <row r="5534" spans="9:10" x14ac:dyDescent="0.35">
      <c r="I5534" s="63"/>
      <c r="J5534" s="63"/>
    </row>
    <row r="5535" spans="9:10" x14ac:dyDescent="0.35">
      <c r="I5535" s="63"/>
      <c r="J5535" s="63"/>
    </row>
    <row r="5536" spans="9:10" x14ac:dyDescent="0.35">
      <c r="I5536" s="63"/>
      <c r="J5536" s="63"/>
    </row>
    <row r="5537" spans="9:10" x14ac:dyDescent="0.35">
      <c r="I5537" s="63"/>
      <c r="J5537" s="63"/>
    </row>
    <row r="5538" spans="9:10" x14ac:dyDescent="0.35">
      <c r="I5538" s="63"/>
      <c r="J5538" s="63"/>
    </row>
    <row r="5539" spans="9:10" x14ac:dyDescent="0.35">
      <c r="I5539" s="63"/>
      <c r="J5539" s="63"/>
    </row>
    <row r="5540" spans="9:10" x14ac:dyDescent="0.35">
      <c r="I5540" s="63"/>
      <c r="J5540" s="63"/>
    </row>
    <row r="5541" spans="9:10" x14ac:dyDescent="0.35">
      <c r="I5541" s="63"/>
      <c r="J5541" s="63"/>
    </row>
    <row r="5542" spans="9:10" x14ac:dyDescent="0.35">
      <c r="I5542" s="63"/>
      <c r="J5542" s="63"/>
    </row>
    <row r="5543" spans="9:10" x14ac:dyDescent="0.35">
      <c r="I5543" s="63"/>
      <c r="J5543" s="63"/>
    </row>
    <row r="5544" spans="9:10" x14ac:dyDescent="0.35">
      <c r="I5544" s="63"/>
      <c r="J5544" s="63"/>
    </row>
    <row r="5545" spans="9:10" x14ac:dyDescent="0.35">
      <c r="I5545" s="63"/>
      <c r="J5545" s="63"/>
    </row>
    <row r="5546" spans="9:10" x14ac:dyDescent="0.35">
      <c r="I5546" s="63"/>
      <c r="J5546" s="63"/>
    </row>
    <row r="5547" spans="9:10" x14ac:dyDescent="0.35">
      <c r="I5547" s="63"/>
      <c r="J5547" s="63"/>
    </row>
    <row r="5548" spans="9:10" x14ac:dyDescent="0.35">
      <c r="I5548" s="63"/>
      <c r="J5548" s="63"/>
    </row>
    <row r="5549" spans="9:10" x14ac:dyDescent="0.35">
      <c r="I5549" s="63"/>
      <c r="J5549" s="63"/>
    </row>
    <row r="5550" spans="9:10" x14ac:dyDescent="0.35">
      <c r="I5550" s="63"/>
      <c r="J5550" s="63"/>
    </row>
    <row r="5551" spans="9:10" x14ac:dyDescent="0.35">
      <c r="I5551" s="63"/>
      <c r="J5551" s="63"/>
    </row>
    <row r="5552" spans="9:10" x14ac:dyDescent="0.35">
      <c r="I5552" s="63"/>
      <c r="J5552" s="63"/>
    </row>
    <row r="5553" spans="9:10" x14ac:dyDescent="0.35">
      <c r="I5553" s="63"/>
      <c r="J5553" s="63"/>
    </row>
    <row r="5554" spans="9:10" x14ac:dyDescent="0.35">
      <c r="I5554" s="63"/>
      <c r="J5554" s="63"/>
    </row>
    <row r="5555" spans="9:10" x14ac:dyDescent="0.35">
      <c r="I5555" s="63"/>
      <c r="J5555" s="63"/>
    </row>
    <row r="5556" spans="9:10" x14ac:dyDescent="0.35">
      <c r="I5556" s="63"/>
      <c r="J5556" s="63"/>
    </row>
    <row r="5557" spans="9:10" x14ac:dyDescent="0.35">
      <c r="I5557" s="63"/>
      <c r="J5557" s="63"/>
    </row>
    <row r="5558" spans="9:10" x14ac:dyDescent="0.35">
      <c r="I5558" s="63"/>
      <c r="J5558" s="63"/>
    </row>
    <row r="5559" spans="9:10" x14ac:dyDescent="0.35">
      <c r="I5559" s="63"/>
      <c r="J5559" s="63"/>
    </row>
    <row r="5560" spans="9:10" x14ac:dyDescent="0.35">
      <c r="I5560" s="63"/>
      <c r="J5560" s="63"/>
    </row>
    <row r="5561" spans="9:10" x14ac:dyDescent="0.35">
      <c r="I5561" s="63"/>
      <c r="J5561" s="63"/>
    </row>
    <row r="5562" spans="9:10" x14ac:dyDescent="0.35">
      <c r="I5562" s="63"/>
      <c r="J5562" s="63"/>
    </row>
    <row r="5563" spans="9:10" x14ac:dyDescent="0.35">
      <c r="I5563" s="63"/>
      <c r="J5563" s="63"/>
    </row>
    <row r="5564" spans="9:10" x14ac:dyDescent="0.35">
      <c r="I5564" s="63"/>
      <c r="J5564" s="63"/>
    </row>
    <row r="5565" spans="9:10" x14ac:dyDescent="0.35">
      <c r="I5565" s="63"/>
      <c r="J5565" s="63"/>
    </row>
    <row r="5566" spans="9:10" x14ac:dyDescent="0.35">
      <c r="I5566" s="63"/>
      <c r="J5566" s="63"/>
    </row>
    <row r="5567" spans="9:10" x14ac:dyDescent="0.35">
      <c r="I5567" s="63"/>
      <c r="J5567" s="63"/>
    </row>
    <row r="5568" spans="9:10" x14ac:dyDescent="0.35">
      <c r="I5568" s="63"/>
      <c r="J5568" s="63"/>
    </row>
    <row r="5569" spans="9:10" x14ac:dyDescent="0.35">
      <c r="I5569" s="63"/>
      <c r="J5569" s="63"/>
    </row>
    <row r="5570" spans="9:10" x14ac:dyDescent="0.35">
      <c r="I5570" s="63"/>
      <c r="J5570" s="63"/>
    </row>
    <row r="5571" spans="9:10" x14ac:dyDescent="0.35">
      <c r="I5571" s="63"/>
      <c r="J5571" s="63"/>
    </row>
    <row r="5572" spans="9:10" x14ac:dyDescent="0.35">
      <c r="I5572" s="63"/>
      <c r="J5572" s="63"/>
    </row>
    <row r="5573" spans="9:10" x14ac:dyDescent="0.35">
      <c r="I5573" s="63"/>
      <c r="J5573" s="63"/>
    </row>
    <row r="5574" spans="9:10" x14ac:dyDescent="0.35">
      <c r="I5574" s="63"/>
      <c r="J5574" s="63"/>
    </row>
    <row r="5575" spans="9:10" x14ac:dyDescent="0.35">
      <c r="I5575" s="63"/>
      <c r="J5575" s="63"/>
    </row>
    <row r="5576" spans="9:10" x14ac:dyDescent="0.35">
      <c r="I5576" s="63"/>
      <c r="J5576" s="63"/>
    </row>
    <row r="5577" spans="9:10" x14ac:dyDescent="0.35">
      <c r="I5577" s="63"/>
      <c r="J5577" s="63"/>
    </row>
    <row r="5578" spans="9:10" x14ac:dyDescent="0.35">
      <c r="I5578" s="63"/>
      <c r="J5578" s="63"/>
    </row>
    <row r="5579" spans="9:10" x14ac:dyDescent="0.35">
      <c r="I5579" s="63"/>
      <c r="J5579" s="63"/>
    </row>
    <row r="5580" spans="9:10" x14ac:dyDescent="0.35">
      <c r="I5580" s="63"/>
      <c r="J5580" s="63"/>
    </row>
    <row r="5581" spans="9:10" x14ac:dyDescent="0.35">
      <c r="I5581" s="63"/>
      <c r="J5581" s="63"/>
    </row>
    <row r="5582" spans="9:10" x14ac:dyDescent="0.35">
      <c r="I5582" s="63"/>
      <c r="J5582" s="63"/>
    </row>
    <row r="5583" spans="9:10" x14ac:dyDescent="0.35">
      <c r="I5583" s="63"/>
      <c r="J5583" s="63"/>
    </row>
    <row r="5584" spans="9:10" x14ac:dyDescent="0.35">
      <c r="I5584" s="63"/>
      <c r="J5584" s="63"/>
    </row>
    <row r="5585" spans="9:10" x14ac:dyDescent="0.35">
      <c r="I5585" s="63"/>
      <c r="J5585" s="63"/>
    </row>
    <row r="5586" spans="9:10" x14ac:dyDescent="0.35">
      <c r="I5586" s="63"/>
      <c r="J5586" s="63"/>
    </row>
    <row r="5587" spans="9:10" x14ac:dyDescent="0.35">
      <c r="I5587" s="63"/>
      <c r="J5587" s="63"/>
    </row>
    <row r="5588" spans="9:10" x14ac:dyDescent="0.35">
      <c r="I5588" s="63"/>
      <c r="J5588" s="63"/>
    </row>
    <row r="5589" spans="9:10" x14ac:dyDescent="0.35">
      <c r="I5589" s="63"/>
      <c r="J5589" s="63"/>
    </row>
    <row r="5590" spans="9:10" x14ac:dyDescent="0.35">
      <c r="I5590" s="63"/>
      <c r="J5590" s="63"/>
    </row>
    <row r="5591" spans="9:10" x14ac:dyDescent="0.35">
      <c r="I5591" s="63"/>
      <c r="J5591" s="63"/>
    </row>
    <row r="5592" spans="9:10" x14ac:dyDescent="0.35">
      <c r="I5592" s="63"/>
      <c r="J5592" s="63"/>
    </row>
    <row r="5593" spans="9:10" x14ac:dyDescent="0.35">
      <c r="I5593" s="63"/>
      <c r="J5593" s="63"/>
    </row>
    <row r="5594" spans="9:10" x14ac:dyDescent="0.35">
      <c r="I5594" s="63"/>
      <c r="J5594" s="63"/>
    </row>
    <row r="5595" spans="9:10" x14ac:dyDescent="0.35">
      <c r="I5595" s="63"/>
      <c r="J5595" s="63"/>
    </row>
    <row r="5596" spans="9:10" x14ac:dyDescent="0.35">
      <c r="I5596" s="63"/>
      <c r="J5596" s="63"/>
    </row>
    <row r="5597" spans="9:10" x14ac:dyDescent="0.35">
      <c r="I5597" s="63"/>
      <c r="J5597" s="63"/>
    </row>
    <row r="5598" spans="9:10" x14ac:dyDescent="0.35">
      <c r="I5598" s="63"/>
      <c r="J5598" s="63"/>
    </row>
    <row r="5599" spans="9:10" x14ac:dyDescent="0.35">
      <c r="I5599" s="63"/>
      <c r="J5599" s="63"/>
    </row>
    <row r="5600" spans="9:10" x14ac:dyDescent="0.35">
      <c r="I5600" s="63"/>
      <c r="J5600" s="63"/>
    </row>
    <row r="5601" spans="9:10" x14ac:dyDescent="0.35">
      <c r="I5601" s="63"/>
      <c r="J5601" s="63"/>
    </row>
    <row r="5602" spans="9:10" x14ac:dyDescent="0.35">
      <c r="I5602" s="63"/>
      <c r="J5602" s="63"/>
    </row>
    <row r="5603" spans="9:10" x14ac:dyDescent="0.35">
      <c r="I5603" s="63"/>
      <c r="J5603" s="63"/>
    </row>
    <row r="5604" spans="9:10" x14ac:dyDescent="0.35">
      <c r="I5604" s="63"/>
      <c r="J5604" s="63"/>
    </row>
    <row r="5605" spans="9:10" x14ac:dyDescent="0.35">
      <c r="I5605" s="63"/>
      <c r="J5605" s="63"/>
    </row>
    <row r="5606" spans="9:10" x14ac:dyDescent="0.35">
      <c r="I5606" s="63"/>
      <c r="J5606" s="63"/>
    </row>
    <row r="5607" spans="9:10" x14ac:dyDescent="0.35">
      <c r="I5607" s="63"/>
      <c r="J5607" s="63"/>
    </row>
    <row r="5608" spans="9:10" x14ac:dyDescent="0.35">
      <c r="I5608" s="63"/>
      <c r="J5608" s="63"/>
    </row>
    <row r="5609" spans="9:10" x14ac:dyDescent="0.35">
      <c r="I5609" s="63"/>
      <c r="J5609" s="63"/>
    </row>
    <row r="5610" spans="9:10" x14ac:dyDescent="0.35">
      <c r="I5610" s="63"/>
      <c r="J5610" s="63"/>
    </row>
    <row r="5611" spans="9:10" x14ac:dyDescent="0.35">
      <c r="I5611" s="63"/>
      <c r="J5611" s="63"/>
    </row>
    <row r="5612" spans="9:10" x14ac:dyDescent="0.35">
      <c r="I5612" s="63"/>
      <c r="J5612" s="63"/>
    </row>
    <row r="5613" spans="9:10" x14ac:dyDescent="0.35">
      <c r="I5613" s="63"/>
      <c r="J5613" s="63"/>
    </row>
    <row r="5614" spans="9:10" x14ac:dyDescent="0.35">
      <c r="I5614" s="63"/>
      <c r="J5614" s="63"/>
    </row>
    <row r="5615" spans="9:10" x14ac:dyDescent="0.35">
      <c r="I5615" s="63"/>
      <c r="J5615" s="63"/>
    </row>
    <row r="5616" spans="9:10" x14ac:dyDescent="0.35">
      <c r="I5616" s="63"/>
      <c r="J5616" s="63"/>
    </row>
    <row r="5617" spans="9:10" x14ac:dyDescent="0.35">
      <c r="I5617" s="63"/>
      <c r="J5617" s="63"/>
    </row>
    <row r="5618" spans="9:10" x14ac:dyDescent="0.35">
      <c r="I5618" s="63"/>
      <c r="J5618" s="63"/>
    </row>
    <row r="5619" spans="9:10" x14ac:dyDescent="0.35">
      <c r="I5619" s="63"/>
      <c r="J5619" s="63"/>
    </row>
    <row r="5620" spans="9:10" x14ac:dyDescent="0.35">
      <c r="I5620" s="63"/>
      <c r="J5620" s="63"/>
    </row>
    <row r="5621" spans="9:10" x14ac:dyDescent="0.35">
      <c r="I5621" s="63"/>
      <c r="J5621" s="63"/>
    </row>
    <row r="5622" spans="9:10" x14ac:dyDescent="0.35">
      <c r="I5622" s="63"/>
      <c r="J5622" s="63"/>
    </row>
    <row r="5623" spans="9:10" x14ac:dyDescent="0.35">
      <c r="I5623" s="63"/>
      <c r="J5623" s="63"/>
    </row>
    <row r="5624" spans="9:10" x14ac:dyDescent="0.35">
      <c r="I5624" s="63"/>
      <c r="J5624" s="63"/>
    </row>
    <row r="5625" spans="9:10" x14ac:dyDescent="0.35">
      <c r="I5625" s="63"/>
      <c r="J5625" s="63"/>
    </row>
    <row r="5626" spans="9:10" x14ac:dyDescent="0.35">
      <c r="I5626" s="63"/>
      <c r="J5626" s="63"/>
    </row>
    <row r="5627" spans="9:10" x14ac:dyDescent="0.35">
      <c r="I5627" s="63"/>
      <c r="J5627" s="63"/>
    </row>
    <row r="5628" spans="9:10" x14ac:dyDescent="0.35">
      <c r="I5628" s="63"/>
      <c r="J5628" s="63"/>
    </row>
    <row r="5629" spans="9:10" x14ac:dyDescent="0.35">
      <c r="I5629" s="63"/>
      <c r="J5629" s="63"/>
    </row>
    <row r="5630" spans="9:10" x14ac:dyDescent="0.35">
      <c r="I5630" s="63"/>
      <c r="J5630" s="63"/>
    </row>
    <row r="5631" spans="9:10" x14ac:dyDescent="0.35">
      <c r="I5631" s="63"/>
      <c r="J5631" s="63"/>
    </row>
    <row r="5632" spans="9:10" x14ac:dyDescent="0.35">
      <c r="I5632" s="63"/>
      <c r="J5632" s="63"/>
    </row>
    <row r="5633" spans="9:10" x14ac:dyDescent="0.35">
      <c r="I5633" s="63"/>
      <c r="J5633" s="63"/>
    </row>
    <row r="5634" spans="9:10" x14ac:dyDescent="0.35">
      <c r="I5634" s="63"/>
      <c r="J5634" s="63"/>
    </row>
    <row r="5635" spans="9:10" x14ac:dyDescent="0.35">
      <c r="I5635" s="63"/>
      <c r="J5635" s="63"/>
    </row>
    <row r="5636" spans="9:10" x14ac:dyDescent="0.35">
      <c r="I5636" s="63"/>
      <c r="J5636" s="63"/>
    </row>
    <row r="5637" spans="9:10" x14ac:dyDescent="0.35">
      <c r="I5637" s="63"/>
      <c r="J5637" s="63"/>
    </row>
    <row r="5638" spans="9:10" x14ac:dyDescent="0.35">
      <c r="I5638" s="63"/>
      <c r="J5638" s="63"/>
    </row>
    <row r="5639" spans="9:10" x14ac:dyDescent="0.35">
      <c r="I5639" s="63"/>
      <c r="J5639" s="63"/>
    </row>
    <row r="5640" spans="9:10" x14ac:dyDescent="0.35">
      <c r="I5640" s="63"/>
      <c r="J5640" s="63"/>
    </row>
    <row r="5641" spans="9:10" x14ac:dyDescent="0.35">
      <c r="I5641" s="63"/>
      <c r="J5641" s="63"/>
    </row>
    <row r="5642" spans="9:10" x14ac:dyDescent="0.35">
      <c r="I5642" s="63"/>
      <c r="J5642" s="63"/>
    </row>
    <row r="5643" spans="9:10" x14ac:dyDescent="0.35">
      <c r="I5643" s="63"/>
      <c r="J5643" s="63"/>
    </row>
    <row r="5644" spans="9:10" x14ac:dyDescent="0.35">
      <c r="I5644" s="63"/>
      <c r="J5644" s="63"/>
    </row>
    <row r="5645" spans="9:10" x14ac:dyDescent="0.35">
      <c r="I5645" s="63"/>
      <c r="J5645" s="63"/>
    </row>
    <row r="5646" spans="9:10" x14ac:dyDescent="0.35">
      <c r="I5646" s="63"/>
      <c r="J5646" s="63"/>
    </row>
    <row r="5647" spans="9:10" x14ac:dyDescent="0.35">
      <c r="I5647" s="63"/>
      <c r="J5647" s="63"/>
    </row>
    <row r="5648" spans="9:10" x14ac:dyDescent="0.35">
      <c r="I5648" s="63"/>
      <c r="J5648" s="63"/>
    </row>
    <row r="5649" spans="9:10" x14ac:dyDescent="0.35">
      <c r="I5649" s="63"/>
      <c r="J5649" s="63"/>
    </row>
    <row r="5650" spans="9:10" x14ac:dyDescent="0.35">
      <c r="I5650" s="63"/>
      <c r="J5650" s="63"/>
    </row>
    <row r="5651" spans="9:10" x14ac:dyDescent="0.35">
      <c r="I5651" s="63"/>
      <c r="J5651" s="63"/>
    </row>
    <row r="5652" spans="9:10" x14ac:dyDescent="0.35">
      <c r="I5652" s="63"/>
      <c r="J5652" s="63"/>
    </row>
    <row r="5653" spans="9:10" x14ac:dyDescent="0.35">
      <c r="I5653" s="63"/>
      <c r="J5653" s="63"/>
    </row>
    <row r="5654" spans="9:10" x14ac:dyDescent="0.35">
      <c r="I5654" s="63"/>
      <c r="J5654" s="63"/>
    </row>
    <row r="5655" spans="9:10" x14ac:dyDescent="0.35">
      <c r="I5655" s="63"/>
      <c r="J5655" s="63"/>
    </row>
    <row r="5656" spans="9:10" x14ac:dyDescent="0.35">
      <c r="I5656" s="63"/>
      <c r="J5656" s="63"/>
    </row>
    <row r="5657" spans="9:10" x14ac:dyDescent="0.35">
      <c r="I5657" s="63"/>
      <c r="J5657" s="63"/>
    </row>
    <row r="5658" spans="9:10" x14ac:dyDescent="0.35">
      <c r="I5658" s="63"/>
      <c r="J5658" s="63"/>
    </row>
    <row r="5659" spans="9:10" x14ac:dyDescent="0.35">
      <c r="I5659" s="63"/>
      <c r="J5659" s="63"/>
    </row>
    <row r="5660" spans="9:10" x14ac:dyDescent="0.35">
      <c r="I5660" s="63"/>
      <c r="J5660" s="63"/>
    </row>
    <row r="5661" spans="9:10" x14ac:dyDescent="0.35">
      <c r="I5661" s="63"/>
      <c r="J5661" s="63"/>
    </row>
    <row r="5662" spans="9:10" x14ac:dyDescent="0.35">
      <c r="I5662" s="63"/>
      <c r="J5662" s="63"/>
    </row>
    <row r="5663" spans="9:10" x14ac:dyDescent="0.35">
      <c r="I5663" s="63"/>
      <c r="J5663" s="63"/>
    </row>
    <row r="5664" spans="9:10" x14ac:dyDescent="0.35">
      <c r="I5664" s="63"/>
      <c r="J5664" s="63"/>
    </row>
    <row r="5665" spans="9:10" x14ac:dyDescent="0.35">
      <c r="I5665" s="63"/>
      <c r="J5665" s="63"/>
    </row>
    <row r="5666" spans="9:10" x14ac:dyDescent="0.35">
      <c r="I5666" s="63"/>
      <c r="J5666" s="63"/>
    </row>
    <row r="5667" spans="9:10" x14ac:dyDescent="0.35">
      <c r="I5667" s="63"/>
      <c r="J5667" s="63"/>
    </row>
    <row r="5668" spans="9:10" x14ac:dyDescent="0.35">
      <c r="I5668" s="63"/>
      <c r="J5668" s="63"/>
    </row>
    <row r="5669" spans="9:10" x14ac:dyDescent="0.35">
      <c r="I5669" s="63"/>
      <c r="J5669" s="63"/>
    </row>
    <row r="5670" spans="9:10" x14ac:dyDescent="0.35">
      <c r="I5670" s="63"/>
      <c r="J5670" s="63"/>
    </row>
    <row r="5671" spans="9:10" x14ac:dyDescent="0.35">
      <c r="I5671" s="63"/>
      <c r="J5671" s="63"/>
    </row>
    <row r="5672" spans="9:10" x14ac:dyDescent="0.35">
      <c r="I5672" s="63"/>
      <c r="J5672" s="63"/>
    </row>
    <row r="5673" spans="9:10" x14ac:dyDescent="0.35">
      <c r="I5673" s="63"/>
      <c r="J5673" s="63"/>
    </row>
    <row r="5674" spans="9:10" x14ac:dyDescent="0.35">
      <c r="I5674" s="63"/>
      <c r="J5674" s="63"/>
    </row>
    <row r="5675" spans="9:10" x14ac:dyDescent="0.35">
      <c r="I5675" s="63"/>
      <c r="J5675" s="63"/>
    </row>
    <row r="5676" spans="9:10" x14ac:dyDescent="0.35">
      <c r="I5676" s="63"/>
      <c r="J5676" s="63"/>
    </row>
    <row r="5677" spans="9:10" x14ac:dyDescent="0.35">
      <c r="I5677" s="63"/>
      <c r="J5677" s="63"/>
    </row>
    <row r="5678" spans="9:10" x14ac:dyDescent="0.35">
      <c r="I5678" s="63"/>
      <c r="J5678" s="63"/>
    </row>
    <row r="5679" spans="9:10" x14ac:dyDescent="0.35">
      <c r="I5679" s="63"/>
      <c r="J5679" s="63"/>
    </row>
    <row r="5680" spans="9:10" x14ac:dyDescent="0.35">
      <c r="I5680" s="63"/>
      <c r="J5680" s="63"/>
    </row>
    <row r="5681" spans="9:10" x14ac:dyDescent="0.35">
      <c r="I5681" s="63"/>
      <c r="J5681" s="63"/>
    </row>
    <row r="5682" spans="9:10" x14ac:dyDescent="0.35">
      <c r="I5682" s="63"/>
      <c r="J5682" s="63"/>
    </row>
    <row r="5683" spans="9:10" x14ac:dyDescent="0.35">
      <c r="I5683" s="63"/>
      <c r="J5683" s="63"/>
    </row>
    <row r="5684" spans="9:10" x14ac:dyDescent="0.35">
      <c r="I5684" s="63"/>
      <c r="J5684" s="63"/>
    </row>
    <row r="5685" spans="9:10" x14ac:dyDescent="0.35">
      <c r="I5685" s="63"/>
      <c r="J5685" s="63"/>
    </row>
    <row r="5686" spans="9:10" x14ac:dyDescent="0.35">
      <c r="I5686" s="63"/>
      <c r="J5686" s="63"/>
    </row>
    <row r="5687" spans="9:10" x14ac:dyDescent="0.35">
      <c r="I5687" s="63"/>
      <c r="J5687" s="63"/>
    </row>
    <row r="5688" spans="9:10" x14ac:dyDescent="0.35">
      <c r="I5688" s="63"/>
      <c r="J5688" s="63"/>
    </row>
    <row r="5689" spans="9:10" x14ac:dyDescent="0.35">
      <c r="I5689" s="63"/>
      <c r="J5689" s="63"/>
    </row>
    <row r="5690" spans="9:10" x14ac:dyDescent="0.35">
      <c r="I5690" s="63"/>
      <c r="J5690" s="63"/>
    </row>
    <row r="5691" spans="9:10" x14ac:dyDescent="0.35">
      <c r="I5691" s="63"/>
      <c r="J5691" s="63"/>
    </row>
    <row r="5692" spans="9:10" x14ac:dyDescent="0.35">
      <c r="I5692" s="63"/>
      <c r="J5692" s="63"/>
    </row>
    <row r="5693" spans="9:10" x14ac:dyDescent="0.35">
      <c r="I5693" s="63"/>
      <c r="J5693" s="63"/>
    </row>
    <row r="5694" spans="9:10" x14ac:dyDescent="0.35">
      <c r="I5694" s="63"/>
      <c r="J5694" s="63"/>
    </row>
    <row r="5695" spans="9:10" x14ac:dyDescent="0.35">
      <c r="I5695" s="63"/>
      <c r="J5695" s="63"/>
    </row>
    <row r="5696" spans="9:10" x14ac:dyDescent="0.35">
      <c r="I5696" s="63"/>
      <c r="J5696" s="63"/>
    </row>
    <row r="5697" spans="9:10" x14ac:dyDescent="0.35">
      <c r="I5697" s="63"/>
      <c r="J5697" s="63"/>
    </row>
    <row r="5698" spans="9:10" x14ac:dyDescent="0.35">
      <c r="I5698" s="63"/>
      <c r="J5698" s="63"/>
    </row>
    <row r="5699" spans="9:10" x14ac:dyDescent="0.35">
      <c r="I5699" s="63"/>
      <c r="J5699" s="63"/>
    </row>
    <row r="5700" spans="9:10" x14ac:dyDescent="0.35">
      <c r="I5700" s="63"/>
      <c r="J5700" s="63"/>
    </row>
    <row r="5701" spans="9:10" x14ac:dyDescent="0.35">
      <c r="I5701" s="63"/>
      <c r="J5701" s="63"/>
    </row>
    <row r="5702" spans="9:10" x14ac:dyDescent="0.35">
      <c r="I5702" s="63"/>
      <c r="J5702" s="63"/>
    </row>
    <row r="5703" spans="9:10" x14ac:dyDescent="0.35">
      <c r="I5703" s="63"/>
      <c r="J5703" s="63"/>
    </row>
    <row r="5704" spans="9:10" x14ac:dyDescent="0.35">
      <c r="I5704" s="63"/>
      <c r="J5704" s="63"/>
    </row>
    <row r="5705" spans="9:10" x14ac:dyDescent="0.35">
      <c r="I5705" s="63"/>
      <c r="J5705" s="63"/>
    </row>
    <row r="5706" spans="9:10" x14ac:dyDescent="0.35">
      <c r="I5706" s="63"/>
      <c r="J5706" s="63"/>
    </row>
    <row r="5707" spans="9:10" x14ac:dyDescent="0.35">
      <c r="I5707" s="63"/>
      <c r="J5707" s="63"/>
    </row>
    <row r="5708" spans="9:10" x14ac:dyDescent="0.35">
      <c r="I5708" s="63"/>
      <c r="J5708" s="63"/>
    </row>
    <row r="5709" spans="9:10" x14ac:dyDescent="0.35">
      <c r="I5709" s="63"/>
      <c r="J5709" s="63"/>
    </row>
    <row r="5710" spans="9:10" x14ac:dyDescent="0.35">
      <c r="I5710" s="63"/>
      <c r="J5710" s="63"/>
    </row>
    <row r="5711" spans="9:10" x14ac:dyDescent="0.35">
      <c r="I5711" s="63"/>
      <c r="J5711" s="63"/>
    </row>
    <row r="5712" spans="9:10" x14ac:dyDescent="0.35">
      <c r="I5712" s="63"/>
      <c r="J5712" s="63"/>
    </row>
    <row r="5713" spans="9:10" x14ac:dyDescent="0.35">
      <c r="I5713" s="63"/>
      <c r="J5713" s="63"/>
    </row>
    <row r="5714" spans="9:10" x14ac:dyDescent="0.35">
      <c r="I5714" s="63"/>
      <c r="J5714" s="63"/>
    </row>
    <row r="5715" spans="9:10" x14ac:dyDescent="0.35">
      <c r="I5715" s="63"/>
      <c r="J5715" s="63"/>
    </row>
    <row r="5716" spans="9:10" x14ac:dyDescent="0.35">
      <c r="I5716" s="63"/>
      <c r="J5716" s="63"/>
    </row>
    <row r="5717" spans="9:10" x14ac:dyDescent="0.35">
      <c r="I5717" s="63"/>
      <c r="J5717" s="63"/>
    </row>
    <row r="5718" spans="9:10" x14ac:dyDescent="0.35">
      <c r="I5718" s="63"/>
      <c r="J5718" s="63"/>
    </row>
    <row r="5719" spans="9:10" x14ac:dyDescent="0.35">
      <c r="I5719" s="63"/>
      <c r="J5719" s="63"/>
    </row>
    <row r="5720" spans="9:10" x14ac:dyDescent="0.35">
      <c r="I5720" s="63"/>
      <c r="J5720" s="63"/>
    </row>
    <row r="5721" spans="9:10" x14ac:dyDescent="0.35">
      <c r="I5721" s="63"/>
      <c r="J5721" s="63"/>
    </row>
    <row r="5722" spans="9:10" x14ac:dyDescent="0.35">
      <c r="I5722" s="63"/>
      <c r="J5722" s="63"/>
    </row>
    <row r="5723" spans="9:10" x14ac:dyDescent="0.35">
      <c r="I5723" s="63"/>
      <c r="J5723" s="63"/>
    </row>
    <row r="5724" spans="9:10" x14ac:dyDescent="0.35">
      <c r="I5724" s="63"/>
      <c r="J5724" s="63"/>
    </row>
    <row r="5725" spans="9:10" x14ac:dyDescent="0.35">
      <c r="I5725" s="63"/>
      <c r="J5725" s="63"/>
    </row>
    <row r="5726" spans="9:10" x14ac:dyDescent="0.35">
      <c r="I5726" s="63"/>
      <c r="J5726" s="63"/>
    </row>
    <row r="5727" spans="9:10" x14ac:dyDescent="0.35">
      <c r="I5727" s="63"/>
      <c r="J5727" s="63"/>
    </row>
    <row r="5728" spans="9:10" x14ac:dyDescent="0.35">
      <c r="I5728" s="63"/>
      <c r="J5728" s="63"/>
    </row>
    <row r="5729" spans="9:10" x14ac:dyDescent="0.35">
      <c r="I5729" s="63"/>
      <c r="J5729" s="63"/>
    </row>
    <row r="5730" spans="9:10" x14ac:dyDescent="0.35">
      <c r="I5730" s="63"/>
      <c r="J5730" s="63"/>
    </row>
    <row r="5731" spans="9:10" x14ac:dyDescent="0.35">
      <c r="I5731" s="63"/>
      <c r="J5731" s="63"/>
    </row>
    <row r="5732" spans="9:10" x14ac:dyDescent="0.35">
      <c r="I5732" s="63"/>
      <c r="J5732" s="63"/>
    </row>
    <row r="5733" spans="9:10" x14ac:dyDescent="0.35">
      <c r="I5733" s="63"/>
      <c r="J5733" s="63"/>
    </row>
    <row r="5734" spans="9:10" x14ac:dyDescent="0.35">
      <c r="I5734" s="63"/>
      <c r="J5734" s="63"/>
    </row>
    <row r="5735" spans="9:10" x14ac:dyDescent="0.35">
      <c r="I5735" s="63"/>
      <c r="J5735" s="63"/>
    </row>
    <row r="5736" spans="9:10" x14ac:dyDescent="0.35">
      <c r="I5736" s="63"/>
      <c r="J5736" s="63"/>
    </row>
    <row r="5737" spans="9:10" x14ac:dyDescent="0.35">
      <c r="I5737" s="63"/>
      <c r="J5737" s="63"/>
    </row>
    <row r="5738" spans="9:10" x14ac:dyDescent="0.35">
      <c r="I5738" s="63"/>
      <c r="J5738" s="63"/>
    </row>
    <row r="5739" spans="9:10" x14ac:dyDescent="0.35">
      <c r="I5739" s="63"/>
      <c r="J5739" s="63"/>
    </row>
    <row r="5740" spans="9:10" x14ac:dyDescent="0.35">
      <c r="I5740" s="63"/>
      <c r="J5740" s="63"/>
    </row>
    <row r="5741" spans="9:10" x14ac:dyDescent="0.35">
      <c r="I5741" s="63"/>
      <c r="J5741" s="63"/>
    </row>
    <row r="5742" spans="9:10" x14ac:dyDescent="0.35">
      <c r="I5742" s="63"/>
      <c r="J5742" s="63"/>
    </row>
    <row r="5743" spans="9:10" x14ac:dyDescent="0.35">
      <c r="I5743" s="63"/>
      <c r="J5743" s="63"/>
    </row>
    <row r="5744" spans="9:10" x14ac:dyDescent="0.35">
      <c r="I5744" s="63"/>
      <c r="J5744" s="63"/>
    </row>
    <row r="5745" spans="9:10" x14ac:dyDescent="0.35">
      <c r="I5745" s="63"/>
      <c r="J5745" s="63"/>
    </row>
    <row r="5746" spans="9:10" x14ac:dyDescent="0.35">
      <c r="I5746" s="63"/>
      <c r="J5746" s="63"/>
    </row>
    <row r="5747" spans="9:10" x14ac:dyDescent="0.35">
      <c r="I5747" s="63"/>
      <c r="J5747" s="63"/>
    </row>
    <row r="5748" spans="9:10" x14ac:dyDescent="0.35">
      <c r="I5748" s="63"/>
      <c r="J5748" s="63"/>
    </row>
    <row r="5749" spans="9:10" x14ac:dyDescent="0.35">
      <c r="I5749" s="63"/>
      <c r="J5749" s="63"/>
    </row>
    <row r="5750" spans="9:10" x14ac:dyDescent="0.35">
      <c r="I5750" s="63"/>
      <c r="J5750" s="63"/>
    </row>
    <row r="5751" spans="9:10" x14ac:dyDescent="0.35">
      <c r="I5751" s="63"/>
      <c r="J5751" s="63"/>
    </row>
    <row r="5752" spans="9:10" x14ac:dyDescent="0.35">
      <c r="I5752" s="63"/>
      <c r="J5752" s="63"/>
    </row>
    <row r="5753" spans="9:10" x14ac:dyDescent="0.35">
      <c r="I5753" s="63"/>
      <c r="J5753" s="63"/>
    </row>
    <row r="5754" spans="9:10" x14ac:dyDescent="0.35">
      <c r="I5754" s="63"/>
      <c r="J5754" s="63"/>
    </row>
    <row r="5755" spans="9:10" x14ac:dyDescent="0.35">
      <c r="I5755" s="63"/>
      <c r="J5755" s="63"/>
    </row>
    <row r="5756" spans="9:10" x14ac:dyDescent="0.35">
      <c r="I5756" s="63"/>
      <c r="J5756" s="63"/>
    </row>
    <row r="5757" spans="9:10" x14ac:dyDescent="0.35">
      <c r="I5757" s="63"/>
      <c r="J5757" s="63"/>
    </row>
    <row r="5758" spans="9:10" x14ac:dyDescent="0.35">
      <c r="I5758" s="63"/>
      <c r="J5758" s="63"/>
    </row>
    <row r="5759" spans="9:10" x14ac:dyDescent="0.35">
      <c r="I5759" s="63"/>
      <c r="J5759" s="63"/>
    </row>
    <row r="5760" spans="9:10" x14ac:dyDescent="0.35">
      <c r="I5760" s="63"/>
      <c r="J5760" s="63"/>
    </row>
    <row r="5761" spans="9:10" x14ac:dyDescent="0.35">
      <c r="I5761" s="63"/>
      <c r="J5761" s="63"/>
    </row>
    <row r="5762" spans="9:10" x14ac:dyDescent="0.35">
      <c r="I5762" s="63"/>
      <c r="J5762" s="63"/>
    </row>
    <row r="5763" spans="9:10" x14ac:dyDescent="0.35">
      <c r="I5763" s="63"/>
      <c r="J5763" s="63"/>
    </row>
    <row r="5764" spans="9:10" x14ac:dyDescent="0.35">
      <c r="I5764" s="63"/>
      <c r="J5764" s="63"/>
    </row>
    <row r="5765" spans="9:10" x14ac:dyDescent="0.35">
      <c r="I5765" s="63"/>
      <c r="J5765" s="63"/>
    </row>
    <row r="5766" spans="9:10" x14ac:dyDescent="0.35">
      <c r="I5766" s="63"/>
      <c r="J5766" s="63"/>
    </row>
    <row r="5767" spans="9:10" x14ac:dyDescent="0.35">
      <c r="I5767" s="63"/>
      <c r="J5767" s="63"/>
    </row>
    <row r="5768" spans="9:10" x14ac:dyDescent="0.35">
      <c r="I5768" s="63"/>
      <c r="J5768" s="63"/>
    </row>
    <row r="5769" spans="9:10" x14ac:dyDescent="0.35">
      <c r="I5769" s="63"/>
      <c r="J5769" s="63"/>
    </row>
    <row r="5770" spans="9:10" x14ac:dyDescent="0.35">
      <c r="I5770" s="63"/>
      <c r="J5770" s="63"/>
    </row>
    <row r="5771" spans="9:10" x14ac:dyDescent="0.35">
      <c r="I5771" s="63"/>
      <c r="J5771" s="63"/>
    </row>
    <row r="5772" spans="9:10" x14ac:dyDescent="0.35">
      <c r="I5772" s="63"/>
      <c r="J5772" s="63"/>
    </row>
    <row r="5773" spans="9:10" x14ac:dyDescent="0.35">
      <c r="I5773" s="63"/>
      <c r="J5773" s="63"/>
    </row>
    <row r="5774" spans="9:10" x14ac:dyDescent="0.35">
      <c r="I5774" s="63"/>
      <c r="J5774" s="63"/>
    </row>
    <row r="5775" spans="9:10" x14ac:dyDescent="0.35">
      <c r="I5775" s="63"/>
      <c r="J5775" s="63"/>
    </row>
    <row r="5776" spans="9:10" x14ac:dyDescent="0.35">
      <c r="I5776" s="63"/>
      <c r="J5776" s="63"/>
    </row>
    <row r="5777" spans="9:10" x14ac:dyDescent="0.35">
      <c r="I5777" s="63"/>
      <c r="J5777" s="63"/>
    </row>
    <row r="5778" spans="9:10" x14ac:dyDescent="0.35">
      <c r="I5778" s="63"/>
      <c r="J5778" s="63"/>
    </row>
    <row r="5779" spans="9:10" x14ac:dyDescent="0.35">
      <c r="I5779" s="63"/>
      <c r="J5779" s="63"/>
    </row>
    <row r="5780" spans="9:10" x14ac:dyDescent="0.35">
      <c r="I5780" s="63"/>
      <c r="J5780" s="63"/>
    </row>
    <row r="5781" spans="9:10" x14ac:dyDescent="0.35">
      <c r="I5781" s="63"/>
      <c r="J5781" s="63"/>
    </row>
    <row r="5782" spans="9:10" x14ac:dyDescent="0.35">
      <c r="I5782" s="63"/>
      <c r="J5782" s="63"/>
    </row>
    <row r="5783" spans="9:10" x14ac:dyDescent="0.35">
      <c r="I5783" s="63"/>
      <c r="J5783" s="63"/>
    </row>
    <row r="5784" spans="9:10" x14ac:dyDescent="0.35">
      <c r="I5784" s="63"/>
      <c r="J5784" s="63"/>
    </row>
    <row r="5785" spans="9:10" x14ac:dyDescent="0.35">
      <c r="I5785" s="63"/>
      <c r="J5785" s="63"/>
    </row>
    <row r="5786" spans="9:10" x14ac:dyDescent="0.35">
      <c r="I5786" s="63"/>
      <c r="J5786" s="63"/>
    </row>
    <row r="5787" spans="9:10" x14ac:dyDescent="0.35">
      <c r="I5787" s="63"/>
      <c r="J5787" s="63"/>
    </row>
    <row r="5788" spans="9:10" x14ac:dyDescent="0.35">
      <c r="I5788" s="63"/>
      <c r="J5788" s="63"/>
    </row>
    <row r="5789" spans="9:10" x14ac:dyDescent="0.35">
      <c r="I5789" s="63"/>
      <c r="J5789" s="63"/>
    </row>
    <row r="5790" spans="9:10" x14ac:dyDescent="0.35">
      <c r="I5790" s="63"/>
      <c r="J5790" s="63"/>
    </row>
    <row r="5791" spans="9:10" x14ac:dyDescent="0.35">
      <c r="I5791" s="63"/>
      <c r="J5791" s="63"/>
    </row>
    <row r="5792" spans="9:10" x14ac:dyDescent="0.35">
      <c r="I5792" s="63"/>
      <c r="J5792" s="63"/>
    </row>
    <row r="5793" spans="9:10" x14ac:dyDescent="0.35">
      <c r="I5793" s="63"/>
      <c r="J5793" s="63"/>
    </row>
    <row r="5794" spans="9:10" x14ac:dyDescent="0.35">
      <c r="I5794" s="63"/>
      <c r="J5794" s="63"/>
    </row>
    <row r="5795" spans="9:10" x14ac:dyDescent="0.35">
      <c r="I5795" s="63"/>
      <c r="J5795" s="63"/>
    </row>
    <row r="5796" spans="9:10" x14ac:dyDescent="0.35">
      <c r="I5796" s="63"/>
      <c r="J5796" s="63"/>
    </row>
    <row r="5797" spans="9:10" x14ac:dyDescent="0.35">
      <c r="I5797" s="63"/>
      <c r="J5797" s="63"/>
    </row>
    <row r="5798" spans="9:10" x14ac:dyDescent="0.35">
      <c r="I5798" s="63"/>
      <c r="J5798" s="63"/>
    </row>
    <row r="5799" spans="9:10" x14ac:dyDescent="0.35">
      <c r="I5799" s="63"/>
      <c r="J5799" s="63"/>
    </row>
    <row r="5800" spans="9:10" x14ac:dyDescent="0.35">
      <c r="I5800" s="63"/>
      <c r="J5800" s="63"/>
    </row>
    <row r="5801" spans="9:10" x14ac:dyDescent="0.35">
      <c r="I5801" s="63"/>
      <c r="J5801" s="63"/>
    </row>
    <row r="5802" spans="9:10" x14ac:dyDescent="0.35">
      <c r="I5802" s="63"/>
      <c r="J5802" s="63"/>
    </row>
    <row r="5803" spans="9:10" x14ac:dyDescent="0.35">
      <c r="I5803" s="63"/>
      <c r="J5803" s="63"/>
    </row>
    <row r="5804" spans="9:10" x14ac:dyDescent="0.35">
      <c r="I5804" s="63"/>
      <c r="J5804" s="63"/>
    </row>
    <row r="5805" spans="9:10" x14ac:dyDescent="0.35">
      <c r="I5805" s="63"/>
      <c r="J5805" s="63"/>
    </row>
    <row r="5806" spans="9:10" x14ac:dyDescent="0.35">
      <c r="I5806" s="63"/>
      <c r="J5806" s="63"/>
    </row>
    <row r="5807" spans="9:10" x14ac:dyDescent="0.35">
      <c r="I5807" s="63"/>
      <c r="J5807" s="63"/>
    </row>
    <row r="5808" spans="9:10" x14ac:dyDescent="0.35">
      <c r="I5808" s="63"/>
      <c r="J5808" s="63"/>
    </row>
    <row r="5809" spans="9:10" x14ac:dyDescent="0.35">
      <c r="I5809" s="63"/>
      <c r="J5809" s="63"/>
    </row>
    <row r="5810" spans="9:10" x14ac:dyDescent="0.35">
      <c r="I5810" s="63"/>
      <c r="J5810" s="63"/>
    </row>
    <row r="5811" spans="9:10" x14ac:dyDescent="0.35">
      <c r="I5811" s="63"/>
      <c r="J5811" s="63"/>
    </row>
    <row r="5812" spans="9:10" x14ac:dyDescent="0.35">
      <c r="I5812" s="63"/>
      <c r="J5812" s="63"/>
    </row>
    <row r="5813" spans="9:10" x14ac:dyDescent="0.35">
      <c r="I5813" s="63"/>
      <c r="J5813" s="63"/>
    </row>
    <row r="5814" spans="9:10" x14ac:dyDescent="0.35">
      <c r="I5814" s="63"/>
      <c r="J5814" s="63"/>
    </row>
    <row r="5815" spans="9:10" x14ac:dyDescent="0.35">
      <c r="I5815" s="63"/>
      <c r="J5815" s="63"/>
    </row>
    <row r="5816" spans="9:10" x14ac:dyDescent="0.35">
      <c r="I5816" s="63"/>
      <c r="J5816" s="63"/>
    </row>
    <row r="5817" spans="9:10" x14ac:dyDescent="0.35">
      <c r="I5817" s="63"/>
      <c r="J5817" s="63"/>
    </row>
    <row r="5818" spans="9:10" x14ac:dyDescent="0.35">
      <c r="I5818" s="63"/>
      <c r="J5818" s="63"/>
    </row>
    <row r="5819" spans="9:10" x14ac:dyDescent="0.35">
      <c r="I5819" s="63"/>
      <c r="J5819" s="63"/>
    </row>
    <row r="5820" spans="9:10" x14ac:dyDescent="0.35">
      <c r="I5820" s="63"/>
      <c r="J5820" s="63"/>
    </row>
    <row r="5821" spans="9:10" x14ac:dyDescent="0.35">
      <c r="I5821" s="63"/>
      <c r="J5821" s="63"/>
    </row>
    <row r="5822" spans="9:10" x14ac:dyDescent="0.35">
      <c r="I5822" s="63"/>
      <c r="J5822" s="63"/>
    </row>
    <row r="5823" spans="9:10" x14ac:dyDescent="0.35">
      <c r="I5823" s="63"/>
      <c r="J5823" s="63"/>
    </row>
    <row r="5824" spans="9:10" x14ac:dyDescent="0.35">
      <c r="I5824" s="63"/>
      <c r="J5824" s="63"/>
    </row>
    <row r="5825" spans="9:10" x14ac:dyDescent="0.35">
      <c r="I5825" s="63"/>
      <c r="J5825" s="63"/>
    </row>
    <row r="5826" spans="9:10" x14ac:dyDescent="0.35">
      <c r="I5826" s="63"/>
      <c r="J5826" s="63"/>
    </row>
    <row r="5827" spans="9:10" x14ac:dyDescent="0.35">
      <c r="I5827" s="63"/>
      <c r="J5827" s="63"/>
    </row>
    <row r="5828" spans="9:10" x14ac:dyDescent="0.35">
      <c r="I5828" s="63"/>
      <c r="J5828" s="63"/>
    </row>
    <row r="5829" spans="9:10" x14ac:dyDescent="0.35">
      <c r="I5829" s="63"/>
      <c r="J5829" s="63"/>
    </row>
    <row r="5830" spans="9:10" x14ac:dyDescent="0.35">
      <c r="I5830" s="63"/>
      <c r="J5830" s="63"/>
    </row>
    <row r="5831" spans="9:10" x14ac:dyDescent="0.35">
      <c r="I5831" s="63"/>
      <c r="J5831" s="63"/>
    </row>
    <row r="5832" spans="9:10" x14ac:dyDescent="0.35">
      <c r="I5832" s="63"/>
      <c r="J5832" s="63"/>
    </row>
    <row r="5833" spans="9:10" x14ac:dyDescent="0.35">
      <c r="I5833" s="63"/>
      <c r="J5833" s="63"/>
    </row>
    <row r="5834" spans="9:10" x14ac:dyDescent="0.35">
      <c r="I5834" s="63"/>
      <c r="J5834" s="63"/>
    </row>
    <row r="5835" spans="9:10" x14ac:dyDescent="0.35">
      <c r="I5835" s="63"/>
      <c r="J5835" s="63"/>
    </row>
    <row r="5836" spans="9:10" x14ac:dyDescent="0.35">
      <c r="I5836" s="63"/>
      <c r="J5836" s="63"/>
    </row>
    <row r="5837" spans="9:10" x14ac:dyDescent="0.35">
      <c r="I5837" s="63"/>
      <c r="J5837" s="63"/>
    </row>
    <row r="5838" spans="9:10" x14ac:dyDescent="0.35">
      <c r="I5838" s="63"/>
      <c r="J5838" s="63"/>
    </row>
    <row r="5839" spans="9:10" x14ac:dyDescent="0.35">
      <c r="I5839" s="63"/>
      <c r="J5839" s="63"/>
    </row>
    <row r="5840" spans="9:10" x14ac:dyDescent="0.35">
      <c r="I5840" s="63"/>
      <c r="J5840" s="63"/>
    </row>
    <row r="5841" spans="9:10" x14ac:dyDescent="0.35">
      <c r="I5841" s="63"/>
      <c r="J5841" s="63"/>
    </row>
    <row r="5842" spans="9:10" x14ac:dyDescent="0.35">
      <c r="I5842" s="63"/>
      <c r="J5842" s="63"/>
    </row>
    <row r="5843" spans="9:10" x14ac:dyDescent="0.35">
      <c r="I5843" s="63"/>
      <c r="J5843" s="63"/>
    </row>
    <row r="5844" spans="9:10" x14ac:dyDescent="0.35">
      <c r="I5844" s="63"/>
      <c r="J5844" s="63"/>
    </row>
    <row r="5845" spans="9:10" x14ac:dyDescent="0.35">
      <c r="I5845" s="63"/>
      <c r="J5845" s="63"/>
    </row>
    <row r="5846" spans="9:10" x14ac:dyDescent="0.35">
      <c r="I5846" s="63"/>
      <c r="J5846" s="63"/>
    </row>
    <row r="5847" spans="9:10" x14ac:dyDescent="0.35">
      <c r="I5847" s="63"/>
      <c r="J5847" s="63"/>
    </row>
    <row r="5848" spans="9:10" x14ac:dyDescent="0.35">
      <c r="I5848" s="63"/>
      <c r="J5848" s="63"/>
    </row>
    <row r="5849" spans="9:10" x14ac:dyDescent="0.35">
      <c r="I5849" s="63"/>
      <c r="J5849" s="63"/>
    </row>
    <row r="5850" spans="9:10" x14ac:dyDescent="0.35">
      <c r="I5850" s="63"/>
      <c r="J5850" s="63"/>
    </row>
    <row r="5851" spans="9:10" x14ac:dyDescent="0.35">
      <c r="I5851" s="63"/>
      <c r="J5851" s="63"/>
    </row>
    <row r="5852" spans="9:10" x14ac:dyDescent="0.35">
      <c r="I5852" s="63"/>
      <c r="J5852" s="63"/>
    </row>
    <row r="5853" spans="9:10" x14ac:dyDescent="0.35">
      <c r="I5853" s="63"/>
      <c r="J5853" s="63"/>
    </row>
    <row r="5854" spans="9:10" x14ac:dyDescent="0.35">
      <c r="I5854" s="63"/>
      <c r="J5854" s="63"/>
    </row>
    <row r="5855" spans="9:10" x14ac:dyDescent="0.35">
      <c r="I5855" s="63"/>
      <c r="J5855" s="63"/>
    </row>
    <row r="5856" spans="9:10" x14ac:dyDescent="0.35">
      <c r="I5856" s="63"/>
      <c r="J5856" s="63"/>
    </row>
    <row r="5857" spans="9:10" x14ac:dyDescent="0.35">
      <c r="I5857" s="63"/>
      <c r="J5857" s="63"/>
    </row>
    <row r="5858" spans="9:10" x14ac:dyDescent="0.35">
      <c r="I5858" s="63"/>
      <c r="J5858" s="63"/>
    </row>
    <row r="5859" spans="9:10" x14ac:dyDescent="0.35">
      <c r="I5859" s="63"/>
      <c r="J5859" s="63"/>
    </row>
    <row r="5860" spans="9:10" x14ac:dyDescent="0.35">
      <c r="I5860" s="63"/>
      <c r="J5860" s="63"/>
    </row>
    <row r="5861" spans="9:10" x14ac:dyDescent="0.35">
      <c r="I5861" s="63"/>
      <c r="J5861" s="63"/>
    </row>
    <row r="5862" spans="9:10" x14ac:dyDescent="0.35">
      <c r="I5862" s="63"/>
      <c r="J5862" s="63"/>
    </row>
    <row r="5863" spans="9:10" x14ac:dyDescent="0.35">
      <c r="I5863" s="63"/>
      <c r="J5863" s="63"/>
    </row>
    <row r="5864" spans="9:10" x14ac:dyDescent="0.35">
      <c r="I5864" s="63"/>
      <c r="J5864" s="63"/>
    </row>
    <row r="5865" spans="9:10" x14ac:dyDescent="0.35">
      <c r="I5865" s="63"/>
      <c r="J5865" s="63"/>
    </row>
    <row r="5866" spans="9:10" x14ac:dyDescent="0.35">
      <c r="I5866" s="63"/>
      <c r="J5866" s="63"/>
    </row>
    <row r="5867" spans="9:10" x14ac:dyDescent="0.35">
      <c r="I5867" s="63"/>
      <c r="J5867" s="63"/>
    </row>
    <row r="5868" spans="9:10" x14ac:dyDescent="0.35">
      <c r="I5868" s="63"/>
      <c r="J5868" s="63"/>
    </row>
    <row r="5869" spans="9:10" x14ac:dyDescent="0.35">
      <c r="I5869" s="63"/>
      <c r="J5869" s="63"/>
    </row>
    <row r="5870" spans="9:10" x14ac:dyDescent="0.35">
      <c r="I5870" s="63"/>
      <c r="J5870" s="63"/>
    </row>
    <row r="5871" spans="9:10" x14ac:dyDescent="0.35">
      <c r="I5871" s="63"/>
      <c r="J5871" s="63"/>
    </row>
    <row r="5872" spans="9:10" x14ac:dyDescent="0.35">
      <c r="I5872" s="63"/>
      <c r="J5872" s="63"/>
    </row>
    <row r="5873" spans="9:10" x14ac:dyDescent="0.35">
      <c r="I5873" s="63"/>
      <c r="J5873" s="63"/>
    </row>
    <row r="5874" spans="9:10" x14ac:dyDescent="0.35">
      <c r="I5874" s="63"/>
      <c r="J5874" s="63"/>
    </row>
    <row r="5875" spans="9:10" x14ac:dyDescent="0.35">
      <c r="I5875" s="63"/>
      <c r="J5875" s="63"/>
    </row>
    <row r="5876" spans="9:10" x14ac:dyDescent="0.35">
      <c r="I5876" s="63"/>
      <c r="J5876" s="63"/>
    </row>
    <row r="5877" spans="9:10" x14ac:dyDescent="0.35">
      <c r="I5877" s="63"/>
      <c r="J5877" s="63"/>
    </row>
    <row r="5878" spans="9:10" x14ac:dyDescent="0.35">
      <c r="I5878" s="63"/>
      <c r="J5878" s="63"/>
    </row>
    <row r="5879" spans="9:10" x14ac:dyDescent="0.35">
      <c r="I5879" s="63"/>
      <c r="J5879" s="63"/>
    </row>
    <row r="5880" spans="9:10" x14ac:dyDescent="0.35">
      <c r="I5880" s="63"/>
      <c r="J5880" s="63"/>
    </row>
    <row r="5881" spans="9:10" x14ac:dyDescent="0.35">
      <c r="I5881" s="63"/>
      <c r="J5881" s="63"/>
    </row>
    <row r="5882" spans="9:10" x14ac:dyDescent="0.35">
      <c r="I5882" s="63"/>
      <c r="J5882" s="63"/>
    </row>
    <row r="5883" spans="9:10" x14ac:dyDescent="0.35">
      <c r="I5883" s="63"/>
      <c r="J5883" s="63"/>
    </row>
    <row r="5884" spans="9:10" x14ac:dyDescent="0.35">
      <c r="I5884" s="63"/>
      <c r="J5884" s="63"/>
    </row>
    <row r="5885" spans="9:10" x14ac:dyDescent="0.35">
      <c r="I5885" s="63"/>
      <c r="J5885" s="63"/>
    </row>
    <row r="5886" spans="9:10" x14ac:dyDescent="0.35">
      <c r="I5886" s="63"/>
      <c r="J5886" s="63"/>
    </row>
    <row r="5887" spans="9:10" x14ac:dyDescent="0.35">
      <c r="I5887" s="63"/>
      <c r="J5887" s="63"/>
    </row>
    <row r="5888" spans="9:10" x14ac:dyDescent="0.35">
      <c r="I5888" s="63"/>
      <c r="J5888" s="63"/>
    </row>
    <row r="5889" spans="9:10" x14ac:dyDescent="0.35">
      <c r="I5889" s="63"/>
      <c r="J5889" s="63"/>
    </row>
    <row r="5890" spans="9:10" x14ac:dyDescent="0.35">
      <c r="I5890" s="63"/>
      <c r="J5890" s="63"/>
    </row>
    <row r="5891" spans="9:10" x14ac:dyDescent="0.35">
      <c r="I5891" s="63"/>
      <c r="J5891" s="63"/>
    </row>
    <row r="5892" spans="9:10" x14ac:dyDescent="0.35">
      <c r="I5892" s="63"/>
      <c r="J5892" s="63"/>
    </row>
    <row r="5893" spans="9:10" x14ac:dyDescent="0.35">
      <c r="I5893" s="63"/>
      <c r="J5893" s="63"/>
    </row>
    <row r="5894" spans="9:10" x14ac:dyDescent="0.35">
      <c r="I5894" s="63"/>
      <c r="J5894" s="63"/>
    </row>
    <row r="5895" spans="9:10" x14ac:dyDescent="0.35">
      <c r="I5895" s="63"/>
      <c r="J5895" s="63"/>
    </row>
    <row r="5896" spans="9:10" x14ac:dyDescent="0.35">
      <c r="I5896" s="63"/>
      <c r="J5896" s="63"/>
    </row>
    <row r="5897" spans="9:10" x14ac:dyDescent="0.35">
      <c r="I5897" s="63"/>
      <c r="J5897" s="63"/>
    </row>
    <row r="5898" spans="9:10" x14ac:dyDescent="0.35">
      <c r="I5898" s="63"/>
      <c r="J5898" s="63"/>
    </row>
    <row r="5899" spans="9:10" x14ac:dyDescent="0.35">
      <c r="I5899" s="63"/>
      <c r="J5899" s="63"/>
    </row>
    <row r="5900" spans="9:10" x14ac:dyDescent="0.35">
      <c r="I5900" s="63"/>
      <c r="J5900" s="63"/>
    </row>
    <row r="5901" spans="9:10" x14ac:dyDescent="0.35">
      <c r="I5901" s="63"/>
      <c r="J5901" s="63"/>
    </row>
    <row r="5902" spans="9:10" x14ac:dyDescent="0.35">
      <c r="I5902" s="63"/>
      <c r="J5902" s="63"/>
    </row>
    <row r="5903" spans="9:10" x14ac:dyDescent="0.35">
      <c r="I5903" s="63"/>
      <c r="J5903" s="63"/>
    </row>
    <row r="5904" spans="9:10" x14ac:dyDescent="0.35">
      <c r="I5904" s="63"/>
      <c r="J5904" s="63"/>
    </row>
    <row r="5905" spans="9:10" x14ac:dyDescent="0.35">
      <c r="I5905" s="63"/>
      <c r="J5905" s="63"/>
    </row>
    <row r="5906" spans="9:10" x14ac:dyDescent="0.35">
      <c r="I5906" s="63"/>
      <c r="J5906" s="63"/>
    </row>
    <row r="5907" spans="9:10" x14ac:dyDescent="0.35">
      <c r="I5907" s="63"/>
      <c r="J5907" s="63"/>
    </row>
    <row r="5908" spans="9:10" x14ac:dyDescent="0.35">
      <c r="I5908" s="63"/>
      <c r="J5908" s="63"/>
    </row>
    <row r="5909" spans="9:10" x14ac:dyDescent="0.35">
      <c r="I5909" s="63"/>
      <c r="J5909" s="63"/>
    </row>
    <row r="5910" spans="9:10" x14ac:dyDescent="0.35">
      <c r="I5910" s="63"/>
      <c r="J5910" s="63"/>
    </row>
    <row r="5911" spans="9:10" x14ac:dyDescent="0.35">
      <c r="I5911" s="63"/>
      <c r="J5911" s="63"/>
    </row>
    <row r="5912" spans="9:10" x14ac:dyDescent="0.35">
      <c r="I5912" s="63"/>
      <c r="J5912" s="63"/>
    </row>
    <row r="5913" spans="9:10" x14ac:dyDescent="0.35">
      <c r="I5913" s="63"/>
      <c r="J5913" s="63"/>
    </row>
    <row r="5914" spans="9:10" x14ac:dyDescent="0.35">
      <c r="I5914" s="63"/>
      <c r="J5914" s="63"/>
    </row>
    <row r="5915" spans="9:10" x14ac:dyDescent="0.35">
      <c r="I5915" s="63"/>
      <c r="J5915" s="63"/>
    </row>
    <row r="5916" spans="9:10" x14ac:dyDescent="0.35">
      <c r="I5916" s="63"/>
      <c r="J5916" s="63"/>
    </row>
    <row r="5917" spans="9:10" x14ac:dyDescent="0.35">
      <c r="I5917" s="63"/>
      <c r="J5917" s="63"/>
    </row>
    <row r="5918" spans="9:10" x14ac:dyDescent="0.35">
      <c r="I5918" s="63"/>
      <c r="J5918" s="63"/>
    </row>
    <row r="5919" spans="9:10" x14ac:dyDescent="0.35">
      <c r="I5919" s="63"/>
      <c r="J5919" s="63"/>
    </row>
    <row r="5920" spans="9:10" x14ac:dyDescent="0.35">
      <c r="I5920" s="63"/>
      <c r="J5920" s="63"/>
    </row>
    <row r="5921" spans="9:10" x14ac:dyDescent="0.35">
      <c r="I5921" s="63"/>
      <c r="J5921" s="63"/>
    </row>
    <row r="5922" spans="9:10" x14ac:dyDescent="0.35">
      <c r="I5922" s="63"/>
      <c r="J5922" s="63"/>
    </row>
    <row r="5923" spans="9:10" x14ac:dyDescent="0.35">
      <c r="I5923" s="63"/>
      <c r="J5923" s="63"/>
    </row>
    <row r="5924" spans="9:10" x14ac:dyDescent="0.35">
      <c r="I5924" s="63"/>
      <c r="J5924" s="63"/>
    </row>
    <row r="5925" spans="9:10" x14ac:dyDescent="0.35">
      <c r="I5925" s="63"/>
      <c r="J5925" s="63"/>
    </row>
    <row r="5926" spans="9:10" x14ac:dyDescent="0.35">
      <c r="I5926" s="63"/>
      <c r="J5926" s="63"/>
    </row>
    <row r="5927" spans="9:10" x14ac:dyDescent="0.35">
      <c r="I5927" s="63"/>
      <c r="J5927" s="63"/>
    </row>
    <row r="5928" spans="9:10" x14ac:dyDescent="0.35">
      <c r="I5928" s="63"/>
      <c r="J5928" s="63"/>
    </row>
    <row r="5929" spans="9:10" x14ac:dyDescent="0.35">
      <c r="I5929" s="63"/>
      <c r="J5929" s="63"/>
    </row>
    <row r="5930" spans="9:10" x14ac:dyDescent="0.35">
      <c r="I5930" s="63"/>
      <c r="J5930" s="63"/>
    </row>
    <row r="5931" spans="9:10" x14ac:dyDescent="0.35">
      <c r="I5931" s="63"/>
      <c r="J5931" s="63"/>
    </row>
    <row r="5932" spans="9:10" x14ac:dyDescent="0.35">
      <c r="I5932" s="63"/>
      <c r="J5932" s="63"/>
    </row>
    <row r="5933" spans="9:10" x14ac:dyDescent="0.35">
      <c r="I5933" s="63"/>
      <c r="J5933" s="63"/>
    </row>
    <row r="5934" spans="9:10" x14ac:dyDescent="0.35">
      <c r="I5934" s="63"/>
      <c r="J5934" s="63"/>
    </row>
    <row r="5935" spans="9:10" x14ac:dyDescent="0.35">
      <c r="I5935" s="63"/>
      <c r="J5935" s="63"/>
    </row>
    <row r="5936" spans="9:10" x14ac:dyDescent="0.35">
      <c r="I5936" s="63"/>
      <c r="J5936" s="63"/>
    </row>
    <row r="5937" spans="9:10" x14ac:dyDescent="0.35">
      <c r="I5937" s="63"/>
      <c r="J5937" s="63"/>
    </row>
    <row r="5938" spans="9:10" x14ac:dyDescent="0.35">
      <c r="I5938" s="63"/>
      <c r="J5938" s="63"/>
    </row>
    <row r="5939" spans="9:10" x14ac:dyDescent="0.35">
      <c r="I5939" s="63"/>
      <c r="J5939" s="63"/>
    </row>
    <row r="5940" spans="9:10" x14ac:dyDescent="0.35">
      <c r="I5940" s="63"/>
      <c r="J5940" s="63"/>
    </row>
    <row r="5941" spans="9:10" x14ac:dyDescent="0.35">
      <c r="I5941" s="63"/>
      <c r="J5941" s="63"/>
    </row>
    <row r="5942" spans="9:10" x14ac:dyDescent="0.35">
      <c r="I5942" s="63"/>
      <c r="J5942" s="63"/>
    </row>
    <row r="5943" spans="9:10" x14ac:dyDescent="0.35">
      <c r="I5943" s="63"/>
      <c r="J5943" s="63"/>
    </row>
    <row r="5944" spans="9:10" x14ac:dyDescent="0.35">
      <c r="I5944" s="63"/>
      <c r="J5944" s="63"/>
    </row>
    <row r="5945" spans="9:10" x14ac:dyDescent="0.35">
      <c r="I5945" s="63"/>
      <c r="J5945" s="63"/>
    </row>
    <row r="5946" spans="9:10" x14ac:dyDescent="0.35">
      <c r="I5946" s="63"/>
      <c r="J5946" s="63"/>
    </row>
    <row r="5947" spans="9:10" x14ac:dyDescent="0.35">
      <c r="I5947" s="63"/>
      <c r="J5947" s="63"/>
    </row>
    <row r="5948" spans="9:10" x14ac:dyDescent="0.35">
      <c r="I5948" s="63"/>
      <c r="J5948" s="63"/>
    </row>
    <row r="5949" spans="9:10" x14ac:dyDescent="0.35">
      <c r="I5949" s="63"/>
      <c r="J5949" s="63"/>
    </row>
    <row r="5950" spans="9:10" x14ac:dyDescent="0.35">
      <c r="I5950" s="63"/>
      <c r="J5950" s="63"/>
    </row>
    <row r="5951" spans="9:10" x14ac:dyDescent="0.35">
      <c r="I5951" s="63"/>
      <c r="J5951" s="63"/>
    </row>
    <row r="5952" spans="9:10" x14ac:dyDescent="0.35">
      <c r="I5952" s="63"/>
      <c r="J5952" s="63"/>
    </row>
    <row r="5953" spans="9:10" x14ac:dyDescent="0.35">
      <c r="I5953" s="63"/>
      <c r="J5953" s="63"/>
    </row>
    <row r="5954" spans="9:10" x14ac:dyDescent="0.35">
      <c r="I5954" s="63"/>
      <c r="J5954" s="63"/>
    </row>
    <row r="5955" spans="9:10" x14ac:dyDescent="0.35">
      <c r="I5955" s="63"/>
      <c r="J5955" s="63"/>
    </row>
    <row r="5956" spans="9:10" x14ac:dyDescent="0.35">
      <c r="I5956" s="63"/>
      <c r="J5956" s="63"/>
    </row>
    <row r="5957" spans="9:10" x14ac:dyDescent="0.35">
      <c r="I5957" s="63"/>
      <c r="J5957" s="63"/>
    </row>
    <row r="5958" spans="9:10" x14ac:dyDescent="0.35">
      <c r="I5958" s="63"/>
      <c r="J5958" s="63"/>
    </row>
    <row r="5959" spans="9:10" x14ac:dyDescent="0.35">
      <c r="I5959" s="63"/>
      <c r="J5959" s="63"/>
    </row>
    <row r="5960" spans="9:10" x14ac:dyDescent="0.35">
      <c r="I5960" s="63"/>
      <c r="J5960" s="63"/>
    </row>
    <row r="5961" spans="9:10" x14ac:dyDescent="0.35">
      <c r="I5961" s="63"/>
      <c r="J5961" s="63"/>
    </row>
    <row r="5962" spans="9:10" x14ac:dyDescent="0.35">
      <c r="I5962" s="63"/>
      <c r="J5962" s="63"/>
    </row>
    <row r="5963" spans="9:10" x14ac:dyDescent="0.35">
      <c r="I5963" s="63"/>
      <c r="J5963" s="63"/>
    </row>
    <row r="5964" spans="9:10" x14ac:dyDescent="0.35">
      <c r="I5964" s="63"/>
      <c r="J5964" s="63"/>
    </row>
    <row r="5965" spans="9:10" x14ac:dyDescent="0.35">
      <c r="I5965" s="63"/>
      <c r="J5965" s="63"/>
    </row>
    <row r="5966" spans="9:10" x14ac:dyDescent="0.35">
      <c r="I5966" s="63"/>
      <c r="J5966" s="63"/>
    </row>
    <row r="5967" spans="9:10" x14ac:dyDescent="0.35">
      <c r="I5967" s="63"/>
      <c r="J5967" s="63"/>
    </row>
    <row r="5968" spans="9:10" x14ac:dyDescent="0.35">
      <c r="I5968" s="63"/>
      <c r="J5968" s="63"/>
    </row>
    <row r="5969" spans="9:10" x14ac:dyDescent="0.35">
      <c r="I5969" s="63"/>
      <c r="J5969" s="63"/>
    </row>
    <row r="5970" spans="9:10" x14ac:dyDescent="0.35">
      <c r="I5970" s="63"/>
      <c r="J5970" s="63"/>
    </row>
    <row r="5971" spans="9:10" x14ac:dyDescent="0.35">
      <c r="I5971" s="63"/>
      <c r="J5971" s="63"/>
    </row>
    <row r="5972" spans="9:10" x14ac:dyDescent="0.35">
      <c r="I5972" s="63"/>
      <c r="J5972" s="63"/>
    </row>
    <row r="5973" spans="9:10" x14ac:dyDescent="0.35">
      <c r="I5973" s="63"/>
      <c r="J5973" s="63"/>
    </row>
    <row r="5974" spans="9:10" x14ac:dyDescent="0.35">
      <c r="I5974" s="63"/>
      <c r="J5974" s="63"/>
    </row>
    <row r="5975" spans="9:10" x14ac:dyDescent="0.35">
      <c r="I5975" s="63"/>
      <c r="J5975" s="63"/>
    </row>
    <row r="5976" spans="9:10" x14ac:dyDescent="0.35">
      <c r="I5976" s="63"/>
      <c r="J5976" s="63"/>
    </row>
    <row r="5977" spans="9:10" x14ac:dyDescent="0.35">
      <c r="I5977" s="63"/>
      <c r="J5977" s="63"/>
    </row>
    <row r="5978" spans="9:10" x14ac:dyDescent="0.35">
      <c r="I5978" s="63"/>
      <c r="J5978" s="63"/>
    </row>
    <row r="5979" spans="9:10" x14ac:dyDescent="0.35">
      <c r="I5979" s="63"/>
      <c r="J5979" s="63"/>
    </row>
    <row r="5980" spans="9:10" x14ac:dyDescent="0.35">
      <c r="I5980" s="63"/>
      <c r="J5980" s="63"/>
    </row>
    <row r="5981" spans="9:10" x14ac:dyDescent="0.35">
      <c r="I5981" s="63"/>
      <c r="J5981" s="63"/>
    </row>
    <row r="5982" spans="9:10" x14ac:dyDescent="0.35">
      <c r="I5982" s="63"/>
      <c r="J5982" s="63"/>
    </row>
    <row r="5983" spans="9:10" x14ac:dyDescent="0.35">
      <c r="I5983" s="63"/>
      <c r="J5983" s="63"/>
    </row>
    <row r="5984" spans="9:10" x14ac:dyDescent="0.35">
      <c r="I5984" s="63"/>
      <c r="J5984" s="63"/>
    </row>
    <row r="5985" spans="9:10" x14ac:dyDescent="0.35">
      <c r="I5985" s="63"/>
      <c r="J5985" s="63"/>
    </row>
    <row r="5986" spans="9:10" x14ac:dyDescent="0.35">
      <c r="I5986" s="63"/>
      <c r="J5986" s="63"/>
    </row>
    <row r="5987" spans="9:10" x14ac:dyDescent="0.35">
      <c r="I5987" s="63"/>
      <c r="J5987" s="63"/>
    </row>
    <row r="5988" spans="9:10" x14ac:dyDescent="0.35">
      <c r="I5988" s="63"/>
      <c r="J5988" s="63"/>
    </row>
    <row r="5989" spans="9:10" x14ac:dyDescent="0.35">
      <c r="I5989" s="63"/>
      <c r="J5989" s="63"/>
    </row>
    <row r="5990" spans="9:10" x14ac:dyDescent="0.35">
      <c r="I5990" s="63"/>
      <c r="J5990" s="63"/>
    </row>
    <row r="5991" spans="9:10" x14ac:dyDescent="0.35">
      <c r="I5991" s="63"/>
      <c r="J5991" s="63"/>
    </row>
    <row r="5992" spans="9:10" x14ac:dyDescent="0.35">
      <c r="I5992" s="63"/>
      <c r="J5992" s="63"/>
    </row>
    <row r="5993" spans="9:10" x14ac:dyDescent="0.35">
      <c r="I5993" s="63"/>
      <c r="J5993" s="63"/>
    </row>
    <row r="5994" spans="9:10" x14ac:dyDescent="0.35">
      <c r="I5994" s="63"/>
      <c r="J5994" s="63"/>
    </row>
    <row r="5995" spans="9:10" x14ac:dyDescent="0.35">
      <c r="I5995" s="63"/>
      <c r="J5995" s="63"/>
    </row>
    <row r="5996" spans="9:10" x14ac:dyDescent="0.35">
      <c r="I5996" s="63"/>
      <c r="J5996" s="63"/>
    </row>
    <row r="5997" spans="9:10" x14ac:dyDescent="0.35">
      <c r="I5997" s="63"/>
      <c r="J5997" s="63"/>
    </row>
    <row r="5998" spans="9:10" x14ac:dyDescent="0.35">
      <c r="I5998" s="63"/>
      <c r="J5998" s="63"/>
    </row>
    <row r="5999" spans="9:10" x14ac:dyDescent="0.35">
      <c r="I5999" s="63"/>
      <c r="J5999" s="63"/>
    </row>
    <row r="6000" spans="9:10" x14ac:dyDescent="0.35">
      <c r="I6000" s="63"/>
      <c r="J6000" s="63"/>
    </row>
    <row r="6001" spans="9:10" x14ac:dyDescent="0.35">
      <c r="I6001" s="63"/>
      <c r="J6001" s="63"/>
    </row>
    <row r="6002" spans="9:10" x14ac:dyDescent="0.35">
      <c r="I6002" s="63"/>
      <c r="J6002" s="63"/>
    </row>
    <row r="6003" spans="9:10" x14ac:dyDescent="0.35">
      <c r="I6003" s="63"/>
      <c r="J6003" s="63"/>
    </row>
    <row r="6004" spans="9:10" x14ac:dyDescent="0.35">
      <c r="I6004" s="63"/>
      <c r="J6004" s="63"/>
    </row>
    <row r="6005" spans="9:10" x14ac:dyDescent="0.35">
      <c r="I6005" s="63"/>
      <c r="J6005" s="63"/>
    </row>
    <row r="6006" spans="9:10" x14ac:dyDescent="0.35">
      <c r="I6006" s="63"/>
      <c r="J6006" s="63"/>
    </row>
    <row r="6007" spans="9:10" x14ac:dyDescent="0.35">
      <c r="I6007" s="63"/>
      <c r="J6007" s="63"/>
    </row>
    <row r="6008" spans="9:10" x14ac:dyDescent="0.35">
      <c r="I6008" s="63"/>
      <c r="J6008" s="63"/>
    </row>
    <row r="6009" spans="9:10" x14ac:dyDescent="0.35">
      <c r="I6009" s="63"/>
      <c r="J6009" s="63"/>
    </row>
    <row r="6010" spans="9:10" x14ac:dyDescent="0.35">
      <c r="I6010" s="63"/>
      <c r="J6010" s="63"/>
    </row>
    <row r="6011" spans="9:10" x14ac:dyDescent="0.35">
      <c r="I6011" s="63"/>
      <c r="J6011" s="63"/>
    </row>
    <row r="6012" spans="9:10" x14ac:dyDescent="0.35">
      <c r="I6012" s="63"/>
      <c r="J6012" s="63"/>
    </row>
    <row r="6013" spans="9:10" x14ac:dyDescent="0.35">
      <c r="I6013" s="63"/>
      <c r="J6013" s="63"/>
    </row>
    <row r="6014" spans="9:10" x14ac:dyDescent="0.35">
      <c r="I6014" s="63"/>
      <c r="J6014" s="63"/>
    </row>
    <row r="6015" spans="9:10" x14ac:dyDescent="0.35">
      <c r="I6015" s="63"/>
      <c r="J6015" s="63"/>
    </row>
    <row r="6016" spans="9:10" x14ac:dyDescent="0.35">
      <c r="I6016" s="63"/>
      <c r="J6016" s="63"/>
    </row>
    <row r="6017" spans="9:10" x14ac:dyDescent="0.35">
      <c r="I6017" s="63"/>
      <c r="J6017" s="63"/>
    </row>
    <row r="6018" spans="9:10" x14ac:dyDescent="0.35">
      <c r="I6018" s="63"/>
      <c r="J6018" s="63"/>
    </row>
    <row r="6019" spans="9:10" x14ac:dyDescent="0.35">
      <c r="I6019" s="63"/>
      <c r="J6019" s="63"/>
    </row>
    <row r="6020" spans="9:10" x14ac:dyDescent="0.35">
      <c r="I6020" s="63"/>
      <c r="J6020" s="63"/>
    </row>
    <row r="6021" spans="9:10" x14ac:dyDescent="0.35">
      <c r="I6021" s="63"/>
      <c r="J6021" s="63"/>
    </row>
    <row r="6022" spans="9:10" x14ac:dyDescent="0.35">
      <c r="I6022" s="63"/>
      <c r="J6022" s="63"/>
    </row>
    <row r="6023" spans="9:10" x14ac:dyDescent="0.35">
      <c r="I6023" s="63"/>
      <c r="J6023" s="63"/>
    </row>
    <row r="6024" spans="9:10" x14ac:dyDescent="0.35">
      <c r="I6024" s="63"/>
      <c r="J6024" s="63"/>
    </row>
    <row r="6025" spans="9:10" x14ac:dyDescent="0.35">
      <c r="I6025" s="63"/>
      <c r="J6025" s="63"/>
    </row>
    <row r="6026" spans="9:10" x14ac:dyDescent="0.35">
      <c r="I6026" s="63"/>
      <c r="J6026" s="63"/>
    </row>
    <row r="6027" spans="9:10" x14ac:dyDescent="0.35">
      <c r="I6027" s="63"/>
      <c r="J6027" s="63"/>
    </row>
    <row r="6028" spans="9:10" x14ac:dyDescent="0.35">
      <c r="I6028" s="63"/>
      <c r="J6028" s="63"/>
    </row>
    <row r="6029" spans="9:10" x14ac:dyDescent="0.35">
      <c r="I6029" s="63"/>
      <c r="J6029" s="63"/>
    </row>
    <row r="6030" spans="9:10" x14ac:dyDescent="0.35">
      <c r="I6030" s="63"/>
      <c r="J6030" s="63"/>
    </row>
    <row r="6031" spans="9:10" x14ac:dyDescent="0.35">
      <c r="I6031" s="63"/>
      <c r="J6031" s="63"/>
    </row>
    <row r="6032" spans="9:10" x14ac:dyDescent="0.35">
      <c r="I6032" s="63"/>
      <c r="J6032" s="63"/>
    </row>
    <row r="6033" spans="9:10" x14ac:dyDescent="0.35">
      <c r="I6033" s="63"/>
      <c r="J6033" s="63"/>
    </row>
    <row r="6034" spans="9:10" x14ac:dyDescent="0.35">
      <c r="I6034" s="63"/>
      <c r="J6034" s="63"/>
    </row>
    <row r="6035" spans="9:10" x14ac:dyDescent="0.35">
      <c r="I6035" s="63"/>
      <c r="J6035" s="63"/>
    </row>
    <row r="6036" spans="9:10" x14ac:dyDescent="0.35">
      <c r="I6036" s="63"/>
      <c r="J6036" s="63"/>
    </row>
    <row r="6037" spans="9:10" x14ac:dyDescent="0.35">
      <c r="I6037" s="63"/>
      <c r="J6037" s="63"/>
    </row>
    <row r="6038" spans="9:10" x14ac:dyDescent="0.35">
      <c r="I6038" s="63"/>
      <c r="J6038" s="63"/>
    </row>
    <row r="6039" spans="9:10" x14ac:dyDescent="0.35">
      <c r="I6039" s="63"/>
      <c r="J6039" s="63"/>
    </row>
    <row r="6040" spans="9:10" x14ac:dyDescent="0.35">
      <c r="I6040" s="63"/>
      <c r="J6040" s="63"/>
    </row>
    <row r="6041" spans="9:10" x14ac:dyDescent="0.35">
      <c r="I6041" s="63"/>
      <c r="J6041" s="63"/>
    </row>
    <row r="6042" spans="9:10" x14ac:dyDescent="0.35">
      <c r="I6042" s="63"/>
      <c r="J6042" s="63"/>
    </row>
    <row r="6043" spans="9:10" x14ac:dyDescent="0.35">
      <c r="I6043" s="63"/>
      <c r="J6043" s="63"/>
    </row>
    <row r="6044" spans="9:10" x14ac:dyDescent="0.35">
      <c r="I6044" s="63"/>
      <c r="J6044" s="63"/>
    </row>
    <row r="6045" spans="9:10" x14ac:dyDescent="0.35">
      <c r="I6045" s="63"/>
      <c r="J6045" s="63"/>
    </row>
    <row r="6046" spans="9:10" x14ac:dyDescent="0.35">
      <c r="I6046" s="63"/>
      <c r="J6046" s="63"/>
    </row>
    <row r="6047" spans="9:10" x14ac:dyDescent="0.35">
      <c r="I6047" s="63"/>
      <c r="J6047" s="63"/>
    </row>
    <row r="6048" spans="9:10" x14ac:dyDescent="0.35">
      <c r="I6048" s="63"/>
      <c r="J6048" s="63"/>
    </row>
    <row r="6049" spans="9:10" x14ac:dyDescent="0.35">
      <c r="I6049" s="63"/>
      <c r="J6049" s="63"/>
    </row>
    <row r="6050" spans="9:10" x14ac:dyDescent="0.35">
      <c r="I6050" s="63"/>
      <c r="J6050" s="63"/>
    </row>
    <row r="6051" spans="9:10" x14ac:dyDescent="0.35">
      <c r="I6051" s="63"/>
      <c r="J6051" s="63"/>
    </row>
    <row r="6052" spans="9:10" x14ac:dyDescent="0.35">
      <c r="I6052" s="63"/>
      <c r="J6052" s="63"/>
    </row>
    <row r="6053" spans="9:10" x14ac:dyDescent="0.35">
      <c r="I6053" s="63"/>
      <c r="J6053" s="63"/>
    </row>
    <row r="6054" spans="9:10" x14ac:dyDescent="0.35">
      <c r="I6054" s="63"/>
      <c r="J6054" s="63"/>
    </row>
    <row r="6055" spans="9:10" x14ac:dyDescent="0.35">
      <c r="I6055" s="63"/>
      <c r="J6055" s="63"/>
    </row>
    <row r="6056" spans="9:10" x14ac:dyDescent="0.35">
      <c r="I6056" s="63"/>
      <c r="J6056" s="63"/>
    </row>
    <row r="6057" spans="9:10" x14ac:dyDescent="0.35">
      <c r="I6057" s="63"/>
      <c r="J6057" s="63"/>
    </row>
    <row r="6058" spans="9:10" x14ac:dyDescent="0.35">
      <c r="I6058" s="63"/>
      <c r="J6058" s="63"/>
    </row>
    <row r="6059" spans="9:10" x14ac:dyDescent="0.35">
      <c r="I6059" s="63"/>
      <c r="J6059" s="63"/>
    </row>
    <row r="6060" spans="9:10" x14ac:dyDescent="0.35">
      <c r="I6060" s="63"/>
      <c r="J6060" s="63"/>
    </row>
    <row r="6061" spans="9:10" x14ac:dyDescent="0.35">
      <c r="I6061" s="63"/>
      <c r="J6061" s="63"/>
    </row>
    <row r="6062" spans="9:10" x14ac:dyDescent="0.35">
      <c r="I6062" s="63"/>
      <c r="J6062" s="63"/>
    </row>
    <row r="6063" spans="9:10" x14ac:dyDescent="0.35">
      <c r="I6063" s="63"/>
      <c r="J6063" s="63"/>
    </row>
    <row r="6064" spans="9:10" x14ac:dyDescent="0.35">
      <c r="I6064" s="63"/>
      <c r="J6064" s="63"/>
    </row>
    <row r="6065" spans="9:10" x14ac:dyDescent="0.35">
      <c r="I6065" s="63"/>
      <c r="J6065" s="63"/>
    </row>
    <row r="6066" spans="9:10" x14ac:dyDescent="0.35">
      <c r="I6066" s="63"/>
      <c r="J6066" s="63"/>
    </row>
    <row r="6067" spans="9:10" x14ac:dyDescent="0.35">
      <c r="I6067" s="63"/>
      <c r="J6067" s="63"/>
    </row>
    <row r="6068" spans="9:10" x14ac:dyDescent="0.35">
      <c r="I6068" s="63"/>
      <c r="J6068" s="63"/>
    </row>
    <row r="6069" spans="9:10" x14ac:dyDescent="0.35">
      <c r="I6069" s="63"/>
      <c r="J6069" s="63"/>
    </row>
    <row r="6070" spans="9:10" x14ac:dyDescent="0.35">
      <c r="I6070" s="63"/>
      <c r="J6070" s="63"/>
    </row>
    <row r="6071" spans="9:10" x14ac:dyDescent="0.35">
      <c r="I6071" s="63"/>
      <c r="J6071" s="63"/>
    </row>
    <row r="6072" spans="9:10" x14ac:dyDescent="0.35">
      <c r="I6072" s="63"/>
      <c r="J6072" s="63"/>
    </row>
    <row r="6073" spans="9:10" x14ac:dyDescent="0.35">
      <c r="I6073" s="63"/>
      <c r="J6073" s="63"/>
    </row>
    <row r="6074" spans="9:10" x14ac:dyDescent="0.35">
      <c r="I6074" s="63"/>
      <c r="J6074" s="63"/>
    </row>
    <row r="6075" spans="9:10" x14ac:dyDescent="0.35">
      <c r="I6075" s="63"/>
      <c r="J6075" s="63"/>
    </row>
    <row r="6076" spans="9:10" x14ac:dyDescent="0.35">
      <c r="I6076" s="63"/>
      <c r="J6076" s="63"/>
    </row>
    <row r="6077" spans="9:10" x14ac:dyDescent="0.35">
      <c r="I6077" s="63"/>
      <c r="J6077" s="63"/>
    </row>
    <row r="6078" spans="9:10" x14ac:dyDescent="0.35">
      <c r="I6078" s="63"/>
      <c r="J6078" s="63"/>
    </row>
    <row r="6079" spans="9:10" x14ac:dyDescent="0.35">
      <c r="I6079" s="63"/>
      <c r="J6079" s="63"/>
    </row>
    <row r="6080" spans="9:10" x14ac:dyDescent="0.35">
      <c r="I6080" s="63"/>
      <c r="J6080" s="63"/>
    </row>
    <row r="6081" spans="9:10" x14ac:dyDescent="0.35">
      <c r="I6081" s="63"/>
      <c r="J6081" s="63"/>
    </row>
    <row r="6082" spans="9:10" x14ac:dyDescent="0.35">
      <c r="I6082" s="63"/>
      <c r="J6082" s="63"/>
    </row>
    <row r="6083" spans="9:10" x14ac:dyDescent="0.35">
      <c r="I6083" s="63"/>
      <c r="J6083" s="63"/>
    </row>
    <row r="6084" spans="9:10" x14ac:dyDescent="0.35">
      <c r="I6084" s="63"/>
      <c r="J6084" s="63"/>
    </row>
    <row r="6085" spans="9:10" x14ac:dyDescent="0.35">
      <c r="I6085" s="63"/>
      <c r="J6085" s="63"/>
    </row>
    <row r="6086" spans="9:10" x14ac:dyDescent="0.35">
      <c r="I6086" s="63"/>
      <c r="J6086" s="63"/>
    </row>
    <row r="6087" spans="9:10" x14ac:dyDescent="0.35">
      <c r="I6087" s="63"/>
      <c r="J6087" s="63"/>
    </row>
    <row r="6088" spans="9:10" x14ac:dyDescent="0.35">
      <c r="I6088" s="63"/>
      <c r="J6088" s="63"/>
    </row>
    <row r="6089" spans="9:10" x14ac:dyDescent="0.35">
      <c r="I6089" s="63"/>
      <c r="J6089" s="63"/>
    </row>
    <row r="6090" spans="9:10" x14ac:dyDescent="0.35">
      <c r="I6090" s="63"/>
      <c r="J6090" s="63"/>
    </row>
    <row r="6091" spans="9:10" x14ac:dyDescent="0.35">
      <c r="I6091" s="63"/>
      <c r="J6091" s="63"/>
    </row>
    <row r="6092" spans="9:10" x14ac:dyDescent="0.35">
      <c r="I6092" s="63"/>
      <c r="J6092" s="63"/>
    </row>
    <row r="6093" spans="9:10" x14ac:dyDescent="0.35">
      <c r="I6093" s="63"/>
      <c r="J6093" s="63"/>
    </row>
    <row r="6094" spans="9:10" x14ac:dyDescent="0.35">
      <c r="I6094" s="63"/>
      <c r="J6094" s="63"/>
    </row>
    <row r="6095" spans="9:10" x14ac:dyDescent="0.35">
      <c r="I6095" s="63"/>
      <c r="J6095" s="63"/>
    </row>
    <row r="6096" spans="9:10" x14ac:dyDescent="0.35">
      <c r="I6096" s="63"/>
      <c r="J6096" s="63"/>
    </row>
    <row r="6097" spans="9:10" x14ac:dyDescent="0.35">
      <c r="I6097" s="63"/>
      <c r="J6097" s="63"/>
    </row>
    <row r="6098" spans="9:10" x14ac:dyDescent="0.35">
      <c r="I6098" s="63"/>
      <c r="J6098" s="63"/>
    </row>
    <row r="6099" spans="9:10" x14ac:dyDescent="0.35">
      <c r="I6099" s="63"/>
      <c r="J6099" s="63"/>
    </row>
    <row r="6100" spans="9:10" x14ac:dyDescent="0.35">
      <c r="I6100" s="63"/>
      <c r="J6100" s="63"/>
    </row>
    <row r="6101" spans="9:10" x14ac:dyDescent="0.35">
      <c r="I6101" s="63"/>
      <c r="J6101" s="63"/>
    </row>
    <row r="6102" spans="9:10" x14ac:dyDescent="0.35">
      <c r="I6102" s="63"/>
      <c r="J6102" s="63"/>
    </row>
    <row r="6103" spans="9:10" x14ac:dyDescent="0.35">
      <c r="I6103" s="63"/>
      <c r="J6103" s="63"/>
    </row>
    <row r="6104" spans="9:10" x14ac:dyDescent="0.35">
      <c r="I6104" s="63"/>
      <c r="J6104" s="63"/>
    </row>
    <row r="6105" spans="9:10" x14ac:dyDescent="0.35">
      <c r="I6105" s="63"/>
      <c r="J6105" s="63"/>
    </row>
    <row r="6106" spans="9:10" x14ac:dyDescent="0.35">
      <c r="I6106" s="63"/>
      <c r="J6106" s="63"/>
    </row>
    <row r="6107" spans="9:10" x14ac:dyDescent="0.35">
      <c r="I6107" s="63"/>
      <c r="J6107" s="63"/>
    </row>
    <row r="6108" spans="9:10" x14ac:dyDescent="0.35">
      <c r="I6108" s="63"/>
      <c r="J6108" s="63"/>
    </row>
    <row r="6109" spans="9:10" x14ac:dyDescent="0.35">
      <c r="I6109" s="63"/>
      <c r="J6109" s="63"/>
    </row>
    <row r="6110" spans="9:10" x14ac:dyDescent="0.35">
      <c r="I6110" s="63"/>
      <c r="J6110" s="63"/>
    </row>
    <row r="6111" spans="9:10" x14ac:dyDescent="0.35">
      <c r="I6111" s="63"/>
      <c r="J6111" s="63"/>
    </row>
    <row r="6112" spans="9:10" x14ac:dyDescent="0.35">
      <c r="I6112" s="63"/>
      <c r="J6112" s="63"/>
    </row>
    <row r="6113" spans="9:10" x14ac:dyDescent="0.35">
      <c r="I6113" s="63"/>
      <c r="J6113" s="63"/>
    </row>
    <row r="6114" spans="9:10" x14ac:dyDescent="0.35">
      <c r="I6114" s="63"/>
      <c r="J6114" s="63"/>
    </row>
    <row r="6115" spans="9:10" x14ac:dyDescent="0.35">
      <c r="I6115" s="63"/>
      <c r="J6115" s="63"/>
    </row>
    <row r="6116" spans="9:10" x14ac:dyDescent="0.35">
      <c r="I6116" s="63"/>
      <c r="J6116" s="63"/>
    </row>
    <row r="6117" spans="9:10" x14ac:dyDescent="0.35">
      <c r="I6117" s="63"/>
      <c r="J6117" s="63"/>
    </row>
    <row r="6118" spans="9:10" x14ac:dyDescent="0.35">
      <c r="I6118" s="63"/>
      <c r="J6118" s="63"/>
    </row>
    <row r="6119" spans="9:10" x14ac:dyDescent="0.35">
      <c r="I6119" s="63"/>
      <c r="J6119" s="63"/>
    </row>
    <row r="6120" spans="9:10" x14ac:dyDescent="0.35">
      <c r="I6120" s="63"/>
      <c r="J6120" s="63"/>
    </row>
    <row r="6121" spans="9:10" x14ac:dyDescent="0.35">
      <c r="I6121" s="63"/>
      <c r="J6121" s="63"/>
    </row>
    <row r="6122" spans="9:10" x14ac:dyDescent="0.35">
      <c r="I6122" s="63"/>
      <c r="J6122" s="63"/>
    </row>
    <row r="6123" spans="9:10" x14ac:dyDescent="0.35">
      <c r="I6123" s="63"/>
      <c r="J6123" s="63"/>
    </row>
    <row r="6124" spans="9:10" x14ac:dyDescent="0.35">
      <c r="I6124" s="63"/>
      <c r="J6124" s="63"/>
    </row>
    <row r="6125" spans="9:10" x14ac:dyDescent="0.35">
      <c r="I6125" s="63"/>
      <c r="J6125" s="63"/>
    </row>
    <row r="6126" spans="9:10" x14ac:dyDescent="0.35">
      <c r="I6126" s="63"/>
      <c r="J6126" s="63"/>
    </row>
    <row r="6127" spans="9:10" x14ac:dyDescent="0.35">
      <c r="I6127" s="63"/>
      <c r="J6127" s="63"/>
    </row>
    <row r="6128" spans="9:10" x14ac:dyDescent="0.35">
      <c r="I6128" s="63"/>
      <c r="J6128" s="63"/>
    </row>
    <row r="6129" spans="9:10" x14ac:dyDescent="0.35">
      <c r="I6129" s="63"/>
      <c r="J6129" s="63"/>
    </row>
    <row r="6130" spans="9:10" x14ac:dyDescent="0.35">
      <c r="I6130" s="63"/>
      <c r="J6130" s="63"/>
    </row>
    <row r="6131" spans="9:10" x14ac:dyDescent="0.35">
      <c r="I6131" s="63"/>
      <c r="J6131" s="63"/>
    </row>
    <row r="6132" spans="9:10" x14ac:dyDescent="0.35">
      <c r="I6132" s="63"/>
      <c r="J6132" s="63"/>
    </row>
    <row r="6133" spans="9:10" x14ac:dyDescent="0.35">
      <c r="I6133" s="63"/>
      <c r="J6133" s="63"/>
    </row>
    <row r="6134" spans="9:10" x14ac:dyDescent="0.35">
      <c r="I6134" s="63"/>
      <c r="J6134" s="63"/>
    </row>
    <row r="6135" spans="9:10" x14ac:dyDescent="0.35">
      <c r="I6135" s="63"/>
      <c r="J6135" s="63"/>
    </row>
    <row r="6136" spans="9:10" x14ac:dyDescent="0.35">
      <c r="I6136" s="63"/>
      <c r="J6136" s="63"/>
    </row>
    <row r="6137" spans="9:10" x14ac:dyDescent="0.35">
      <c r="I6137" s="63"/>
      <c r="J6137" s="63"/>
    </row>
    <row r="6138" spans="9:10" x14ac:dyDescent="0.35">
      <c r="I6138" s="63"/>
      <c r="J6138" s="63"/>
    </row>
    <row r="6139" spans="9:10" x14ac:dyDescent="0.35">
      <c r="I6139" s="63"/>
      <c r="J6139" s="63"/>
    </row>
    <row r="6140" spans="9:10" x14ac:dyDescent="0.35">
      <c r="I6140" s="63"/>
      <c r="J6140" s="63"/>
    </row>
    <row r="6141" spans="9:10" x14ac:dyDescent="0.35">
      <c r="I6141" s="63"/>
      <c r="J6141" s="63"/>
    </row>
    <row r="6142" spans="9:10" x14ac:dyDescent="0.35">
      <c r="I6142" s="63"/>
      <c r="J6142" s="63"/>
    </row>
    <row r="6143" spans="9:10" x14ac:dyDescent="0.35">
      <c r="I6143" s="63"/>
      <c r="J6143" s="63"/>
    </row>
    <row r="6144" spans="9:10" x14ac:dyDescent="0.35">
      <c r="I6144" s="63"/>
      <c r="J6144" s="63"/>
    </row>
    <row r="6145" spans="9:10" x14ac:dyDescent="0.35">
      <c r="I6145" s="63"/>
      <c r="J6145" s="63"/>
    </row>
    <row r="6146" spans="9:10" x14ac:dyDescent="0.35">
      <c r="I6146" s="63"/>
      <c r="J6146" s="63"/>
    </row>
    <row r="6147" spans="9:10" x14ac:dyDescent="0.35">
      <c r="I6147" s="63"/>
      <c r="J6147" s="63"/>
    </row>
    <row r="6148" spans="9:10" x14ac:dyDescent="0.35">
      <c r="I6148" s="63"/>
      <c r="J6148" s="63"/>
    </row>
    <row r="6149" spans="9:10" x14ac:dyDescent="0.35">
      <c r="I6149" s="63"/>
      <c r="J6149" s="63"/>
    </row>
    <row r="6150" spans="9:10" x14ac:dyDescent="0.35">
      <c r="I6150" s="63"/>
      <c r="J6150" s="63"/>
    </row>
    <row r="6151" spans="9:10" x14ac:dyDescent="0.35">
      <c r="I6151" s="63"/>
      <c r="J6151" s="63"/>
    </row>
    <row r="6152" spans="9:10" x14ac:dyDescent="0.35">
      <c r="I6152" s="63"/>
      <c r="J6152" s="63"/>
    </row>
    <row r="6153" spans="9:10" x14ac:dyDescent="0.35">
      <c r="I6153" s="63"/>
      <c r="J6153" s="63"/>
    </row>
    <row r="6154" spans="9:10" x14ac:dyDescent="0.35">
      <c r="I6154" s="63"/>
      <c r="J6154" s="63"/>
    </row>
    <row r="6155" spans="9:10" x14ac:dyDescent="0.35">
      <c r="I6155" s="63"/>
      <c r="J6155" s="63"/>
    </row>
    <row r="6156" spans="9:10" x14ac:dyDescent="0.35">
      <c r="I6156" s="63"/>
      <c r="J6156" s="63"/>
    </row>
    <row r="6157" spans="9:10" x14ac:dyDescent="0.35">
      <c r="I6157" s="63"/>
      <c r="J6157" s="63"/>
    </row>
    <row r="6158" spans="9:10" x14ac:dyDescent="0.35">
      <c r="I6158" s="63"/>
      <c r="J6158" s="63"/>
    </row>
    <row r="6159" spans="9:10" x14ac:dyDescent="0.35">
      <c r="I6159" s="63"/>
      <c r="J6159" s="63"/>
    </row>
    <row r="6160" spans="9:10" x14ac:dyDescent="0.35">
      <c r="I6160" s="63"/>
      <c r="J6160" s="63"/>
    </row>
    <row r="6161" spans="9:10" x14ac:dyDescent="0.35">
      <c r="I6161" s="63"/>
      <c r="J6161" s="63"/>
    </row>
    <row r="6162" spans="9:10" x14ac:dyDescent="0.35">
      <c r="I6162" s="63"/>
      <c r="J6162" s="63"/>
    </row>
    <row r="6163" spans="9:10" x14ac:dyDescent="0.35">
      <c r="I6163" s="63"/>
      <c r="J6163" s="63"/>
    </row>
    <row r="6164" spans="9:10" x14ac:dyDescent="0.35">
      <c r="I6164" s="63"/>
      <c r="J6164" s="63"/>
    </row>
    <row r="6165" spans="9:10" x14ac:dyDescent="0.35">
      <c r="I6165" s="63"/>
      <c r="J6165" s="63"/>
    </row>
    <row r="6166" spans="9:10" x14ac:dyDescent="0.35">
      <c r="I6166" s="63"/>
      <c r="J6166" s="63"/>
    </row>
    <row r="6167" spans="9:10" x14ac:dyDescent="0.35">
      <c r="I6167" s="63"/>
      <c r="J6167" s="63"/>
    </row>
    <row r="6168" spans="9:10" x14ac:dyDescent="0.35">
      <c r="I6168" s="63"/>
      <c r="J6168" s="63"/>
    </row>
    <row r="6169" spans="9:10" x14ac:dyDescent="0.35">
      <c r="I6169" s="63"/>
      <c r="J6169" s="63"/>
    </row>
    <row r="6170" spans="9:10" x14ac:dyDescent="0.35">
      <c r="I6170" s="63"/>
      <c r="J6170" s="63"/>
    </row>
    <row r="6171" spans="9:10" x14ac:dyDescent="0.35">
      <c r="I6171" s="63"/>
      <c r="J6171" s="63"/>
    </row>
    <row r="6172" spans="9:10" x14ac:dyDescent="0.35">
      <c r="I6172" s="63"/>
      <c r="J6172" s="63"/>
    </row>
    <row r="6173" spans="9:10" x14ac:dyDescent="0.35">
      <c r="I6173" s="63"/>
      <c r="J6173" s="63"/>
    </row>
    <row r="6174" spans="9:10" x14ac:dyDescent="0.35">
      <c r="I6174" s="63"/>
      <c r="J6174" s="63"/>
    </row>
    <row r="6175" spans="9:10" x14ac:dyDescent="0.35">
      <c r="I6175" s="63"/>
      <c r="J6175" s="63"/>
    </row>
    <row r="6176" spans="9:10" x14ac:dyDescent="0.35">
      <c r="I6176" s="63"/>
      <c r="J6176" s="63"/>
    </row>
    <row r="6177" spans="9:10" x14ac:dyDescent="0.35">
      <c r="I6177" s="63"/>
      <c r="J6177" s="63"/>
    </row>
    <row r="6178" spans="9:10" x14ac:dyDescent="0.35">
      <c r="I6178" s="63"/>
      <c r="J6178" s="63"/>
    </row>
    <row r="6179" spans="9:10" x14ac:dyDescent="0.35">
      <c r="I6179" s="63"/>
      <c r="J6179" s="63"/>
    </row>
    <row r="6180" spans="9:10" x14ac:dyDescent="0.35">
      <c r="I6180" s="63"/>
      <c r="J6180" s="63"/>
    </row>
    <row r="6181" spans="9:10" x14ac:dyDescent="0.35">
      <c r="I6181" s="63"/>
      <c r="J6181" s="63"/>
    </row>
    <row r="6182" spans="9:10" x14ac:dyDescent="0.35">
      <c r="I6182" s="63"/>
      <c r="J6182" s="63"/>
    </row>
    <row r="6183" spans="9:10" x14ac:dyDescent="0.35">
      <c r="I6183" s="63"/>
      <c r="J6183" s="63"/>
    </row>
    <row r="6184" spans="9:10" x14ac:dyDescent="0.35">
      <c r="I6184" s="63"/>
      <c r="J6184" s="63"/>
    </row>
    <row r="6185" spans="9:10" x14ac:dyDescent="0.35">
      <c r="I6185" s="63"/>
      <c r="J6185" s="63"/>
    </row>
    <row r="6186" spans="9:10" x14ac:dyDescent="0.35">
      <c r="I6186" s="63"/>
      <c r="J6186" s="63"/>
    </row>
    <row r="6187" spans="9:10" x14ac:dyDescent="0.35">
      <c r="I6187" s="63"/>
      <c r="J6187" s="63"/>
    </row>
    <row r="6188" spans="9:10" x14ac:dyDescent="0.35">
      <c r="I6188" s="63"/>
      <c r="J6188" s="63"/>
    </row>
    <row r="6189" spans="9:10" x14ac:dyDescent="0.35">
      <c r="I6189" s="63"/>
      <c r="J6189" s="63"/>
    </row>
    <row r="6190" spans="9:10" x14ac:dyDescent="0.35">
      <c r="I6190" s="63"/>
      <c r="J6190" s="63"/>
    </row>
    <row r="6191" spans="9:10" x14ac:dyDescent="0.35">
      <c r="I6191" s="63"/>
      <c r="J6191" s="63"/>
    </row>
    <row r="6192" spans="9:10" x14ac:dyDescent="0.35">
      <c r="I6192" s="63"/>
      <c r="J6192" s="63"/>
    </row>
    <row r="6193" spans="9:10" x14ac:dyDescent="0.35">
      <c r="I6193" s="63"/>
      <c r="J6193" s="63"/>
    </row>
    <row r="6194" spans="9:10" x14ac:dyDescent="0.35">
      <c r="I6194" s="63"/>
      <c r="J6194" s="63"/>
    </row>
    <row r="6195" spans="9:10" x14ac:dyDescent="0.35">
      <c r="I6195" s="63"/>
      <c r="J6195" s="63"/>
    </row>
    <row r="6196" spans="9:10" x14ac:dyDescent="0.35">
      <c r="I6196" s="63"/>
      <c r="J6196" s="63"/>
    </row>
    <row r="6197" spans="9:10" x14ac:dyDescent="0.35">
      <c r="I6197" s="63"/>
      <c r="J6197" s="63"/>
    </row>
    <row r="6198" spans="9:10" x14ac:dyDescent="0.35">
      <c r="I6198" s="63"/>
      <c r="J6198" s="63"/>
    </row>
    <row r="6199" spans="9:10" x14ac:dyDescent="0.35">
      <c r="I6199" s="63"/>
      <c r="J6199" s="63"/>
    </row>
    <row r="6200" spans="9:10" x14ac:dyDescent="0.35">
      <c r="I6200" s="63"/>
      <c r="J6200" s="63"/>
    </row>
    <row r="6201" spans="9:10" x14ac:dyDescent="0.35">
      <c r="I6201" s="63"/>
      <c r="J6201" s="63"/>
    </row>
    <row r="6202" spans="9:10" x14ac:dyDescent="0.35">
      <c r="I6202" s="63"/>
      <c r="J6202" s="63"/>
    </row>
    <row r="6203" spans="9:10" x14ac:dyDescent="0.35">
      <c r="I6203" s="63"/>
      <c r="J6203" s="63"/>
    </row>
    <row r="6204" spans="9:10" x14ac:dyDescent="0.35">
      <c r="I6204" s="63"/>
      <c r="J6204" s="63"/>
    </row>
    <row r="6205" spans="9:10" x14ac:dyDescent="0.35">
      <c r="I6205" s="63"/>
      <c r="J6205" s="63"/>
    </row>
    <row r="6206" spans="9:10" x14ac:dyDescent="0.35">
      <c r="I6206" s="63"/>
      <c r="J6206" s="63"/>
    </row>
    <row r="6207" spans="9:10" x14ac:dyDescent="0.35">
      <c r="I6207" s="63"/>
      <c r="J6207" s="63"/>
    </row>
    <row r="6208" spans="9:10" x14ac:dyDescent="0.35">
      <c r="I6208" s="63"/>
      <c r="J6208" s="63"/>
    </row>
    <row r="6209" spans="9:10" x14ac:dyDescent="0.35">
      <c r="I6209" s="63"/>
      <c r="J6209" s="63"/>
    </row>
    <row r="6210" spans="9:10" x14ac:dyDescent="0.35">
      <c r="I6210" s="63"/>
      <c r="J6210" s="63"/>
    </row>
    <row r="6211" spans="9:10" x14ac:dyDescent="0.35">
      <c r="I6211" s="63"/>
      <c r="J6211" s="63"/>
    </row>
    <row r="6212" spans="9:10" x14ac:dyDescent="0.35">
      <c r="I6212" s="63"/>
      <c r="J6212" s="63"/>
    </row>
    <row r="6213" spans="9:10" x14ac:dyDescent="0.35">
      <c r="I6213" s="63"/>
      <c r="J6213" s="63"/>
    </row>
    <row r="6214" spans="9:10" x14ac:dyDescent="0.35">
      <c r="I6214" s="63"/>
      <c r="J6214" s="63"/>
    </row>
    <row r="6215" spans="9:10" x14ac:dyDescent="0.35">
      <c r="I6215" s="63"/>
      <c r="J6215" s="63"/>
    </row>
    <row r="6216" spans="9:10" x14ac:dyDescent="0.35">
      <c r="I6216" s="63"/>
      <c r="J6216" s="63"/>
    </row>
    <row r="6217" spans="9:10" x14ac:dyDescent="0.35">
      <c r="I6217" s="63"/>
      <c r="J6217" s="63"/>
    </row>
    <row r="6218" spans="9:10" x14ac:dyDescent="0.35">
      <c r="I6218" s="63"/>
      <c r="J6218" s="63"/>
    </row>
    <row r="6219" spans="9:10" x14ac:dyDescent="0.35">
      <c r="I6219" s="63"/>
      <c r="J6219" s="63"/>
    </row>
    <row r="6220" spans="9:10" x14ac:dyDescent="0.35">
      <c r="I6220" s="63"/>
      <c r="J6220" s="63"/>
    </row>
    <row r="6221" spans="9:10" x14ac:dyDescent="0.35">
      <c r="I6221" s="63"/>
      <c r="J6221" s="63"/>
    </row>
    <row r="6222" spans="9:10" x14ac:dyDescent="0.35">
      <c r="I6222" s="63"/>
      <c r="J6222" s="63"/>
    </row>
    <row r="6223" spans="9:10" x14ac:dyDescent="0.35">
      <c r="I6223" s="63"/>
      <c r="J6223" s="63"/>
    </row>
    <row r="6224" spans="9:10" x14ac:dyDescent="0.35">
      <c r="I6224" s="63"/>
      <c r="J6224" s="63"/>
    </row>
    <row r="6225" spans="9:10" x14ac:dyDescent="0.35">
      <c r="I6225" s="63"/>
      <c r="J6225" s="63"/>
    </row>
    <row r="6226" spans="9:10" x14ac:dyDescent="0.35">
      <c r="I6226" s="63"/>
      <c r="J6226" s="63"/>
    </row>
    <row r="6227" spans="9:10" x14ac:dyDescent="0.35">
      <c r="I6227" s="63"/>
      <c r="J6227" s="63"/>
    </row>
    <row r="6228" spans="9:10" x14ac:dyDescent="0.35">
      <c r="I6228" s="63"/>
      <c r="J6228" s="63"/>
    </row>
    <row r="6229" spans="9:10" x14ac:dyDescent="0.35">
      <c r="I6229" s="63"/>
      <c r="J6229" s="63"/>
    </row>
    <row r="6230" spans="9:10" x14ac:dyDescent="0.35">
      <c r="I6230" s="63"/>
      <c r="J6230" s="63"/>
    </row>
    <row r="6231" spans="9:10" x14ac:dyDescent="0.35">
      <c r="I6231" s="63"/>
      <c r="J6231" s="63"/>
    </row>
    <row r="6232" spans="9:10" x14ac:dyDescent="0.35">
      <c r="I6232" s="63"/>
      <c r="J6232" s="63"/>
    </row>
    <row r="6233" spans="9:10" x14ac:dyDescent="0.35">
      <c r="I6233" s="63"/>
      <c r="J6233" s="63"/>
    </row>
    <row r="6234" spans="9:10" x14ac:dyDescent="0.35">
      <c r="I6234" s="63"/>
      <c r="J6234" s="63"/>
    </row>
    <row r="6235" spans="9:10" x14ac:dyDescent="0.35">
      <c r="I6235" s="63"/>
      <c r="J6235" s="63"/>
    </row>
    <row r="6236" spans="9:10" x14ac:dyDescent="0.35">
      <c r="I6236" s="63"/>
      <c r="J6236" s="63"/>
    </row>
    <row r="6237" spans="9:10" x14ac:dyDescent="0.35">
      <c r="I6237" s="63"/>
      <c r="J6237" s="63"/>
    </row>
    <row r="6238" spans="9:10" x14ac:dyDescent="0.35">
      <c r="I6238" s="63"/>
      <c r="J6238" s="63"/>
    </row>
    <row r="6239" spans="9:10" x14ac:dyDescent="0.35">
      <c r="I6239" s="63"/>
      <c r="J6239" s="63"/>
    </row>
    <row r="6240" spans="9:10" x14ac:dyDescent="0.35">
      <c r="I6240" s="63"/>
      <c r="J6240" s="63"/>
    </row>
    <row r="6241" spans="9:10" x14ac:dyDescent="0.35">
      <c r="I6241" s="63"/>
      <c r="J6241" s="63"/>
    </row>
    <row r="6242" spans="9:10" x14ac:dyDescent="0.35">
      <c r="I6242" s="63"/>
      <c r="J6242" s="63"/>
    </row>
    <row r="6243" spans="9:10" x14ac:dyDescent="0.35">
      <c r="I6243" s="63"/>
      <c r="J6243" s="63"/>
    </row>
    <row r="6244" spans="9:10" x14ac:dyDescent="0.35">
      <c r="I6244" s="63"/>
      <c r="J6244" s="63"/>
    </row>
    <row r="6245" spans="9:10" x14ac:dyDescent="0.35">
      <c r="I6245" s="63"/>
      <c r="J6245" s="63"/>
    </row>
    <row r="6246" spans="9:10" x14ac:dyDescent="0.35">
      <c r="I6246" s="63"/>
      <c r="J6246" s="63"/>
    </row>
    <row r="6247" spans="9:10" x14ac:dyDescent="0.35">
      <c r="I6247" s="63"/>
      <c r="J6247" s="63"/>
    </row>
    <row r="6248" spans="9:10" x14ac:dyDescent="0.35">
      <c r="I6248" s="63"/>
      <c r="J6248" s="63"/>
    </row>
    <row r="6249" spans="9:10" x14ac:dyDescent="0.35">
      <c r="I6249" s="63"/>
      <c r="J6249" s="63"/>
    </row>
    <row r="6250" spans="9:10" x14ac:dyDescent="0.35">
      <c r="I6250" s="63"/>
      <c r="J6250" s="63"/>
    </row>
    <row r="6251" spans="9:10" x14ac:dyDescent="0.35">
      <c r="I6251" s="63"/>
      <c r="J6251" s="63"/>
    </row>
    <row r="6252" spans="9:10" x14ac:dyDescent="0.35">
      <c r="I6252" s="63"/>
      <c r="J6252" s="63"/>
    </row>
    <row r="6253" spans="9:10" x14ac:dyDescent="0.35">
      <c r="I6253" s="63"/>
      <c r="J6253" s="63"/>
    </row>
    <row r="6254" spans="9:10" x14ac:dyDescent="0.35">
      <c r="I6254" s="63"/>
      <c r="J6254" s="63"/>
    </row>
    <row r="6255" spans="9:10" x14ac:dyDescent="0.35">
      <c r="I6255" s="63"/>
      <c r="J6255" s="63"/>
    </row>
    <row r="6256" spans="9:10" x14ac:dyDescent="0.35">
      <c r="I6256" s="63"/>
      <c r="J6256" s="63"/>
    </row>
    <row r="6257" spans="9:10" x14ac:dyDescent="0.35">
      <c r="I6257" s="63"/>
      <c r="J6257" s="63"/>
    </row>
    <row r="6258" spans="9:10" x14ac:dyDescent="0.35">
      <c r="I6258" s="63"/>
      <c r="J6258" s="63"/>
    </row>
    <row r="6259" spans="9:10" x14ac:dyDescent="0.35">
      <c r="I6259" s="63"/>
      <c r="J6259" s="63"/>
    </row>
    <row r="6260" spans="9:10" x14ac:dyDescent="0.35">
      <c r="I6260" s="63"/>
      <c r="J6260" s="63"/>
    </row>
    <row r="6261" spans="9:10" x14ac:dyDescent="0.35">
      <c r="I6261" s="63"/>
      <c r="J6261" s="63"/>
    </row>
    <row r="6262" spans="9:10" x14ac:dyDescent="0.35">
      <c r="I6262" s="63"/>
      <c r="J6262" s="63"/>
    </row>
    <row r="6263" spans="9:10" x14ac:dyDescent="0.35">
      <c r="I6263" s="63"/>
      <c r="J6263" s="63"/>
    </row>
    <row r="6264" spans="9:10" x14ac:dyDescent="0.35">
      <c r="I6264" s="63"/>
      <c r="J6264" s="63"/>
    </row>
    <row r="6265" spans="9:10" x14ac:dyDescent="0.35">
      <c r="I6265" s="63"/>
      <c r="J6265" s="63"/>
    </row>
    <row r="6266" spans="9:10" x14ac:dyDescent="0.35">
      <c r="I6266" s="63"/>
      <c r="J6266" s="63"/>
    </row>
    <row r="6267" spans="9:10" x14ac:dyDescent="0.35">
      <c r="I6267" s="63"/>
      <c r="J6267" s="63"/>
    </row>
    <row r="6268" spans="9:10" x14ac:dyDescent="0.35">
      <c r="I6268" s="63"/>
      <c r="J6268" s="63"/>
    </row>
    <row r="6269" spans="9:10" x14ac:dyDescent="0.35">
      <c r="I6269" s="63"/>
      <c r="J6269" s="63"/>
    </row>
    <row r="6270" spans="9:10" x14ac:dyDescent="0.35">
      <c r="I6270" s="63"/>
      <c r="J6270" s="63"/>
    </row>
    <row r="6271" spans="9:10" x14ac:dyDescent="0.35">
      <c r="I6271" s="63"/>
      <c r="J6271" s="63"/>
    </row>
    <row r="6272" spans="9:10" x14ac:dyDescent="0.35">
      <c r="I6272" s="63"/>
      <c r="J6272" s="63"/>
    </row>
    <row r="6273" spans="9:10" x14ac:dyDescent="0.35">
      <c r="I6273" s="63"/>
      <c r="J6273" s="63"/>
    </row>
    <row r="6274" spans="9:10" x14ac:dyDescent="0.35">
      <c r="I6274" s="63"/>
      <c r="J6274" s="63"/>
    </row>
    <row r="6275" spans="9:10" x14ac:dyDescent="0.35">
      <c r="I6275" s="63"/>
      <c r="J6275" s="63"/>
    </row>
    <row r="6276" spans="9:10" x14ac:dyDescent="0.35">
      <c r="I6276" s="63"/>
      <c r="J6276" s="63"/>
    </row>
    <row r="6277" spans="9:10" x14ac:dyDescent="0.35">
      <c r="I6277" s="63"/>
      <c r="J6277" s="63"/>
    </row>
    <row r="6278" spans="9:10" x14ac:dyDescent="0.35">
      <c r="I6278" s="63"/>
      <c r="J6278" s="63"/>
    </row>
    <row r="6279" spans="9:10" x14ac:dyDescent="0.35">
      <c r="I6279" s="63"/>
      <c r="J6279" s="63"/>
    </row>
    <row r="6280" spans="9:10" x14ac:dyDescent="0.35">
      <c r="I6280" s="63"/>
      <c r="J6280" s="63"/>
    </row>
    <row r="6281" spans="9:10" x14ac:dyDescent="0.35">
      <c r="I6281" s="63"/>
      <c r="J6281" s="63"/>
    </row>
    <row r="6282" spans="9:10" x14ac:dyDescent="0.35">
      <c r="I6282" s="63"/>
      <c r="J6282" s="63"/>
    </row>
    <row r="6283" spans="9:10" x14ac:dyDescent="0.35">
      <c r="I6283" s="63"/>
      <c r="J6283" s="63"/>
    </row>
    <row r="6284" spans="9:10" x14ac:dyDescent="0.35">
      <c r="I6284" s="63"/>
      <c r="J6284" s="63"/>
    </row>
    <row r="6285" spans="9:10" x14ac:dyDescent="0.35">
      <c r="I6285" s="63"/>
      <c r="J6285" s="63"/>
    </row>
    <row r="6286" spans="9:10" x14ac:dyDescent="0.35">
      <c r="I6286" s="63"/>
      <c r="J6286" s="63"/>
    </row>
    <row r="6287" spans="9:10" x14ac:dyDescent="0.35">
      <c r="I6287" s="63"/>
      <c r="J6287" s="63"/>
    </row>
    <row r="6288" spans="9:10" x14ac:dyDescent="0.35">
      <c r="I6288" s="63"/>
      <c r="J6288" s="63"/>
    </row>
    <row r="6289" spans="9:10" x14ac:dyDescent="0.35">
      <c r="I6289" s="63"/>
      <c r="J6289" s="63"/>
    </row>
    <row r="6290" spans="9:10" x14ac:dyDescent="0.35">
      <c r="I6290" s="63"/>
      <c r="J6290" s="63"/>
    </row>
    <row r="6291" spans="9:10" x14ac:dyDescent="0.35">
      <c r="I6291" s="63"/>
      <c r="J6291" s="63"/>
    </row>
    <row r="6292" spans="9:10" x14ac:dyDescent="0.35">
      <c r="I6292" s="63"/>
      <c r="J6292" s="63"/>
    </row>
    <row r="6293" spans="9:10" x14ac:dyDescent="0.35">
      <c r="I6293" s="63"/>
      <c r="J6293" s="63"/>
    </row>
    <row r="6294" spans="9:10" x14ac:dyDescent="0.35">
      <c r="I6294" s="63"/>
      <c r="J6294" s="63"/>
    </row>
    <row r="6295" spans="9:10" x14ac:dyDescent="0.35">
      <c r="I6295" s="63"/>
      <c r="J6295" s="63"/>
    </row>
    <row r="6296" spans="9:10" x14ac:dyDescent="0.35">
      <c r="I6296" s="63"/>
      <c r="J6296" s="63"/>
    </row>
    <row r="6297" spans="9:10" x14ac:dyDescent="0.35">
      <c r="I6297" s="63"/>
      <c r="J6297" s="63"/>
    </row>
    <row r="6298" spans="9:10" x14ac:dyDescent="0.35">
      <c r="I6298" s="63"/>
      <c r="J6298" s="63"/>
    </row>
    <row r="6299" spans="9:10" x14ac:dyDescent="0.35">
      <c r="I6299" s="63"/>
      <c r="J6299" s="63"/>
    </row>
    <row r="6300" spans="9:10" x14ac:dyDescent="0.35">
      <c r="I6300" s="63"/>
      <c r="J6300" s="63"/>
    </row>
    <row r="6301" spans="9:10" x14ac:dyDescent="0.35">
      <c r="I6301" s="63"/>
      <c r="J6301" s="63"/>
    </row>
    <row r="6302" spans="9:10" x14ac:dyDescent="0.35">
      <c r="I6302" s="63"/>
      <c r="J6302" s="63"/>
    </row>
    <row r="6303" spans="9:10" x14ac:dyDescent="0.35">
      <c r="I6303" s="63"/>
      <c r="J6303" s="63"/>
    </row>
    <row r="6304" spans="9:10" x14ac:dyDescent="0.35">
      <c r="I6304" s="63"/>
      <c r="J6304" s="63"/>
    </row>
    <row r="6305" spans="9:10" x14ac:dyDescent="0.35">
      <c r="I6305" s="63"/>
      <c r="J6305" s="63"/>
    </row>
    <row r="6306" spans="9:10" x14ac:dyDescent="0.35">
      <c r="I6306" s="63"/>
      <c r="J6306" s="63"/>
    </row>
    <row r="6307" spans="9:10" x14ac:dyDescent="0.35">
      <c r="I6307" s="63"/>
      <c r="J6307" s="63"/>
    </row>
    <row r="6308" spans="9:10" x14ac:dyDescent="0.35">
      <c r="I6308" s="63"/>
      <c r="J6308" s="63"/>
    </row>
    <row r="6309" spans="9:10" x14ac:dyDescent="0.35">
      <c r="I6309" s="63"/>
      <c r="J6309" s="63"/>
    </row>
    <row r="6310" spans="9:10" x14ac:dyDescent="0.35">
      <c r="I6310" s="63"/>
      <c r="J6310" s="63"/>
    </row>
    <row r="6311" spans="9:10" x14ac:dyDescent="0.35">
      <c r="I6311" s="63"/>
      <c r="J6311" s="63"/>
    </row>
    <row r="6312" spans="9:10" x14ac:dyDescent="0.35">
      <c r="I6312" s="63"/>
      <c r="J6312" s="63"/>
    </row>
    <row r="6313" spans="9:10" x14ac:dyDescent="0.35">
      <c r="I6313" s="63"/>
      <c r="J6313" s="63"/>
    </row>
    <row r="6314" spans="9:10" x14ac:dyDescent="0.35">
      <c r="I6314" s="63"/>
      <c r="J6314" s="63"/>
    </row>
    <row r="6315" spans="9:10" x14ac:dyDescent="0.35">
      <c r="I6315" s="63"/>
      <c r="J6315" s="63"/>
    </row>
    <row r="6316" spans="9:10" x14ac:dyDescent="0.35">
      <c r="I6316" s="63"/>
      <c r="J6316" s="63"/>
    </row>
    <row r="6317" spans="9:10" x14ac:dyDescent="0.35">
      <c r="I6317" s="63"/>
      <c r="J6317" s="63"/>
    </row>
    <row r="6318" spans="9:10" x14ac:dyDescent="0.35">
      <c r="I6318" s="63"/>
      <c r="J6318" s="63"/>
    </row>
    <row r="6319" spans="9:10" x14ac:dyDescent="0.35">
      <c r="I6319" s="63"/>
      <c r="J6319" s="63"/>
    </row>
    <row r="6320" spans="9:10" x14ac:dyDescent="0.35">
      <c r="I6320" s="63"/>
      <c r="J6320" s="63"/>
    </row>
    <row r="6321" spans="9:10" x14ac:dyDescent="0.35">
      <c r="I6321" s="63"/>
      <c r="J6321" s="63"/>
    </row>
    <row r="6322" spans="9:10" x14ac:dyDescent="0.35">
      <c r="I6322" s="63"/>
      <c r="J6322" s="63"/>
    </row>
    <row r="6323" spans="9:10" x14ac:dyDescent="0.35">
      <c r="I6323" s="63"/>
      <c r="J6323" s="63"/>
    </row>
    <row r="6324" spans="9:10" x14ac:dyDescent="0.35">
      <c r="I6324" s="63"/>
      <c r="J6324" s="63"/>
    </row>
    <row r="6325" spans="9:10" x14ac:dyDescent="0.35">
      <c r="I6325" s="63"/>
      <c r="J6325" s="63"/>
    </row>
    <row r="6326" spans="9:10" x14ac:dyDescent="0.35">
      <c r="I6326" s="63"/>
      <c r="J6326" s="63"/>
    </row>
    <row r="6327" spans="9:10" x14ac:dyDescent="0.35">
      <c r="I6327" s="63"/>
      <c r="J6327" s="63"/>
    </row>
    <row r="6328" spans="9:10" x14ac:dyDescent="0.35">
      <c r="I6328" s="63"/>
      <c r="J6328" s="63"/>
    </row>
    <row r="6329" spans="9:10" x14ac:dyDescent="0.35">
      <c r="I6329" s="63"/>
      <c r="J6329" s="63"/>
    </row>
    <row r="6330" spans="9:10" x14ac:dyDescent="0.35">
      <c r="I6330" s="63"/>
      <c r="J6330" s="63"/>
    </row>
    <row r="6331" spans="9:10" x14ac:dyDescent="0.35">
      <c r="I6331" s="63"/>
      <c r="J6331" s="63"/>
    </row>
    <row r="6332" spans="9:10" x14ac:dyDescent="0.35">
      <c r="I6332" s="63"/>
      <c r="J6332" s="63"/>
    </row>
    <row r="6333" spans="9:10" x14ac:dyDescent="0.35">
      <c r="I6333" s="63"/>
      <c r="J6333" s="63"/>
    </row>
    <row r="6334" spans="9:10" x14ac:dyDescent="0.35">
      <c r="I6334" s="63"/>
      <c r="J6334" s="63"/>
    </row>
    <row r="6335" spans="9:10" x14ac:dyDescent="0.35">
      <c r="I6335" s="63"/>
      <c r="J6335" s="63"/>
    </row>
    <row r="6336" spans="9:10" x14ac:dyDescent="0.35">
      <c r="I6336" s="63"/>
      <c r="J6336" s="63"/>
    </row>
    <row r="6337" spans="9:10" x14ac:dyDescent="0.35">
      <c r="I6337" s="63"/>
      <c r="J6337" s="63"/>
    </row>
    <row r="6338" spans="9:10" x14ac:dyDescent="0.35">
      <c r="I6338" s="63"/>
      <c r="J6338" s="63"/>
    </row>
    <row r="6339" spans="9:10" x14ac:dyDescent="0.35">
      <c r="I6339" s="63"/>
      <c r="J6339" s="63"/>
    </row>
    <row r="6340" spans="9:10" x14ac:dyDescent="0.35">
      <c r="I6340" s="63"/>
      <c r="J6340" s="63"/>
    </row>
    <row r="6341" spans="9:10" x14ac:dyDescent="0.35">
      <c r="I6341" s="63"/>
      <c r="J6341" s="63"/>
    </row>
    <row r="6342" spans="9:10" x14ac:dyDescent="0.35">
      <c r="I6342" s="63"/>
      <c r="J6342" s="63"/>
    </row>
    <row r="6343" spans="9:10" x14ac:dyDescent="0.35">
      <c r="I6343" s="63"/>
      <c r="J6343" s="63"/>
    </row>
    <row r="6344" spans="9:10" x14ac:dyDescent="0.35">
      <c r="I6344" s="63"/>
      <c r="J6344" s="63"/>
    </row>
    <row r="6345" spans="9:10" x14ac:dyDescent="0.35">
      <c r="I6345" s="63"/>
      <c r="J6345" s="63"/>
    </row>
    <row r="6346" spans="9:10" x14ac:dyDescent="0.35">
      <c r="I6346" s="63"/>
      <c r="J6346" s="63"/>
    </row>
    <row r="6347" spans="9:10" x14ac:dyDescent="0.35">
      <c r="I6347" s="63"/>
      <c r="J6347" s="63"/>
    </row>
    <row r="6348" spans="9:10" x14ac:dyDescent="0.35">
      <c r="I6348" s="63"/>
      <c r="J6348" s="63"/>
    </row>
    <row r="6349" spans="9:10" x14ac:dyDescent="0.35">
      <c r="I6349" s="63"/>
      <c r="J6349" s="63"/>
    </row>
    <row r="6350" spans="9:10" x14ac:dyDescent="0.35">
      <c r="I6350" s="63"/>
      <c r="J6350" s="63"/>
    </row>
    <row r="6351" spans="9:10" x14ac:dyDescent="0.35">
      <c r="I6351" s="63"/>
      <c r="J6351" s="63"/>
    </row>
    <row r="6352" spans="9:10" x14ac:dyDescent="0.35">
      <c r="I6352" s="63"/>
      <c r="J6352" s="63"/>
    </row>
    <row r="6353" spans="9:10" x14ac:dyDescent="0.35">
      <c r="I6353" s="63"/>
      <c r="J6353" s="63"/>
    </row>
    <row r="6354" spans="9:10" x14ac:dyDescent="0.35">
      <c r="I6354" s="63"/>
      <c r="J6354" s="63"/>
    </row>
    <row r="6355" spans="9:10" x14ac:dyDescent="0.35">
      <c r="I6355" s="63"/>
      <c r="J6355" s="63"/>
    </row>
    <row r="6356" spans="9:10" x14ac:dyDescent="0.35">
      <c r="I6356" s="63"/>
      <c r="J6356" s="63"/>
    </row>
    <row r="6357" spans="9:10" x14ac:dyDescent="0.35">
      <c r="I6357" s="63"/>
      <c r="J6357" s="63"/>
    </row>
    <row r="6358" spans="9:10" x14ac:dyDescent="0.35">
      <c r="I6358" s="63"/>
      <c r="J6358" s="63"/>
    </row>
    <row r="6359" spans="9:10" x14ac:dyDescent="0.35">
      <c r="I6359" s="63"/>
      <c r="J6359" s="63"/>
    </row>
    <row r="6360" spans="9:10" x14ac:dyDescent="0.35">
      <c r="I6360" s="63"/>
      <c r="J6360" s="63"/>
    </row>
    <row r="6361" spans="9:10" x14ac:dyDescent="0.35">
      <c r="I6361" s="63"/>
      <c r="J6361" s="63"/>
    </row>
    <row r="6362" spans="9:10" x14ac:dyDescent="0.35">
      <c r="I6362" s="63"/>
      <c r="J6362" s="63"/>
    </row>
    <row r="6363" spans="9:10" x14ac:dyDescent="0.35">
      <c r="I6363" s="63"/>
      <c r="J6363" s="63"/>
    </row>
    <row r="6364" spans="9:10" x14ac:dyDescent="0.35">
      <c r="I6364" s="63"/>
      <c r="J6364" s="63"/>
    </row>
    <row r="6365" spans="9:10" x14ac:dyDescent="0.35">
      <c r="I6365" s="63"/>
      <c r="J6365" s="63"/>
    </row>
    <row r="6366" spans="9:10" x14ac:dyDescent="0.35">
      <c r="I6366" s="63"/>
      <c r="J6366" s="63"/>
    </row>
    <row r="6367" spans="9:10" x14ac:dyDescent="0.35">
      <c r="I6367" s="63"/>
      <c r="J6367" s="63"/>
    </row>
    <row r="6368" spans="9:10" x14ac:dyDescent="0.35">
      <c r="I6368" s="63"/>
      <c r="J6368" s="63"/>
    </row>
    <row r="6369" spans="9:10" x14ac:dyDescent="0.35">
      <c r="I6369" s="63"/>
      <c r="J6369" s="63"/>
    </row>
    <row r="6370" spans="9:10" x14ac:dyDescent="0.35">
      <c r="I6370" s="63"/>
      <c r="J6370" s="63"/>
    </row>
    <row r="6371" spans="9:10" x14ac:dyDescent="0.35">
      <c r="I6371" s="63"/>
      <c r="J6371" s="63"/>
    </row>
    <row r="6372" spans="9:10" x14ac:dyDescent="0.35">
      <c r="I6372" s="63"/>
      <c r="J6372" s="63"/>
    </row>
    <row r="6373" spans="9:10" x14ac:dyDescent="0.35">
      <c r="I6373" s="63"/>
      <c r="J6373" s="63"/>
    </row>
    <row r="6374" spans="9:10" x14ac:dyDescent="0.35">
      <c r="I6374" s="63"/>
      <c r="J6374" s="63"/>
    </row>
    <row r="6375" spans="9:10" x14ac:dyDescent="0.35">
      <c r="I6375" s="63"/>
      <c r="J6375" s="63"/>
    </row>
    <row r="6376" spans="9:10" x14ac:dyDescent="0.35">
      <c r="I6376" s="63"/>
      <c r="J6376" s="63"/>
    </row>
    <row r="6377" spans="9:10" x14ac:dyDescent="0.35">
      <c r="I6377" s="63"/>
      <c r="J6377" s="63"/>
    </row>
    <row r="6378" spans="9:10" x14ac:dyDescent="0.35">
      <c r="I6378" s="63"/>
      <c r="J6378" s="63"/>
    </row>
    <row r="6379" spans="9:10" x14ac:dyDescent="0.35">
      <c r="I6379" s="63"/>
      <c r="J6379" s="63"/>
    </row>
    <row r="6380" spans="9:10" x14ac:dyDescent="0.35">
      <c r="I6380" s="63"/>
      <c r="J6380" s="63"/>
    </row>
    <row r="6381" spans="9:10" x14ac:dyDescent="0.35">
      <c r="I6381" s="63"/>
      <c r="J6381" s="63"/>
    </row>
    <row r="6382" spans="9:10" x14ac:dyDescent="0.35">
      <c r="I6382" s="63"/>
      <c r="J6382" s="63"/>
    </row>
    <row r="6383" spans="9:10" x14ac:dyDescent="0.35">
      <c r="I6383" s="63"/>
      <c r="J6383" s="63"/>
    </row>
    <row r="6384" spans="9:10" x14ac:dyDescent="0.35">
      <c r="I6384" s="63"/>
      <c r="J6384" s="63"/>
    </row>
    <row r="6385" spans="9:10" x14ac:dyDescent="0.35">
      <c r="I6385" s="63"/>
      <c r="J6385" s="63"/>
    </row>
    <row r="6386" spans="9:10" x14ac:dyDescent="0.35">
      <c r="I6386" s="63"/>
      <c r="J6386" s="63"/>
    </row>
    <row r="6387" spans="9:10" x14ac:dyDescent="0.35">
      <c r="I6387" s="63"/>
      <c r="J6387" s="63"/>
    </row>
    <row r="6388" spans="9:10" x14ac:dyDescent="0.35">
      <c r="I6388" s="63"/>
      <c r="J6388" s="63"/>
    </row>
    <row r="6389" spans="9:10" x14ac:dyDescent="0.35">
      <c r="I6389" s="63"/>
      <c r="J6389" s="63"/>
    </row>
    <row r="6390" spans="9:10" x14ac:dyDescent="0.35">
      <c r="I6390" s="63"/>
      <c r="J6390" s="63"/>
    </row>
    <row r="6391" spans="9:10" x14ac:dyDescent="0.35">
      <c r="I6391" s="63"/>
      <c r="J6391" s="63"/>
    </row>
    <row r="6392" spans="9:10" x14ac:dyDescent="0.35">
      <c r="I6392" s="63"/>
      <c r="J6392" s="63"/>
    </row>
    <row r="6393" spans="9:10" x14ac:dyDescent="0.35">
      <c r="I6393" s="63"/>
      <c r="J6393" s="63"/>
    </row>
    <row r="6394" spans="9:10" x14ac:dyDescent="0.35">
      <c r="I6394" s="63"/>
      <c r="J6394" s="63"/>
    </row>
    <row r="6395" spans="9:10" x14ac:dyDescent="0.35">
      <c r="I6395" s="63"/>
      <c r="J6395" s="63"/>
    </row>
    <row r="6396" spans="9:10" x14ac:dyDescent="0.35">
      <c r="I6396" s="63"/>
      <c r="J6396" s="63"/>
    </row>
    <row r="6397" spans="9:10" x14ac:dyDescent="0.35">
      <c r="I6397" s="63"/>
      <c r="J6397" s="63"/>
    </row>
    <row r="6398" spans="9:10" x14ac:dyDescent="0.35">
      <c r="I6398" s="63"/>
      <c r="J6398" s="63"/>
    </row>
    <row r="6399" spans="9:10" x14ac:dyDescent="0.35">
      <c r="I6399" s="63"/>
      <c r="J6399" s="63"/>
    </row>
    <row r="6400" spans="9:10" x14ac:dyDescent="0.35">
      <c r="I6400" s="63"/>
      <c r="J6400" s="63"/>
    </row>
    <row r="6401" spans="9:10" x14ac:dyDescent="0.35">
      <c r="I6401" s="63"/>
      <c r="J6401" s="63"/>
    </row>
    <row r="6402" spans="9:10" x14ac:dyDescent="0.35">
      <c r="I6402" s="63"/>
      <c r="J6402" s="63"/>
    </row>
    <row r="6403" spans="9:10" x14ac:dyDescent="0.35">
      <c r="I6403" s="63"/>
      <c r="J6403" s="63"/>
    </row>
    <row r="6404" spans="9:10" x14ac:dyDescent="0.35">
      <c r="I6404" s="63"/>
      <c r="J6404" s="63"/>
    </row>
    <row r="6405" spans="9:10" x14ac:dyDescent="0.35">
      <c r="I6405" s="63"/>
      <c r="J6405" s="63"/>
    </row>
    <row r="6406" spans="9:10" x14ac:dyDescent="0.35">
      <c r="I6406" s="63"/>
      <c r="J6406" s="63"/>
    </row>
    <row r="6407" spans="9:10" x14ac:dyDescent="0.35">
      <c r="I6407" s="63"/>
      <c r="J6407" s="63"/>
    </row>
    <row r="6408" spans="9:10" x14ac:dyDescent="0.35">
      <c r="I6408" s="63"/>
      <c r="J6408" s="63"/>
    </row>
    <row r="6409" spans="9:10" x14ac:dyDescent="0.35">
      <c r="I6409" s="63"/>
      <c r="J6409" s="63"/>
    </row>
    <row r="6410" spans="9:10" x14ac:dyDescent="0.35">
      <c r="I6410" s="63"/>
      <c r="J6410" s="63"/>
    </row>
    <row r="6411" spans="9:10" x14ac:dyDescent="0.35">
      <c r="I6411" s="63"/>
      <c r="J6411" s="63"/>
    </row>
    <row r="6412" spans="9:10" x14ac:dyDescent="0.35">
      <c r="I6412" s="63"/>
      <c r="J6412" s="63"/>
    </row>
    <row r="6413" spans="9:10" x14ac:dyDescent="0.35">
      <c r="I6413" s="63"/>
      <c r="J6413" s="63"/>
    </row>
    <row r="6414" spans="9:10" x14ac:dyDescent="0.35">
      <c r="I6414" s="63"/>
      <c r="J6414" s="63"/>
    </row>
    <row r="6415" spans="9:10" x14ac:dyDescent="0.35">
      <c r="I6415" s="63"/>
      <c r="J6415" s="63"/>
    </row>
    <row r="6416" spans="9:10" x14ac:dyDescent="0.35">
      <c r="I6416" s="63"/>
      <c r="J6416" s="63"/>
    </row>
    <row r="6417" spans="9:10" x14ac:dyDescent="0.35">
      <c r="I6417" s="63"/>
      <c r="J6417" s="63"/>
    </row>
    <row r="6418" spans="9:10" x14ac:dyDescent="0.35">
      <c r="I6418" s="63"/>
      <c r="J6418" s="63"/>
    </row>
    <row r="6419" spans="9:10" x14ac:dyDescent="0.35">
      <c r="I6419" s="63"/>
      <c r="J6419" s="63"/>
    </row>
    <row r="6420" spans="9:10" x14ac:dyDescent="0.35">
      <c r="I6420" s="63"/>
      <c r="J6420" s="63"/>
    </row>
    <row r="6421" spans="9:10" x14ac:dyDescent="0.35">
      <c r="I6421" s="63"/>
      <c r="J6421" s="63"/>
    </row>
    <row r="6422" spans="9:10" x14ac:dyDescent="0.35">
      <c r="I6422" s="63"/>
      <c r="J6422" s="63"/>
    </row>
    <row r="6423" spans="9:10" x14ac:dyDescent="0.35">
      <c r="I6423" s="63"/>
      <c r="J6423" s="63"/>
    </row>
    <row r="6424" spans="9:10" x14ac:dyDescent="0.35">
      <c r="I6424" s="63"/>
      <c r="J6424" s="63"/>
    </row>
    <row r="6425" spans="9:10" x14ac:dyDescent="0.35">
      <c r="I6425" s="63"/>
      <c r="J6425" s="63"/>
    </row>
    <row r="6426" spans="9:10" x14ac:dyDescent="0.35">
      <c r="I6426" s="63"/>
      <c r="J6426" s="63"/>
    </row>
    <row r="6427" spans="9:10" x14ac:dyDescent="0.35">
      <c r="I6427" s="63"/>
      <c r="J6427" s="63"/>
    </row>
    <row r="6428" spans="9:10" x14ac:dyDescent="0.35">
      <c r="I6428" s="63"/>
      <c r="J6428" s="63"/>
    </row>
    <row r="6429" spans="9:10" x14ac:dyDescent="0.35">
      <c r="I6429" s="63"/>
      <c r="J6429" s="63"/>
    </row>
    <row r="6430" spans="9:10" x14ac:dyDescent="0.35">
      <c r="I6430" s="63"/>
      <c r="J6430" s="63"/>
    </row>
    <row r="6431" spans="9:10" x14ac:dyDescent="0.35">
      <c r="I6431" s="63"/>
      <c r="J6431" s="63"/>
    </row>
    <row r="6432" spans="9:10" x14ac:dyDescent="0.35">
      <c r="I6432" s="63"/>
      <c r="J6432" s="63"/>
    </row>
    <row r="6433" spans="9:10" x14ac:dyDescent="0.35">
      <c r="I6433" s="63"/>
      <c r="J6433" s="63"/>
    </row>
    <row r="6434" spans="9:10" x14ac:dyDescent="0.35">
      <c r="I6434" s="63"/>
      <c r="J6434" s="63"/>
    </row>
    <row r="6435" spans="9:10" x14ac:dyDescent="0.35">
      <c r="I6435" s="63"/>
      <c r="J6435" s="63"/>
    </row>
    <row r="6436" spans="9:10" x14ac:dyDescent="0.35">
      <c r="I6436" s="63"/>
      <c r="J6436" s="63"/>
    </row>
    <row r="6437" spans="9:10" x14ac:dyDescent="0.35">
      <c r="I6437" s="63"/>
      <c r="J6437" s="63"/>
    </row>
    <row r="6438" spans="9:10" x14ac:dyDescent="0.35">
      <c r="I6438" s="63"/>
      <c r="J6438" s="63"/>
    </row>
    <row r="6439" spans="9:10" x14ac:dyDescent="0.35">
      <c r="I6439" s="63"/>
      <c r="J6439" s="63"/>
    </row>
    <row r="6440" spans="9:10" x14ac:dyDescent="0.35">
      <c r="I6440" s="63"/>
      <c r="J6440" s="63"/>
    </row>
    <row r="6441" spans="9:10" x14ac:dyDescent="0.35">
      <c r="I6441" s="63"/>
      <c r="J6441" s="63"/>
    </row>
    <row r="6442" spans="9:10" x14ac:dyDescent="0.35">
      <c r="I6442" s="63"/>
      <c r="J6442" s="63"/>
    </row>
    <row r="6443" spans="9:10" x14ac:dyDescent="0.35">
      <c r="I6443" s="63"/>
      <c r="J6443" s="63"/>
    </row>
    <row r="6444" spans="9:10" x14ac:dyDescent="0.35">
      <c r="I6444" s="63"/>
      <c r="J6444" s="63"/>
    </row>
    <row r="6445" spans="9:10" x14ac:dyDescent="0.35">
      <c r="I6445" s="63"/>
      <c r="J6445" s="63"/>
    </row>
    <row r="6446" spans="9:10" x14ac:dyDescent="0.35">
      <c r="I6446" s="63"/>
      <c r="J6446" s="63"/>
    </row>
    <row r="6447" spans="9:10" x14ac:dyDescent="0.35">
      <c r="I6447" s="63"/>
      <c r="J6447" s="63"/>
    </row>
    <row r="6448" spans="9:10" x14ac:dyDescent="0.35">
      <c r="I6448" s="63"/>
      <c r="J6448" s="63"/>
    </row>
    <row r="6449" spans="9:10" x14ac:dyDescent="0.35">
      <c r="I6449" s="63"/>
      <c r="J6449" s="63"/>
    </row>
    <row r="6450" spans="9:10" x14ac:dyDescent="0.35">
      <c r="I6450" s="63"/>
      <c r="J6450" s="63"/>
    </row>
    <row r="6451" spans="9:10" x14ac:dyDescent="0.35">
      <c r="I6451" s="63"/>
      <c r="J6451" s="63"/>
    </row>
    <row r="6452" spans="9:10" x14ac:dyDescent="0.35">
      <c r="I6452" s="63"/>
      <c r="J6452" s="63"/>
    </row>
    <row r="6453" spans="9:10" x14ac:dyDescent="0.35">
      <c r="I6453" s="63"/>
      <c r="J6453" s="63"/>
    </row>
    <row r="6454" spans="9:10" x14ac:dyDescent="0.35">
      <c r="I6454" s="63"/>
      <c r="J6454" s="63"/>
    </row>
    <row r="6455" spans="9:10" x14ac:dyDescent="0.35">
      <c r="I6455" s="63"/>
      <c r="J6455" s="63"/>
    </row>
    <row r="6456" spans="9:10" x14ac:dyDescent="0.35">
      <c r="I6456" s="63"/>
      <c r="J6456" s="63"/>
    </row>
    <row r="6457" spans="9:10" x14ac:dyDescent="0.35">
      <c r="I6457" s="63"/>
      <c r="J6457" s="63"/>
    </row>
    <row r="6458" spans="9:10" x14ac:dyDescent="0.35">
      <c r="I6458" s="63"/>
      <c r="J6458" s="63"/>
    </row>
    <row r="6459" spans="9:10" x14ac:dyDescent="0.35">
      <c r="I6459" s="63"/>
      <c r="J6459" s="63"/>
    </row>
    <row r="6460" spans="9:10" x14ac:dyDescent="0.35">
      <c r="I6460" s="63"/>
      <c r="J6460" s="63"/>
    </row>
    <row r="6461" spans="9:10" x14ac:dyDescent="0.35">
      <c r="I6461" s="63"/>
      <c r="J6461" s="63"/>
    </row>
    <row r="6462" spans="9:10" x14ac:dyDescent="0.35">
      <c r="I6462" s="63"/>
      <c r="J6462" s="63"/>
    </row>
    <row r="6463" spans="9:10" x14ac:dyDescent="0.35">
      <c r="I6463" s="63"/>
      <c r="J6463" s="63"/>
    </row>
    <row r="6464" spans="9:10" x14ac:dyDescent="0.35">
      <c r="I6464" s="63"/>
      <c r="J6464" s="63"/>
    </row>
    <row r="6465" spans="9:10" x14ac:dyDescent="0.35">
      <c r="I6465" s="63"/>
      <c r="J6465" s="63"/>
    </row>
    <row r="6466" spans="9:10" x14ac:dyDescent="0.35">
      <c r="I6466" s="63"/>
      <c r="J6466" s="63"/>
    </row>
    <row r="6467" spans="9:10" x14ac:dyDescent="0.35">
      <c r="I6467" s="63"/>
      <c r="J6467" s="63"/>
    </row>
    <row r="6468" spans="9:10" x14ac:dyDescent="0.35">
      <c r="I6468" s="63"/>
      <c r="J6468" s="63"/>
    </row>
    <row r="6469" spans="9:10" x14ac:dyDescent="0.35">
      <c r="I6469" s="63"/>
      <c r="J6469" s="63"/>
    </row>
    <row r="6470" spans="9:10" x14ac:dyDescent="0.35">
      <c r="I6470" s="63"/>
      <c r="J6470" s="63"/>
    </row>
    <row r="6471" spans="9:10" x14ac:dyDescent="0.35">
      <c r="I6471" s="63"/>
      <c r="J6471" s="63"/>
    </row>
    <row r="6472" spans="9:10" x14ac:dyDescent="0.35">
      <c r="I6472" s="63"/>
      <c r="J6472" s="63"/>
    </row>
    <row r="6473" spans="9:10" x14ac:dyDescent="0.35">
      <c r="I6473" s="63"/>
      <c r="J6473" s="63"/>
    </row>
    <row r="6474" spans="9:10" x14ac:dyDescent="0.35">
      <c r="I6474" s="63"/>
      <c r="J6474" s="63"/>
    </row>
    <row r="6475" spans="9:10" x14ac:dyDescent="0.35">
      <c r="I6475" s="63"/>
      <c r="J6475" s="63"/>
    </row>
    <row r="6476" spans="9:10" x14ac:dyDescent="0.35">
      <c r="I6476" s="63"/>
      <c r="J6476" s="63"/>
    </row>
    <row r="6477" spans="9:10" x14ac:dyDescent="0.35">
      <c r="I6477" s="63"/>
      <c r="J6477" s="63"/>
    </row>
    <row r="6478" spans="9:10" x14ac:dyDescent="0.35">
      <c r="I6478" s="63"/>
      <c r="J6478" s="63"/>
    </row>
    <row r="6479" spans="9:10" x14ac:dyDescent="0.35">
      <c r="I6479" s="63"/>
      <c r="J6479" s="63"/>
    </row>
    <row r="6480" spans="9:10" x14ac:dyDescent="0.35">
      <c r="I6480" s="63"/>
      <c r="J6480" s="63"/>
    </row>
    <row r="6481" spans="9:10" x14ac:dyDescent="0.35">
      <c r="I6481" s="63"/>
      <c r="J6481" s="63"/>
    </row>
    <row r="6482" spans="9:10" x14ac:dyDescent="0.35">
      <c r="I6482" s="63"/>
      <c r="J6482" s="63"/>
    </row>
    <row r="6483" spans="9:10" x14ac:dyDescent="0.35">
      <c r="I6483" s="63"/>
      <c r="J6483" s="63"/>
    </row>
    <row r="6484" spans="9:10" x14ac:dyDescent="0.35">
      <c r="I6484" s="63"/>
      <c r="J6484" s="63"/>
    </row>
    <row r="6485" spans="9:10" x14ac:dyDescent="0.35">
      <c r="I6485" s="63"/>
      <c r="J6485" s="63"/>
    </row>
    <row r="6486" spans="9:10" x14ac:dyDescent="0.35">
      <c r="I6486" s="63"/>
      <c r="J6486" s="63"/>
    </row>
    <row r="6487" spans="9:10" x14ac:dyDescent="0.35">
      <c r="I6487" s="63"/>
      <c r="J6487" s="63"/>
    </row>
    <row r="6488" spans="9:10" x14ac:dyDescent="0.35">
      <c r="I6488" s="63"/>
      <c r="J6488" s="63"/>
    </row>
    <row r="6489" spans="9:10" x14ac:dyDescent="0.35">
      <c r="I6489" s="63"/>
      <c r="J6489" s="63"/>
    </row>
    <row r="6490" spans="9:10" x14ac:dyDescent="0.35">
      <c r="I6490" s="63"/>
      <c r="J6490" s="63"/>
    </row>
    <row r="6491" spans="9:10" x14ac:dyDescent="0.35">
      <c r="I6491" s="63"/>
      <c r="J6491" s="63"/>
    </row>
    <row r="6492" spans="9:10" x14ac:dyDescent="0.35">
      <c r="I6492" s="63"/>
      <c r="J6492" s="63"/>
    </row>
    <row r="6493" spans="9:10" x14ac:dyDescent="0.35">
      <c r="I6493" s="63"/>
      <c r="J6493" s="63"/>
    </row>
    <row r="6494" spans="9:10" x14ac:dyDescent="0.35">
      <c r="I6494" s="63"/>
      <c r="J6494" s="63"/>
    </row>
    <row r="6495" spans="9:10" x14ac:dyDescent="0.35">
      <c r="I6495" s="63"/>
      <c r="J6495" s="63"/>
    </row>
    <row r="6496" spans="9:10" x14ac:dyDescent="0.35">
      <c r="I6496" s="63"/>
      <c r="J6496" s="63"/>
    </row>
    <row r="6497" spans="9:10" x14ac:dyDescent="0.35">
      <c r="I6497" s="63"/>
      <c r="J6497" s="63"/>
    </row>
    <row r="6498" spans="9:10" x14ac:dyDescent="0.35">
      <c r="I6498" s="63"/>
      <c r="J6498" s="63"/>
    </row>
    <row r="6499" spans="9:10" x14ac:dyDescent="0.35">
      <c r="I6499" s="63"/>
      <c r="J6499" s="63"/>
    </row>
    <row r="6500" spans="9:10" x14ac:dyDescent="0.35">
      <c r="I6500" s="63"/>
      <c r="J6500" s="63"/>
    </row>
    <row r="6501" spans="9:10" x14ac:dyDescent="0.35">
      <c r="I6501" s="63"/>
      <c r="J6501" s="63"/>
    </row>
    <row r="6502" spans="9:10" x14ac:dyDescent="0.35">
      <c r="I6502" s="63"/>
      <c r="J6502" s="63"/>
    </row>
    <row r="6503" spans="9:10" x14ac:dyDescent="0.35">
      <c r="I6503" s="63"/>
      <c r="J6503" s="63"/>
    </row>
    <row r="6504" spans="9:10" x14ac:dyDescent="0.35">
      <c r="I6504" s="63"/>
      <c r="J6504" s="63"/>
    </row>
    <row r="6505" spans="9:10" x14ac:dyDescent="0.35">
      <c r="I6505" s="63"/>
      <c r="J6505" s="63"/>
    </row>
    <row r="6506" spans="9:10" x14ac:dyDescent="0.35">
      <c r="I6506" s="63"/>
      <c r="J6506" s="63"/>
    </row>
    <row r="6507" spans="9:10" x14ac:dyDescent="0.35">
      <c r="I6507" s="63"/>
      <c r="J6507" s="63"/>
    </row>
    <row r="6508" spans="9:10" x14ac:dyDescent="0.35">
      <c r="I6508" s="63"/>
      <c r="J6508" s="63"/>
    </row>
    <row r="6509" spans="9:10" x14ac:dyDescent="0.35">
      <c r="I6509" s="63"/>
      <c r="J6509" s="63"/>
    </row>
    <row r="6510" spans="9:10" x14ac:dyDescent="0.35">
      <c r="I6510" s="63"/>
      <c r="J6510" s="63"/>
    </row>
    <row r="6511" spans="9:10" x14ac:dyDescent="0.35">
      <c r="I6511" s="63"/>
      <c r="J6511" s="63"/>
    </row>
    <row r="6512" spans="9:10" x14ac:dyDescent="0.35">
      <c r="I6512" s="63"/>
      <c r="J6512" s="63"/>
    </row>
    <row r="6513" spans="9:10" x14ac:dyDescent="0.35">
      <c r="I6513" s="63"/>
      <c r="J6513" s="63"/>
    </row>
    <row r="6514" spans="9:10" x14ac:dyDescent="0.35">
      <c r="I6514" s="63"/>
      <c r="J6514" s="63"/>
    </row>
    <row r="6515" spans="9:10" x14ac:dyDescent="0.35">
      <c r="I6515" s="63"/>
      <c r="J6515" s="63"/>
    </row>
    <row r="6516" spans="9:10" x14ac:dyDescent="0.35">
      <c r="I6516" s="63"/>
      <c r="J6516" s="63"/>
    </row>
    <row r="6517" spans="9:10" x14ac:dyDescent="0.35">
      <c r="I6517" s="63"/>
      <c r="J6517" s="63"/>
    </row>
    <row r="6518" spans="9:10" x14ac:dyDescent="0.35">
      <c r="I6518" s="63"/>
      <c r="J6518" s="63"/>
    </row>
    <row r="6519" spans="9:10" x14ac:dyDescent="0.35">
      <c r="I6519" s="63"/>
      <c r="J6519" s="63"/>
    </row>
    <row r="6520" spans="9:10" x14ac:dyDescent="0.35">
      <c r="I6520" s="63"/>
      <c r="J6520" s="63"/>
    </row>
    <row r="6521" spans="9:10" x14ac:dyDescent="0.35">
      <c r="I6521" s="63"/>
      <c r="J6521" s="63"/>
    </row>
    <row r="6522" spans="9:10" x14ac:dyDescent="0.35">
      <c r="I6522" s="63"/>
      <c r="J6522" s="63"/>
    </row>
    <row r="6523" spans="9:10" x14ac:dyDescent="0.35">
      <c r="I6523" s="63"/>
      <c r="J6523" s="63"/>
    </row>
    <row r="6524" spans="9:10" x14ac:dyDescent="0.35">
      <c r="I6524" s="63"/>
      <c r="J6524" s="63"/>
    </row>
    <row r="6525" spans="9:10" x14ac:dyDescent="0.35">
      <c r="I6525" s="63"/>
      <c r="J6525" s="63"/>
    </row>
    <row r="6526" spans="9:10" x14ac:dyDescent="0.35">
      <c r="I6526" s="63"/>
      <c r="J6526" s="63"/>
    </row>
    <row r="6527" spans="9:10" x14ac:dyDescent="0.35">
      <c r="I6527" s="63"/>
      <c r="J6527" s="63"/>
    </row>
    <row r="6528" spans="9:10" x14ac:dyDescent="0.35">
      <c r="I6528" s="63"/>
      <c r="J6528" s="63"/>
    </row>
    <row r="6529" spans="9:10" x14ac:dyDescent="0.35">
      <c r="I6529" s="63"/>
      <c r="J6529" s="63"/>
    </row>
    <row r="6530" spans="9:10" x14ac:dyDescent="0.35">
      <c r="I6530" s="63"/>
      <c r="J6530" s="63"/>
    </row>
    <row r="6531" spans="9:10" x14ac:dyDescent="0.35">
      <c r="I6531" s="63"/>
      <c r="J6531" s="63"/>
    </row>
    <row r="6532" spans="9:10" x14ac:dyDescent="0.35">
      <c r="I6532" s="63"/>
      <c r="J6532" s="63"/>
    </row>
    <row r="6533" spans="9:10" x14ac:dyDescent="0.35">
      <c r="I6533" s="63"/>
      <c r="J6533" s="63"/>
    </row>
    <row r="6534" spans="9:10" x14ac:dyDescent="0.35">
      <c r="I6534" s="63"/>
      <c r="J6534" s="63"/>
    </row>
    <row r="6535" spans="9:10" x14ac:dyDescent="0.35">
      <c r="I6535" s="63"/>
      <c r="J6535" s="63"/>
    </row>
    <row r="6536" spans="9:10" x14ac:dyDescent="0.35">
      <c r="I6536" s="63"/>
      <c r="J6536" s="63"/>
    </row>
    <row r="6537" spans="9:10" x14ac:dyDescent="0.35">
      <c r="I6537" s="63"/>
      <c r="J6537" s="63"/>
    </row>
    <row r="6538" spans="9:10" x14ac:dyDescent="0.35">
      <c r="I6538" s="63"/>
      <c r="J6538" s="63"/>
    </row>
    <row r="6539" spans="9:10" x14ac:dyDescent="0.35">
      <c r="I6539" s="63"/>
      <c r="J6539" s="63"/>
    </row>
    <row r="6540" spans="9:10" x14ac:dyDescent="0.35">
      <c r="I6540" s="63"/>
      <c r="J6540" s="63"/>
    </row>
    <row r="6541" spans="9:10" x14ac:dyDescent="0.35">
      <c r="I6541" s="63"/>
      <c r="J6541" s="63"/>
    </row>
    <row r="6542" spans="9:10" x14ac:dyDescent="0.35">
      <c r="I6542" s="63"/>
      <c r="J6542" s="63"/>
    </row>
    <row r="6543" spans="9:10" x14ac:dyDescent="0.35">
      <c r="I6543" s="63"/>
      <c r="J6543" s="63"/>
    </row>
    <row r="6544" spans="9:10" x14ac:dyDescent="0.35">
      <c r="I6544" s="63"/>
      <c r="J6544" s="63"/>
    </row>
    <row r="6545" spans="9:10" x14ac:dyDescent="0.35">
      <c r="I6545" s="63"/>
      <c r="J6545" s="63"/>
    </row>
    <row r="6546" spans="9:10" x14ac:dyDescent="0.35">
      <c r="I6546" s="63"/>
      <c r="J6546" s="63"/>
    </row>
    <row r="6547" spans="9:10" x14ac:dyDescent="0.35">
      <c r="I6547" s="63"/>
      <c r="J6547" s="63"/>
    </row>
    <row r="6548" spans="9:10" x14ac:dyDescent="0.35">
      <c r="I6548" s="63"/>
      <c r="J6548" s="63"/>
    </row>
    <row r="6549" spans="9:10" x14ac:dyDescent="0.35">
      <c r="I6549" s="63"/>
      <c r="J6549" s="63"/>
    </row>
    <row r="6550" spans="9:10" x14ac:dyDescent="0.35">
      <c r="I6550" s="63"/>
      <c r="J6550" s="63"/>
    </row>
    <row r="6551" spans="9:10" x14ac:dyDescent="0.35">
      <c r="I6551" s="63"/>
      <c r="J6551" s="63"/>
    </row>
    <row r="6552" spans="9:10" x14ac:dyDescent="0.35">
      <c r="I6552" s="63"/>
      <c r="J6552" s="63"/>
    </row>
    <row r="6553" spans="9:10" x14ac:dyDescent="0.35">
      <c r="I6553" s="63"/>
      <c r="J6553" s="63"/>
    </row>
    <row r="6554" spans="9:10" x14ac:dyDescent="0.35">
      <c r="I6554" s="63"/>
      <c r="J6554" s="63"/>
    </row>
    <row r="6555" spans="9:10" x14ac:dyDescent="0.35">
      <c r="I6555" s="63"/>
      <c r="J6555" s="63"/>
    </row>
    <row r="6556" spans="9:10" x14ac:dyDescent="0.35">
      <c r="I6556" s="63"/>
      <c r="J6556" s="63"/>
    </row>
    <row r="6557" spans="9:10" x14ac:dyDescent="0.35">
      <c r="I6557" s="63"/>
      <c r="J6557" s="63"/>
    </row>
    <row r="6558" spans="9:10" x14ac:dyDescent="0.35">
      <c r="I6558" s="63"/>
      <c r="J6558" s="63"/>
    </row>
    <row r="6559" spans="9:10" x14ac:dyDescent="0.35">
      <c r="I6559" s="63"/>
      <c r="J6559" s="63"/>
    </row>
    <row r="6560" spans="9:10" x14ac:dyDescent="0.35">
      <c r="I6560" s="63"/>
      <c r="J6560" s="63"/>
    </row>
    <row r="6561" spans="9:10" x14ac:dyDescent="0.35">
      <c r="I6561" s="63"/>
      <c r="J6561" s="63"/>
    </row>
    <row r="6562" spans="9:10" x14ac:dyDescent="0.35">
      <c r="I6562" s="63"/>
      <c r="J6562" s="63"/>
    </row>
    <row r="6563" spans="9:10" x14ac:dyDescent="0.35">
      <c r="I6563" s="63"/>
      <c r="J6563" s="63"/>
    </row>
    <row r="6564" spans="9:10" x14ac:dyDescent="0.35">
      <c r="I6564" s="63"/>
      <c r="J6564" s="63"/>
    </row>
    <row r="6565" spans="9:10" x14ac:dyDescent="0.35">
      <c r="I6565" s="63"/>
      <c r="J6565" s="63"/>
    </row>
    <row r="6566" spans="9:10" x14ac:dyDescent="0.35">
      <c r="I6566" s="63"/>
      <c r="J6566" s="63"/>
    </row>
    <row r="6567" spans="9:10" x14ac:dyDescent="0.35">
      <c r="I6567" s="63"/>
      <c r="J6567" s="63"/>
    </row>
    <row r="6568" spans="9:10" x14ac:dyDescent="0.35">
      <c r="I6568" s="63"/>
      <c r="J6568" s="63"/>
    </row>
    <row r="6569" spans="9:10" x14ac:dyDescent="0.35">
      <c r="I6569" s="63"/>
      <c r="J6569" s="63"/>
    </row>
    <row r="6570" spans="9:10" x14ac:dyDescent="0.35">
      <c r="I6570" s="63"/>
      <c r="J6570" s="63"/>
    </row>
    <row r="6571" spans="9:10" x14ac:dyDescent="0.35">
      <c r="I6571" s="63"/>
      <c r="J6571" s="63"/>
    </row>
    <row r="6572" spans="9:10" x14ac:dyDescent="0.35">
      <c r="I6572" s="63"/>
      <c r="J6572" s="63"/>
    </row>
    <row r="6573" spans="9:10" x14ac:dyDescent="0.35">
      <c r="I6573" s="63"/>
      <c r="J6573" s="63"/>
    </row>
    <row r="6574" spans="9:10" x14ac:dyDescent="0.35">
      <c r="I6574" s="63"/>
      <c r="J6574" s="63"/>
    </row>
    <row r="6575" spans="9:10" x14ac:dyDescent="0.35">
      <c r="I6575" s="63"/>
      <c r="J6575" s="63"/>
    </row>
    <row r="6576" spans="9:10" x14ac:dyDescent="0.35">
      <c r="I6576" s="63"/>
      <c r="J6576" s="63"/>
    </row>
    <row r="6577" spans="9:10" x14ac:dyDescent="0.35">
      <c r="I6577" s="63"/>
      <c r="J6577" s="63"/>
    </row>
    <row r="6578" spans="9:10" x14ac:dyDescent="0.35">
      <c r="I6578" s="63"/>
      <c r="J6578" s="63"/>
    </row>
    <row r="6579" spans="9:10" x14ac:dyDescent="0.35">
      <c r="I6579" s="63"/>
      <c r="J6579" s="63"/>
    </row>
    <row r="6580" spans="9:10" x14ac:dyDescent="0.35">
      <c r="I6580" s="63"/>
      <c r="J6580" s="63"/>
    </row>
    <row r="6581" spans="9:10" x14ac:dyDescent="0.35">
      <c r="I6581" s="63"/>
      <c r="J6581" s="63"/>
    </row>
    <row r="6582" spans="9:10" x14ac:dyDescent="0.35">
      <c r="I6582" s="63"/>
      <c r="J6582" s="63"/>
    </row>
    <row r="6583" spans="9:10" x14ac:dyDescent="0.35">
      <c r="I6583" s="63"/>
      <c r="J6583" s="63"/>
    </row>
    <row r="6584" spans="9:10" x14ac:dyDescent="0.35">
      <c r="I6584" s="63"/>
      <c r="J6584" s="63"/>
    </row>
    <row r="6585" spans="9:10" x14ac:dyDescent="0.35">
      <c r="I6585" s="63"/>
      <c r="J6585" s="63"/>
    </row>
    <row r="6586" spans="9:10" x14ac:dyDescent="0.35">
      <c r="I6586" s="63"/>
      <c r="J6586" s="63"/>
    </row>
    <row r="6587" spans="9:10" x14ac:dyDescent="0.35">
      <c r="I6587" s="63"/>
      <c r="J6587" s="63"/>
    </row>
    <row r="6588" spans="9:10" x14ac:dyDescent="0.35">
      <c r="I6588" s="63"/>
      <c r="J6588" s="63"/>
    </row>
    <row r="6589" spans="9:10" x14ac:dyDescent="0.35">
      <c r="I6589" s="63"/>
      <c r="J6589" s="63"/>
    </row>
    <row r="6590" spans="9:10" x14ac:dyDescent="0.35">
      <c r="I6590" s="63"/>
      <c r="J6590" s="63"/>
    </row>
    <row r="6591" spans="9:10" x14ac:dyDescent="0.35">
      <c r="I6591" s="63"/>
      <c r="J6591" s="63"/>
    </row>
    <row r="6592" spans="9:10" x14ac:dyDescent="0.35">
      <c r="I6592" s="63"/>
      <c r="J6592" s="63"/>
    </row>
    <row r="6593" spans="9:10" x14ac:dyDescent="0.35">
      <c r="I6593" s="63"/>
      <c r="J6593" s="63"/>
    </row>
    <row r="6594" spans="9:10" x14ac:dyDescent="0.35">
      <c r="I6594" s="63"/>
      <c r="J6594" s="63"/>
    </row>
    <row r="6595" spans="9:10" x14ac:dyDescent="0.35">
      <c r="I6595" s="63"/>
      <c r="J6595" s="63"/>
    </row>
    <row r="6596" spans="9:10" x14ac:dyDescent="0.35">
      <c r="I6596" s="63"/>
      <c r="J6596" s="63"/>
    </row>
    <row r="6597" spans="9:10" x14ac:dyDescent="0.35">
      <c r="I6597" s="63"/>
      <c r="J6597" s="63"/>
    </row>
    <row r="6598" spans="9:10" x14ac:dyDescent="0.35">
      <c r="I6598" s="63"/>
      <c r="J6598" s="63"/>
    </row>
    <row r="6599" spans="9:10" x14ac:dyDescent="0.35">
      <c r="I6599" s="63"/>
      <c r="J6599" s="63"/>
    </row>
    <row r="6600" spans="9:10" x14ac:dyDescent="0.35">
      <c r="I6600" s="63"/>
      <c r="J6600" s="63"/>
    </row>
    <row r="6601" spans="9:10" x14ac:dyDescent="0.35">
      <c r="I6601" s="63"/>
      <c r="J6601" s="63"/>
    </row>
    <row r="6602" spans="9:10" x14ac:dyDescent="0.35">
      <c r="I6602" s="63"/>
      <c r="J6602" s="63"/>
    </row>
    <row r="6603" spans="9:10" x14ac:dyDescent="0.35">
      <c r="I6603" s="63"/>
      <c r="J6603" s="63"/>
    </row>
    <row r="6604" spans="9:10" x14ac:dyDescent="0.35">
      <c r="I6604" s="63"/>
      <c r="J6604" s="63"/>
    </row>
    <row r="6605" spans="9:10" x14ac:dyDescent="0.35">
      <c r="I6605" s="63"/>
      <c r="J6605" s="63"/>
    </row>
    <row r="6606" spans="9:10" x14ac:dyDescent="0.35">
      <c r="I6606" s="63"/>
      <c r="J6606" s="63"/>
    </row>
    <row r="6607" spans="9:10" x14ac:dyDescent="0.35">
      <c r="I6607" s="63"/>
      <c r="J6607" s="63"/>
    </row>
    <row r="6608" spans="9:10" x14ac:dyDescent="0.35">
      <c r="I6608" s="63"/>
      <c r="J6608" s="63"/>
    </row>
    <row r="6609" spans="9:10" x14ac:dyDescent="0.35">
      <c r="I6609" s="63"/>
      <c r="J6609" s="63"/>
    </row>
    <row r="6610" spans="9:10" x14ac:dyDescent="0.35">
      <c r="I6610" s="63"/>
      <c r="J6610" s="63"/>
    </row>
    <row r="6611" spans="9:10" x14ac:dyDescent="0.35">
      <c r="I6611" s="63"/>
      <c r="J6611" s="63"/>
    </row>
    <row r="6612" spans="9:10" x14ac:dyDescent="0.35">
      <c r="I6612" s="63"/>
      <c r="J6612" s="63"/>
    </row>
    <row r="6613" spans="9:10" x14ac:dyDescent="0.35">
      <c r="I6613" s="63"/>
      <c r="J6613" s="63"/>
    </row>
    <row r="6614" spans="9:10" x14ac:dyDescent="0.35">
      <c r="I6614" s="63"/>
      <c r="J6614" s="63"/>
    </row>
    <row r="6615" spans="9:10" x14ac:dyDescent="0.35">
      <c r="I6615" s="63"/>
      <c r="J6615" s="63"/>
    </row>
    <row r="6616" spans="9:10" x14ac:dyDescent="0.35">
      <c r="I6616" s="63"/>
      <c r="J6616" s="63"/>
    </row>
    <row r="6617" spans="9:10" x14ac:dyDescent="0.35">
      <c r="I6617" s="63"/>
      <c r="J6617" s="63"/>
    </row>
    <row r="6618" spans="9:10" x14ac:dyDescent="0.35">
      <c r="I6618" s="63"/>
      <c r="J6618" s="63"/>
    </row>
    <row r="6619" spans="9:10" x14ac:dyDescent="0.35">
      <c r="I6619" s="63"/>
      <c r="J6619" s="63"/>
    </row>
    <row r="6620" spans="9:10" x14ac:dyDescent="0.35">
      <c r="I6620" s="63"/>
      <c r="J6620" s="63"/>
    </row>
    <row r="6621" spans="9:10" x14ac:dyDescent="0.35">
      <c r="I6621" s="63"/>
      <c r="J6621" s="63"/>
    </row>
    <row r="6622" spans="9:10" x14ac:dyDescent="0.35">
      <c r="I6622" s="63"/>
      <c r="J6622" s="63"/>
    </row>
    <row r="6623" spans="9:10" x14ac:dyDescent="0.35">
      <c r="I6623" s="63"/>
      <c r="J6623" s="63"/>
    </row>
    <row r="6624" spans="9:10" x14ac:dyDescent="0.35">
      <c r="I6624" s="63"/>
      <c r="J6624" s="63"/>
    </row>
    <row r="6625" spans="9:10" x14ac:dyDescent="0.35">
      <c r="I6625" s="63"/>
      <c r="J6625" s="63"/>
    </row>
    <row r="6626" spans="9:10" x14ac:dyDescent="0.35">
      <c r="I6626" s="63"/>
      <c r="J6626" s="63"/>
    </row>
    <row r="6627" spans="9:10" x14ac:dyDescent="0.35">
      <c r="I6627" s="63"/>
      <c r="J6627" s="63"/>
    </row>
    <row r="6628" spans="9:10" x14ac:dyDescent="0.35">
      <c r="I6628" s="63"/>
      <c r="J6628" s="63"/>
    </row>
    <row r="6629" spans="9:10" x14ac:dyDescent="0.35">
      <c r="I6629" s="63"/>
      <c r="J6629" s="63"/>
    </row>
    <row r="6630" spans="9:10" x14ac:dyDescent="0.35">
      <c r="I6630" s="63"/>
      <c r="J6630" s="63"/>
    </row>
    <row r="6631" spans="9:10" x14ac:dyDescent="0.35">
      <c r="I6631" s="63"/>
      <c r="J6631" s="63"/>
    </row>
    <row r="6632" spans="9:10" x14ac:dyDescent="0.35">
      <c r="I6632" s="63"/>
      <c r="J6632" s="63"/>
    </row>
    <row r="6633" spans="9:10" x14ac:dyDescent="0.35">
      <c r="I6633" s="63"/>
      <c r="J6633" s="63"/>
    </row>
    <row r="6634" spans="9:10" x14ac:dyDescent="0.35">
      <c r="I6634" s="63"/>
      <c r="J6634" s="63"/>
    </row>
    <row r="6635" spans="9:10" x14ac:dyDescent="0.35">
      <c r="I6635" s="63"/>
      <c r="J6635" s="63"/>
    </row>
    <row r="6636" spans="9:10" x14ac:dyDescent="0.35">
      <c r="I6636" s="63"/>
      <c r="J6636" s="63"/>
    </row>
    <row r="6637" spans="9:10" x14ac:dyDescent="0.35">
      <c r="I6637" s="63"/>
      <c r="J6637" s="63"/>
    </row>
    <row r="6638" spans="9:10" x14ac:dyDescent="0.35">
      <c r="I6638" s="63"/>
      <c r="J6638" s="63"/>
    </row>
    <row r="6639" spans="9:10" x14ac:dyDescent="0.35">
      <c r="I6639" s="63"/>
      <c r="J6639" s="63"/>
    </row>
    <row r="6640" spans="9:10" x14ac:dyDescent="0.35">
      <c r="I6640" s="63"/>
      <c r="J6640" s="63"/>
    </row>
    <row r="6641" spans="9:10" x14ac:dyDescent="0.35">
      <c r="I6641" s="63"/>
      <c r="J6641" s="63"/>
    </row>
    <row r="6642" spans="9:10" x14ac:dyDescent="0.35">
      <c r="I6642" s="63"/>
      <c r="J6642" s="63"/>
    </row>
    <row r="6643" spans="9:10" x14ac:dyDescent="0.35">
      <c r="I6643" s="63"/>
      <c r="J6643" s="63"/>
    </row>
    <row r="6644" spans="9:10" x14ac:dyDescent="0.35">
      <c r="I6644" s="63"/>
      <c r="J6644" s="63"/>
    </row>
    <row r="6645" spans="9:10" x14ac:dyDescent="0.35">
      <c r="I6645" s="63"/>
      <c r="J6645" s="63"/>
    </row>
    <row r="6646" spans="9:10" x14ac:dyDescent="0.35">
      <c r="I6646" s="63"/>
      <c r="J6646" s="63"/>
    </row>
    <row r="6647" spans="9:10" x14ac:dyDescent="0.35">
      <c r="I6647" s="63"/>
      <c r="J6647" s="63"/>
    </row>
    <row r="6648" spans="9:10" x14ac:dyDescent="0.35">
      <c r="I6648" s="63"/>
      <c r="J6648" s="63"/>
    </row>
    <row r="6649" spans="9:10" x14ac:dyDescent="0.35">
      <c r="I6649" s="63"/>
      <c r="J6649" s="63"/>
    </row>
    <row r="6650" spans="9:10" x14ac:dyDescent="0.35">
      <c r="I6650" s="63"/>
      <c r="J6650" s="63"/>
    </row>
    <row r="6651" spans="9:10" x14ac:dyDescent="0.35">
      <c r="I6651" s="63"/>
      <c r="J6651" s="63"/>
    </row>
    <row r="6652" spans="9:10" x14ac:dyDescent="0.35">
      <c r="I6652" s="63"/>
      <c r="J6652" s="63"/>
    </row>
    <row r="6653" spans="9:10" x14ac:dyDescent="0.35">
      <c r="I6653" s="63"/>
      <c r="J6653" s="63"/>
    </row>
    <row r="6654" spans="9:10" x14ac:dyDescent="0.35">
      <c r="I6654" s="63"/>
      <c r="J6654" s="63"/>
    </row>
    <row r="6655" spans="9:10" x14ac:dyDescent="0.35">
      <c r="I6655" s="63"/>
      <c r="J6655" s="63"/>
    </row>
    <row r="6656" spans="9:10" x14ac:dyDescent="0.35">
      <c r="I6656" s="63"/>
      <c r="J6656" s="63"/>
    </row>
    <row r="6657" spans="9:10" x14ac:dyDescent="0.35">
      <c r="I6657" s="63"/>
      <c r="J6657" s="63"/>
    </row>
    <row r="6658" spans="9:10" x14ac:dyDescent="0.35">
      <c r="I6658" s="63"/>
      <c r="J6658" s="63"/>
    </row>
    <row r="6659" spans="9:10" x14ac:dyDescent="0.35">
      <c r="I6659" s="63"/>
      <c r="J6659" s="63"/>
    </row>
    <row r="6660" spans="9:10" x14ac:dyDescent="0.35">
      <c r="I6660" s="63"/>
      <c r="J6660" s="63"/>
    </row>
    <row r="6661" spans="9:10" x14ac:dyDescent="0.35">
      <c r="I6661" s="63"/>
      <c r="J6661" s="63"/>
    </row>
    <row r="6662" spans="9:10" x14ac:dyDescent="0.35">
      <c r="I6662" s="63"/>
      <c r="J6662" s="63"/>
    </row>
    <row r="6663" spans="9:10" x14ac:dyDescent="0.35">
      <c r="I6663" s="63"/>
      <c r="J6663" s="63"/>
    </row>
    <row r="6664" spans="9:10" x14ac:dyDescent="0.35">
      <c r="I6664" s="63"/>
      <c r="J6664" s="63"/>
    </row>
    <row r="6665" spans="9:10" x14ac:dyDescent="0.35">
      <c r="I6665" s="63"/>
      <c r="J6665" s="63"/>
    </row>
    <row r="6666" spans="9:10" x14ac:dyDescent="0.35">
      <c r="I6666" s="63"/>
      <c r="J6666" s="63"/>
    </row>
    <row r="6667" spans="9:10" x14ac:dyDescent="0.35">
      <c r="I6667" s="63"/>
      <c r="J6667" s="63"/>
    </row>
    <row r="6668" spans="9:10" x14ac:dyDescent="0.35">
      <c r="I6668" s="63"/>
      <c r="J6668" s="63"/>
    </row>
    <row r="6669" spans="9:10" x14ac:dyDescent="0.35">
      <c r="I6669" s="63"/>
      <c r="J6669" s="63"/>
    </row>
    <row r="6670" spans="9:10" x14ac:dyDescent="0.35">
      <c r="I6670" s="63"/>
      <c r="J6670" s="63"/>
    </row>
    <row r="6671" spans="9:10" x14ac:dyDescent="0.35">
      <c r="I6671" s="63"/>
      <c r="J6671" s="63"/>
    </row>
    <row r="6672" spans="9:10" x14ac:dyDescent="0.35">
      <c r="I6672" s="63"/>
      <c r="J6672" s="63"/>
    </row>
    <row r="6673" spans="9:10" x14ac:dyDescent="0.35">
      <c r="I6673" s="63"/>
      <c r="J6673" s="63"/>
    </row>
    <row r="6674" spans="9:10" x14ac:dyDescent="0.35">
      <c r="I6674" s="63"/>
      <c r="J6674" s="63"/>
    </row>
    <row r="6675" spans="9:10" x14ac:dyDescent="0.35">
      <c r="I6675" s="63"/>
      <c r="J6675" s="63"/>
    </row>
    <row r="6676" spans="9:10" x14ac:dyDescent="0.35">
      <c r="I6676" s="63"/>
      <c r="J6676" s="63"/>
    </row>
    <row r="6677" spans="9:10" x14ac:dyDescent="0.35">
      <c r="I6677" s="63"/>
      <c r="J6677" s="63"/>
    </row>
    <row r="6678" spans="9:10" x14ac:dyDescent="0.35">
      <c r="I6678" s="63"/>
      <c r="J6678" s="63"/>
    </row>
    <row r="6679" spans="9:10" x14ac:dyDescent="0.35">
      <c r="I6679" s="63"/>
      <c r="J6679" s="63"/>
    </row>
    <row r="6680" spans="9:10" x14ac:dyDescent="0.35">
      <c r="I6680" s="63"/>
      <c r="J6680" s="63"/>
    </row>
    <row r="6681" spans="9:10" x14ac:dyDescent="0.35">
      <c r="I6681" s="63"/>
      <c r="J6681" s="63"/>
    </row>
    <row r="6682" spans="9:10" x14ac:dyDescent="0.35">
      <c r="I6682" s="63"/>
      <c r="J6682" s="63"/>
    </row>
    <row r="6683" spans="9:10" x14ac:dyDescent="0.35">
      <c r="I6683" s="63"/>
      <c r="J6683" s="63"/>
    </row>
    <row r="6684" spans="9:10" x14ac:dyDescent="0.35">
      <c r="I6684" s="63"/>
      <c r="J6684" s="63"/>
    </row>
    <row r="6685" spans="9:10" x14ac:dyDescent="0.35">
      <c r="I6685" s="63"/>
      <c r="J6685" s="63"/>
    </row>
    <row r="6686" spans="9:10" x14ac:dyDescent="0.35">
      <c r="I6686" s="63"/>
      <c r="J6686" s="63"/>
    </row>
    <row r="6687" spans="9:10" x14ac:dyDescent="0.35">
      <c r="I6687" s="63"/>
      <c r="J6687" s="63"/>
    </row>
    <row r="6688" spans="9:10" x14ac:dyDescent="0.35">
      <c r="I6688" s="63"/>
      <c r="J6688" s="63"/>
    </row>
    <row r="6689" spans="9:10" x14ac:dyDescent="0.35">
      <c r="I6689" s="63"/>
      <c r="J6689" s="63"/>
    </row>
    <row r="6690" spans="9:10" x14ac:dyDescent="0.35">
      <c r="I6690" s="63"/>
      <c r="J6690" s="63"/>
    </row>
    <row r="6691" spans="9:10" x14ac:dyDescent="0.35">
      <c r="I6691" s="63"/>
      <c r="J6691" s="63"/>
    </row>
    <row r="6692" spans="9:10" x14ac:dyDescent="0.35">
      <c r="I6692" s="63"/>
      <c r="J6692" s="63"/>
    </row>
    <row r="6693" spans="9:10" x14ac:dyDescent="0.35">
      <c r="I6693" s="63"/>
      <c r="J6693" s="63"/>
    </row>
    <row r="6694" spans="9:10" x14ac:dyDescent="0.35">
      <c r="I6694" s="63"/>
      <c r="J6694" s="63"/>
    </row>
    <row r="6695" spans="9:10" x14ac:dyDescent="0.35">
      <c r="I6695" s="63"/>
      <c r="J6695" s="63"/>
    </row>
    <row r="6696" spans="9:10" x14ac:dyDescent="0.35">
      <c r="I6696" s="63"/>
      <c r="J6696" s="63"/>
    </row>
    <row r="6697" spans="9:10" x14ac:dyDescent="0.35">
      <c r="I6697" s="63"/>
      <c r="J6697" s="63"/>
    </row>
    <row r="6698" spans="9:10" x14ac:dyDescent="0.35">
      <c r="I6698" s="63"/>
      <c r="J6698" s="63"/>
    </row>
    <row r="6699" spans="9:10" x14ac:dyDescent="0.35">
      <c r="I6699" s="63"/>
      <c r="J6699" s="63"/>
    </row>
    <row r="6700" spans="9:10" x14ac:dyDescent="0.35">
      <c r="I6700" s="63"/>
      <c r="J6700" s="63"/>
    </row>
    <row r="6701" spans="9:10" x14ac:dyDescent="0.35">
      <c r="I6701" s="63"/>
      <c r="J6701" s="63"/>
    </row>
    <row r="6702" spans="9:10" x14ac:dyDescent="0.35">
      <c r="I6702" s="63"/>
      <c r="J6702" s="63"/>
    </row>
    <row r="6703" spans="9:10" x14ac:dyDescent="0.35">
      <c r="I6703" s="63"/>
      <c r="J6703" s="63"/>
    </row>
    <row r="6704" spans="9:10" x14ac:dyDescent="0.35">
      <c r="I6704" s="63"/>
      <c r="J6704" s="63"/>
    </row>
    <row r="6705" spans="9:10" x14ac:dyDescent="0.35">
      <c r="I6705" s="63"/>
      <c r="J6705" s="63"/>
    </row>
    <row r="6706" spans="9:10" x14ac:dyDescent="0.35">
      <c r="I6706" s="63"/>
      <c r="J6706" s="63"/>
    </row>
    <row r="6707" spans="9:10" x14ac:dyDescent="0.35">
      <c r="I6707" s="63"/>
      <c r="J6707" s="63"/>
    </row>
    <row r="6708" spans="9:10" x14ac:dyDescent="0.35">
      <c r="I6708" s="63"/>
      <c r="J6708" s="63"/>
    </row>
    <row r="6709" spans="9:10" x14ac:dyDescent="0.35">
      <c r="I6709" s="63"/>
      <c r="J6709" s="63"/>
    </row>
    <row r="6710" spans="9:10" x14ac:dyDescent="0.35">
      <c r="I6710" s="63"/>
      <c r="J6710" s="63"/>
    </row>
    <row r="6711" spans="9:10" x14ac:dyDescent="0.35">
      <c r="I6711" s="63"/>
      <c r="J6711" s="63"/>
    </row>
    <row r="6712" spans="9:10" x14ac:dyDescent="0.35">
      <c r="I6712" s="63"/>
      <c r="J6712" s="63"/>
    </row>
    <row r="6713" spans="9:10" x14ac:dyDescent="0.35">
      <c r="I6713" s="63"/>
      <c r="J6713" s="63"/>
    </row>
    <row r="6714" spans="9:10" x14ac:dyDescent="0.35">
      <c r="I6714" s="63"/>
      <c r="J6714" s="63"/>
    </row>
    <row r="6715" spans="9:10" x14ac:dyDescent="0.35">
      <c r="I6715" s="63"/>
      <c r="J6715" s="63"/>
    </row>
    <row r="6716" spans="9:10" x14ac:dyDescent="0.35">
      <c r="I6716" s="63"/>
      <c r="J6716" s="63"/>
    </row>
    <row r="6717" spans="9:10" x14ac:dyDescent="0.35">
      <c r="I6717" s="63"/>
      <c r="J6717" s="63"/>
    </row>
    <row r="6718" spans="9:10" x14ac:dyDescent="0.35">
      <c r="I6718" s="63"/>
      <c r="J6718" s="63"/>
    </row>
    <row r="6719" spans="9:10" x14ac:dyDescent="0.35">
      <c r="I6719" s="63"/>
      <c r="J6719" s="63"/>
    </row>
    <row r="6720" spans="9:10" x14ac:dyDescent="0.35">
      <c r="I6720" s="63"/>
      <c r="J6720" s="63"/>
    </row>
    <row r="6721" spans="9:10" x14ac:dyDescent="0.35">
      <c r="I6721" s="63"/>
      <c r="J6721" s="63"/>
    </row>
    <row r="6722" spans="9:10" x14ac:dyDescent="0.35">
      <c r="I6722" s="63"/>
      <c r="J6722" s="63"/>
    </row>
    <row r="6723" spans="9:10" x14ac:dyDescent="0.35">
      <c r="I6723" s="63"/>
      <c r="J6723" s="63"/>
    </row>
    <row r="6724" spans="9:10" x14ac:dyDescent="0.35">
      <c r="I6724" s="63"/>
      <c r="J6724" s="63"/>
    </row>
    <row r="6725" spans="9:10" x14ac:dyDescent="0.35">
      <c r="I6725" s="63"/>
      <c r="J6725" s="63"/>
    </row>
    <row r="6726" spans="9:10" x14ac:dyDescent="0.35">
      <c r="I6726" s="63"/>
      <c r="J6726" s="63"/>
    </row>
    <row r="6727" spans="9:10" x14ac:dyDescent="0.35">
      <c r="I6727" s="63"/>
      <c r="J6727" s="63"/>
    </row>
    <row r="6728" spans="9:10" x14ac:dyDescent="0.35">
      <c r="I6728" s="63"/>
      <c r="J6728" s="63"/>
    </row>
    <row r="6729" spans="9:10" x14ac:dyDescent="0.35">
      <c r="I6729" s="63"/>
      <c r="J6729" s="63"/>
    </row>
    <row r="6730" spans="9:10" x14ac:dyDescent="0.35">
      <c r="I6730" s="63"/>
      <c r="J6730" s="63"/>
    </row>
    <row r="6731" spans="9:10" x14ac:dyDescent="0.35">
      <c r="I6731" s="63"/>
      <c r="J6731" s="63"/>
    </row>
    <row r="6732" spans="9:10" x14ac:dyDescent="0.35">
      <c r="I6732" s="63"/>
      <c r="J6732" s="63"/>
    </row>
    <row r="6733" spans="9:10" x14ac:dyDescent="0.35">
      <c r="I6733" s="63"/>
      <c r="J6733" s="63"/>
    </row>
    <row r="6734" spans="9:10" x14ac:dyDescent="0.35">
      <c r="I6734" s="63"/>
      <c r="J6734" s="63"/>
    </row>
    <row r="6735" spans="9:10" x14ac:dyDescent="0.35">
      <c r="I6735" s="63"/>
      <c r="J6735" s="63"/>
    </row>
    <row r="6736" spans="9:10" x14ac:dyDescent="0.35">
      <c r="I6736" s="63"/>
      <c r="J6736" s="63"/>
    </row>
    <row r="6737" spans="9:10" x14ac:dyDescent="0.35">
      <c r="I6737" s="63"/>
      <c r="J6737" s="63"/>
    </row>
    <row r="6738" spans="9:10" x14ac:dyDescent="0.35">
      <c r="I6738" s="63"/>
      <c r="J6738" s="63"/>
    </row>
    <row r="6739" spans="9:10" x14ac:dyDescent="0.35">
      <c r="I6739" s="63"/>
      <c r="J6739" s="63"/>
    </row>
    <row r="6740" spans="9:10" x14ac:dyDescent="0.35">
      <c r="I6740" s="63"/>
      <c r="J6740" s="63"/>
    </row>
    <row r="6741" spans="9:10" x14ac:dyDescent="0.35">
      <c r="I6741" s="63"/>
      <c r="J6741" s="63"/>
    </row>
    <row r="6742" spans="9:10" x14ac:dyDescent="0.35">
      <c r="I6742" s="63"/>
      <c r="J6742" s="63"/>
    </row>
    <row r="6743" spans="9:10" x14ac:dyDescent="0.35">
      <c r="I6743" s="63"/>
      <c r="J6743" s="63"/>
    </row>
    <row r="6744" spans="9:10" x14ac:dyDescent="0.35">
      <c r="I6744" s="63"/>
      <c r="J6744" s="63"/>
    </row>
    <row r="6745" spans="9:10" x14ac:dyDescent="0.35">
      <c r="I6745" s="63"/>
      <c r="J6745" s="63"/>
    </row>
    <row r="6746" spans="9:10" x14ac:dyDescent="0.35">
      <c r="I6746" s="63"/>
      <c r="J6746" s="63"/>
    </row>
    <row r="6747" spans="9:10" x14ac:dyDescent="0.35">
      <c r="I6747" s="63"/>
      <c r="J6747" s="63"/>
    </row>
    <row r="6748" spans="9:10" x14ac:dyDescent="0.35">
      <c r="I6748" s="63"/>
      <c r="J6748" s="63"/>
    </row>
    <row r="6749" spans="9:10" x14ac:dyDescent="0.35">
      <c r="I6749" s="63"/>
      <c r="J6749" s="63"/>
    </row>
    <row r="6750" spans="9:10" x14ac:dyDescent="0.35">
      <c r="I6750" s="63"/>
      <c r="J6750" s="63"/>
    </row>
    <row r="6751" spans="9:10" x14ac:dyDescent="0.35">
      <c r="I6751" s="63"/>
      <c r="J6751" s="63"/>
    </row>
    <row r="6752" spans="9:10" x14ac:dyDescent="0.35">
      <c r="I6752" s="63"/>
      <c r="J6752" s="63"/>
    </row>
    <row r="6753" spans="9:10" x14ac:dyDescent="0.35">
      <c r="I6753" s="63"/>
      <c r="J6753" s="63"/>
    </row>
    <row r="6754" spans="9:10" x14ac:dyDescent="0.35">
      <c r="I6754" s="63"/>
      <c r="J6754" s="63"/>
    </row>
    <row r="6755" spans="9:10" x14ac:dyDescent="0.35">
      <c r="I6755" s="63"/>
      <c r="J6755" s="63"/>
    </row>
    <row r="6756" spans="9:10" x14ac:dyDescent="0.35">
      <c r="I6756" s="63"/>
      <c r="J6756" s="63"/>
    </row>
    <row r="6757" spans="9:10" x14ac:dyDescent="0.35">
      <c r="I6757" s="63"/>
      <c r="J6757" s="63"/>
    </row>
    <row r="6758" spans="9:10" x14ac:dyDescent="0.35">
      <c r="I6758" s="63"/>
      <c r="J6758" s="63"/>
    </row>
    <row r="6759" spans="9:10" x14ac:dyDescent="0.35">
      <c r="I6759" s="63"/>
      <c r="J6759" s="63"/>
    </row>
    <row r="6760" spans="9:10" x14ac:dyDescent="0.35">
      <c r="I6760" s="63"/>
      <c r="J6760" s="63"/>
    </row>
    <row r="6761" spans="9:10" x14ac:dyDescent="0.35">
      <c r="I6761" s="63"/>
      <c r="J6761" s="63"/>
    </row>
    <row r="6762" spans="9:10" x14ac:dyDescent="0.35">
      <c r="I6762" s="63"/>
      <c r="J6762" s="63"/>
    </row>
    <row r="6763" spans="9:10" x14ac:dyDescent="0.35">
      <c r="I6763" s="63"/>
      <c r="J6763" s="63"/>
    </row>
    <row r="6764" spans="9:10" x14ac:dyDescent="0.35">
      <c r="I6764" s="63"/>
      <c r="J6764" s="63"/>
    </row>
    <row r="6765" spans="9:10" x14ac:dyDescent="0.35">
      <c r="I6765" s="63"/>
      <c r="J6765" s="63"/>
    </row>
    <row r="6766" spans="9:10" x14ac:dyDescent="0.35">
      <c r="I6766" s="63"/>
      <c r="J6766" s="63"/>
    </row>
    <row r="6767" spans="9:10" x14ac:dyDescent="0.35">
      <c r="I6767" s="63"/>
      <c r="J6767" s="63"/>
    </row>
    <row r="6768" spans="9:10" x14ac:dyDescent="0.35">
      <c r="I6768" s="63"/>
      <c r="J6768" s="63"/>
    </row>
    <row r="6769" spans="9:10" x14ac:dyDescent="0.35">
      <c r="I6769" s="63"/>
      <c r="J6769" s="63"/>
    </row>
    <row r="6770" spans="9:10" x14ac:dyDescent="0.35">
      <c r="I6770" s="63"/>
      <c r="J6770" s="63"/>
    </row>
    <row r="6771" spans="9:10" x14ac:dyDescent="0.35">
      <c r="I6771" s="63"/>
      <c r="J6771" s="63"/>
    </row>
    <row r="6772" spans="9:10" x14ac:dyDescent="0.35">
      <c r="I6772" s="63"/>
      <c r="J6772" s="63"/>
    </row>
    <row r="6773" spans="9:10" x14ac:dyDescent="0.35">
      <c r="I6773" s="63"/>
      <c r="J6773" s="63"/>
    </row>
    <row r="6774" spans="9:10" x14ac:dyDescent="0.35">
      <c r="I6774" s="63"/>
      <c r="J6774" s="63"/>
    </row>
    <row r="6775" spans="9:10" x14ac:dyDescent="0.35">
      <c r="I6775" s="63"/>
      <c r="J6775" s="63"/>
    </row>
    <row r="6776" spans="9:10" x14ac:dyDescent="0.35">
      <c r="I6776" s="63"/>
      <c r="J6776" s="63"/>
    </row>
    <row r="6777" spans="9:10" x14ac:dyDescent="0.35">
      <c r="I6777" s="63"/>
      <c r="J6777" s="63"/>
    </row>
    <row r="6778" spans="9:10" x14ac:dyDescent="0.35">
      <c r="I6778" s="63"/>
      <c r="J6778" s="63"/>
    </row>
    <row r="6779" spans="9:10" x14ac:dyDescent="0.35">
      <c r="I6779" s="63"/>
      <c r="J6779" s="63"/>
    </row>
    <row r="6780" spans="9:10" x14ac:dyDescent="0.35">
      <c r="I6780" s="63"/>
      <c r="J6780" s="63"/>
    </row>
    <row r="6781" spans="9:10" x14ac:dyDescent="0.35">
      <c r="I6781" s="63"/>
      <c r="J6781" s="63"/>
    </row>
    <row r="6782" spans="9:10" x14ac:dyDescent="0.35">
      <c r="I6782" s="63"/>
      <c r="J6782" s="63"/>
    </row>
    <row r="6783" spans="9:10" x14ac:dyDescent="0.35">
      <c r="I6783" s="63"/>
      <c r="J6783" s="63"/>
    </row>
    <row r="6784" spans="9:10" x14ac:dyDescent="0.35">
      <c r="I6784" s="63"/>
      <c r="J6784" s="63"/>
    </row>
    <row r="6785" spans="9:10" x14ac:dyDescent="0.35">
      <c r="I6785" s="63"/>
      <c r="J6785" s="63"/>
    </row>
    <row r="6786" spans="9:10" x14ac:dyDescent="0.35">
      <c r="I6786" s="63"/>
      <c r="J6786" s="63"/>
    </row>
    <row r="6787" spans="9:10" x14ac:dyDescent="0.35">
      <c r="I6787" s="63"/>
      <c r="J6787" s="63"/>
    </row>
    <row r="6788" spans="9:10" x14ac:dyDescent="0.35">
      <c r="I6788" s="63"/>
      <c r="J6788" s="63"/>
    </row>
    <row r="6789" spans="9:10" x14ac:dyDescent="0.35">
      <c r="I6789" s="63"/>
      <c r="J6789" s="63"/>
    </row>
    <row r="6790" spans="9:10" x14ac:dyDescent="0.35">
      <c r="I6790" s="63"/>
      <c r="J6790" s="63"/>
    </row>
    <row r="6791" spans="9:10" x14ac:dyDescent="0.35">
      <c r="I6791" s="63"/>
      <c r="J6791" s="63"/>
    </row>
    <row r="6792" spans="9:10" x14ac:dyDescent="0.35">
      <c r="I6792" s="63"/>
      <c r="J6792" s="63"/>
    </row>
    <row r="6793" spans="9:10" x14ac:dyDescent="0.35">
      <c r="I6793" s="63"/>
      <c r="J6793" s="63"/>
    </row>
    <row r="6794" spans="9:10" x14ac:dyDescent="0.35">
      <c r="I6794" s="63"/>
      <c r="J6794" s="63"/>
    </row>
    <row r="6795" spans="9:10" x14ac:dyDescent="0.35">
      <c r="I6795" s="63"/>
      <c r="J6795" s="63"/>
    </row>
    <row r="6796" spans="9:10" x14ac:dyDescent="0.35">
      <c r="I6796" s="63"/>
      <c r="J6796" s="63"/>
    </row>
    <row r="6797" spans="9:10" x14ac:dyDescent="0.35">
      <c r="I6797" s="63"/>
      <c r="J6797" s="63"/>
    </row>
    <row r="6798" spans="9:10" x14ac:dyDescent="0.35">
      <c r="I6798" s="63"/>
      <c r="J6798" s="63"/>
    </row>
    <row r="6799" spans="9:10" x14ac:dyDescent="0.35">
      <c r="I6799" s="63"/>
      <c r="J6799" s="63"/>
    </row>
    <row r="6800" spans="9:10" x14ac:dyDescent="0.35">
      <c r="I6800" s="63"/>
      <c r="J6800" s="63"/>
    </row>
    <row r="6801" spans="9:10" x14ac:dyDescent="0.35">
      <c r="I6801" s="63"/>
      <c r="J6801" s="63"/>
    </row>
    <row r="6802" spans="9:10" x14ac:dyDescent="0.35">
      <c r="I6802" s="63"/>
      <c r="J6802" s="63"/>
    </row>
    <row r="6803" spans="9:10" x14ac:dyDescent="0.35">
      <c r="I6803" s="63"/>
      <c r="J6803" s="63"/>
    </row>
    <row r="6804" spans="9:10" x14ac:dyDescent="0.35">
      <c r="I6804" s="63"/>
      <c r="J6804" s="63"/>
    </row>
    <row r="6805" spans="9:10" x14ac:dyDescent="0.35">
      <c r="I6805" s="63"/>
      <c r="J6805" s="63"/>
    </row>
    <row r="6806" spans="9:10" x14ac:dyDescent="0.35">
      <c r="I6806" s="63"/>
      <c r="J6806" s="63"/>
    </row>
    <row r="6807" spans="9:10" x14ac:dyDescent="0.35">
      <c r="I6807" s="63"/>
      <c r="J6807" s="63"/>
    </row>
    <row r="6808" spans="9:10" x14ac:dyDescent="0.35">
      <c r="I6808" s="63"/>
      <c r="J6808" s="63"/>
    </row>
    <row r="6809" spans="9:10" x14ac:dyDescent="0.35">
      <c r="I6809" s="63"/>
      <c r="J6809" s="63"/>
    </row>
    <row r="6810" spans="9:10" x14ac:dyDescent="0.35">
      <c r="I6810" s="63"/>
      <c r="J6810" s="63"/>
    </row>
    <row r="6811" spans="9:10" x14ac:dyDescent="0.35">
      <c r="I6811" s="63"/>
      <c r="J6811" s="63"/>
    </row>
    <row r="6812" spans="9:10" x14ac:dyDescent="0.35">
      <c r="I6812" s="63"/>
      <c r="J6812" s="63"/>
    </row>
    <row r="6813" spans="9:10" x14ac:dyDescent="0.35">
      <c r="I6813" s="63"/>
      <c r="J6813" s="63"/>
    </row>
    <row r="6814" spans="9:10" x14ac:dyDescent="0.35">
      <c r="I6814" s="63"/>
      <c r="J6814" s="63"/>
    </row>
    <row r="6815" spans="9:10" x14ac:dyDescent="0.35">
      <c r="I6815" s="63"/>
      <c r="J6815" s="63"/>
    </row>
    <row r="6816" spans="9:10" x14ac:dyDescent="0.35">
      <c r="I6816" s="63"/>
      <c r="J6816" s="63"/>
    </row>
    <row r="6817" spans="9:10" x14ac:dyDescent="0.35">
      <c r="I6817" s="63"/>
      <c r="J6817" s="63"/>
    </row>
    <row r="6818" spans="9:10" x14ac:dyDescent="0.35">
      <c r="I6818" s="63"/>
      <c r="J6818" s="63"/>
    </row>
    <row r="6819" spans="9:10" x14ac:dyDescent="0.35">
      <c r="I6819" s="63"/>
      <c r="J6819" s="63"/>
    </row>
    <row r="6820" spans="9:10" x14ac:dyDescent="0.35">
      <c r="I6820" s="63"/>
      <c r="J6820" s="63"/>
    </row>
    <row r="6821" spans="9:10" x14ac:dyDescent="0.35">
      <c r="I6821" s="63"/>
      <c r="J6821" s="63"/>
    </row>
    <row r="6822" spans="9:10" x14ac:dyDescent="0.35">
      <c r="I6822" s="63"/>
      <c r="J6822" s="63"/>
    </row>
    <row r="6823" spans="9:10" x14ac:dyDescent="0.35">
      <c r="I6823" s="63"/>
      <c r="J6823" s="63"/>
    </row>
    <row r="6824" spans="9:10" x14ac:dyDescent="0.35">
      <c r="I6824" s="63"/>
      <c r="J6824" s="63"/>
    </row>
    <row r="6825" spans="9:10" x14ac:dyDescent="0.35">
      <c r="I6825" s="63"/>
      <c r="J6825" s="63"/>
    </row>
    <row r="6826" spans="9:10" x14ac:dyDescent="0.35">
      <c r="I6826" s="63"/>
      <c r="J6826" s="63"/>
    </row>
    <row r="6827" spans="9:10" x14ac:dyDescent="0.35">
      <c r="I6827" s="63"/>
      <c r="J6827" s="63"/>
    </row>
    <row r="6828" spans="9:10" x14ac:dyDescent="0.35">
      <c r="I6828" s="63"/>
      <c r="J6828" s="63"/>
    </row>
    <row r="6829" spans="9:10" x14ac:dyDescent="0.35">
      <c r="I6829" s="63"/>
      <c r="J6829" s="63"/>
    </row>
    <row r="6830" spans="9:10" x14ac:dyDescent="0.35">
      <c r="I6830" s="63"/>
      <c r="J6830" s="63"/>
    </row>
    <row r="6831" spans="9:10" x14ac:dyDescent="0.35">
      <c r="I6831" s="63"/>
      <c r="J6831" s="63"/>
    </row>
    <row r="6832" spans="9:10" x14ac:dyDescent="0.35">
      <c r="I6832" s="63"/>
      <c r="J6832" s="63"/>
    </row>
    <row r="6833" spans="9:10" x14ac:dyDescent="0.35">
      <c r="I6833" s="63"/>
      <c r="J6833" s="63"/>
    </row>
    <row r="6834" spans="9:10" x14ac:dyDescent="0.35">
      <c r="I6834" s="63"/>
      <c r="J6834" s="63"/>
    </row>
    <row r="6835" spans="9:10" x14ac:dyDescent="0.35">
      <c r="I6835" s="63"/>
      <c r="J6835" s="63"/>
    </row>
    <row r="6836" spans="9:10" x14ac:dyDescent="0.35">
      <c r="I6836" s="63"/>
      <c r="J6836" s="63"/>
    </row>
    <row r="6837" spans="9:10" x14ac:dyDescent="0.35">
      <c r="I6837" s="63"/>
      <c r="J6837" s="63"/>
    </row>
    <row r="6838" spans="9:10" x14ac:dyDescent="0.35">
      <c r="I6838" s="63"/>
      <c r="J6838" s="63"/>
    </row>
    <row r="6839" spans="9:10" x14ac:dyDescent="0.35">
      <c r="I6839" s="63"/>
      <c r="J6839" s="63"/>
    </row>
    <row r="6840" spans="9:10" x14ac:dyDescent="0.35">
      <c r="I6840" s="63"/>
      <c r="J6840" s="63"/>
    </row>
    <row r="6841" spans="9:10" x14ac:dyDescent="0.35">
      <c r="I6841" s="63"/>
      <c r="J6841" s="63"/>
    </row>
    <row r="6842" spans="9:10" x14ac:dyDescent="0.35">
      <c r="I6842" s="63"/>
      <c r="J6842" s="63"/>
    </row>
    <row r="6843" spans="9:10" x14ac:dyDescent="0.35">
      <c r="I6843" s="63"/>
      <c r="J6843" s="63"/>
    </row>
    <row r="6844" spans="9:10" x14ac:dyDescent="0.35">
      <c r="I6844" s="63"/>
      <c r="J6844" s="63"/>
    </row>
    <row r="6845" spans="9:10" x14ac:dyDescent="0.35">
      <c r="I6845" s="63"/>
      <c r="J6845" s="63"/>
    </row>
    <row r="6846" spans="9:10" x14ac:dyDescent="0.35">
      <c r="I6846" s="63"/>
      <c r="J6846" s="63"/>
    </row>
    <row r="6847" spans="9:10" x14ac:dyDescent="0.35">
      <c r="I6847" s="63"/>
      <c r="J6847" s="63"/>
    </row>
    <row r="6848" spans="9:10" x14ac:dyDescent="0.35">
      <c r="I6848" s="63"/>
      <c r="J6848" s="63"/>
    </row>
    <row r="6849" spans="9:10" x14ac:dyDescent="0.35">
      <c r="I6849" s="63"/>
      <c r="J6849" s="63"/>
    </row>
    <row r="6850" spans="9:10" x14ac:dyDescent="0.35">
      <c r="I6850" s="63"/>
      <c r="J6850" s="63"/>
    </row>
    <row r="6851" spans="9:10" x14ac:dyDescent="0.35">
      <c r="I6851" s="63"/>
      <c r="J6851" s="63"/>
    </row>
    <row r="6852" spans="9:10" x14ac:dyDescent="0.35">
      <c r="I6852" s="63"/>
      <c r="J6852" s="63"/>
    </row>
    <row r="6853" spans="9:10" x14ac:dyDescent="0.35">
      <c r="I6853" s="63"/>
      <c r="J6853" s="63"/>
    </row>
    <row r="6854" spans="9:10" x14ac:dyDescent="0.35">
      <c r="I6854" s="63"/>
      <c r="J6854" s="63"/>
    </row>
    <row r="6855" spans="9:10" x14ac:dyDescent="0.35">
      <c r="I6855" s="63"/>
      <c r="J6855" s="63"/>
    </row>
    <row r="6856" spans="9:10" x14ac:dyDescent="0.35">
      <c r="I6856" s="63"/>
      <c r="J6856" s="63"/>
    </row>
    <row r="6857" spans="9:10" x14ac:dyDescent="0.35">
      <c r="I6857" s="63"/>
      <c r="J6857" s="63"/>
    </row>
    <row r="6858" spans="9:10" x14ac:dyDescent="0.35">
      <c r="I6858" s="63"/>
      <c r="J6858" s="63"/>
    </row>
    <row r="6859" spans="9:10" x14ac:dyDescent="0.35">
      <c r="I6859" s="63"/>
      <c r="J6859" s="63"/>
    </row>
    <row r="6860" spans="9:10" x14ac:dyDescent="0.35">
      <c r="I6860" s="63"/>
      <c r="J6860" s="63"/>
    </row>
    <row r="6861" spans="9:10" x14ac:dyDescent="0.35">
      <c r="I6861" s="63"/>
      <c r="J6861" s="63"/>
    </row>
    <row r="6862" spans="9:10" x14ac:dyDescent="0.35">
      <c r="I6862" s="63"/>
      <c r="J6862" s="63"/>
    </row>
    <row r="6863" spans="9:10" x14ac:dyDescent="0.35">
      <c r="I6863" s="63"/>
      <c r="J6863" s="63"/>
    </row>
    <row r="6864" spans="9:10" x14ac:dyDescent="0.35">
      <c r="I6864" s="63"/>
      <c r="J6864" s="63"/>
    </row>
    <row r="6865" spans="9:10" x14ac:dyDescent="0.35">
      <c r="I6865" s="63"/>
      <c r="J6865" s="63"/>
    </row>
    <row r="6866" spans="9:10" x14ac:dyDescent="0.35">
      <c r="I6866" s="63"/>
      <c r="J6866" s="63"/>
    </row>
    <row r="6867" spans="9:10" x14ac:dyDescent="0.35">
      <c r="I6867" s="63"/>
      <c r="J6867" s="63"/>
    </row>
    <row r="6868" spans="9:10" x14ac:dyDescent="0.35">
      <c r="I6868" s="63"/>
      <c r="J6868" s="63"/>
    </row>
    <row r="6869" spans="9:10" x14ac:dyDescent="0.35">
      <c r="I6869" s="63"/>
      <c r="J6869" s="63"/>
    </row>
    <row r="6870" spans="9:10" x14ac:dyDescent="0.35">
      <c r="I6870" s="63"/>
      <c r="J6870" s="63"/>
    </row>
    <row r="6871" spans="9:10" x14ac:dyDescent="0.35">
      <c r="I6871" s="63"/>
      <c r="J6871" s="63"/>
    </row>
    <row r="6872" spans="9:10" x14ac:dyDescent="0.35">
      <c r="I6872" s="63"/>
      <c r="J6872" s="63"/>
    </row>
    <row r="6873" spans="9:10" x14ac:dyDescent="0.35">
      <c r="I6873" s="63"/>
      <c r="J6873" s="63"/>
    </row>
    <row r="6874" spans="9:10" x14ac:dyDescent="0.35">
      <c r="I6874" s="63"/>
      <c r="J6874" s="63"/>
    </row>
    <row r="6875" spans="9:10" x14ac:dyDescent="0.35">
      <c r="I6875" s="63"/>
      <c r="J6875" s="63"/>
    </row>
    <row r="6876" spans="9:10" x14ac:dyDescent="0.35">
      <c r="I6876" s="63"/>
      <c r="J6876" s="63"/>
    </row>
    <row r="6877" spans="9:10" x14ac:dyDescent="0.35">
      <c r="I6877" s="63"/>
      <c r="J6877" s="63"/>
    </row>
    <row r="6878" spans="9:10" x14ac:dyDescent="0.35">
      <c r="I6878" s="63"/>
      <c r="J6878" s="63"/>
    </row>
    <row r="6879" spans="9:10" x14ac:dyDescent="0.35">
      <c r="I6879" s="63"/>
      <c r="J6879" s="63"/>
    </row>
    <row r="6880" spans="9:10" x14ac:dyDescent="0.35">
      <c r="I6880" s="63"/>
      <c r="J6880" s="63"/>
    </row>
    <row r="6881" spans="9:10" x14ac:dyDescent="0.35">
      <c r="I6881" s="63"/>
      <c r="J6881" s="63"/>
    </row>
    <row r="6882" spans="9:10" x14ac:dyDescent="0.35">
      <c r="I6882" s="63"/>
      <c r="J6882" s="63"/>
    </row>
    <row r="6883" spans="9:10" x14ac:dyDescent="0.35">
      <c r="I6883" s="63"/>
      <c r="J6883" s="63"/>
    </row>
    <row r="6884" spans="9:10" x14ac:dyDescent="0.35">
      <c r="I6884" s="63"/>
      <c r="J6884" s="63"/>
    </row>
    <row r="6885" spans="9:10" x14ac:dyDescent="0.35">
      <c r="I6885" s="63"/>
      <c r="J6885" s="63"/>
    </row>
    <row r="6886" spans="9:10" x14ac:dyDescent="0.35">
      <c r="I6886" s="63"/>
      <c r="J6886" s="63"/>
    </row>
    <row r="6887" spans="9:10" x14ac:dyDescent="0.35">
      <c r="I6887" s="63"/>
      <c r="J6887" s="63"/>
    </row>
    <row r="6888" spans="9:10" x14ac:dyDescent="0.35">
      <c r="I6888" s="63"/>
      <c r="J6888" s="63"/>
    </row>
    <row r="6889" spans="9:10" x14ac:dyDescent="0.35">
      <c r="I6889" s="63"/>
      <c r="J6889" s="63"/>
    </row>
    <row r="6890" spans="9:10" x14ac:dyDescent="0.35">
      <c r="I6890" s="63"/>
      <c r="J6890" s="63"/>
    </row>
    <row r="6891" spans="9:10" x14ac:dyDescent="0.35">
      <c r="I6891" s="63"/>
      <c r="J6891" s="63"/>
    </row>
    <row r="6892" spans="9:10" x14ac:dyDescent="0.35">
      <c r="I6892" s="63"/>
      <c r="J6892" s="63"/>
    </row>
    <row r="6893" spans="9:10" x14ac:dyDescent="0.35">
      <c r="I6893" s="63"/>
      <c r="J6893" s="63"/>
    </row>
    <row r="6894" spans="9:10" x14ac:dyDescent="0.35">
      <c r="I6894" s="63"/>
      <c r="J6894" s="63"/>
    </row>
    <row r="6895" spans="9:10" x14ac:dyDescent="0.35">
      <c r="I6895" s="63"/>
      <c r="J6895" s="63"/>
    </row>
    <row r="6896" spans="9:10" x14ac:dyDescent="0.35">
      <c r="I6896" s="63"/>
      <c r="J6896" s="63"/>
    </row>
    <row r="6897" spans="9:10" x14ac:dyDescent="0.35">
      <c r="I6897" s="63"/>
      <c r="J6897" s="63"/>
    </row>
    <row r="6898" spans="9:10" x14ac:dyDescent="0.35">
      <c r="I6898" s="63"/>
      <c r="J6898" s="63"/>
    </row>
    <row r="6899" spans="9:10" x14ac:dyDescent="0.35">
      <c r="I6899" s="63"/>
      <c r="J6899" s="63"/>
    </row>
    <row r="6900" spans="9:10" x14ac:dyDescent="0.35">
      <c r="I6900" s="63"/>
      <c r="J6900" s="63"/>
    </row>
    <row r="6901" spans="9:10" x14ac:dyDescent="0.35">
      <c r="I6901" s="63"/>
      <c r="J6901" s="63"/>
    </row>
    <row r="6902" spans="9:10" x14ac:dyDescent="0.35">
      <c r="I6902" s="63"/>
      <c r="J6902" s="63"/>
    </row>
    <row r="6903" spans="9:10" x14ac:dyDescent="0.35">
      <c r="I6903" s="63"/>
      <c r="J6903" s="63"/>
    </row>
    <row r="6904" spans="9:10" x14ac:dyDescent="0.35">
      <c r="I6904" s="63"/>
      <c r="J6904" s="63"/>
    </row>
    <row r="6905" spans="9:10" x14ac:dyDescent="0.35">
      <c r="I6905" s="63"/>
      <c r="J6905" s="63"/>
    </row>
    <row r="6906" spans="9:10" x14ac:dyDescent="0.35">
      <c r="I6906" s="63"/>
      <c r="J6906" s="63"/>
    </row>
    <row r="6907" spans="9:10" x14ac:dyDescent="0.35">
      <c r="I6907" s="63"/>
      <c r="J6907" s="63"/>
    </row>
    <row r="6908" spans="9:10" x14ac:dyDescent="0.35">
      <c r="I6908" s="63"/>
      <c r="J6908" s="63"/>
    </row>
    <row r="6909" spans="9:10" x14ac:dyDescent="0.35">
      <c r="I6909" s="63"/>
      <c r="J6909" s="63"/>
    </row>
    <row r="6910" spans="9:10" x14ac:dyDescent="0.35">
      <c r="I6910" s="63"/>
      <c r="J6910" s="63"/>
    </row>
    <row r="6911" spans="9:10" x14ac:dyDescent="0.35">
      <c r="I6911" s="63"/>
      <c r="J6911" s="63"/>
    </row>
    <row r="6912" spans="9:10" x14ac:dyDescent="0.35">
      <c r="I6912" s="63"/>
      <c r="J6912" s="63"/>
    </row>
    <row r="6913" spans="9:10" x14ac:dyDescent="0.35">
      <c r="I6913" s="63"/>
      <c r="J6913" s="63"/>
    </row>
    <row r="6914" spans="9:10" x14ac:dyDescent="0.35">
      <c r="I6914" s="63"/>
      <c r="J6914" s="63"/>
    </row>
    <row r="6915" spans="9:10" x14ac:dyDescent="0.35">
      <c r="I6915" s="63"/>
      <c r="J6915" s="63"/>
    </row>
    <row r="6916" spans="9:10" x14ac:dyDescent="0.35">
      <c r="I6916" s="63"/>
      <c r="J6916" s="63"/>
    </row>
    <row r="6917" spans="9:10" x14ac:dyDescent="0.35">
      <c r="I6917" s="63"/>
      <c r="J6917" s="63"/>
    </row>
    <row r="6918" spans="9:10" x14ac:dyDescent="0.35">
      <c r="I6918" s="63"/>
      <c r="J6918" s="63"/>
    </row>
    <row r="6919" spans="9:10" x14ac:dyDescent="0.35">
      <c r="I6919" s="63"/>
      <c r="J6919" s="63"/>
    </row>
    <row r="6920" spans="9:10" x14ac:dyDescent="0.35">
      <c r="I6920" s="63"/>
      <c r="J6920" s="63"/>
    </row>
    <row r="6921" spans="9:10" x14ac:dyDescent="0.35">
      <c r="I6921" s="63"/>
      <c r="J6921" s="63"/>
    </row>
    <row r="6922" spans="9:10" x14ac:dyDescent="0.35">
      <c r="I6922" s="63"/>
      <c r="J6922" s="63"/>
    </row>
    <row r="6923" spans="9:10" x14ac:dyDescent="0.35">
      <c r="I6923" s="63"/>
      <c r="J6923" s="63"/>
    </row>
    <row r="6924" spans="9:10" x14ac:dyDescent="0.35">
      <c r="I6924" s="63"/>
      <c r="J6924" s="63"/>
    </row>
    <row r="6925" spans="9:10" x14ac:dyDescent="0.35">
      <c r="I6925" s="63"/>
      <c r="J6925" s="63"/>
    </row>
    <row r="6926" spans="9:10" x14ac:dyDescent="0.35">
      <c r="I6926" s="63"/>
      <c r="J6926" s="63"/>
    </row>
    <row r="6927" spans="9:10" x14ac:dyDescent="0.35">
      <c r="I6927" s="63"/>
      <c r="J6927" s="63"/>
    </row>
    <row r="6928" spans="9:10" x14ac:dyDescent="0.35">
      <c r="I6928" s="63"/>
      <c r="J6928" s="63"/>
    </row>
    <row r="6929" spans="9:10" x14ac:dyDescent="0.35">
      <c r="I6929" s="63"/>
      <c r="J6929" s="63"/>
    </row>
    <row r="6930" spans="9:10" x14ac:dyDescent="0.35">
      <c r="I6930" s="63"/>
      <c r="J6930" s="63"/>
    </row>
    <row r="6931" spans="9:10" x14ac:dyDescent="0.35">
      <c r="I6931" s="63"/>
      <c r="J6931" s="63"/>
    </row>
    <row r="6932" spans="9:10" x14ac:dyDescent="0.35">
      <c r="I6932" s="63"/>
      <c r="J6932" s="63"/>
    </row>
    <row r="6933" spans="9:10" x14ac:dyDescent="0.35">
      <c r="I6933" s="63"/>
      <c r="J6933" s="63"/>
    </row>
    <row r="6934" spans="9:10" x14ac:dyDescent="0.35">
      <c r="I6934" s="63"/>
      <c r="J6934" s="63"/>
    </row>
    <row r="6935" spans="9:10" x14ac:dyDescent="0.35">
      <c r="I6935" s="63"/>
      <c r="J6935" s="63"/>
    </row>
    <row r="6936" spans="9:10" x14ac:dyDescent="0.35">
      <c r="I6936" s="63"/>
      <c r="J6936" s="63"/>
    </row>
    <row r="6937" spans="9:10" x14ac:dyDescent="0.35">
      <c r="I6937" s="63"/>
      <c r="J6937" s="63"/>
    </row>
    <row r="6938" spans="9:10" x14ac:dyDescent="0.35">
      <c r="I6938" s="63"/>
      <c r="J6938" s="63"/>
    </row>
    <row r="6939" spans="9:10" x14ac:dyDescent="0.35">
      <c r="I6939" s="63"/>
      <c r="J6939" s="63"/>
    </row>
    <row r="6940" spans="9:10" x14ac:dyDescent="0.35">
      <c r="I6940" s="63"/>
      <c r="J6940" s="63"/>
    </row>
    <row r="6941" spans="9:10" x14ac:dyDescent="0.35">
      <c r="I6941" s="63"/>
      <c r="J6941" s="63"/>
    </row>
    <row r="6942" spans="9:10" x14ac:dyDescent="0.35">
      <c r="I6942" s="63"/>
      <c r="J6942" s="63"/>
    </row>
    <row r="6943" spans="9:10" x14ac:dyDescent="0.35">
      <c r="I6943" s="63"/>
      <c r="J6943" s="63"/>
    </row>
    <row r="6944" spans="9:10" x14ac:dyDescent="0.35">
      <c r="I6944" s="63"/>
      <c r="J6944" s="63"/>
    </row>
    <row r="6945" spans="9:10" x14ac:dyDescent="0.35">
      <c r="I6945" s="63"/>
      <c r="J6945" s="63"/>
    </row>
    <row r="6946" spans="9:10" x14ac:dyDescent="0.35">
      <c r="I6946" s="63"/>
      <c r="J6946" s="63"/>
    </row>
    <row r="6947" spans="9:10" x14ac:dyDescent="0.35">
      <c r="I6947" s="63"/>
      <c r="J6947" s="63"/>
    </row>
    <row r="6948" spans="9:10" x14ac:dyDescent="0.35">
      <c r="I6948" s="63"/>
      <c r="J6948" s="63"/>
    </row>
    <row r="6949" spans="9:10" x14ac:dyDescent="0.35">
      <c r="I6949" s="63"/>
      <c r="J6949" s="63"/>
    </row>
    <row r="6950" spans="9:10" x14ac:dyDescent="0.35">
      <c r="I6950" s="63"/>
      <c r="J6950" s="63"/>
    </row>
    <row r="6951" spans="9:10" x14ac:dyDescent="0.35">
      <c r="I6951" s="63"/>
      <c r="J6951" s="63"/>
    </row>
    <row r="6952" spans="9:10" x14ac:dyDescent="0.35">
      <c r="I6952" s="63"/>
      <c r="J6952" s="63"/>
    </row>
    <row r="6953" spans="9:10" x14ac:dyDescent="0.35">
      <c r="I6953" s="63"/>
      <c r="J6953" s="63"/>
    </row>
    <row r="6954" spans="9:10" x14ac:dyDescent="0.35">
      <c r="I6954" s="63"/>
      <c r="J6954" s="63"/>
    </row>
    <row r="6955" spans="9:10" x14ac:dyDescent="0.35">
      <c r="I6955" s="63"/>
      <c r="J6955" s="63"/>
    </row>
    <row r="6956" spans="9:10" x14ac:dyDescent="0.35">
      <c r="I6956" s="63"/>
      <c r="J6956" s="63"/>
    </row>
    <row r="6957" spans="9:10" x14ac:dyDescent="0.35">
      <c r="I6957" s="63"/>
      <c r="J6957" s="63"/>
    </row>
    <row r="6958" spans="9:10" x14ac:dyDescent="0.35">
      <c r="I6958" s="63"/>
      <c r="J6958" s="63"/>
    </row>
    <row r="6959" spans="9:10" x14ac:dyDescent="0.35">
      <c r="I6959" s="63"/>
      <c r="J6959" s="63"/>
    </row>
    <row r="6960" spans="9:10" x14ac:dyDescent="0.35">
      <c r="I6960" s="63"/>
      <c r="J6960" s="63"/>
    </row>
    <row r="6961" spans="9:10" x14ac:dyDescent="0.35">
      <c r="I6961" s="63"/>
      <c r="J6961" s="63"/>
    </row>
    <row r="6962" spans="9:10" x14ac:dyDescent="0.35">
      <c r="I6962" s="63"/>
      <c r="J6962" s="63"/>
    </row>
    <row r="6963" spans="9:10" x14ac:dyDescent="0.35">
      <c r="I6963" s="63"/>
      <c r="J6963" s="63"/>
    </row>
    <row r="6964" spans="9:10" x14ac:dyDescent="0.35">
      <c r="I6964" s="63"/>
      <c r="J6964" s="63"/>
    </row>
    <row r="6965" spans="9:10" x14ac:dyDescent="0.35">
      <c r="I6965" s="63"/>
      <c r="J6965" s="63"/>
    </row>
    <row r="6966" spans="9:10" x14ac:dyDescent="0.35">
      <c r="I6966" s="63"/>
      <c r="J6966" s="63"/>
    </row>
    <row r="6967" spans="9:10" x14ac:dyDescent="0.35">
      <c r="I6967" s="63"/>
      <c r="J6967" s="63"/>
    </row>
    <row r="6968" spans="9:10" x14ac:dyDescent="0.35">
      <c r="I6968" s="63"/>
      <c r="J6968" s="63"/>
    </row>
    <row r="6969" spans="9:10" x14ac:dyDescent="0.35">
      <c r="I6969" s="63"/>
      <c r="J6969" s="63"/>
    </row>
    <row r="6970" spans="9:10" x14ac:dyDescent="0.35">
      <c r="I6970" s="63"/>
      <c r="J6970" s="63"/>
    </row>
    <row r="6971" spans="9:10" x14ac:dyDescent="0.35">
      <c r="I6971" s="63"/>
      <c r="J6971" s="63"/>
    </row>
    <row r="6972" spans="9:10" x14ac:dyDescent="0.35">
      <c r="I6972" s="63"/>
      <c r="J6972" s="63"/>
    </row>
    <row r="6973" spans="9:10" x14ac:dyDescent="0.35">
      <c r="I6973" s="63"/>
      <c r="J6973" s="63"/>
    </row>
    <row r="6974" spans="9:10" x14ac:dyDescent="0.35">
      <c r="I6974" s="63"/>
      <c r="J6974" s="63"/>
    </row>
    <row r="6975" spans="9:10" x14ac:dyDescent="0.35">
      <c r="I6975" s="63"/>
      <c r="J6975" s="63"/>
    </row>
    <row r="6976" spans="9:10" x14ac:dyDescent="0.35">
      <c r="I6976" s="63"/>
      <c r="J6976" s="63"/>
    </row>
    <row r="6977" spans="9:10" x14ac:dyDescent="0.35">
      <c r="I6977" s="63"/>
      <c r="J6977" s="63"/>
    </row>
    <row r="6978" spans="9:10" x14ac:dyDescent="0.35">
      <c r="I6978" s="63"/>
      <c r="J6978" s="63"/>
    </row>
    <row r="6979" spans="9:10" x14ac:dyDescent="0.35">
      <c r="I6979" s="63"/>
      <c r="J6979" s="63"/>
    </row>
    <row r="6980" spans="9:10" x14ac:dyDescent="0.35">
      <c r="I6980" s="63"/>
      <c r="J6980" s="63"/>
    </row>
    <row r="6981" spans="9:10" x14ac:dyDescent="0.35">
      <c r="I6981" s="63"/>
      <c r="J6981" s="63"/>
    </row>
    <row r="6982" spans="9:10" x14ac:dyDescent="0.35">
      <c r="I6982" s="63"/>
      <c r="J6982" s="63"/>
    </row>
    <row r="6983" spans="9:10" x14ac:dyDescent="0.35">
      <c r="I6983" s="63"/>
      <c r="J6983" s="63"/>
    </row>
    <row r="6984" spans="9:10" x14ac:dyDescent="0.35">
      <c r="I6984" s="63"/>
      <c r="J6984" s="63"/>
    </row>
    <row r="6985" spans="9:10" x14ac:dyDescent="0.35">
      <c r="I6985" s="63"/>
      <c r="J6985" s="63"/>
    </row>
    <row r="6986" spans="9:10" x14ac:dyDescent="0.35">
      <c r="I6986" s="63"/>
      <c r="J6986" s="63"/>
    </row>
    <row r="6987" spans="9:10" x14ac:dyDescent="0.35">
      <c r="I6987" s="63"/>
      <c r="J6987" s="63"/>
    </row>
    <row r="6988" spans="9:10" x14ac:dyDescent="0.35">
      <c r="I6988" s="63"/>
      <c r="J6988" s="63"/>
    </row>
    <row r="6989" spans="9:10" x14ac:dyDescent="0.35">
      <c r="I6989" s="63"/>
      <c r="J6989" s="63"/>
    </row>
    <row r="6990" spans="9:10" x14ac:dyDescent="0.35">
      <c r="I6990" s="63"/>
      <c r="J6990" s="63"/>
    </row>
    <row r="6991" spans="9:10" x14ac:dyDescent="0.35">
      <c r="I6991" s="63"/>
      <c r="J6991" s="63"/>
    </row>
    <row r="6992" spans="9:10" x14ac:dyDescent="0.35">
      <c r="I6992" s="63"/>
      <c r="J6992" s="63"/>
    </row>
    <row r="6993" spans="9:10" x14ac:dyDescent="0.35">
      <c r="I6993" s="63"/>
      <c r="J6993" s="63"/>
    </row>
    <row r="6994" spans="9:10" x14ac:dyDescent="0.35">
      <c r="I6994" s="63"/>
      <c r="J6994" s="63"/>
    </row>
    <row r="6995" spans="9:10" x14ac:dyDescent="0.35">
      <c r="I6995" s="63"/>
      <c r="J6995" s="63"/>
    </row>
    <row r="6996" spans="9:10" x14ac:dyDescent="0.35">
      <c r="I6996" s="63"/>
      <c r="J6996" s="63"/>
    </row>
    <row r="6997" spans="9:10" x14ac:dyDescent="0.35">
      <c r="I6997" s="63"/>
      <c r="J6997" s="63"/>
    </row>
    <row r="6998" spans="9:10" x14ac:dyDescent="0.35">
      <c r="I6998" s="63"/>
      <c r="J6998" s="63"/>
    </row>
    <row r="6999" spans="9:10" x14ac:dyDescent="0.35">
      <c r="I6999" s="63"/>
      <c r="J6999" s="63"/>
    </row>
    <row r="7000" spans="9:10" x14ac:dyDescent="0.35">
      <c r="I7000" s="63"/>
      <c r="J7000" s="63"/>
    </row>
    <row r="7001" spans="9:10" x14ac:dyDescent="0.35">
      <c r="I7001" s="63"/>
      <c r="J7001" s="63"/>
    </row>
    <row r="7002" spans="9:10" x14ac:dyDescent="0.35">
      <c r="I7002" s="63"/>
      <c r="J7002" s="63"/>
    </row>
    <row r="7003" spans="9:10" x14ac:dyDescent="0.35">
      <c r="I7003" s="63"/>
      <c r="J7003" s="63"/>
    </row>
    <row r="7004" spans="9:10" x14ac:dyDescent="0.35">
      <c r="I7004" s="63"/>
      <c r="J7004" s="63"/>
    </row>
    <row r="7005" spans="9:10" x14ac:dyDescent="0.35">
      <c r="I7005" s="63"/>
      <c r="J7005" s="63"/>
    </row>
    <row r="7006" spans="9:10" x14ac:dyDescent="0.35">
      <c r="I7006" s="63"/>
      <c r="J7006" s="63"/>
    </row>
    <row r="7007" spans="9:10" x14ac:dyDescent="0.35">
      <c r="I7007" s="63"/>
      <c r="J7007" s="63"/>
    </row>
    <row r="7008" spans="9:10" x14ac:dyDescent="0.35">
      <c r="I7008" s="63"/>
      <c r="J7008" s="63"/>
    </row>
    <row r="7009" spans="9:10" x14ac:dyDescent="0.35">
      <c r="I7009" s="63"/>
      <c r="J7009" s="63"/>
    </row>
    <row r="7010" spans="9:10" x14ac:dyDescent="0.35">
      <c r="I7010" s="63"/>
      <c r="J7010" s="63"/>
    </row>
    <row r="7011" spans="9:10" x14ac:dyDescent="0.35">
      <c r="I7011" s="63"/>
      <c r="J7011" s="63"/>
    </row>
    <row r="7012" spans="9:10" x14ac:dyDescent="0.35">
      <c r="I7012" s="63"/>
      <c r="J7012" s="63"/>
    </row>
    <row r="7013" spans="9:10" x14ac:dyDescent="0.35">
      <c r="I7013" s="63"/>
      <c r="J7013" s="63"/>
    </row>
    <row r="7014" spans="9:10" x14ac:dyDescent="0.35">
      <c r="I7014" s="63"/>
      <c r="J7014" s="63"/>
    </row>
    <row r="7015" spans="9:10" x14ac:dyDescent="0.35">
      <c r="I7015" s="63"/>
      <c r="J7015" s="63"/>
    </row>
    <row r="7016" spans="9:10" x14ac:dyDescent="0.35">
      <c r="I7016" s="63"/>
      <c r="J7016" s="63"/>
    </row>
    <row r="7017" spans="9:10" x14ac:dyDescent="0.35">
      <c r="I7017" s="63"/>
      <c r="J7017" s="63"/>
    </row>
    <row r="7018" spans="9:10" x14ac:dyDescent="0.35">
      <c r="I7018" s="63"/>
      <c r="J7018" s="63"/>
    </row>
    <row r="7019" spans="9:10" x14ac:dyDescent="0.35">
      <c r="I7019" s="63"/>
      <c r="J7019" s="63"/>
    </row>
    <row r="7020" spans="9:10" x14ac:dyDescent="0.35">
      <c r="I7020" s="63"/>
      <c r="J7020" s="63"/>
    </row>
    <row r="7021" spans="9:10" x14ac:dyDescent="0.35">
      <c r="I7021" s="63"/>
      <c r="J7021" s="63"/>
    </row>
    <row r="7022" spans="9:10" x14ac:dyDescent="0.35">
      <c r="I7022" s="63"/>
      <c r="J7022" s="63"/>
    </row>
    <row r="7023" spans="9:10" x14ac:dyDescent="0.35">
      <c r="I7023" s="63"/>
      <c r="J7023" s="63"/>
    </row>
    <row r="7024" spans="9:10" x14ac:dyDescent="0.35">
      <c r="I7024" s="63"/>
      <c r="J7024" s="63"/>
    </row>
    <row r="7025" spans="9:10" x14ac:dyDescent="0.35">
      <c r="I7025" s="63"/>
      <c r="J7025" s="63"/>
    </row>
    <row r="7026" spans="9:10" x14ac:dyDescent="0.35">
      <c r="I7026" s="63"/>
      <c r="J7026" s="63"/>
    </row>
    <row r="7027" spans="9:10" x14ac:dyDescent="0.35">
      <c r="I7027" s="63"/>
      <c r="J7027" s="63"/>
    </row>
    <row r="7028" spans="9:10" x14ac:dyDescent="0.35">
      <c r="I7028" s="63"/>
      <c r="J7028" s="63"/>
    </row>
    <row r="7029" spans="9:10" x14ac:dyDescent="0.35">
      <c r="I7029" s="63"/>
      <c r="J7029" s="63"/>
    </row>
    <row r="7030" spans="9:10" x14ac:dyDescent="0.35">
      <c r="I7030" s="63"/>
      <c r="J7030" s="63"/>
    </row>
    <row r="7031" spans="9:10" x14ac:dyDescent="0.35">
      <c r="I7031" s="63"/>
      <c r="J7031" s="63"/>
    </row>
    <row r="7032" spans="9:10" x14ac:dyDescent="0.35">
      <c r="I7032" s="63"/>
      <c r="J7032" s="63"/>
    </row>
    <row r="7033" spans="9:10" x14ac:dyDescent="0.35">
      <c r="I7033" s="63"/>
      <c r="J7033" s="63"/>
    </row>
    <row r="7034" spans="9:10" x14ac:dyDescent="0.35">
      <c r="I7034" s="63"/>
      <c r="J7034" s="63"/>
    </row>
    <row r="7035" spans="9:10" x14ac:dyDescent="0.35">
      <c r="I7035" s="63"/>
      <c r="J7035" s="63"/>
    </row>
    <row r="7036" spans="9:10" x14ac:dyDescent="0.35">
      <c r="I7036" s="63"/>
      <c r="J7036" s="63"/>
    </row>
    <row r="7037" spans="9:10" x14ac:dyDescent="0.35">
      <c r="I7037" s="63"/>
      <c r="J7037" s="63"/>
    </row>
    <row r="7038" spans="9:10" x14ac:dyDescent="0.35">
      <c r="I7038" s="63"/>
      <c r="J7038" s="63"/>
    </row>
    <row r="7039" spans="9:10" x14ac:dyDescent="0.35">
      <c r="I7039" s="63"/>
      <c r="J7039" s="63"/>
    </row>
    <row r="7040" spans="9:10" x14ac:dyDescent="0.35">
      <c r="I7040" s="63"/>
      <c r="J7040" s="63"/>
    </row>
    <row r="7041" spans="9:10" x14ac:dyDescent="0.35">
      <c r="I7041" s="63"/>
      <c r="J7041" s="63"/>
    </row>
    <row r="7042" spans="9:10" x14ac:dyDescent="0.35">
      <c r="I7042" s="63"/>
      <c r="J7042" s="63"/>
    </row>
    <row r="7043" spans="9:10" x14ac:dyDescent="0.35">
      <c r="I7043" s="63"/>
      <c r="J7043" s="63"/>
    </row>
    <row r="7044" spans="9:10" x14ac:dyDescent="0.35">
      <c r="I7044" s="63"/>
      <c r="J7044" s="63"/>
    </row>
    <row r="7045" spans="9:10" x14ac:dyDescent="0.35">
      <c r="I7045" s="63"/>
      <c r="J7045" s="63"/>
    </row>
    <row r="7046" spans="9:10" x14ac:dyDescent="0.35">
      <c r="I7046" s="63"/>
      <c r="J7046" s="63"/>
    </row>
    <row r="7047" spans="9:10" x14ac:dyDescent="0.35">
      <c r="I7047" s="63"/>
      <c r="J7047" s="63"/>
    </row>
    <row r="7048" spans="9:10" x14ac:dyDescent="0.35">
      <c r="I7048" s="63"/>
      <c r="J7048" s="63"/>
    </row>
    <row r="7049" spans="9:10" x14ac:dyDescent="0.35">
      <c r="I7049" s="63"/>
      <c r="J7049" s="63"/>
    </row>
    <row r="7050" spans="9:10" x14ac:dyDescent="0.35">
      <c r="I7050" s="63"/>
      <c r="J7050" s="63"/>
    </row>
    <row r="7051" spans="9:10" x14ac:dyDescent="0.35">
      <c r="I7051" s="63"/>
      <c r="J7051" s="63"/>
    </row>
    <row r="7052" spans="9:10" x14ac:dyDescent="0.35">
      <c r="I7052" s="63"/>
      <c r="J7052" s="63"/>
    </row>
    <row r="7053" spans="9:10" x14ac:dyDescent="0.35">
      <c r="I7053" s="63"/>
      <c r="J7053" s="63"/>
    </row>
    <row r="7054" spans="9:10" x14ac:dyDescent="0.35">
      <c r="I7054" s="63"/>
      <c r="J7054" s="63"/>
    </row>
    <row r="7055" spans="9:10" x14ac:dyDescent="0.35">
      <c r="I7055" s="63"/>
      <c r="J7055" s="63"/>
    </row>
    <row r="7056" spans="9:10" x14ac:dyDescent="0.35">
      <c r="I7056" s="63"/>
      <c r="J7056" s="63"/>
    </row>
    <row r="7057" spans="9:10" x14ac:dyDescent="0.35">
      <c r="I7057" s="63"/>
      <c r="J7057" s="63"/>
    </row>
    <row r="7058" spans="9:10" x14ac:dyDescent="0.35">
      <c r="I7058" s="63"/>
      <c r="J7058" s="63"/>
    </row>
    <row r="7059" spans="9:10" x14ac:dyDescent="0.35">
      <c r="I7059" s="63"/>
      <c r="J7059" s="63"/>
    </row>
    <row r="7060" spans="9:10" x14ac:dyDescent="0.35">
      <c r="I7060" s="63"/>
      <c r="J7060" s="63"/>
    </row>
    <row r="7061" spans="9:10" x14ac:dyDescent="0.35">
      <c r="I7061" s="63"/>
      <c r="J7061" s="63"/>
    </row>
    <row r="7062" spans="9:10" x14ac:dyDescent="0.35">
      <c r="I7062" s="63"/>
      <c r="J7062" s="63"/>
    </row>
    <row r="7063" spans="9:10" x14ac:dyDescent="0.35">
      <c r="I7063" s="63"/>
      <c r="J7063" s="63"/>
    </row>
    <row r="7064" spans="9:10" x14ac:dyDescent="0.35">
      <c r="I7064" s="63"/>
      <c r="J7064" s="63"/>
    </row>
    <row r="7065" spans="9:10" x14ac:dyDescent="0.35">
      <c r="I7065" s="63"/>
      <c r="J7065" s="63"/>
    </row>
    <row r="7066" spans="9:10" x14ac:dyDescent="0.35">
      <c r="I7066" s="63"/>
      <c r="J7066" s="63"/>
    </row>
    <row r="7067" spans="9:10" x14ac:dyDescent="0.35">
      <c r="I7067" s="63"/>
      <c r="J7067" s="63"/>
    </row>
    <row r="7068" spans="9:10" x14ac:dyDescent="0.35">
      <c r="I7068" s="63"/>
      <c r="J7068" s="63"/>
    </row>
    <row r="7069" spans="9:10" x14ac:dyDescent="0.35">
      <c r="I7069" s="63"/>
      <c r="J7069" s="63"/>
    </row>
    <row r="7070" spans="9:10" x14ac:dyDescent="0.35">
      <c r="I7070" s="63"/>
      <c r="J7070" s="63"/>
    </row>
    <row r="7071" spans="9:10" x14ac:dyDescent="0.35">
      <c r="I7071" s="63"/>
      <c r="J7071" s="63"/>
    </row>
    <row r="7072" spans="9:10" x14ac:dyDescent="0.35">
      <c r="I7072" s="63"/>
      <c r="J7072" s="63"/>
    </row>
    <row r="7073" spans="9:10" x14ac:dyDescent="0.35">
      <c r="I7073" s="63"/>
      <c r="J7073" s="63"/>
    </row>
    <row r="7074" spans="9:10" x14ac:dyDescent="0.35">
      <c r="I7074" s="63"/>
      <c r="J7074" s="63"/>
    </row>
    <row r="7075" spans="9:10" x14ac:dyDescent="0.35">
      <c r="I7075" s="63"/>
      <c r="J7075" s="63"/>
    </row>
    <row r="7076" spans="9:10" x14ac:dyDescent="0.35">
      <c r="I7076" s="63"/>
      <c r="J7076" s="63"/>
    </row>
    <row r="7077" spans="9:10" x14ac:dyDescent="0.35">
      <c r="I7077" s="63"/>
      <c r="J7077" s="63"/>
    </row>
    <row r="7078" spans="9:10" x14ac:dyDescent="0.35">
      <c r="I7078" s="63"/>
      <c r="J7078" s="63"/>
    </row>
    <row r="7079" spans="9:10" x14ac:dyDescent="0.35">
      <c r="I7079" s="63"/>
      <c r="J7079" s="63"/>
    </row>
    <row r="7080" spans="9:10" x14ac:dyDescent="0.35">
      <c r="I7080" s="63"/>
      <c r="J7080" s="63"/>
    </row>
    <row r="7081" spans="9:10" x14ac:dyDescent="0.35">
      <c r="I7081" s="63"/>
      <c r="J7081" s="63"/>
    </row>
    <row r="7082" spans="9:10" x14ac:dyDescent="0.35">
      <c r="I7082" s="63"/>
      <c r="J7082" s="63"/>
    </row>
    <row r="7083" spans="9:10" x14ac:dyDescent="0.35">
      <c r="I7083" s="63"/>
      <c r="J7083" s="63"/>
    </row>
    <row r="7084" spans="9:10" x14ac:dyDescent="0.35">
      <c r="I7084" s="63"/>
      <c r="J7084" s="63"/>
    </row>
    <row r="7085" spans="9:10" x14ac:dyDescent="0.35">
      <c r="I7085" s="63"/>
      <c r="J7085" s="63"/>
    </row>
    <row r="7086" spans="9:10" x14ac:dyDescent="0.35">
      <c r="I7086" s="63"/>
      <c r="J7086" s="63"/>
    </row>
    <row r="7087" spans="9:10" x14ac:dyDescent="0.35">
      <c r="I7087" s="63"/>
      <c r="J7087" s="63"/>
    </row>
    <row r="7088" spans="9:10" x14ac:dyDescent="0.35">
      <c r="I7088" s="63"/>
      <c r="J7088" s="63"/>
    </row>
    <row r="7089" spans="9:10" x14ac:dyDescent="0.35">
      <c r="I7089" s="63"/>
      <c r="J7089" s="63"/>
    </row>
    <row r="7090" spans="9:10" x14ac:dyDescent="0.35">
      <c r="I7090" s="63"/>
      <c r="J7090" s="63"/>
    </row>
    <row r="7091" spans="9:10" x14ac:dyDescent="0.35">
      <c r="I7091" s="63"/>
      <c r="J7091" s="63"/>
    </row>
    <row r="7092" spans="9:10" x14ac:dyDescent="0.35">
      <c r="I7092" s="63"/>
      <c r="J7092" s="63"/>
    </row>
    <row r="7093" spans="9:10" x14ac:dyDescent="0.35">
      <c r="I7093" s="63"/>
      <c r="J7093" s="63"/>
    </row>
    <row r="7094" spans="9:10" x14ac:dyDescent="0.35">
      <c r="I7094" s="63"/>
      <c r="J7094" s="63"/>
    </row>
    <row r="7095" spans="9:10" x14ac:dyDescent="0.35">
      <c r="I7095" s="63"/>
      <c r="J7095" s="63"/>
    </row>
    <row r="7096" spans="9:10" x14ac:dyDescent="0.35">
      <c r="I7096" s="63"/>
      <c r="J7096" s="63"/>
    </row>
    <row r="7097" spans="9:10" x14ac:dyDescent="0.35">
      <c r="I7097" s="63"/>
      <c r="J7097" s="63"/>
    </row>
    <row r="7098" spans="9:10" x14ac:dyDescent="0.35">
      <c r="I7098" s="63"/>
      <c r="J7098" s="63"/>
    </row>
    <row r="7099" spans="9:10" x14ac:dyDescent="0.35">
      <c r="I7099" s="63"/>
      <c r="J7099" s="63"/>
    </row>
    <row r="7100" spans="9:10" x14ac:dyDescent="0.35">
      <c r="I7100" s="63"/>
      <c r="J7100" s="63"/>
    </row>
    <row r="7101" spans="9:10" x14ac:dyDescent="0.35">
      <c r="I7101" s="63"/>
      <c r="J7101" s="63"/>
    </row>
    <row r="7102" spans="9:10" x14ac:dyDescent="0.35">
      <c r="I7102" s="63"/>
      <c r="J7102" s="63"/>
    </row>
    <row r="7103" spans="9:10" x14ac:dyDescent="0.35">
      <c r="I7103" s="63"/>
      <c r="J7103" s="63"/>
    </row>
    <row r="7104" spans="9:10" x14ac:dyDescent="0.35">
      <c r="I7104" s="63"/>
      <c r="J7104" s="63"/>
    </row>
    <row r="7105" spans="9:10" x14ac:dyDescent="0.35">
      <c r="I7105" s="63"/>
      <c r="J7105" s="63"/>
    </row>
    <row r="7106" spans="9:10" x14ac:dyDescent="0.35">
      <c r="I7106" s="63"/>
      <c r="J7106" s="63"/>
    </row>
    <row r="7107" spans="9:10" x14ac:dyDescent="0.35">
      <c r="I7107" s="63"/>
      <c r="J7107" s="63"/>
    </row>
    <row r="7108" spans="9:10" x14ac:dyDescent="0.35">
      <c r="I7108" s="63"/>
      <c r="J7108" s="63"/>
    </row>
    <row r="7109" spans="9:10" x14ac:dyDescent="0.35">
      <c r="I7109" s="63"/>
      <c r="J7109" s="63"/>
    </row>
    <row r="7110" spans="9:10" x14ac:dyDescent="0.35">
      <c r="I7110" s="63"/>
      <c r="J7110" s="63"/>
    </row>
    <row r="7111" spans="9:10" x14ac:dyDescent="0.35">
      <c r="I7111" s="63"/>
      <c r="J7111" s="63"/>
    </row>
    <row r="7112" spans="9:10" x14ac:dyDescent="0.35">
      <c r="I7112" s="63"/>
      <c r="J7112" s="63"/>
    </row>
    <row r="7113" spans="9:10" x14ac:dyDescent="0.35">
      <c r="I7113" s="63"/>
      <c r="J7113" s="63"/>
    </row>
    <row r="7114" spans="9:10" x14ac:dyDescent="0.35">
      <c r="I7114" s="63"/>
      <c r="J7114" s="63"/>
    </row>
    <row r="7115" spans="9:10" x14ac:dyDescent="0.35">
      <c r="I7115" s="63"/>
      <c r="J7115" s="63"/>
    </row>
    <row r="7116" spans="9:10" x14ac:dyDescent="0.35">
      <c r="I7116" s="63"/>
      <c r="J7116" s="63"/>
    </row>
    <row r="7117" spans="9:10" x14ac:dyDescent="0.35">
      <c r="I7117" s="63"/>
      <c r="J7117" s="63"/>
    </row>
    <row r="7118" spans="9:10" x14ac:dyDescent="0.35">
      <c r="I7118" s="63"/>
      <c r="J7118" s="63"/>
    </row>
    <row r="7119" spans="9:10" x14ac:dyDescent="0.35">
      <c r="I7119" s="63"/>
      <c r="J7119" s="63"/>
    </row>
    <row r="7120" spans="9:10" x14ac:dyDescent="0.35">
      <c r="I7120" s="63"/>
      <c r="J7120" s="63"/>
    </row>
    <row r="7121" spans="9:10" x14ac:dyDescent="0.35">
      <c r="I7121" s="63"/>
      <c r="J7121" s="63"/>
    </row>
    <row r="7122" spans="9:10" x14ac:dyDescent="0.35">
      <c r="I7122" s="63"/>
      <c r="J7122" s="63"/>
    </row>
    <row r="7123" spans="9:10" x14ac:dyDescent="0.35">
      <c r="I7123" s="63"/>
      <c r="J7123" s="63"/>
    </row>
    <row r="7124" spans="9:10" x14ac:dyDescent="0.35">
      <c r="I7124" s="63"/>
      <c r="J7124" s="63"/>
    </row>
    <row r="7125" spans="9:10" x14ac:dyDescent="0.35">
      <c r="I7125" s="63"/>
      <c r="J7125" s="63"/>
    </row>
    <row r="7126" spans="9:10" x14ac:dyDescent="0.35">
      <c r="I7126" s="63"/>
      <c r="J7126" s="63"/>
    </row>
    <row r="7127" spans="9:10" x14ac:dyDescent="0.35">
      <c r="I7127" s="63"/>
      <c r="J7127" s="63"/>
    </row>
    <row r="7128" spans="9:10" x14ac:dyDescent="0.35">
      <c r="I7128" s="63"/>
      <c r="J7128" s="63"/>
    </row>
    <row r="7129" spans="9:10" x14ac:dyDescent="0.35">
      <c r="I7129" s="63"/>
      <c r="J7129" s="63"/>
    </row>
    <row r="7130" spans="9:10" x14ac:dyDescent="0.35">
      <c r="I7130" s="63"/>
      <c r="J7130" s="63"/>
    </row>
    <row r="7131" spans="9:10" x14ac:dyDescent="0.35">
      <c r="I7131" s="63"/>
      <c r="J7131" s="63"/>
    </row>
    <row r="7132" spans="9:10" x14ac:dyDescent="0.35">
      <c r="I7132" s="63"/>
      <c r="J7132" s="63"/>
    </row>
    <row r="7133" spans="9:10" x14ac:dyDescent="0.35">
      <c r="I7133" s="63"/>
      <c r="J7133" s="63"/>
    </row>
    <row r="7134" spans="9:10" x14ac:dyDescent="0.35">
      <c r="I7134" s="63"/>
      <c r="J7134" s="63"/>
    </row>
    <row r="7135" spans="9:10" x14ac:dyDescent="0.35">
      <c r="I7135" s="63"/>
      <c r="J7135" s="63"/>
    </row>
    <row r="7136" spans="9:10" x14ac:dyDescent="0.35">
      <c r="I7136" s="63"/>
      <c r="J7136" s="63"/>
    </row>
    <row r="7137" spans="9:10" x14ac:dyDescent="0.35">
      <c r="I7137" s="63"/>
      <c r="J7137" s="63"/>
    </row>
    <row r="7138" spans="9:10" x14ac:dyDescent="0.35">
      <c r="I7138" s="63"/>
      <c r="J7138" s="63"/>
    </row>
    <row r="7139" spans="9:10" x14ac:dyDescent="0.35">
      <c r="I7139" s="63"/>
      <c r="J7139" s="63"/>
    </row>
    <row r="7140" spans="9:10" x14ac:dyDescent="0.35">
      <c r="I7140" s="63"/>
      <c r="J7140" s="63"/>
    </row>
    <row r="7141" spans="9:10" x14ac:dyDescent="0.35">
      <c r="I7141" s="63"/>
      <c r="J7141" s="63"/>
    </row>
    <row r="7142" spans="9:10" x14ac:dyDescent="0.35">
      <c r="I7142" s="63"/>
      <c r="J7142" s="63"/>
    </row>
    <row r="7143" spans="9:10" x14ac:dyDescent="0.35">
      <c r="I7143" s="63"/>
      <c r="J7143" s="63"/>
    </row>
    <row r="7144" spans="9:10" x14ac:dyDescent="0.35">
      <c r="I7144" s="63"/>
      <c r="J7144" s="63"/>
    </row>
    <row r="7145" spans="9:10" x14ac:dyDescent="0.35">
      <c r="I7145" s="63"/>
      <c r="J7145" s="63"/>
    </row>
    <row r="7146" spans="9:10" x14ac:dyDescent="0.35">
      <c r="I7146" s="63"/>
      <c r="J7146" s="63"/>
    </row>
    <row r="7147" spans="9:10" x14ac:dyDescent="0.35">
      <c r="I7147" s="63"/>
      <c r="J7147" s="63"/>
    </row>
    <row r="7148" spans="9:10" x14ac:dyDescent="0.35">
      <c r="I7148" s="63"/>
      <c r="J7148" s="63"/>
    </row>
    <row r="7149" spans="9:10" x14ac:dyDescent="0.35">
      <c r="I7149" s="63"/>
      <c r="J7149" s="63"/>
    </row>
    <row r="7150" spans="9:10" x14ac:dyDescent="0.35">
      <c r="I7150" s="63"/>
      <c r="J7150" s="63"/>
    </row>
    <row r="7151" spans="9:10" x14ac:dyDescent="0.35">
      <c r="I7151" s="63"/>
      <c r="J7151" s="63"/>
    </row>
    <row r="7152" spans="9:10" x14ac:dyDescent="0.35">
      <c r="I7152" s="63"/>
      <c r="J7152" s="63"/>
    </row>
    <row r="7153" spans="9:10" x14ac:dyDescent="0.35">
      <c r="I7153" s="63"/>
      <c r="J7153" s="63"/>
    </row>
    <row r="7154" spans="9:10" x14ac:dyDescent="0.35">
      <c r="I7154" s="63"/>
      <c r="J7154" s="63"/>
    </row>
    <row r="7155" spans="9:10" x14ac:dyDescent="0.35">
      <c r="I7155" s="63"/>
      <c r="J7155" s="63"/>
    </row>
    <row r="7156" spans="9:10" x14ac:dyDescent="0.35">
      <c r="I7156" s="63"/>
      <c r="J7156" s="63"/>
    </row>
    <row r="7157" spans="9:10" x14ac:dyDescent="0.35">
      <c r="I7157" s="63"/>
      <c r="J7157" s="63"/>
    </row>
    <row r="7158" spans="9:10" x14ac:dyDescent="0.35">
      <c r="I7158" s="63"/>
      <c r="J7158" s="63"/>
    </row>
    <row r="7159" spans="9:10" x14ac:dyDescent="0.35">
      <c r="I7159" s="63"/>
      <c r="J7159" s="63"/>
    </row>
    <row r="7160" spans="9:10" x14ac:dyDescent="0.35">
      <c r="I7160" s="63"/>
      <c r="J7160" s="63"/>
    </row>
    <row r="7161" spans="9:10" x14ac:dyDescent="0.35">
      <c r="I7161" s="63"/>
      <c r="J7161" s="63"/>
    </row>
    <row r="7162" spans="9:10" x14ac:dyDescent="0.35">
      <c r="I7162" s="63"/>
      <c r="J7162" s="63"/>
    </row>
    <row r="7163" spans="9:10" x14ac:dyDescent="0.35">
      <c r="I7163" s="63"/>
      <c r="J7163" s="63"/>
    </row>
    <row r="7164" spans="9:10" x14ac:dyDescent="0.35">
      <c r="I7164" s="63"/>
      <c r="J7164" s="63"/>
    </row>
    <row r="7165" spans="9:10" x14ac:dyDescent="0.35">
      <c r="I7165" s="63"/>
      <c r="J7165" s="63"/>
    </row>
    <row r="7166" spans="9:10" x14ac:dyDescent="0.35">
      <c r="I7166" s="63"/>
      <c r="J7166" s="63"/>
    </row>
    <row r="7167" spans="9:10" x14ac:dyDescent="0.35">
      <c r="I7167" s="63"/>
      <c r="J7167" s="63"/>
    </row>
    <row r="7168" spans="9:10" x14ac:dyDescent="0.35">
      <c r="I7168" s="63"/>
      <c r="J7168" s="63"/>
    </row>
    <row r="7169" spans="9:10" x14ac:dyDescent="0.35">
      <c r="I7169" s="63"/>
      <c r="J7169" s="63"/>
    </row>
    <row r="7170" spans="9:10" x14ac:dyDescent="0.35">
      <c r="I7170" s="63"/>
      <c r="J7170" s="63"/>
    </row>
    <row r="7171" spans="9:10" x14ac:dyDescent="0.35">
      <c r="I7171" s="63"/>
      <c r="J7171" s="63"/>
    </row>
    <row r="7172" spans="9:10" x14ac:dyDescent="0.35">
      <c r="I7172" s="63"/>
      <c r="J7172" s="63"/>
    </row>
    <row r="7173" spans="9:10" x14ac:dyDescent="0.35">
      <c r="I7173" s="63"/>
      <c r="J7173" s="63"/>
    </row>
    <row r="7174" spans="9:10" x14ac:dyDescent="0.35">
      <c r="I7174" s="63"/>
      <c r="J7174" s="63"/>
    </row>
    <row r="7175" spans="9:10" x14ac:dyDescent="0.35">
      <c r="I7175" s="63"/>
      <c r="J7175" s="63"/>
    </row>
    <row r="7176" spans="9:10" x14ac:dyDescent="0.35">
      <c r="I7176" s="63"/>
      <c r="J7176" s="63"/>
    </row>
    <row r="7177" spans="9:10" x14ac:dyDescent="0.35">
      <c r="I7177" s="63"/>
      <c r="J7177" s="63"/>
    </row>
    <row r="7178" spans="9:10" x14ac:dyDescent="0.35">
      <c r="I7178" s="63"/>
      <c r="J7178" s="63"/>
    </row>
    <row r="7179" spans="9:10" x14ac:dyDescent="0.35">
      <c r="I7179" s="63"/>
      <c r="J7179" s="63"/>
    </row>
    <row r="7180" spans="9:10" x14ac:dyDescent="0.35">
      <c r="I7180" s="63"/>
      <c r="J7180" s="63"/>
    </row>
    <row r="7181" spans="9:10" x14ac:dyDescent="0.35">
      <c r="I7181" s="63"/>
      <c r="J7181" s="63"/>
    </row>
    <row r="7182" spans="9:10" x14ac:dyDescent="0.35">
      <c r="I7182" s="63"/>
      <c r="J7182" s="63"/>
    </row>
    <row r="7183" spans="9:10" x14ac:dyDescent="0.35">
      <c r="I7183" s="63"/>
      <c r="J7183" s="63"/>
    </row>
    <row r="7184" spans="9:10" x14ac:dyDescent="0.35">
      <c r="I7184" s="63"/>
      <c r="J7184" s="63"/>
    </row>
    <row r="7185" spans="9:10" x14ac:dyDescent="0.35">
      <c r="I7185" s="63"/>
      <c r="J7185" s="63"/>
    </row>
    <row r="7186" spans="9:10" x14ac:dyDescent="0.35">
      <c r="I7186" s="63"/>
      <c r="J7186" s="63"/>
    </row>
    <row r="7187" spans="9:10" x14ac:dyDescent="0.35">
      <c r="I7187" s="63"/>
      <c r="J7187" s="63"/>
    </row>
    <row r="7188" spans="9:10" x14ac:dyDescent="0.35">
      <c r="I7188" s="63"/>
      <c r="J7188" s="63"/>
    </row>
    <row r="7189" spans="9:10" x14ac:dyDescent="0.35">
      <c r="I7189" s="63"/>
      <c r="J7189" s="63"/>
    </row>
    <row r="7190" spans="9:10" x14ac:dyDescent="0.35">
      <c r="I7190" s="63"/>
      <c r="J7190" s="63"/>
    </row>
    <row r="7191" spans="9:10" x14ac:dyDescent="0.35">
      <c r="I7191" s="63"/>
      <c r="J7191" s="63"/>
    </row>
    <row r="7192" spans="9:10" x14ac:dyDescent="0.35">
      <c r="I7192" s="63"/>
      <c r="J7192" s="63"/>
    </row>
    <row r="7193" spans="9:10" x14ac:dyDescent="0.35">
      <c r="I7193" s="63"/>
      <c r="J7193" s="63"/>
    </row>
    <row r="7194" spans="9:10" x14ac:dyDescent="0.35">
      <c r="I7194" s="63"/>
      <c r="J7194" s="63"/>
    </row>
    <row r="7195" spans="9:10" x14ac:dyDescent="0.35">
      <c r="I7195" s="63"/>
      <c r="J7195" s="63"/>
    </row>
    <row r="7196" spans="9:10" x14ac:dyDescent="0.35">
      <c r="I7196" s="63"/>
      <c r="J7196" s="63"/>
    </row>
    <row r="7197" spans="9:10" x14ac:dyDescent="0.35">
      <c r="I7197" s="63"/>
      <c r="J7197" s="63"/>
    </row>
    <row r="7198" spans="9:10" x14ac:dyDescent="0.35">
      <c r="I7198" s="63"/>
      <c r="J7198" s="63"/>
    </row>
    <row r="7199" spans="9:10" x14ac:dyDescent="0.35">
      <c r="I7199" s="63"/>
      <c r="J7199" s="63"/>
    </row>
    <row r="7200" spans="9:10" x14ac:dyDescent="0.35">
      <c r="I7200" s="63"/>
      <c r="J7200" s="63"/>
    </row>
    <row r="7201" spans="9:10" x14ac:dyDescent="0.35">
      <c r="I7201" s="63"/>
      <c r="J7201" s="63"/>
    </row>
    <row r="7202" spans="9:10" x14ac:dyDescent="0.35">
      <c r="I7202" s="63"/>
      <c r="J7202" s="63"/>
    </row>
    <row r="7203" spans="9:10" x14ac:dyDescent="0.35">
      <c r="I7203" s="63"/>
      <c r="J7203" s="63"/>
    </row>
    <row r="7204" spans="9:10" x14ac:dyDescent="0.35">
      <c r="I7204" s="63"/>
      <c r="J7204" s="63"/>
    </row>
    <row r="7205" spans="9:10" x14ac:dyDescent="0.35">
      <c r="I7205" s="63"/>
      <c r="J7205" s="63"/>
    </row>
    <row r="7206" spans="9:10" x14ac:dyDescent="0.35">
      <c r="I7206" s="63"/>
      <c r="J7206" s="63"/>
    </row>
    <row r="7207" spans="9:10" x14ac:dyDescent="0.35">
      <c r="I7207" s="63"/>
      <c r="J7207" s="63"/>
    </row>
    <row r="7208" spans="9:10" x14ac:dyDescent="0.35">
      <c r="I7208" s="63"/>
      <c r="J7208" s="63"/>
    </row>
    <row r="7209" spans="9:10" x14ac:dyDescent="0.35">
      <c r="I7209" s="63"/>
      <c r="J7209" s="63"/>
    </row>
    <row r="7210" spans="9:10" x14ac:dyDescent="0.35">
      <c r="I7210" s="63"/>
      <c r="J7210" s="63"/>
    </row>
    <row r="7211" spans="9:10" x14ac:dyDescent="0.35">
      <c r="I7211" s="63"/>
      <c r="J7211" s="63"/>
    </row>
    <row r="7212" spans="9:10" x14ac:dyDescent="0.35">
      <c r="I7212" s="63"/>
      <c r="J7212" s="63"/>
    </row>
    <row r="7213" spans="9:10" x14ac:dyDescent="0.35">
      <c r="I7213" s="63"/>
      <c r="J7213" s="63"/>
    </row>
    <row r="7214" spans="9:10" x14ac:dyDescent="0.35">
      <c r="I7214" s="63"/>
      <c r="J7214" s="63"/>
    </row>
    <row r="7215" spans="9:10" x14ac:dyDescent="0.35">
      <c r="I7215" s="63"/>
      <c r="J7215" s="63"/>
    </row>
    <row r="7216" spans="9:10" x14ac:dyDescent="0.35">
      <c r="I7216" s="63"/>
      <c r="J7216" s="63"/>
    </row>
    <row r="7217" spans="9:10" x14ac:dyDescent="0.35">
      <c r="I7217" s="63"/>
      <c r="J7217" s="63"/>
    </row>
    <row r="7218" spans="9:10" x14ac:dyDescent="0.35">
      <c r="I7218" s="63"/>
      <c r="J7218" s="63"/>
    </row>
    <row r="7219" spans="9:10" x14ac:dyDescent="0.35">
      <c r="I7219" s="63"/>
      <c r="J7219" s="63"/>
    </row>
    <row r="7220" spans="9:10" x14ac:dyDescent="0.35">
      <c r="I7220" s="63"/>
      <c r="J7220" s="63"/>
    </row>
    <row r="7221" spans="9:10" x14ac:dyDescent="0.35">
      <c r="I7221" s="63"/>
      <c r="J7221" s="63"/>
    </row>
    <row r="7222" spans="9:10" x14ac:dyDescent="0.35">
      <c r="I7222" s="63"/>
      <c r="J7222" s="63"/>
    </row>
    <row r="7223" spans="9:10" x14ac:dyDescent="0.35">
      <c r="I7223" s="63"/>
      <c r="J7223" s="63"/>
    </row>
    <row r="7224" spans="9:10" x14ac:dyDescent="0.35">
      <c r="I7224" s="63"/>
      <c r="J7224" s="63"/>
    </row>
    <row r="7225" spans="9:10" x14ac:dyDescent="0.35">
      <c r="I7225" s="63"/>
      <c r="J7225" s="63"/>
    </row>
    <row r="7226" spans="9:10" x14ac:dyDescent="0.35">
      <c r="I7226" s="63"/>
      <c r="J7226" s="63"/>
    </row>
    <row r="7227" spans="9:10" x14ac:dyDescent="0.35">
      <c r="I7227" s="63"/>
      <c r="J7227" s="63"/>
    </row>
    <row r="7228" spans="9:10" x14ac:dyDescent="0.35">
      <c r="I7228" s="63"/>
      <c r="J7228" s="63"/>
    </row>
    <row r="7229" spans="9:10" x14ac:dyDescent="0.35">
      <c r="I7229" s="63"/>
      <c r="J7229" s="63"/>
    </row>
    <row r="7230" spans="9:10" x14ac:dyDescent="0.35">
      <c r="I7230" s="63"/>
      <c r="J7230" s="63"/>
    </row>
    <row r="7231" spans="9:10" x14ac:dyDescent="0.35">
      <c r="I7231" s="63"/>
      <c r="J7231" s="63"/>
    </row>
    <row r="7232" spans="9:10" x14ac:dyDescent="0.35">
      <c r="I7232" s="63"/>
      <c r="J7232" s="63"/>
    </row>
    <row r="7233" spans="9:10" x14ac:dyDescent="0.35">
      <c r="I7233" s="63"/>
      <c r="J7233" s="63"/>
    </row>
    <row r="7234" spans="9:10" x14ac:dyDescent="0.35">
      <c r="I7234" s="63"/>
      <c r="J7234" s="63"/>
    </row>
    <row r="7235" spans="9:10" x14ac:dyDescent="0.35">
      <c r="I7235" s="63"/>
      <c r="J7235" s="63"/>
    </row>
    <row r="7236" spans="9:10" x14ac:dyDescent="0.35">
      <c r="I7236" s="63"/>
      <c r="J7236" s="63"/>
    </row>
    <row r="7237" spans="9:10" x14ac:dyDescent="0.35">
      <c r="I7237" s="63"/>
      <c r="J7237" s="63"/>
    </row>
    <row r="7238" spans="9:10" x14ac:dyDescent="0.35">
      <c r="I7238" s="63"/>
      <c r="J7238" s="63"/>
    </row>
    <row r="7239" spans="9:10" x14ac:dyDescent="0.35">
      <c r="I7239" s="63"/>
      <c r="J7239" s="63"/>
    </row>
    <row r="7240" spans="9:10" x14ac:dyDescent="0.35">
      <c r="I7240" s="63"/>
      <c r="J7240" s="63"/>
    </row>
    <row r="7241" spans="9:10" x14ac:dyDescent="0.35">
      <c r="I7241" s="63"/>
      <c r="J7241" s="63"/>
    </row>
    <row r="7242" spans="9:10" x14ac:dyDescent="0.35">
      <c r="I7242" s="63"/>
      <c r="J7242" s="63"/>
    </row>
    <row r="7243" spans="9:10" x14ac:dyDescent="0.35">
      <c r="I7243" s="63"/>
      <c r="J7243" s="63"/>
    </row>
    <row r="7244" spans="9:10" x14ac:dyDescent="0.35">
      <c r="I7244" s="63"/>
      <c r="J7244" s="63"/>
    </row>
    <row r="7245" spans="9:10" x14ac:dyDescent="0.35">
      <c r="I7245" s="63"/>
      <c r="J7245" s="63"/>
    </row>
    <row r="7246" spans="9:10" x14ac:dyDescent="0.35">
      <c r="I7246" s="63"/>
      <c r="J7246" s="63"/>
    </row>
    <row r="7247" spans="9:10" x14ac:dyDescent="0.35">
      <c r="I7247" s="63"/>
      <c r="J7247" s="63"/>
    </row>
    <row r="7248" spans="9:10" x14ac:dyDescent="0.35">
      <c r="I7248" s="63"/>
      <c r="J7248" s="63"/>
    </row>
    <row r="7249" spans="9:10" x14ac:dyDescent="0.35">
      <c r="I7249" s="63"/>
      <c r="J7249" s="63"/>
    </row>
    <row r="7250" spans="9:10" x14ac:dyDescent="0.35">
      <c r="I7250" s="63"/>
      <c r="J7250" s="63"/>
    </row>
    <row r="7251" spans="9:10" x14ac:dyDescent="0.35">
      <c r="I7251" s="63"/>
      <c r="J7251" s="63"/>
    </row>
    <row r="7252" spans="9:10" x14ac:dyDescent="0.35">
      <c r="I7252" s="63"/>
      <c r="J7252" s="63"/>
    </row>
    <row r="7253" spans="9:10" x14ac:dyDescent="0.35">
      <c r="I7253" s="63"/>
      <c r="J7253" s="63"/>
    </row>
    <row r="7254" spans="9:10" x14ac:dyDescent="0.35">
      <c r="I7254" s="63"/>
      <c r="J7254" s="63"/>
    </row>
    <row r="7255" spans="9:10" x14ac:dyDescent="0.35">
      <c r="I7255" s="63"/>
      <c r="J7255" s="63"/>
    </row>
    <row r="7256" spans="9:10" x14ac:dyDescent="0.35">
      <c r="I7256" s="63"/>
      <c r="J7256" s="63"/>
    </row>
    <row r="7257" spans="9:10" x14ac:dyDescent="0.35">
      <c r="I7257" s="63"/>
      <c r="J7257" s="63"/>
    </row>
    <row r="7258" spans="9:10" x14ac:dyDescent="0.35">
      <c r="I7258" s="63"/>
      <c r="J7258" s="63"/>
    </row>
    <row r="7259" spans="9:10" x14ac:dyDescent="0.35">
      <c r="I7259" s="63"/>
      <c r="J7259" s="63"/>
    </row>
    <row r="7260" spans="9:10" x14ac:dyDescent="0.35">
      <c r="I7260" s="63"/>
      <c r="J7260" s="63"/>
    </row>
    <row r="7261" spans="9:10" x14ac:dyDescent="0.35">
      <c r="I7261" s="63"/>
      <c r="J7261" s="63"/>
    </row>
    <row r="7262" spans="9:10" x14ac:dyDescent="0.35">
      <c r="I7262" s="63"/>
      <c r="J7262" s="63"/>
    </row>
    <row r="7263" spans="9:10" x14ac:dyDescent="0.35">
      <c r="I7263" s="63"/>
      <c r="J7263" s="63"/>
    </row>
    <row r="7264" spans="9:10" x14ac:dyDescent="0.35">
      <c r="I7264" s="63"/>
      <c r="J7264" s="63"/>
    </row>
    <row r="7265" spans="9:10" x14ac:dyDescent="0.35">
      <c r="I7265" s="63"/>
      <c r="J7265" s="63"/>
    </row>
    <row r="7266" spans="9:10" x14ac:dyDescent="0.35">
      <c r="I7266" s="63"/>
      <c r="J7266" s="63"/>
    </row>
    <row r="7267" spans="9:10" x14ac:dyDescent="0.35">
      <c r="I7267" s="63"/>
      <c r="J7267" s="63"/>
    </row>
    <row r="7268" spans="9:10" x14ac:dyDescent="0.35">
      <c r="I7268" s="63"/>
      <c r="J7268" s="63"/>
    </row>
    <row r="7269" spans="9:10" x14ac:dyDescent="0.35">
      <c r="I7269" s="63"/>
      <c r="J7269" s="63"/>
    </row>
    <row r="7270" spans="9:10" x14ac:dyDescent="0.35">
      <c r="I7270" s="63"/>
      <c r="J7270" s="63"/>
    </row>
    <row r="7271" spans="9:10" x14ac:dyDescent="0.35">
      <c r="I7271" s="63"/>
      <c r="J7271" s="63"/>
    </row>
    <row r="7272" spans="9:10" x14ac:dyDescent="0.35">
      <c r="I7272" s="63"/>
      <c r="J7272" s="63"/>
    </row>
    <row r="7273" spans="9:10" x14ac:dyDescent="0.35">
      <c r="I7273" s="63"/>
      <c r="J7273" s="63"/>
    </row>
    <row r="7274" spans="9:10" x14ac:dyDescent="0.35">
      <c r="I7274" s="63"/>
      <c r="J7274" s="63"/>
    </row>
    <row r="7275" spans="9:10" x14ac:dyDescent="0.35">
      <c r="I7275" s="63"/>
      <c r="J7275" s="63"/>
    </row>
    <row r="7276" spans="9:10" x14ac:dyDescent="0.35">
      <c r="I7276" s="63"/>
      <c r="J7276" s="63"/>
    </row>
    <row r="7277" spans="9:10" x14ac:dyDescent="0.35">
      <c r="I7277" s="63"/>
      <c r="J7277" s="63"/>
    </row>
    <row r="7278" spans="9:10" x14ac:dyDescent="0.35">
      <c r="I7278" s="63"/>
      <c r="J7278" s="63"/>
    </row>
    <row r="7279" spans="9:10" x14ac:dyDescent="0.35">
      <c r="I7279" s="63"/>
      <c r="J7279" s="63"/>
    </row>
    <row r="7280" spans="9:10" x14ac:dyDescent="0.35">
      <c r="I7280" s="63"/>
      <c r="J7280" s="63"/>
    </row>
    <row r="7281" spans="9:10" x14ac:dyDescent="0.35">
      <c r="I7281" s="63"/>
      <c r="J7281" s="63"/>
    </row>
    <row r="7282" spans="9:10" x14ac:dyDescent="0.35">
      <c r="I7282" s="63"/>
      <c r="J7282" s="63"/>
    </row>
    <row r="7283" spans="9:10" x14ac:dyDescent="0.35">
      <c r="I7283" s="63"/>
      <c r="J7283" s="63"/>
    </row>
    <row r="7284" spans="9:10" x14ac:dyDescent="0.35">
      <c r="I7284" s="63"/>
      <c r="J7284" s="63"/>
    </row>
    <row r="7285" spans="9:10" x14ac:dyDescent="0.35">
      <c r="I7285" s="63"/>
      <c r="J7285" s="63"/>
    </row>
    <row r="7286" spans="9:10" x14ac:dyDescent="0.35">
      <c r="I7286" s="63"/>
      <c r="J7286" s="63"/>
    </row>
    <row r="7287" spans="9:10" x14ac:dyDescent="0.35">
      <c r="I7287" s="63"/>
      <c r="J7287" s="63"/>
    </row>
    <row r="7288" spans="9:10" x14ac:dyDescent="0.35">
      <c r="I7288" s="63"/>
      <c r="J7288" s="63"/>
    </row>
    <row r="7289" spans="9:10" x14ac:dyDescent="0.35">
      <c r="I7289" s="63"/>
      <c r="J7289" s="63"/>
    </row>
    <row r="7290" spans="9:10" x14ac:dyDescent="0.35">
      <c r="I7290" s="63"/>
      <c r="J7290" s="63"/>
    </row>
    <row r="7291" spans="9:10" x14ac:dyDescent="0.35">
      <c r="I7291" s="63"/>
      <c r="J7291" s="63"/>
    </row>
    <row r="7292" spans="9:10" x14ac:dyDescent="0.35">
      <c r="I7292" s="63"/>
      <c r="J7292" s="63"/>
    </row>
    <row r="7293" spans="9:10" x14ac:dyDescent="0.35">
      <c r="I7293" s="63"/>
      <c r="J7293" s="63"/>
    </row>
    <row r="7294" spans="9:10" x14ac:dyDescent="0.35">
      <c r="I7294" s="63"/>
      <c r="J7294" s="63"/>
    </row>
    <row r="7295" spans="9:10" x14ac:dyDescent="0.35">
      <c r="I7295" s="63"/>
      <c r="J7295" s="63"/>
    </row>
    <row r="7296" spans="9:10" x14ac:dyDescent="0.35">
      <c r="I7296" s="63"/>
      <c r="J7296" s="63"/>
    </row>
    <row r="7297" spans="9:10" x14ac:dyDescent="0.35">
      <c r="I7297" s="63"/>
      <c r="J7297" s="63"/>
    </row>
    <row r="7298" spans="9:10" x14ac:dyDescent="0.35">
      <c r="I7298" s="63"/>
      <c r="J7298" s="63"/>
    </row>
    <row r="7299" spans="9:10" x14ac:dyDescent="0.35">
      <c r="I7299" s="63"/>
      <c r="J7299" s="63"/>
    </row>
    <row r="7300" spans="9:10" x14ac:dyDescent="0.35">
      <c r="I7300" s="63"/>
      <c r="J7300" s="63"/>
    </row>
    <row r="7301" spans="9:10" x14ac:dyDescent="0.35">
      <c r="I7301" s="63"/>
      <c r="J7301" s="63"/>
    </row>
    <row r="7302" spans="9:10" x14ac:dyDescent="0.35">
      <c r="I7302" s="63"/>
      <c r="J7302" s="63"/>
    </row>
    <row r="7303" spans="9:10" x14ac:dyDescent="0.35">
      <c r="I7303" s="63"/>
      <c r="J7303" s="63"/>
    </row>
    <row r="7304" spans="9:10" x14ac:dyDescent="0.35">
      <c r="I7304" s="63"/>
      <c r="J7304" s="63"/>
    </row>
    <row r="7305" spans="9:10" x14ac:dyDescent="0.35">
      <c r="I7305" s="63"/>
      <c r="J7305" s="63"/>
    </row>
    <row r="7306" spans="9:10" x14ac:dyDescent="0.35">
      <c r="I7306" s="63"/>
      <c r="J7306" s="63"/>
    </row>
    <row r="7307" spans="9:10" x14ac:dyDescent="0.35">
      <c r="I7307" s="63"/>
      <c r="J7307" s="63"/>
    </row>
    <row r="7308" spans="9:10" x14ac:dyDescent="0.35">
      <c r="I7308" s="63"/>
      <c r="J7308" s="63"/>
    </row>
    <row r="7309" spans="9:10" x14ac:dyDescent="0.35">
      <c r="I7309" s="63"/>
      <c r="J7309" s="63"/>
    </row>
    <row r="7310" spans="9:10" x14ac:dyDescent="0.35">
      <c r="I7310" s="63"/>
      <c r="J7310" s="63"/>
    </row>
    <row r="7311" spans="9:10" x14ac:dyDescent="0.35">
      <c r="I7311" s="63"/>
      <c r="J7311" s="63"/>
    </row>
    <row r="7312" spans="9:10" x14ac:dyDescent="0.35">
      <c r="I7312" s="63"/>
      <c r="J7312" s="63"/>
    </row>
    <row r="7313" spans="9:10" x14ac:dyDescent="0.35">
      <c r="I7313" s="63"/>
      <c r="J7313" s="63"/>
    </row>
    <row r="7314" spans="9:10" x14ac:dyDescent="0.35">
      <c r="I7314" s="63"/>
      <c r="J7314" s="63"/>
    </row>
    <row r="7315" spans="9:10" x14ac:dyDescent="0.35">
      <c r="I7315" s="63"/>
      <c r="J7315" s="63"/>
    </row>
    <row r="7316" spans="9:10" x14ac:dyDescent="0.35">
      <c r="I7316" s="63"/>
      <c r="J7316" s="63"/>
    </row>
    <row r="7317" spans="9:10" x14ac:dyDescent="0.35">
      <c r="I7317" s="63"/>
      <c r="J7317" s="63"/>
    </row>
    <row r="7318" spans="9:10" x14ac:dyDescent="0.35">
      <c r="I7318" s="63"/>
      <c r="J7318" s="63"/>
    </row>
    <row r="7319" spans="9:10" x14ac:dyDescent="0.35">
      <c r="I7319" s="63"/>
      <c r="J7319" s="63"/>
    </row>
    <row r="7320" spans="9:10" x14ac:dyDescent="0.35">
      <c r="I7320" s="63"/>
      <c r="J7320" s="63"/>
    </row>
    <row r="7321" spans="9:10" x14ac:dyDescent="0.35">
      <c r="I7321" s="63"/>
      <c r="J7321" s="63"/>
    </row>
    <row r="7322" spans="9:10" x14ac:dyDescent="0.35">
      <c r="I7322" s="63"/>
      <c r="J7322" s="63"/>
    </row>
    <row r="7323" spans="9:10" x14ac:dyDescent="0.35">
      <c r="I7323" s="63"/>
      <c r="J7323" s="63"/>
    </row>
    <row r="7324" spans="9:10" x14ac:dyDescent="0.35">
      <c r="I7324" s="63"/>
      <c r="J7324" s="63"/>
    </row>
    <row r="7325" spans="9:10" x14ac:dyDescent="0.35">
      <c r="I7325" s="63"/>
      <c r="J7325" s="63"/>
    </row>
    <row r="7326" spans="9:10" x14ac:dyDescent="0.35">
      <c r="I7326" s="63"/>
      <c r="J7326" s="63"/>
    </row>
    <row r="7327" spans="9:10" x14ac:dyDescent="0.35">
      <c r="I7327" s="63"/>
      <c r="J7327" s="63"/>
    </row>
    <row r="7328" spans="9:10" x14ac:dyDescent="0.35">
      <c r="I7328" s="63"/>
      <c r="J7328" s="63"/>
    </row>
    <row r="7329" spans="9:10" x14ac:dyDescent="0.35">
      <c r="I7329" s="63"/>
      <c r="J7329" s="63"/>
    </row>
    <row r="7330" spans="9:10" x14ac:dyDescent="0.35">
      <c r="I7330" s="63"/>
      <c r="J7330" s="63"/>
    </row>
    <row r="7331" spans="9:10" x14ac:dyDescent="0.35">
      <c r="I7331" s="63"/>
      <c r="J7331" s="63"/>
    </row>
    <row r="7332" spans="9:10" x14ac:dyDescent="0.35">
      <c r="I7332" s="63"/>
      <c r="J7332" s="63"/>
    </row>
    <row r="7333" spans="9:10" x14ac:dyDescent="0.35">
      <c r="I7333" s="63"/>
      <c r="J7333" s="63"/>
    </row>
    <row r="7334" spans="9:10" x14ac:dyDescent="0.35">
      <c r="I7334" s="63"/>
      <c r="J7334" s="63"/>
    </row>
    <row r="7335" spans="9:10" x14ac:dyDescent="0.35">
      <c r="I7335" s="63"/>
      <c r="J7335" s="63"/>
    </row>
    <row r="7336" spans="9:10" x14ac:dyDescent="0.35">
      <c r="I7336" s="63"/>
      <c r="J7336" s="63"/>
    </row>
    <row r="7337" spans="9:10" x14ac:dyDescent="0.35">
      <c r="I7337" s="63"/>
      <c r="J7337" s="63"/>
    </row>
    <row r="7338" spans="9:10" x14ac:dyDescent="0.35">
      <c r="I7338" s="63"/>
      <c r="J7338" s="63"/>
    </row>
    <row r="7339" spans="9:10" x14ac:dyDescent="0.35">
      <c r="I7339" s="63"/>
      <c r="J7339" s="63"/>
    </row>
    <row r="7340" spans="9:10" x14ac:dyDescent="0.35">
      <c r="I7340" s="63"/>
      <c r="J7340" s="63"/>
    </row>
    <row r="7341" spans="9:10" x14ac:dyDescent="0.35">
      <c r="I7341" s="63"/>
      <c r="J7341" s="63"/>
    </row>
    <row r="7342" spans="9:10" x14ac:dyDescent="0.35">
      <c r="I7342" s="63"/>
      <c r="J7342" s="63"/>
    </row>
    <row r="7343" spans="9:10" x14ac:dyDescent="0.35">
      <c r="I7343" s="63"/>
      <c r="J7343" s="63"/>
    </row>
    <row r="7344" spans="9:10" x14ac:dyDescent="0.35">
      <c r="I7344" s="63"/>
      <c r="J7344" s="63"/>
    </row>
    <row r="7345" spans="9:10" x14ac:dyDescent="0.35">
      <c r="I7345" s="63"/>
      <c r="J7345" s="63"/>
    </row>
    <row r="7346" spans="9:10" x14ac:dyDescent="0.35">
      <c r="I7346" s="63"/>
      <c r="J7346" s="63"/>
    </row>
    <row r="7347" spans="9:10" x14ac:dyDescent="0.35">
      <c r="I7347" s="63"/>
      <c r="J7347" s="63"/>
    </row>
    <row r="7348" spans="9:10" x14ac:dyDescent="0.35">
      <c r="I7348" s="63"/>
      <c r="J7348" s="63"/>
    </row>
    <row r="7349" spans="9:10" x14ac:dyDescent="0.35">
      <c r="I7349" s="63"/>
      <c r="J7349" s="63"/>
    </row>
    <row r="7350" spans="9:10" x14ac:dyDescent="0.35">
      <c r="I7350" s="63"/>
      <c r="J7350" s="63"/>
    </row>
    <row r="7351" spans="9:10" x14ac:dyDescent="0.35">
      <c r="I7351" s="63"/>
      <c r="J7351" s="63"/>
    </row>
    <row r="7352" spans="9:10" x14ac:dyDescent="0.35">
      <c r="I7352" s="63"/>
      <c r="J7352" s="63"/>
    </row>
    <row r="7353" spans="9:10" x14ac:dyDescent="0.35">
      <c r="I7353" s="63"/>
      <c r="J7353" s="63"/>
    </row>
    <row r="7354" spans="9:10" x14ac:dyDescent="0.35">
      <c r="I7354" s="63"/>
      <c r="J7354" s="63"/>
    </row>
    <row r="7355" spans="9:10" x14ac:dyDescent="0.35">
      <c r="I7355" s="63"/>
      <c r="J7355" s="63"/>
    </row>
    <row r="7356" spans="9:10" x14ac:dyDescent="0.35">
      <c r="I7356" s="63"/>
      <c r="J7356" s="63"/>
    </row>
    <row r="7357" spans="9:10" x14ac:dyDescent="0.35">
      <c r="I7357" s="63"/>
      <c r="J7357" s="63"/>
    </row>
    <row r="7358" spans="9:10" x14ac:dyDescent="0.35">
      <c r="I7358" s="63"/>
      <c r="J7358" s="63"/>
    </row>
    <row r="7359" spans="9:10" x14ac:dyDescent="0.35">
      <c r="I7359" s="63"/>
      <c r="J7359" s="63"/>
    </row>
    <row r="7360" spans="9:10" x14ac:dyDescent="0.35">
      <c r="I7360" s="63"/>
      <c r="J7360" s="63"/>
    </row>
    <row r="7361" spans="9:10" x14ac:dyDescent="0.35">
      <c r="I7361" s="63"/>
      <c r="J7361" s="63"/>
    </row>
    <row r="7362" spans="9:10" x14ac:dyDescent="0.35">
      <c r="I7362" s="63"/>
      <c r="J7362" s="63"/>
    </row>
    <row r="7363" spans="9:10" x14ac:dyDescent="0.35">
      <c r="I7363" s="63"/>
      <c r="J7363" s="63"/>
    </row>
    <row r="7364" spans="9:10" x14ac:dyDescent="0.35">
      <c r="I7364" s="63"/>
      <c r="J7364" s="63"/>
    </row>
    <row r="7365" spans="9:10" x14ac:dyDescent="0.35">
      <c r="I7365" s="63"/>
      <c r="J7365" s="63"/>
    </row>
    <row r="7366" spans="9:10" x14ac:dyDescent="0.35">
      <c r="I7366" s="63"/>
      <c r="J7366" s="63"/>
    </row>
    <row r="7367" spans="9:10" x14ac:dyDescent="0.35">
      <c r="I7367" s="63"/>
      <c r="J7367" s="63"/>
    </row>
    <row r="7368" spans="9:10" x14ac:dyDescent="0.35">
      <c r="I7368" s="63"/>
      <c r="J7368" s="63"/>
    </row>
    <row r="7369" spans="9:10" x14ac:dyDescent="0.35">
      <c r="I7369" s="63"/>
      <c r="J7369" s="63"/>
    </row>
    <row r="7370" spans="9:10" x14ac:dyDescent="0.35">
      <c r="I7370" s="63"/>
      <c r="J7370" s="63"/>
    </row>
    <row r="7371" spans="9:10" x14ac:dyDescent="0.35">
      <c r="I7371" s="63"/>
      <c r="J7371" s="63"/>
    </row>
    <row r="7372" spans="9:10" x14ac:dyDescent="0.35">
      <c r="I7372" s="63"/>
      <c r="J7372" s="63"/>
    </row>
    <row r="7373" spans="9:10" x14ac:dyDescent="0.35">
      <c r="I7373" s="63"/>
      <c r="J7373" s="63"/>
    </row>
    <row r="7374" spans="9:10" x14ac:dyDescent="0.35">
      <c r="I7374" s="63"/>
      <c r="J7374" s="63"/>
    </row>
    <row r="7375" spans="9:10" x14ac:dyDescent="0.35">
      <c r="I7375" s="63"/>
      <c r="J7375" s="63"/>
    </row>
    <row r="7376" spans="9:10" x14ac:dyDescent="0.35">
      <c r="I7376" s="63"/>
      <c r="J7376" s="63"/>
    </row>
    <row r="7377" spans="9:10" x14ac:dyDescent="0.35">
      <c r="I7377" s="63"/>
      <c r="J7377" s="63"/>
    </row>
    <row r="7378" spans="9:10" x14ac:dyDescent="0.35">
      <c r="I7378" s="63"/>
      <c r="J7378" s="63"/>
    </row>
    <row r="7379" spans="9:10" x14ac:dyDescent="0.35">
      <c r="I7379" s="63"/>
      <c r="J7379" s="63"/>
    </row>
    <row r="7380" spans="9:10" x14ac:dyDescent="0.35">
      <c r="I7380" s="63"/>
      <c r="J7380" s="63"/>
    </row>
    <row r="7381" spans="9:10" x14ac:dyDescent="0.35">
      <c r="I7381" s="63"/>
      <c r="J7381" s="63"/>
    </row>
    <row r="7382" spans="9:10" x14ac:dyDescent="0.35">
      <c r="I7382" s="63"/>
      <c r="J7382" s="63"/>
    </row>
    <row r="7383" spans="9:10" x14ac:dyDescent="0.35">
      <c r="I7383" s="63"/>
      <c r="J7383" s="63"/>
    </row>
    <row r="7384" spans="9:10" x14ac:dyDescent="0.35">
      <c r="I7384" s="63"/>
      <c r="J7384" s="63"/>
    </row>
    <row r="7385" spans="9:10" x14ac:dyDescent="0.35">
      <c r="I7385" s="63"/>
      <c r="J7385" s="63"/>
    </row>
    <row r="7386" spans="9:10" x14ac:dyDescent="0.35">
      <c r="I7386" s="63"/>
      <c r="J7386" s="63"/>
    </row>
    <row r="7387" spans="9:10" x14ac:dyDescent="0.35">
      <c r="I7387" s="63"/>
      <c r="J7387" s="63"/>
    </row>
    <row r="7388" spans="9:10" x14ac:dyDescent="0.35">
      <c r="I7388" s="63"/>
      <c r="J7388" s="63"/>
    </row>
    <row r="7389" spans="9:10" x14ac:dyDescent="0.35">
      <c r="I7389" s="63"/>
      <c r="J7389" s="63"/>
    </row>
    <row r="7390" spans="9:10" x14ac:dyDescent="0.35">
      <c r="I7390" s="63"/>
      <c r="J7390" s="63"/>
    </row>
    <row r="7391" spans="9:10" x14ac:dyDescent="0.35">
      <c r="I7391" s="63"/>
      <c r="J7391" s="63"/>
    </row>
    <row r="7392" spans="9:10" x14ac:dyDescent="0.35">
      <c r="I7392" s="63"/>
      <c r="J7392" s="63"/>
    </row>
    <row r="7393" spans="9:10" x14ac:dyDescent="0.35">
      <c r="I7393" s="63"/>
      <c r="J7393" s="63"/>
    </row>
    <row r="7394" spans="9:10" x14ac:dyDescent="0.35">
      <c r="I7394" s="63"/>
      <c r="J7394" s="63"/>
    </row>
    <row r="7395" spans="9:10" x14ac:dyDescent="0.35">
      <c r="I7395" s="63"/>
      <c r="J7395" s="63"/>
    </row>
    <row r="7396" spans="9:10" x14ac:dyDescent="0.35">
      <c r="I7396" s="63"/>
      <c r="J7396" s="63"/>
    </row>
    <row r="7397" spans="9:10" x14ac:dyDescent="0.35">
      <c r="I7397" s="63"/>
      <c r="J7397" s="63"/>
    </row>
    <row r="7398" spans="9:10" x14ac:dyDescent="0.35">
      <c r="I7398" s="63"/>
      <c r="J7398" s="63"/>
    </row>
    <row r="7399" spans="9:10" x14ac:dyDescent="0.35">
      <c r="I7399" s="63"/>
      <c r="J7399" s="63"/>
    </row>
    <row r="7400" spans="9:10" x14ac:dyDescent="0.35">
      <c r="I7400" s="63"/>
      <c r="J7400" s="63"/>
    </row>
    <row r="7401" spans="9:10" x14ac:dyDescent="0.35">
      <c r="I7401" s="63"/>
      <c r="J7401" s="63"/>
    </row>
    <row r="7402" spans="9:10" x14ac:dyDescent="0.35">
      <c r="I7402" s="63"/>
      <c r="J7402" s="63"/>
    </row>
    <row r="7403" spans="9:10" x14ac:dyDescent="0.35">
      <c r="I7403" s="63"/>
      <c r="J7403" s="63"/>
    </row>
    <row r="7404" spans="9:10" x14ac:dyDescent="0.35">
      <c r="I7404" s="63"/>
      <c r="J7404" s="63"/>
    </row>
    <row r="7405" spans="9:10" x14ac:dyDescent="0.35">
      <c r="I7405" s="63"/>
      <c r="J7405" s="63"/>
    </row>
    <row r="7406" spans="9:10" x14ac:dyDescent="0.35">
      <c r="I7406" s="63"/>
      <c r="J7406" s="63"/>
    </row>
    <row r="7407" spans="9:10" x14ac:dyDescent="0.35">
      <c r="I7407" s="63"/>
      <c r="J7407" s="63"/>
    </row>
    <row r="7408" spans="9:10" x14ac:dyDescent="0.35">
      <c r="I7408" s="63"/>
      <c r="J7408" s="63"/>
    </row>
    <row r="7409" spans="9:10" x14ac:dyDescent="0.35">
      <c r="I7409" s="63"/>
      <c r="J7409" s="63"/>
    </row>
    <row r="7410" spans="9:10" x14ac:dyDescent="0.35">
      <c r="I7410" s="63"/>
      <c r="J7410" s="63"/>
    </row>
    <row r="7411" spans="9:10" x14ac:dyDescent="0.35">
      <c r="I7411" s="63"/>
      <c r="J7411" s="63"/>
    </row>
    <row r="7412" spans="9:10" x14ac:dyDescent="0.35">
      <c r="I7412" s="63"/>
      <c r="J7412" s="63"/>
    </row>
    <row r="7413" spans="9:10" x14ac:dyDescent="0.35">
      <c r="I7413" s="63"/>
      <c r="J7413" s="63"/>
    </row>
    <row r="7414" spans="9:10" x14ac:dyDescent="0.35">
      <c r="I7414" s="63"/>
      <c r="J7414" s="63"/>
    </row>
    <row r="7415" spans="9:10" x14ac:dyDescent="0.35">
      <c r="I7415" s="63"/>
      <c r="J7415" s="63"/>
    </row>
    <row r="7416" spans="9:10" x14ac:dyDescent="0.35">
      <c r="I7416" s="63"/>
      <c r="J7416" s="63"/>
    </row>
    <row r="7417" spans="9:10" x14ac:dyDescent="0.35">
      <c r="I7417" s="63"/>
      <c r="J7417" s="63"/>
    </row>
    <row r="7418" spans="9:10" x14ac:dyDescent="0.35">
      <c r="I7418" s="63"/>
      <c r="J7418" s="63"/>
    </row>
    <row r="7419" spans="9:10" x14ac:dyDescent="0.35">
      <c r="I7419" s="63"/>
      <c r="J7419" s="63"/>
    </row>
    <row r="7420" spans="9:10" x14ac:dyDescent="0.35">
      <c r="I7420" s="63"/>
      <c r="J7420" s="63"/>
    </row>
    <row r="7421" spans="9:10" x14ac:dyDescent="0.35">
      <c r="I7421" s="63"/>
      <c r="J7421" s="63"/>
    </row>
    <row r="7422" spans="9:10" x14ac:dyDescent="0.35">
      <c r="I7422" s="63"/>
      <c r="J7422" s="63"/>
    </row>
    <row r="7423" spans="9:10" x14ac:dyDescent="0.35">
      <c r="I7423" s="63"/>
      <c r="J7423" s="63"/>
    </row>
    <row r="7424" spans="9:10" x14ac:dyDescent="0.35">
      <c r="I7424" s="63"/>
      <c r="J7424" s="63"/>
    </row>
    <row r="7425" spans="9:10" x14ac:dyDescent="0.35">
      <c r="I7425" s="63"/>
      <c r="J7425" s="63"/>
    </row>
    <row r="7426" spans="9:10" x14ac:dyDescent="0.35">
      <c r="I7426" s="63"/>
      <c r="J7426" s="63"/>
    </row>
    <row r="7427" spans="9:10" x14ac:dyDescent="0.35">
      <c r="I7427" s="63"/>
      <c r="J7427" s="63"/>
    </row>
    <row r="7428" spans="9:10" x14ac:dyDescent="0.35">
      <c r="I7428" s="63"/>
      <c r="J7428" s="63"/>
    </row>
    <row r="7429" spans="9:10" x14ac:dyDescent="0.35">
      <c r="I7429" s="63"/>
      <c r="J7429" s="63"/>
    </row>
    <row r="7430" spans="9:10" x14ac:dyDescent="0.35">
      <c r="I7430" s="63"/>
      <c r="J7430" s="63"/>
    </row>
    <row r="7431" spans="9:10" x14ac:dyDescent="0.35">
      <c r="I7431" s="63"/>
      <c r="J7431" s="63"/>
    </row>
    <row r="7432" spans="9:10" x14ac:dyDescent="0.35">
      <c r="I7432" s="63"/>
      <c r="J7432" s="63"/>
    </row>
    <row r="7433" spans="9:10" x14ac:dyDescent="0.35">
      <c r="I7433" s="63"/>
      <c r="J7433" s="63"/>
    </row>
    <row r="7434" spans="9:10" x14ac:dyDescent="0.35">
      <c r="I7434" s="63"/>
      <c r="J7434" s="63"/>
    </row>
    <row r="7435" spans="9:10" x14ac:dyDescent="0.35">
      <c r="I7435" s="63"/>
      <c r="J7435" s="63"/>
    </row>
    <row r="7436" spans="9:10" x14ac:dyDescent="0.35">
      <c r="I7436" s="63"/>
      <c r="J7436" s="63"/>
    </row>
    <row r="7437" spans="9:10" x14ac:dyDescent="0.35">
      <c r="I7437" s="63"/>
      <c r="J7437" s="63"/>
    </row>
    <row r="7438" spans="9:10" x14ac:dyDescent="0.35">
      <c r="I7438" s="63"/>
      <c r="J7438" s="63"/>
    </row>
    <row r="7439" spans="9:10" x14ac:dyDescent="0.35">
      <c r="I7439" s="63"/>
      <c r="J7439" s="63"/>
    </row>
    <row r="7440" spans="9:10" x14ac:dyDescent="0.35">
      <c r="I7440" s="63"/>
      <c r="J7440" s="63"/>
    </row>
    <row r="7441" spans="9:10" x14ac:dyDescent="0.35">
      <c r="I7441" s="63"/>
      <c r="J7441" s="63"/>
    </row>
    <row r="7442" spans="9:10" x14ac:dyDescent="0.35">
      <c r="I7442" s="63"/>
      <c r="J7442" s="63"/>
    </row>
    <row r="7443" spans="9:10" x14ac:dyDescent="0.35">
      <c r="I7443" s="63"/>
      <c r="J7443" s="63"/>
    </row>
    <row r="7444" spans="9:10" x14ac:dyDescent="0.35">
      <c r="I7444" s="63"/>
      <c r="J7444" s="63"/>
    </row>
    <row r="7445" spans="9:10" x14ac:dyDescent="0.35">
      <c r="I7445" s="63"/>
      <c r="J7445" s="63"/>
    </row>
    <row r="7446" spans="9:10" x14ac:dyDescent="0.35">
      <c r="I7446" s="63"/>
      <c r="J7446" s="63"/>
    </row>
    <row r="7447" spans="9:10" x14ac:dyDescent="0.35">
      <c r="I7447" s="63"/>
      <c r="J7447" s="63"/>
    </row>
    <row r="7448" spans="9:10" x14ac:dyDescent="0.35">
      <c r="I7448" s="63"/>
      <c r="J7448" s="63"/>
    </row>
    <row r="7449" spans="9:10" x14ac:dyDescent="0.35">
      <c r="I7449" s="63"/>
      <c r="J7449" s="63"/>
    </row>
    <row r="7450" spans="9:10" x14ac:dyDescent="0.35">
      <c r="I7450" s="63"/>
      <c r="J7450" s="63"/>
    </row>
    <row r="7451" spans="9:10" x14ac:dyDescent="0.35">
      <c r="I7451" s="63"/>
      <c r="J7451" s="63"/>
    </row>
    <row r="7452" spans="9:10" x14ac:dyDescent="0.35">
      <c r="I7452" s="63"/>
      <c r="J7452" s="63"/>
    </row>
    <row r="7453" spans="9:10" x14ac:dyDescent="0.35">
      <c r="I7453" s="63"/>
      <c r="J7453" s="63"/>
    </row>
    <row r="7454" spans="9:10" x14ac:dyDescent="0.35">
      <c r="I7454" s="63"/>
      <c r="J7454" s="63"/>
    </row>
    <row r="7455" spans="9:10" x14ac:dyDescent="0.35">
      <c r="I7455" s="63"/>
      <c r="J7455" s="63"/>
    </row>
    <row r="7456" spans="9:10" x14ac:dyDescent="0.35">
      <c r="I7456" s="63"/>
      <c r="J7456" s="63"/>
    </row>
    <row r="7457" spans="9:10" x14ac:dyDescent="0.35">
      <c r="I7457" s="63"/>
      <c r="J7457" s="63"/>
    </row>
    <row r="7458" spans="9:10" x14ac:dyDescent="0.35">
      <c r="I7458" s="63"/>
      <c r="J7458" s="63"/>
    </row>
    <row r="7459" spans="9:10" x14ac:dyDescent="0.35">
      <c r="I7459" s="63"/>
      <c r="J7459" s="63"/>
    </row>
    <row r="7460" spans="9:10" x14ac:dyDescent="0.35">
      <c r="I7460" s="63"/>
      <c r="J7460" s="63"/>
    </row>
    <row r="7461" spans="9:10" x14ac:dyDescent="0.35">
      <c r="I7461" s="63"/>
      <c r="J7461" s="63"/>
    </row>
    <row r="7462" spans="9:10" x14ac:dyDescent="0.35">
      <c r="I7462" s="63"/>
      <c r="J7462" s="63"/>
    </row>
    <row r="7463" spans="9:10" x14ac:dyDescent="0.35">
      <c r="I7463" s="63"/>
      <c r="J7463" s="63"/>
    </row>
    <row r="7464" spans="9:10" x14ac:dyDescent="0.35">
      <c r="I7464" s="63"/>
      <c r="J7464" s="63"/>
    </row>
    <row r="7465" spans="9:10" x14ac:dyDescent="0.35">
      <c r="I7465" s="63"/>
      <c r="J7465" s="63"/>
    </row>
    <row r="7466" spans="9:10" x14ac:dyDescent="0.35">
      <c r="I7466" s="63"/>
      <c r="J7466" s="63"/>
    </row>
    <row r="7467" spans="9:10" x14ac:dyDescent="0.35">
      <c r="I7467" s="63"/>
      <c r="J7467" s="63"/>
    </row>
    <row r="7468" spans="9:10" x14ac:dyDescent="0.35">
      <c r="I7468" s="63"/>
      <c r="J7468" s="63"/>
    </row>
    <row r="7469" spans="9:10" x14ac:dyDescent="0.35">
      <c r="I7469" s="63"/>
      <c r="J7469" s="63"/>
    </row>
    <row r="7470" spans="9:10" x14ac:dyDescent="0.35">
      <c r="I7470" s="63"/>
      <c r="J7470" s="63"/>
    </row>
    <row r="7471" spans="9:10" x14ac:dyDescent="0.35">
      <c r="I7471" s="63"/>
      <c r="J7471" s="63"/>
    </row>
    <row r="7472" spans="9:10" x14ac:dyDescent="0.35">
      <c r="I7472" s="63"/>
      <c r="J7472" s="63"/>
    </row>
    <row r="7473" spans="9:10" x14ac:dyDescent="0.35">
      <c r="I7473" s="63"/>
      <c r="J7473" s="63"/>
    </row>
    <row r="7474" spans="9:10" x14ac:dyDescent="0.35">
      <c r="I7474" s="63"/>
      <c r="J7474" s="63"/>
    </row>
    <row r="7475" spans="9:10" x14ac:dyDescent="0.35">
      <c r="I7475" s="63"/>
      <c r="J7475" s="63"/>
    </row>
    <row r="7476" spans="9:10" x14ac:dyDescent="0.35">
      <c r="I7476" s="63"/>
      <c r="J7476" s="63"/>
    </row>
    <row r="7477" spans="9:10" x14ac:dyDescent="0.35">
      <c r="I7477" s="63"/>
      <c r="J7477" s="63"/>
    </row>
    <row r="7478" spans="9:10" x14ac:dyDescent="0.35">
      <c r="I7478" s="63"/>
      <c r="J7478" s="63"/>
    </row>
    <row r="7479" spans="9:10" x14ac:dyDescent="0.35">
      <c r="I7479" s="63"/>
      <c r="J7479" s="63"/>
    </row>
    <row r="7480" spans="9:10" x14ac:dyDescent="0.35">
      <c r="I7480" s="63"/>
      <c r="J7480" s="63"/>
    </row>
    <row r="7481" spans="9:10" x14ac:dyDescent="0.35">
      <c r="I7481" s="63"/>
      <c r="J7481" s="63"/>
    </row>
    <row r="7482" spans="9:10" x14ac:dyDescent="0.35">
      <c r="I7482" s="63"/>
      <c r="J7482" s="63"/>
    </row>
    <row r="7483" spans="9:10" x14ac:dyDescent="0.35">
      <c r="I7483" s="63"/>
      <c r="J7483" s="63"/>
    </row>
    <row r="7484" spans="9:10" x14ac:dyDescent="0.35">
      <c r="I7484" s="63"/>
      <c r="J7484" s="63"/>
    </row>
    <row r="7485" spans="9:10" x14ac:dyDescent="0.35">
      <c r="I7485" s="63"/>
      <c r="J7485" s="63"/>
    </row>
    <row r="7486" spans="9:10" x14ac:dyDescent="0.35">
      <c r="I7486" s="63"/>
      <c r="J7486" s="63"/>
    </row>
    <row r="7487" spans="9:10" x14ac:dyDescent="0.35">
      <c r="I7487" s="63"/>
      <c r="J7487" s="63"/>
    </row>
    <row r="7488" spans="9:10" x14ac:dyDescent="0.35">
      <c r="I7488" s="63"/>
      <c r="J7488" s="63"/>
    </row>
    <row r="7489" spans="9:10" x14ac:dyDescent="0.35">
      <c r="I7489" s="63"/>
      <c r="J7489" s="63"/>
    </row>
    <row r="7490" spans="9:10" x14ac:dyDescent="0.35">
      <c r="I7490" s="63"/>
      <c r="J7490" s="63"/>
    </row>
    <row r="7491" spans="9:10" x14ac:dyDescent="0.35">
      <c r="I7491" s="63"/>
      <c r="J7491" s="63"/>
    </row>
    <row r="7492" spans="9:10" x14ac:dyDescent="0.35">
      <c r="I7492" s="63"/>
      <c r="J7492" s="63"/>
    </row>
    <row r="7493" spans="9:10" x14ac:dyDescent="0.35">
      <c r="I7493" s="63"/>
      <c r="J7493" s="63"/>
    </row>
    <row r="7494" spans="9:10" x14ac:dyDescent="0.35">
      <c r="I7494" s="63"/>
      <c r="J7494" s="63"/>
    </row>
    <row r="7495" spans="9:10" x14ac:dyDescent="0.35">
      <c r="I7495" s="63"/>
      <c r="J7495" s="63"/>
    </row>
    <row r="7496" spans="9:10" x14ac:dyDescent="0.35">
      <c r="I7496" s="63"/>
      <c r="J7496" s="63"/>
    </row>
    <row r="7497" spans="9:10" x14ac:dyDescent="0.35">
      <c r="I7497" s="63"/>
      <c r="J7497" s="63"/>
    </row>
    <row r="7498" spans="9:10" x14ac:dyDescent="0.35">
      <c r="I7498" s="63"/>
      <c r="J7498" s="63"/>
    </row>
    <row r="7499" spans="9:10" x14ac:dyDescent="0.35">
      <c r="I7499" s="63"/>
      <c r="J7499" s="63"/>
    </row>
    <row r="7500" spans="9:10" x14ac:dyDescent="0.35">
      <c r="I7500" s="63"/>
      <c r="J7500" s="63"/>
    </row>
    <row r="7501" spans="9:10" x14ac:dyDescent="0.35">
      <c r="I7501" s="63"/>
      <c r="J7501" s="63"/>
    </row>
    <row r="7502" spans="9:10" x14ac:dyDescent="0.35">
      <c r="I7502" s="63"/>
      <c r="J7502" s="63"/>
    </row>
    <row r="7503" spans="9:10" x14ac:dyDescent="0.35">
      <c r="I7503" s="63"/>
      <c r="J7503" s="63"/>
    </row>
    <row r="7504" spans="9:10" x14ac:dyDescent="0.35">
      <c r="I7504" s="63"/>
      <c r="J7504" s="63"/>
    </row>
    <row r="7505" spans="9:10" x14ac:dyDescent="0.35">
      <c r="I7505" s="63"/>
      <c r="J7505" s="63"/>
    </row>
    <row r="7506" spans="9:10" x14ac:dyDescent="0.35">
      <c r="I7506" s="63"/>
      <c r="J7506" s="63"/>
    </row>
    <row r="7507" spans="9:10" x14ac:dyDescent="0.35">
      <c r="I7507" s="63"/>
      <c r="J7507" s="63"/>
    </row>
    <row r="7508" spans="9:10" x14ac:dyDescent="0.35">
      <c r="I7508" s="63"/>
      <c r="J7508" s="63"/>
    </row>
    <row r="7509" spans="9:10" x14ac:dyDescent="0.35">
      <c r="I7509" s="63"/>
      <c r="J7509" s="63"/>
    </row>
    <row r="7510" spans="9:10" x14ac:dyDescent="0.35">
      <c r="I7510" s="63"/>
      <c r="J7510" s="63"/>
    </row>
    <row r="7511" spans="9:10" x14ac:dyDescent="0.35">
      <c r="I7511" s="63"/>
      <c r="J7511" s="63"/>
    </row>
    <row r="7512" spans="9:10" x14ac:dyDescent="0.35">
      <c r="I7512" s="63"/>
      <c r="J7512" s="63"/>
    </row>
    <row r="7513" spans="9:10" x14ac:dyDescent="0.35">
      <c r="I7513" s="63"/>
      <c r="J7513" s="63"/>
    </row>
    <row r="7514" spans="9:10" x14ac:dyDescent="0.35">
      <c r="I7514" s="63"/>
      <c r="J7514" s="63"/>
    </row>
    <row r="7515" spans="9:10" x14ac:dyDescent="0.35">
      <c r="I7515" s="63"/>
      <c r="J7515" s="63"/>
    </row>
    <row r="7516" spans="9:10" x14ac:dyDescent="0.35">
      <c r="I7516" s="63"/>
      <c r="J7516" s="63"/>
    </row>
    <row r="7517" spans="9:10" x14ac:dyDescent="0.35">
      <c r="I7517" s="63"/>
      <c r="J7517" s="63"/>
    </row>
    <row r="7518" spans="9:10" x14ac:dyDescent="0.35">
      <c r="I7518" s="63"/>
      <c r="J7518" s="63"/>
    </row>
    <row r="7519" spans="9:10" x14ac:dyDescent="0.35">
      <c r="I7519" s="63"/>
      <c r="J7519" s="63"/>
    </row>
    <row r="7520" spans="9:10" x14ac:dyDescent="0.35">
      <c r="I7520" s="63"/>
      <c r="J7520" s="63"/>
    </row>
    <row r="7521" spans="9:10" x14ac:dyDescent="0.35">
      <c r="I7521" s="63"/>
      <c r="J7521" s="63"/>
    </row>
    <row r="7522" spans="9:10" x14ac:dyDescent="0.35">
      <c r="I7522" s="63"/>
      <c r="J7522" s="63"/>
    </row>
    <row r="7523" spans="9:10" x14ac:dyDescent="0.35">
      <c r="I7523" s="63"/>
      <c r="J7523" s="63"/>
    </row>
    <row r="7524" spans="9:10" x14ac:dyDescent="0.35">
      <c r="I7524" s="63"/>
      <c r="J7524" s="63"/>
    </row>
    <row r="7525" spans="9:10" x14ac:dyDescent="0.35">
      <c r="I7525" s="63"/>
      <c r="J7525" s="63"/>
    </row>
    <row r="7526" spans="9:10" x14ac:dyDescent="0.35">
      <c r="I7526" s="63"/>
      <c r="J7526" s="63"/>
    </row>
    <row r="7527" spans="9:10" x14ac:dyDescent="0.35">
      <c r="I7527" s="63"/>
      <c r="J7527" s="63"/>
    </row>
    <row r="7528" spans="9:10" x14ac:dyDescent="0.35">
      <c r="I7528" s="63"/>
      <c r="J7528" s="63"/>
    </row>
    <row r="7529" spans="9:10" x14ac:dyDescent="0.35">
      <c r="I7529" s="63"/>
      <c r="J7529" s="63"/>
    </row>
    <row r="7530" spans="9:10" x14ac:dyDescent="0.35">
      <c r="I7530" s="63"/>
      <c r="J7530" s="63"/>
    </row>
    <row r="7531" spans="9:10" x14ac:dyDescent="0.35">
      <c r="I7531" s="63"/>
      <c r="J7531" s="63"/>
    </row>
    <row r="7532" spans="9:10" x14ac:dyDescent="0.35">
      <c r="I7532" s="63"/>
      <c r="J7532" s="63"/>
    </row>
    <row r="7533" spans="9:10" x14ac:dyDescent="0.35">
      <c r="I7533" s="63"/>
      <c r="J7533" s="63"/>
    </row>
    <row r="7534" spans="9:10" x14ac:dyDescent="0.35">
      <c r="I7534" s="63"/>
      <c r="J7534" s="63"/>
    </row>
    <row r="7535" spans="9:10" x14ac:dyDescent="0.35">
      <c r="I7535" s="63"/>
      <c r="J7535" s="63"/>
    </row>
    <row r="7536" spans="9:10" x14ac:dyDescent="0.35">
      <c r="I7536" s="63"/>
      <c r="J7536" s="63"/>
    </row>
    <row r="7537" spans="9:10" x14ac:dyDescent="0.35">
      <c r="I7537" s="63"/>
      <c r="J7537" s="63"/>
    </row>
    <row r="7538" spans="9:10" x14ac:dyDescent="0.35">
      <c r="I7538" s="63"/>
      <c r="J7538" s="63"/>
    </row>
    <row r="7539" spans="9:10" x14ac:dyDescent="0.35">
      <c r="I7539" s="63"/>
      <c r="J7539" s="63"/>
    </row>
    <row r="7540" spans="9:10" x14ac:dyDescent="0.35">
      <c r="I7540" s="63"/>
      <c r="J7540" s="63"/>
    </row>
    <row r="7541" spans="9:10" x14ac:dyDescent="0.35">
      <c r="I7541" s="63"/>
      <c r="J7541" s="63"/>
    </row>
    <row r="7542" spans="9:10" x14ac:dyDescent="0.35">
      <c r="I7542" s="63"/>
      <c r="J7542" s="63"/>
    </row>
    <row r="7543" spans="9:10" x14ac:dyDescent="0.35">
      <c r="I7543" s="63"/>
      <c r="J7543" s="63"/>
    </row>
    <row r="7544" spans="9:10" x14ac:dyDescent="0.35">
      <c r="I7544" s="63"/>
      <c r="J7544" s="63"/>
    </row>
    <row r="7545" spans="9:10" x14ac:dyDescent="0.35">
      <c r="I7545" s="63"/>
      <c r="J7545" s="63"/>
    </row>
    <row r="7546" spans="9:10" x14ac:dyDescent="0.35">
      <c r="I7546" s="63"/>
      <c r="J7546" s="63"/>
    </row>
    <row r="7547" spans="9:10" x14ac:dyDescent="0.35">
      <c r="I7547" s="63"/>
      <c r="J7547" s="63"/>
    </row>
    <row r="7548" spans="9:10" x14ac:dyDescent="0.35">
      <c r="I7548" s="63"/>
      <c r="J7548" s="63"/>
    </row>
    <row r="7549" spans="9:10" x14ac:dyDescent="0.35">
      <c r="I7549" s="63"/>
      <c r="J7549" s="63"/>
    </row>
    <row r="7550" spans="9:10" x14ac:dyDescent="0.35">
      <c r="I7550" s="63"/>
      <c r="J7550" s="63"/>
    </row>
    <row r="7551" spans="9:10" x14ac:dyDescent="0.35">
      <c r="I7551" s="63"/>
      <c r="J7551" s="63"/>
    </row>
    <row r="7552" spans="9:10" x14ac:dyDescent="0.35">
      <c r="I7552" s="63"/>
      <c r="J7552" s="63"/>
    </row>
    <row r="7553" spans="9:10" x14ac:dyDescent="0.35">
      <c r="I7553" s="63"/>
      <c r="J7553" s="63"/>
    </row>
    <row r="7554" spans="9:10" x14ac:dyDescent="0.35">
      <c r="I7554" s="63"/>
      <c r="J7554" s="63"/>
    </row>
    <row r="7555" spans="9:10" x14ac:dyDescent="0.35">
      <c r="I7555" s="63"/>
      <c r="J7555" s="63"/>
    </row>
    <row r="7556" spans="9:10" x14ac:dyDescent="0.35">
      <c r="I7556" s="63"/>
      <c r="J7556" s="63"/>
    </row>
    <row r="7557" spans="9:10" x14ac:dyDescent="0.35">
      <c r="I7557" s="63"/>
      <c r="J7557" s="63"/>
    </row>
    <row r="7558" spans="9:10" x14ac:dyDescent="0.35">
      <c r="I7558" s="63"/>
      <c r="J7558" s="63"/>
    </row>
    <row r="7559" spans="9:10" x14ac:dyDescent="0.35">
      <c r="I7559" s="63"/>
      <c r="J7559" s="63"/>
    </row>
    <row r="7560" spans="9:10" x14ac:dyDescent="0.35">
      <c r="I7560" s="63"/>
      <c r="J7560" s="63"/>
    </row>
    <row r="7561" spans="9:10" x14ac:dyDescent="0.35">
      <c r="I7561" s="63"/>
      <c r="J7561" s="63"/>
    </row>
    <row r="7562" spans="9:10" x14ac:dyDescent="0.35">
      <c r="I7562" s="63"/>
      <c r="J7562" s="63"/>
    </row>
    <row r="7563" spans="9:10" x14ac:dyDescent="0.35">
      <c r="I7563" s="63"/>
      <c r="J7563" s="63"/>
    </row>
    <row r="7564" spans="9:10" x14ac:dyDescent="0.35">
      <c r="I7564" s="63"/>
      <c r="J7564" s="63"/>
    </row>
    <row r="7565" spans="9:10" x14ac:dyDescent="0.35">
      <c r="I7565" s="63"/>
      <c r="J7565" s="63"/>
    </row>
    <row r="7566" spans="9:10" x14ac:dyDescent="0.35">
      <c r="I7566" s="63"/>
      <c r="J7566" s="63"/>
    </row>
    <row r="7567" spans="9:10" x14ac:dyDescent="0.35">
      <c r="I7567" s="63"/>
      <c r="J7567" s="63"/>
    </row>
    <row r="7568" spans="9:10" x14ac:dyDescent="0.35">
      <c r="I7568" s="63"/>
      <c r="J7568" s="63"/>
    </row>
    <row r="7569" spans="9:10" x14ac:dyDescent="0.35">
      <c r="I7569" s="63"/>
      <c r="J7569" s="63"/>
    </row>
    <row r="7570" spans="9:10" x14ac:dyDescent="0.35">
      <c r="I7570" s="63"/>
      <c r="J7570" s="63"/>
    </row>
    <row r="7571" spans="9:10" x14ac:dyDescent="0.35">
      <c r="I7571" s="63"/>
      <c r="J7571" s="63"/>
    </row>
    <row r="7572" spans="9:10" x14ac:dyDescent="0.35">
      <c r="I7572" s="63"/>
      <c r="J7572" s="63"/>
    </row>
    <row r="7573" spans="9:10" x14ac:dyDescent="0.35">
      <c r="I7573" s="63"/>
      <c r="J7573" s="63"/>
    </row>
    <row r="7574" spans="9:10" x14ac:dyDescent="0.35">
      <c r="I7574" s="63"/>
      <c r="J7574" s="63"/>
    </row>
    <row r="7575" spans="9:10" x14ac:dyDescent="0.35">
      <c r="I7575" s="63"/>
      <c r="J7575" s="63"/>
    </row>
    <row r="7576" spans="9:10" x14ac:dyDescent="0.35">
      <c r="I7576" s="63"/>
      <c r="J7576" s="63"/>
    </row>
    <row r="7577" spans="9:10" x14ac:dyDescent="0.35">
      <c r="I7577" s="63"/>
      <c r="J7577" s="63"/>
    </row>
    <row r="7578" spans="9:10" x14ac:dyDescent="0.35">
      <c r="I7578" s="63"/>
      <c r="J7578" s="63"/>
    </row>
    <row r="7579" spans="9:10" x14ac:dyDescent="0.35">
      <c r="I7579" s="63"/>
      <c r="J7579" s="63"/>
    </row>
    <row r="7580" spans="9:10" x14ac:dyDescent="0.35">
      <c r="I7580" s="63"/>
      <c r="J7580" s="63"/>
    </row>
    <row r="7581" spans="9:10" x14ac:dyDescent="0.35">
      <c r="I7581" s="63"/>
      <c r="J7581" s="63"/>
    </row>
    <row r="7582" spans="9:10" x14ac:dyDescent="0.35">
      <c r="I7582" s="63"/>
      <c r="J7582" s="63"/>
    </row>
    <row r="7583" spans="9:10" x14ac:dyDescent="0.35">
      <c r="I7583" s="63"/>
      <c r="J7583" s="63"/>
    </row>
    <row r="7584" spans="9:10" x14ac:dyDescent="0.35">
      <c r="I7584" s="63"/>
      <c r="J7584" s="63"/>
    </row>
    <row r="7585" spans="9:10" x14ac:dyDescent="0.35">
      <c r="I7585" s="63"/>
      <c r="J7585" s="63"/>
    </row>
    <row r="7586" spans="9:10" x14ac:dyDescent="0.35">
      <c r="I7586" s="63"/>
      <c r="J7586" s="63"/>
    </row>
    <row r="7587" spans="9:10" x14ac:dyDescent="0.35">
      <c r="I7587" s="63"/>
      <c r="J7587" s="63"/>
    </row>
    <row r="7588" spans="9:10" x14ac:dyDescent="0.35">
      <c r="I7588" s="63"/>
      <c r="J7588" s="63"/>
    </row>
    <row r="7589" spans="9:10" x14ac:dyDescent="0.35">
      <c r="I7589" s="63"/>
      <c r="J7589" s="63"/>
    </row>
    <row r="7590" spans="9:10" x14ac:dyDescent="0.35">
      <c r="I7590" s="63"/>
      <c r="J7590" s="63"/>
    </row>
    <row r="7591" spans="9:10" x14ac:dyDescent="0.35">
      <c r="I7591" s="63"/>
      <c r="J7591" s="63"/>
    </row>
    <row r="7592" spans="9:10" x14ac:dyDescent="0.35">
      <c r="I7592" s="63"/>
      <c r="J7592" s="63"/>
    </row>
    <row r="7593" spans="9:10" x14ac:dyDescent="0.35">
      <c r="I7593" s="63"/>
      <c r="J7593" s="63"/>
    </row>
    <row r="7594" spans="9:10" x14ac:dyDescent="0.35">
      <c r="I7594" s="63"/>
      <c r="J7594" s="63"/>
    </row>
    <row r="7595" spans="9:10" x14ac:dyDescent="0.35">
      <c r="I7595" s="63"/>
      <c r="J7595" s="63"/>
    </row>
    <row r="7596" spans="9:10" x14ac:dyDescent="0.35">
      <c r="I7596" s="63"/>
      <c r="J7596" s="63"/>
    </row>
    <row r="7597" spans="9:10" x14ac:dyDescent="0.35">
      <c r="I7597" s="63"/>
      <c r="J7597" s="63"/>
    </row>
    <row r="7598" spans="9:10" x14ac:dyDescent="0.35">
      <c r="I7598" s="63"/>
      <c r="J7598" s="63"/>
    </row>
    <row r="7599" spans="9:10" x14ac:dyDescent="0.35">
      <c r="I7599" s="63"/>
      <c r="J7599" s="63"/>
    </row>
    <row r="7600" spans="9:10" x14ac:dyDescent="0.35">
      <c r="I7600" s="63"/>
      <c r="J7600" s="63"/>
    </row>
    <row r="7601" spans="9:10" x14ac:dyDescent="0.35">
      <c r="I7601" s="63"/>
      <c r="J7601" s="63"/>
    </row>
    <row r="7602" spans="9:10" x14ac:dyDescent="0.35">
      <c r="I7602" s="63"/>
      <c r="J7602" s="63"/>
    </row>
    <row r="7603" spans="9:10" x14ac:dyDescent="0.35">
      <c r="I7603" s="63"/>
      <c r="J7603" s="63"/>
    </row>
    <row r="7604" spans="9:10" x14ac:dyDescent="0.35">
      <c r="I7604" s="63"/>
      <c r="J7604" s="63"/>
    </row>
    <row r="7605" spans="9:10" x14ac:dyDescent="0.35">
      <c r="I7605" s="63"/>
      <c r="J7605" s="63"/>
    </row>
    <row r="7606" spans="9:10" x14ac:dyDescent="0.35">
      <c r="I7606" s="63"/>
      <c r="J7606" s="63"/>
    </row>
    <row r="7607" spans="9:10" x14ac:dyDescent="0.35">
      <c r="I7607" s="63"/>
      <c r="J7607" s="63"/>
    </row>
    <row r="7608" spans="9:10" x14ac:dyDescent="0.35">
      <c r="I7608" s="63"/>
      <c r="J7608" s="63"/>
    </row>
    <row r="7609" spans="9:10" x14ac:dyDescent="0.35">
      <c r="I7609" s="63"/>
      <c r="J7609" s="63"/>
    </row>
    <row r="7610" spans="9:10" x14ac:dyDescent="0.35">
      <c r="I7610" s="63"/>
      <c r="J7610" s="63"/>
    </row>
    <row r="7611" spans="9:10" x14ac:dyDescent="0.35">
      <c r="I7611" s="63"/>
      <c r="J7611" s="63"/>
    </row>
    <row r="7612" spans="9:10" x14ac:dyDescent="0.35">
      <c r="I7612" s="63"/>
      <c r="J7612" s="63"/>
    </row>
    <row r="7613" spans="9:10" x14ac:dyDescent="0.35">
      <c r="I7613" s="63"/>
      <c r="J7613" s="63"/>
    </row>
    <row r="7614" spans="9:10" x14ac:dyDescent="0.35">
      <c r="I7614" s="63"/>
      <c r="J7614" s="63"/>
    </row>
    <row r="7615" spans="9:10" x14ac:dyDescent="0.35">
      <c r="I7615" s="63"/>
      <c r="J7615" s="63"/>
    </row>
    <row r="7616" spans="9:10" x14ac:dyDescent="0.35">
      <c r="I7616" s="63"/>
      <c r="J7616" s="63"/>
    </row>
    <row r="7617" spans="9:10" x14ac:dyDescent="0.35">
      <c r="I7617" s="63"/>
      <c r="J7617" s="63"/>
    </row>
    <row r="7618" spans="9:10" x14ac:dyDescent="0.35">
      <c r="I7618" s="63"/>
      <c r="J7618" s="63"/>
    </row>
    <row r="7619" spans="9:10" x14ac:dyDescent="0.35">
      <c r="I7619" s="63"/>
      <c r="J7619" s="63"/>
    </row>
    <row r="7620" spans="9:10" x14ac:dyDescent="0.35">
      <c r="I7620" s="63"/>
      <c r="J7620" s="63"/>
    </row>
    <row r="7621" spans="9:10" x14ac:dyDescent="0.35">
      <c r="I7621" s="63"/>
      <c r="J7621" s="63"/>
    </row>
    <row r="7622" spans="9:10" x14ac:dyDescent="0.35">
      <c r="I7622" s="63"/>
      <c r="J7622" s="63"/>
    </row>
    <row r="7623" spans="9:10" x14ac:dyDescent="0.35">
      <c r="I7623" s="63"/>
      <c r="J7623" s="63"/>
    </row>
    <row r="7624" spans="9:10" x14ac:dyDescent="0.35">
      <c r="I7624" s="63"/>
      <c r="J7624" s="63"/>
    </row>
    <row r="7625" spans="9:10" x14ac:dyDescent="0.35">
      <c r="I7625" s="63"/>
      <c r="J7625" s="63"/>
    </row>
    <row r="7626" spans="9:10" x14ac:dyDescent="0.35">
      <c r="I7626" s="63"/>
      <c r="J7626" s="63"/>
    </row>
    <row r="7627" spans="9:10" x14ac:dyDescent="0.35">
      <c r="I7627" s="63"/>
      <c r="J7627" s="63"/>
    </row>
    <row r="7628" spans="9:10" x14ac:dyDescent="0.35">
      <c r="I7628" s="63"/>
      <c r="J7628" s="63"/>
    </row>
    <row r="7629" spans="9:10" x14ac:dyDescent="0.35">
      <c r="I7629" s="63"/>
      <c r="J7629" s="63"/>
    </row>
    <row r="7630" spans="9:10" x14ac:dyDescent="0.35">
      <c r="I7630" s="63"/>
      <c r="J7630" s="63"/>
    </row>
    <row r="7631" spans="9:10" x14ac:dyDescent="0.35">
      <c r="I7631" s="63"/>
      <c r="J7631" s="63"/>
    </row>
    <row r="7632" spans="9:10" x14ac:dyDescent="0.35">
      <c r="I7632" s="63"/>
      <c r="J7632" s="63"/>
    </row>
    <row r="7633" spans="9:10" x14ac:dyDescent="0.35">
      <c r="I7633" s="63"/>
      <c r="J7633" s="63"/>
    </row>
    <row r="7634" spans="9:10" x14ac:dyDescent="0.35">
      <c r="I7634" s="63"/>
      <c r="J7634" s="63"/>
    </row>
    <row r="7635" spans="9:10" x14ac:dyDescent="0.35">
      <c r="I7635" s="63"/>
      <c r="J7635" s="63"/>
    </row>
    <row r="7636" spans="9:10" x14ac:dyDescent="0.35">
      <c r="I7636" s="63"/>
      <c r="J7636" s="63"/>
    </row>
    <row r="7637" spans="9:10" x14ac:dyDescent="0.35">
      <c r="I7637" s="63"/>
      <c r="J7637" s="63"/>
    </row>
    <row r="7638" spans="9:10" x14ac:dyDescent="0.35">
      <c r="I7638" s="63"/>
      <c r="J7638" s="63"/>
    </row>
    <row r="7639" spans="9:10" x14ac:dyDescent="0.35">
      <c r="I7639" s="63"/>
      <c r="J7639" s="63"/>
    </row>
    <row r="7640" spans="9:10" x14ac:dyDescent="0.35">
      <c r="I7640" s="63"/>
      <c r="J7640" s="63"/>
    </row>
    <row r="7641" spans="9:10" x14ac:dyDescent="0.35">
      <c r="I7641" s="63"/>
      <c r="J7641" s="63"/>
    </row>
    <row r="7642" spans="9:10" x14ac:dyDescent="0.35">
      <c r="I7642" s="63"/>
      <c r="J7642" s="63"/>
    </row>
    <row r="7643" spans="9:10" x14ac:dyDescent="0.35">
      <c r="I7643" s="63"/>
      <c r="J7643" s="63"/>
    </row>
    <row r="7644" spans="9:10" x14ac:dyDescent="0.35">
      <c r="I7644" s="63"/>
      <c r="J7644" s="63"/>
    </row>
    <row r="7645" spans="9:10" x14ac:dyDescent="0.35">
      <c r="I7645" s="63"/>
      <c r="J7645" s="63"/>
    </row>
    <row r="7646" spans="9:10" x14ac:dyDescent="0.35">
      <c r="I7646" s="63"/>
      <c r="J7646" s="63"/>
    </row>
    <row r="7647" spans="9:10" x14ac:dyDescent="0.35">
      <c r="I7647" s="63"/>
      <c r="J7647" s="63"/>
    </row>
    <row r="7648" spans="9:10" x14ac:dyDescent="0.35">
      <c r="I7648" s="63"/>
      <c r="J7648" s="63"/>
    </row>
    <row r="7649" spans="9:10" x14ac:dyDescent="0.35">
      <c r="I7649" s="63"/>
      <c r="J7649" s="63"/>
    </row>
    <row r="7650" spans="9:10" x14ac:dyDescent="0.35">
      <c r="I7650" s="63"/>
      <c r="J7650" s="63"/>
    </row>
    <row r="7651" spans="9:10" x14ac:dyDescent="0.35">
      <c r="I7651" s="63"/>
      <c r="J7651" s="63"/>
    </row>
    <row r="7652" spans="9:10" x14ac:dyDescent="0.35">
      <c r="I7652" s="63"/>
      <c r="J7652" s="63"/>
    </row>
    <row r="7653" spans="9:10" x14ac:dyDescent="0.35">
      <c r="I7653" s="63"/>
      <c r="J7653" s="63"/>
    </row>
    <row r="7654" spans="9:10" x14ac:dyDescent="0.35">
      <c r="I7654" s="63"/>
      <c r="J7654" s="63"/>
    </row>
    <row r="7655" spans="9:10" x14ac:dyDescent="0.35">
      <c r="I7655" s="63"/>
      <c r="J7655" s="63"/>
    </row>
    <row r="7656" spans="9:10" x14ac:dyDescent="0.35">
      <c r="I7656" s="63"/>
      <c r="J7656" s="63"/>
    </row>
    <row r="7657" spans="9:10" x14ac:dyDescent="0.35">
      <c r="I7657" s="63"/>
      <c r="J7657" s="63"/>
    </row>
    <row r="7658" spans="9:10" x14ac:dyDescent="0.35">
      <c r="I7658" s="63"/>
      <c r="J7658" s="63"/>
    </row>
    <row r="7659" spans="9:10" x14ac:dyDescent="0.35">
      <c r="I7659" s="63"/>
      <c r="J7659" s="63"/>
    </row>
    <row r="7660" spans="9:10" x14ac:dyDescent="0.35">
      <c r="I7660" s="63"/>
      <c r="J7660" s="63"/>
    </row>
    <row r="7661" spans="9:10" x14ac:dyDescent="0.35">
      <c r="I7661" s="63"/>
      <c r="J7661" s="63"/>
    </row>
    <row r="7662" spans="9:10" x14ac:dyDescent="0.35">
      <c r="I7662" s="63"/>
      <c r="J7662" s="63"/>
    </row>
    <row r="7663" spans="9:10" x14ac:dyDescent="0.35">
      <c r="I7663" s="63"/>
      <c r="J7663" s="63"/>
    </row>
    <row r="7664" spans="9:10" x14ac:dyDescent="0.35">
      <c r="I7664" s="63"/>
      <c r="J7664" s="63"/>
    </row>
    <row r="7665" spans="9:10" x14ac:dyDescent="0.35">
      <c r="I7665" s="63"/>
      <c r="J7665" s="63"/>
    </row>
    <row r="7666" spans="9:10" x14ac:dyDescent="0.35">
      <c r="I7666" s="63"/>
      <c r="J7666" s="63"/>
    </row>
    <row r="7667" spans="9:10" x14ac:dyDescent="0.35">
      <c r="I7667" s="63"/>
      <c r="J7667" s="63"/>
    </row>
    <row r="7668" spans="9:10" x14ac:dyDescent="0.35">
      <c r="I7668" s="63"/>
      <c r="J7668" s="63"/>
    </row>
    <row r="7669" spans="9:10" x14ac:dyDescent="0.35">
      <c r="I7669" s="63"/>
      <c r="J7669" s="63"/>
    </row>
    <row r="7670" spans="9:10" x14ac:dyDescent="0.35">
      <c r="I7670" s="63"/>
      <c r="J7670" s="63"/>
    </row>
    <row r="7671" spans="9:10" x14ac:dyDescent="0.35">
      <c r="I7671" s="63"/>
      <c r="J7671" s="63"/>
    </row>
    <row r="7672" spans="9:10" x14ac:dyDescent="0.35">
      <c r="I7672" s="63"/>
      <c r="J7672" s="63"/>
    </row>
    <row r="7673" spans="9:10" x14ac:dyDescent="0.35">
      <c r="I7673" s="63"/>
      <c r="J7673" s="63"/>
    </row>
    <row r="7674" spans="9:10" x14ac:dyDescent="0.35">
      <c r="I7674" s="63"/>
      <c r="J7674" s="63"/>
    </row>
    <row r="7675" spans="9:10" x14ac:dyDescent="0.35">
      <c r="I7675" s="63"/>
      <c r="J7675" s="63"/>
    </row>
    <row r="7676" spans="9:10" x14ac:dyDescent="0.35">
      <c r="I7676" s="63"/>
      <c r="J7676" s="63"/>
    </row>
    <row r="7677" spans="9:10" x14ac:dyDescent="0.35">
      <c r="I7677" s="63"/>
      <c r="J7677" s="63"/>
    </row>
    <row r="7678" spans="9:10" x14ac:dyDescent="0.35">
      <c r="I7678" s="63"/>
      <c r="J7678" s="63"/>
    </row>
    <row r="7679" spans="9:10" x14ac:dyDescent="0.35">
      <c r="I7679" s="63"/>
      <c r="J7679" s="63"/>
    </row>
    <row r="7680" spans="9:10" x14ac:dyDescent="0.35">
      <c r="I7680" s="63"/>
      <c r="J7680" s="63"/>
    </row>
    <row r="7681" spans="9:10" x14ac:dyDescent="0.35">
      <c r="I7681" s="63"/>
      <c r="J7681" s="63"/>
    </row>
    <row r="7682" spans="9:10" x14ac:dyDescent="0.35">
      <c r="I7682" s="63"/>
      <c r="J7682" s="63"/>
    </row>
    <row r="7683" spans="9:10" x14ac:dyDescent="0.35">
      <c r="I7683" s="63"/>
      <c r="J7683" s="63"/>
    </row>
    <row r="7684" spans="9:10" x14ac:dyDescent="0.35">
      <c r="I7684" s="63"/>
      <c r="J7684" s="63"/>
    </row>
    <row r="7685" spans="9:10" x14ac:dyDescent="0.35">
      <c r="I7685" s="63"/>
      <c r="J7685" s="63"/>
    </row>
    <row r="7686" spans="9:10" x14ac:dyDescent="0.35">
      <c r="I7686" s="63"/>
      <c r="J7686" s="63"/>
    </row>
    <row r="7687" spans="9:10" x14ac:dyDescent="0.35">
      <c r="I7687" s="63"/>
      <c r="J7687" s="63"/>
    </row>
    <row r="7688" spans="9:10" x14ac:dyDescent="0.35">
      <c r="I7688" s="63"/>
      <c r="J7688" s="63"/>
    </row>
    <row r="7689" spans="9:10" x14ac:dyDescent="0.35">
      <c r="I7689" s="63"/>
      <c r="J7689" s="63"/>
    </row>
    <row r="7690" spans="9:10" x14ac:dyDescent="0.35">
      <c r="I7690" s="63"/>
      <c r="J7690" s="63"/>
    </row>
    <row r="7691" spans="9:10" x14ac:dyDescent="0.35">
      <c r="I7691" s="63"/>
      <c r="J7691" s="63"/>
    </row>
    <row r="7692" spans="9:10" x14ac:dyDescent="0.35">
      <c r="I7692" s="63"/>
      <c r="J7692" s="63"/>
    </row>
    <row r="7693" spans="9:10" x14ac:dyDescent="0.35">
      <c r="I7693" s="63"/>
      <c r="J7693" s="63"/>
    </row>
    <row r="7694" spans="9:10" x14ac:dyDescent="0.35">
      <c r="I7694" s="63"/>
      <c r="J7694" s="63"/>
    </row>
    <row r="7695" spans="9:10" x14ac:dyDescent="0.35">
      <c r="I7695" s="63"/>
      <c r="J7695" s="63"/>
    </row>
    <row r="7696" spans="9:10" x14ac:dyDescent="0.35">
      <c r="I7696" s="63"/>
      <c r="J7696" s="63"/>
    </row>
    <row r="7697" spans="9:10" x14ac:dyDescent="0.35">
      <c r="I7697" s="63"/>
      <c r="J7697" s="63"/>
    </row>
    <row r="7698" spans="9:10" x14ac:dyDescent="0.35">
      <c r="I7698" s="63"/>
      <c r="J7698" s="63"/>
    </row>
    <row r="7699" spans="9:10" x14ac:dyDescent="0.35">
      <c r="I7699" s="63"/>
      <c r="J7699" s="63"/>
    </row>
    <row r="7700" spans="9:10" x14ac:dyDescent="0.35">
      <c r="I7700" s="63"/>
      <c r="J7700" s="63"/>
    </row>
    <row r="7701" spans="9:10" x14ac:dyDescent="0.35">
      <c r="I7701" s="63"/>
      <c r="J7701" s="63"/>
    </row>
    <row r="7702" spans="9:10" x14ac:dyDescent="0.35">
      <c r="I7702" s="63"/>
      <c r="J7702" s="63"/>
    </row>
    <row r="7703" spans="9:10" x14ac:dyDescent="0.35">
      <c r="I7703" s="63"/>
      <c r="J7703" s="63"/>
    </row>
    <row r="7704" spans="9:10" x14ac:dyDescent="0.35">
      <c r="I7704" s="63"/>
      <c r="J7704" s="63"/>
    </row>
    <row r="7705" spans="9:10" x14ac:dyDescent="0.35">
      <c r="I7705" s="63"/>
      <c r="J7705" s="63"/>
    </row>
    <row r="7706" spans="9:10" x14ac:dyDescent="0.35">
      <c r="I7706" s="63"/>
      <c r="J7706" s="63"/>
    </row>
    <row r="7707" spans="9:10" x14ac:dyDescent="0.35">
      <c r="I7707" s="63"/>
      <c r="J7707" s="63"/>
    </row>
    <row r="7708" spans="9:10" x14ac:dyDescent="0.35">
      <c r="I7708" s="63"/>
      <c r="J7708" s="63"/>
    </row>
    <row r="7709" spans="9:10" x14ac:dyDescent="0.35">
      <c r="I7709" s="63"/>
      <c r="J7709" s="63"/>
    </row>
    <row r="7710" spans="9:10" x14ac:dyDescent="0.35">
      <c r="I7710" s="63"/>
      <c r="J7710" s="63"/>
    </row>
    <row r="7711" spans="9:10" x14ac:dyDescent="0.35">
      <c r="I7711" s="63"/>
      <c r="J7711" s="63"/>
    </row>
    <row r="7712" spans="9:10" x14ac:dyDescent="0.35">
      <c r="I7712" s="63"/>
      <c r="J7712" s="63"/>
    </row>
    <row r="7713" spans="9:10" x14ac:dyDescent="0.35">
      <c r="I7713" s="63"/>
      <c r="J7713" s="63"/>
    </row>
    <row r="7714" spans="9:10" x14ac:dyDescent="0.35">
      <c r="I7714" s="63"/>
      <c r="J7714" s="63"/>
    </row>
    <row r="7715" spans="9:10" x14ac:dyDescent="0.35">
      <c r="I7715" s="63"/>
      <c r="J7715" s="63"/>
    </row>
    <row r="7716" spans="9:10" x14ac:dyDescent="0.35">
      <c r="I7716" s="63"/>
      <c r="J7716" s="63"/>
    </row>
    <row r="7717" spans="9:10" x14ac:dyDescent="0.35">
      <c r="I7717" s="63"/>
      <c r="J7717" s="63"/>
    </row>
    <row r="7718" spans="9:10" x14ac:dyDescent="0.35">
      <c r="I7718" s="63"/>
      <c r="J7718" s="63"/>
    </row>
    <row r="7719" spans="9:10" x14ac:dyDescent="0.35">
      <c r="I7719" s="63"/>
      <c r="J7719" s="63"/>
    </row>
    <row r="7720" spans="9:10" x14ac:dyDescent="0.35">
      <c r="I7720" s="63"/>
      <c r="J7720" s="63"/>
    </row>
    <row r="7721" spans="9:10" x14ac:dyDescent="0.35">
      <c r="I7721" s="63"/>
      <c r="J7721" s="63"/>
    </row>
    <row r="7722" spans="9:10" x14ac:dyDescent="0.35">
      <c r="I7722" s="63"/>
      <c r="J7722" s="63"/>
    </row>
    <row r="7723" spans="9:10" x14ac:dyDescent="0.35">
      <c r="I7723" s="63"/>
      <c r="J7723" s="63"/>
    </row>
    <row r="7724" spans="9:10" x14ac:dyDescent="0.35">
      <c r="I7724" s="63"/>
      <c r="J7724" s="63"/>
    </row>
    <row r="7725" spans="9:10" x14ac:dyDescent="0.35">
      <c r="I7725" s="63"/>
      <c r="J7725" s="63"/>
    </row>
    <row r="7726" spans="9:10" x14ac:dyDescent="0.35">
      <c r="I7726" s="63"/>
      <c r="J7726" s="63"/>
    </row>
    <row r="7727" spans="9:10" x14ac:dyDescent="0.35">
      <c r="I7727" s="63"/>
      <c r="J7727" s="63"/>
    </row>
    <row r="7728" spans="9:10" x14ac:dyDescent="0.35">
      <c r="I7728" s="63"/>
      <c r="J7728" s="63"/>
    </row>
    <row r="7729" spans="9:10" x14ac:dyDescent="0.35">
      <c r="I7729" s="63"/>
      <c r="J7729" s="63"/>
    </row>
    <row r="7730" spans="9:10" x14ac:dyDescent="0.35">
      <c r="I7730" s="63"/>
      <c r="J7730" s="63"/>
    </row>
    <row r="7731" spans="9:10" x14ac:dyDescent="0.35">
      <c r="I7731" s="63"/>
      <c r="J7731" s="63"/>
    </row>
    <row r="7732" spans="9:10" x14ac:dyDescent="0.35">
      <c r="I7732" s="63"/>
      <c r="J7732" s="63"/>
    </row>
    <row r="7733" spans="9:10" x14ac:dyDescent="0.35">
      <c r="I7733" s="63"/>
      <c r="J7733" s="63"/>
    </row>
    <row r="7734" spans="9:10" x14ac:dyDescent="0.35">
      <c r="I7734" s="63"/>
      <c r="J7734" s="63"/>
    </row>
    <row r="7735" spans="9:10" x14ac:dyDescent="0.35">
      <c r="I7735" s="63"/>
      <c r="J7735" s="63"/>
    </row>
    <row r="7736" spans="9:10" x14ac:dyDescent="0.35">
      <c r="I7736" s="63"/>
      <c r="J7736" s="63"/>
    </row>
    <row r="7737" spans="9:10" x14ac:dyDescent="0.35">
      <c r="I7737" s="63"/>
      <c r="J7737" s="63"/>
    </row>
    <row r="7738" spans="9:10" x14ac:dyDescent="0.35">
      <c r="I7738" s="63"/>
      <c r="J7738" s="63"/>
    </row>
    <row r="7739" spans="9:10" x14ac:dyDescent="0.35">
      <c r="I7739" s="63"/>
      <c r="J7739" s="63"/>
    </row>
    <row r="7740" spans="9:10" x14ac:dyDescent="0.35">
      <c r="I7740" s="63"/>
      <c r="J7740" s="63"/>
    </row>
    <row r="7741" spans="9:10" x14ac:dyDescent="0.35">
      <c r="I7741" s="63"/>
      <c r="J7741" s="63"/>
    </row>
    <row r="7742" spans="9:10" x14ac:dyDescent="0.35">
      <c r="I7742" s="63"/>
      <c r="J7742" s="63"/>
    </row>
    <row r="7743" spans="9:10" x14ac:dyDescent="0.35">
      <c r="I7743" s="63"/>
      <c r="J7743" s="63"/>
    </row>
    <row r="7744" spans="9:10" x14ac:dyDescent="0.35">
      <c r="I7744" s="63"/>
      <c r="J7744" s="63"/>
    </row>
    <row r="7745" spans="9:10" x14ac:dyDescent="0.35">
      <c r="I7745" s="63"/>
      <c r="J7745" s="63"/>
    </row>
    <row r="7746" spans="9:10" x14ac:dyDescent="0.35">
      <c r="I7746" s="63"/>
      <c r="J7746" s="63"/>
    </row>
    <row r="7747" spans="9:10" x14ac:dyDescent="0.35">
      <c r="I7747" s="63"/>
      <c r="J7747" s="63"/>
    </row>
    <row r="7748" spans="9:10" x14ac:dyDescent="0.35">
      <c r="I7748" s="63"/>
      <c r="J7748" s="63"/>
    </row>
    <row r="7749" spans="9:10" x14ac:dyDescent="0.35">
      <c r="I7749" s="63"/>
      <c r="J7749" s="63"/>
    </row>
    <row r="7750" spans="9:10" x14ac:dyDescent="0.35">
      <c r="I7750" s="63"/>
      <c r="J7750" s="63"/>
    </row>
    <row r="7751" spans="9:10" x14ac:dyDescent="0.35">
      <c r="I7751" s="63"/>
      <c r="J7751" s="63"/>
    </row>
    <row r="7752" spans="9:10" x14ac:dyDescent="0.35">
      <c r="I7752" s="63"/>
      <c r="J7752" s="63"/>
    </row>
    <row r="7753" spans="9:10" x14ac:dyDescent="0.35">
      <c r="I7753" s="63"/>
      <c r="J7753" s="63"/>
    </row>
    <row r="7754" spans="9:10" x14ac:dyDescent="0.35">
      <c r="I7754" s="63"/>
      <c r="J7754" s="63"/>
    </row>
    <row r="7755" spans="9:10" x14ac:dyDescent="0.35">
      <c r="I7755" s="63"/>
      <c r="J7755" s="63"/>
    </row>
    <row r="7756" spans="9:10" x14ac:dyDescent="0.35">
      <c r="I7756" s="63"/>
      <c r="J7756" s="63"/>
    </row>
    <row r="7757" spans="9:10" x14ac:dyDescent="0.35">
      <c r="I7757" s="63"/>
      <c r="J7757" s="63"/>
    </row>
    <row r="7758" spans="9:10" x14ac:dyDescent="0.35">
      <c r="I7758" s="63"/>
      <c r="J7758" s="63"/>
    </row>
    <row r="7759" spans="9:10" x14ac:dyDescent="0.35">
      <c r="I7759" s="63"/>
      <c r="J7759" s="63"/>
    </row>
    <row r="7760" spans="9:10" x14ac:dyDescent="0.35">
      <c r="I7760" s="63"/>
      <c r="J7760" s="63"/>
    </row>
    <row r="7761" spans="9:10" x14ac:dyDescent="0.35">
      <c r="I7761" s="63"/>
      <c r="J7761" s="63"/>
    </row>
    <row r="7762" spans="9:10" x14ac:dyDescent="0.35">
      <c r="I7762" s="63"/>
      <c r="J7762" s="63"/>
    </row>
    <row r="7763" spans="9:10" x14ac:dyDescent="0.35">
      <c r="I7763" s="63"/>
      <c r="J7763" s="63"/>
    </row>
    <row r="7764" spans="9:10" x14ac:dyDescent="0.35">
      <c r="I7764" s="63"/>
      <c r="J7764" s="63"/>
    </row>
    <row r="7765" spans="9:10" x14ac:dyDescent="0.35">
      <c r="I7765" s="63"/>
      <c r="J7765" s="63"/>
    </row>
    <row r="7766" spans="9:10" x14ac:dyDescent="0.35">
      <c r="I7766" s="63"/>
      <c r="J7766" s="63"/>
    </row>
    <row r="7767" spans="9:10" x14ac:dyDescent="0.35">
      <c r="I7767" s="63"/>
      <c r="J7767" s="63"/>
    </row>
    <row r="7768" spans="9:10" x14ac:dyDescent="0.35">
      <c r="I7768" s="63"/>
      <c r="J7768" s="63"/>
    </row>
    <row r="7769" spans="9:10" x14ac:dyDescent="0.35">
      <c r="I7769" s="63"/>
      <c r="J7769" s="63"/>
    </row>
    <row r="7770" spans="9:10" x14ac:dyDescent="0.35">
      <c r="I7770" s="63"/>
      <c r="J7770" s="63"/>
    </row>
    <row r="7771" spans="9:10" x14ac:dyDescent="0.35">
      <c r="I7771" s="63"/>
      <c r="J7771" s="63"/>
    </row>
    <row r="7772" spans="9:10" x14ac:dyDescent="0.35">
      <c r="I7772" s="63"/>
      <c r="J7772" s="63"/>
    </row>
    <row r="7773" spans="9:10" x14ac:dyDescent="0.35">
      <c r="I7773" s="63"/>
      <c r="J7773" s="63"/>
    </row>
    <row r="7774" spans="9:10" x14ac:dyDescent="0.35">
      <c r="I7774" s="63"/>
      <c r="J7774" s="63"/>
    </row>
    <row r="7775" spans="9:10" x14ac:dyDescent="0.35">
      <c r="I7775" s="63"/>
      <c r="J7775" s="63"/>
    </row>
    <row r="7776" spans="9:10" x14ac:dyDescent="0.35">
      <c r="I7776" s="63"/>
      <c r="J7776" s="63"/>
    </row>
    <row r="7777" spans="9:10" x14ac:dyDescent="0.35">
      <c r="I7777" s="63"/>
      <c r="J7777" s="63"/>
    </row>
    <row r="7778" spans="9:10" x14ac:dyDescent="0.35">
      <c r="I7778" s="63"/>
      <c r="J7778" s="63"/>
    </row>
    <row r="7779" spans="9:10" x14ac:dyDescent="0.35">
      <c r="I7779" s="63"/>
      <c r="J7779" s="63"/>
    </row>
    <row r="7780" spans="9:10" x14ac:dyDescent="0.35">
      <c r="I7780" s="63"/>
      <c r="J7780" s="63"/>
    </row>
    <row r="7781" spans="9:10" x14ac:dyDescent="0.35">
      <c r="I7781" s="63"/>
      <c r="J7781" s="63"/>
    </row>
    <row r="7782" spans="9:10" x14ac:dyDescent="0.35">
      <c r="I7782" s="63"/>
      <c r="J7782" s="63"/>
    </row>
    <row r="7783" spans="9:10" x14ac:dyDescent="0.35">
      <c r="I7783" s="63"/>
      <c r="J7783" s="63"/>
    </row>
    <row r="7784" spans="9:10" x14ac:dyDescent="0.35">
      <c r="I7784" s="63"/>
      <c r="J7784" s="63"/>
    </row>
    <row r="7785" spans="9:10" x14ac:dyDescent="0.35">
      <c r="I7785" s="63"/>
      <c r="J7785" s="63"/>
    </row>
    <row r="7786" spans="9:10" x14ac:dyDescent="0.35">
      <c r="I7786" s="63"/>
      <c r="J7786" s="63"/>
    </row>
    <row r="7787" spans="9:10" x14ac:dyDescent="0.35">
      <c r="I7787" s="63"/>
      <c r="J7787" s="63"/>
    </row>
    <row r="7788" spans="9:10" x14ac:dyDescent="0.35">
      <c r="I7788" s="63"/>
      <c r="J7788" s="63"/>
    </row>
    <row r="7789" spans="9:10" x14ac:dyDescent="0.35">
      <c r="I7789" s="63"/>
      <c r="J7789" s="63"/>
    </row>
    <row r="7790" spans="9:10" x14ac:dyDescent="0.35">
      <c r="I7790" s="63"/>
      <c r="J7790" s="63"/>
    </row>
    <row r="7791" spans="9:10" x14ac:dyDescent="0.35">
      <c r="I7791" s="63"/>
      <c r="J7791" s="63"/>
    </row>
    <row r="7792" spans="9:10" x14ac:dyDescent="0.35">
      <c r="I7792" s="63"/>
      <c r="J7792" s="63"/>
    </row>
    <row r="7793" spans="9:10" x14ac:dyDescent="0.35">
      <c r="I7793" s="63"/>
      <c r="J7793" s="63"/>
    </row>
    <row r="7794" spans="9:10" x14ac:dyDescent="0.35">
      <c r="I7794" s="63"/>
      <c r="J7794" s="63"/>
    </row>
    <row r="7795" spans="9:10" x14ac:dyDescent="0.35">
      <c r="I7795" s="63"/>
      <c r="J7795" s="63"/>
    </row>
    <row r="7796" spans="9:10" x14ac:dyDescent="0.35">
      <c r="I7796" s="63"/>
      <c r="J7796" s="63"/>
    </row>
    <row r="7797" spans="9:10" x14ac:dyDescent="0.35">
      <c r="I7797" s="63"/>
      <c r="J7797" s="63"/>
    </row>
    <row r="7798" spans="9:10" x14ac:dyDescent="0.35">
      <c r="I7798" s="63"/>
      <c r="J7798" s="63"/>
    </row>
    <row r="7799" spans="9:10" x14ac:dyDescent="0.35">
      <c r="I7799" s="63"/>
      <c r="J7799" s="63"/>
    </row>
    <row r="7800" spans="9:10" x14ac:dyDescent="0.35">
      <c r="I7800" s="63"/>
      <c r="J7800" s="63"/>
    </row>
    <row r="7801" spans="9:10" x14ac:dyDescent="0.35">
      <c r="I7801" s="63"/>
      <c r="J7801" s="63"/>
    </row>
    <row r="7802" spans="9:10" x14ac:dyDescent="0.35">
      <c r="I7802" s="63"/>
      <c r="J7802" s="63"/>
    </row>
    <row r="7803" spans="9:10" x14ac:dyDescent="0.35">
      <c r="I7803" s="63"/>
      <c r="J7803" s="63"/>
    </row>
    <row r="7804" spans="9:10" x14ac:dyDescent="0.35">
      <c r="I7804" s="63"/>
      <c r="J7804" s="63"/>
    </row>
    <row r="7805" spans="9:10" x14ac:dyDescent="0.35">
      <c r="I7805" s="63"/>
      <c r="J7805" s="63"/>
    </row>
    <row r="7806" spans="9:10" x14ac:dyDescent="0.35">
      <c r="I7806" s="63"/>
      <c r="J7806" s="63"/>
    </row>
    <row r="7807" spans="9:10" x14ac:dyDescent="0.35">
      <c r="I7807" s="63"/>
      <c r="J7807" s="63"/>
    </row>
    <row r="7808" spans="9:10" x14ac:dyDescent="0.35">
      <c r="I7808" s="63"/>
      <c r="J7808" s="63"/>
    </row>
    <row r="7809" spans="9:10" x14ac:dyDescent="0.35">
      <c r="I7809" s="63"/>
      <c r="J7809" s="63"/>
    </row>
    <row r="7810" spans="9:10" x14ac:dyDescent="0.35">
      <c r="I7810" s="63"/>
      <c r="J7810" s="63"/>
    </row>
    <row r="7811" spans="9:10" x14ac:dyDescent="0.35">
      <c r="I7811" s="63"/>
      <c r="J7811" s="63"/>
    </row>
    <row r="7812" spans="9:10" x14ac:dyDescent="0.35">
      <c r="I7812" s="63"/>
      <c r="J7812" s="63"/>
    </row>
    <row r="7813" spans="9:10" x14ac:dyDescent="0.35">
      <c r="I7813" s="63"/>
      <c r="J7813" s="63"/>
    </row>
    <row r="7814" spans="9:10" x14ac:dyDescent="0.35">
      <c r="I7814" s="63"/>
      <c r="J7814" s="63"/>
    </row>
    <row r="7815" spans="9:10" x14ac:dyDescent="0.35">
      <c r="I7815" s="63"/>
      <c r="J7815" s="63"/>
    </row>
    <row r="7816" spans="9:10" x14ac:dyDescent="0.35">
      <c r="I7816" s="63"/>
      <c r="J7816" s="63"/>
    </row>
    <row r="7817" spans="9:10" x14ac:dyDescent="0.35">
      <c r="I7817" s="63"/>
      <c r="J7817" s="63"/>
    </row>
    <row r="7818" spans="9:10" x14ac:dyDescent="0.35">
      <c r="I7818" s="63"/>
      <c r="J7818" s="63"/>
    </row>
    <row r="7819" spans="9:10" x14ac:dyDescent="0.35">
      <c r="I7819" s="63"/>
      <c r="J7819" s="63"/>
    </row>
    <row r="7820" spans="9:10" x14ac:dyDescent="0.35">
      <c r="I7820" s="63"/>
      <c r="J7820" s="63"/>
    </row>
    <row r="7821" spans="9:10" x14ac:dyDescent="0.35">
      <c r="I7821" s="63"/>
      <c r="J7821" s="63"/>
    </row>
    <row r="7822" spans="9:10" x14ac:dyDescent="0.35">
      <c r="I7822" s="63"/>
      <c r="J7822" s="63"/>
    </row>
    <row r="7823" spans="9:10" x14ac:dyDescent="0.35">
      <c r="I7823" s="63"/>
      <c r="J7823" s="63"/>
    </row>
    <row r="7824" spans="9:10" x14ac:dyDescent="0.35">
      <c r="I7824" s="63"/>
      <c r="J7824" s="63"/>
    </row>
    <row r="7825" spans="9:10" x14ac:dyDescent="0.35">
      <c r="I7825" s="63"/>
      <c r="J7825" s="63"/>
    </row>
    <row r="7826" spans="9:10" x14ac:dyDescent="0.35">
      <c r="I7826" s="63"/>
      <c r="J7826" s="63"/>
    </row>
    <row r="7827" spans="9:10" x14ac:dyDescent="0.35">
      <c r="I7827" s="63"/>
      <c r="J7827" s="63"/>
    </row>
    <row r="7828" spans="9:10" x14ac:dyDescent="0.35">
      <c r="I7828" s="63"/>
      <c r="J7828" s="63"/>
    </row>
    <row r="7829" spans="9:10" x14ac:dyDescent="0.35">
      <c r="I7829" s="63"/>
      <c r="J7829" s="63"/>
    </row>
    <row r="7830" spans="9:10" x14ac:dyDescent="0.35">
      <c r="I7830" s="63"/>
      <c r="J7830" s="63"/>
    </row>
    <row r="7831" spans="9:10" x14ac:dyDescent="0.35">
      <c r="I7831" s="63"/>
      <c r="J7831" s="63"/>
    </row>
    <row r="7832" spans="9:10" x14ac:dyDescent="0.35">
      <c r="I7832" s="63"/>
      <c r="J7832" s="63"/>
    </row>
    <row r="7833" spans="9:10" x14ac:dyDescent="0.35">
      <c r="I7833" s="63"/>
      <c r="J7833" s="63"/>
    </row>
    <row r="7834" spans="9:10" x14ac:dyDescent="0.35">
      <c r="I7834" s="63"/>
      <c r="J7834" s="63"/>
    </row>
    <row r="7835" spans="9:10" x14ac:dyDescent="0.35">
      <c r="I7835" s="63"/>
      <c r="J7835" s="63"/>
    </row>
    <row r="7836" spans="9:10" x14ac:dyDescent="0.35">
      <c r="I7836" s="63"/>
      <c r="J7836" s="63"/>
    </row>
    <row r="7837" spans="9:10" x14ac:dyDescent="0.35">
      <c r="I7837" s="63"/>
      <c r="J7837" s="63"/>
    </row>
    <row r="7838" spans="9:10" x14ac:dyDescent="0.35">
      <c r="I7838" s="63"/>
      <c r="J7838" s="63"/>
    </row>
    <row r="7839" spans="9:10" x14ac:dyDescent="0.35">
      <c r="I7839" s="63"/>
      <c r="J7839" s="63"/>
    </row>
    <row r="7840" spans="9:10" x14ac:dyDescent="0.35">
      <c r="I7840" s="63"/>
      <c r="J7840" s="63"/>
    </row>
    <row r="7841" spans="9:10" x14ac:dyDescent="0.35">
      <c r="I7841" s="63"/>
      <c r="J7841" s="63"/>
    </row>
    <row r="7842" spans="9:10" x14ac:dyDescent="0.35">
      <c r="I7842" s="63"/>
      <c r="J7842" s="63"/>
    </row>
    <row r="7843" spans="9:10" x14ac:dyDescent="0.35">
      <c r="I7843" s="63"/>
      <c r="J7843" s="63"/>
    </row>
    <row r="7844" spans="9:10" x14ac:dyDescent="0.35">
      <c r="I7844" s="63"/>
      <c r="J7844" s="63"/>
    </row>
    <row r="7845" spans="9:10" x14ac:dyDescent="0.35">
      <c r="I7845" s="63"/>
      <c r="J7845" s="63"/>
    </row>
    <row r="7846" spans="9:10" x14ac:dyDescent="0.35">
      <c r="I7846" s="63"/>
      <c r="J7846" s="63"/>
    </row>
    <row r="7847" spans="9:10" x14ac:dyDescent="0.35">
      <c r="I7847" s="63"/>
      <c r="J7847" s="63"/>
    </row>
    <row r="7848" spans="9:10" x14ac:dyDescent="0.35">
      <c r="I7848" s="63"/>
      <c r="J7848" s="63"/>
    </row>
    <row r="7849" spans="9:10" x14ac:dyDescent="0.35">
      <c r="I7849" s="63"/>
      <c r="J7849" s="63"/>
    </row>
    <row r="7850" spans="9:10" x14ac:dyDescent="0.35">
      <c r="I7850" s="63"/>
      <c r="J7850" s="63"/>
    </row>
    <row r="7851" spans="9:10" x14ac:dyDescent="0.35">
      <c r="I7851" s="63"/>
      <c r="J7851" s="63"/>
    </row>
    <row r="7852" spans="9:10" x14ac:dyDescent="0.35">
      <c r="I7852" s="63"/>
      <c r="J7852" s="63"/>
    </row>
    <row r="7853" spans="9:10" x14ac:dyDescent="0.35">
      <c r="I7853" s="63"/>
      <c r="J7853" s="63"/>
    </row>
    <row r="7854" spans="9:10" x14ac:dyDescent="0.35">
      <c r="I7854" s="63"/>
      <c r="J7854" s="63"/>
    </row>
    <row r="7855" spans="9:10" x14ac:dyDescent="0.35">
      <c r="I7855" s="63"/>
      <c r="J7855" s="63"/>
    </row>
    <row r="7856" spans="9:10" x14ac:dyDescent="0.35">
      <c r="I7856" s="63"/>
      <c r="J7856" s="63"/>
    </row>
    <row r="7857" spans="9:10" x14ac:dyDescent="0.35">
      <c r="I7857" s="63"/>
      <c r="J7857" s="63"/>
    </row>
    <row r="7858" spans="9:10" x14ac:dyDescent="0.35">
      <c r="I7858" s="63"/>
      <c r="J7858" s="63"/>
    </row>
    <row r="7859" spans="9:10" x14ac:dyDescent="0.35">
      <c r="I7859" s="63"/>
      <c r="J7859" s="63"/>
    </row>
    <row r="7860" spans="9:10" x14ac:dyDescent="0.35">
      <c r="I7860" s="63"/>
      <c r="J7860" s="63"/>
    </row>
    <row r="7861" spans="9:10" x14ac:dyDescent="0.35">
      <c r="I7861" s="63"/>
      <c r="J7861" s="63"/>
    </row>
    <row r="7862" spans="9:10" x14ac:dyDescent="0.35">
      <c r="I7862" s="63"/>
      <c r="J7862" s="63"/>
    </row>
    <row r="7863" spans="9:10" x14ac:dyDescent="0.35">
      <c r="I7863" s="63"/>
      <c r="J7863" s="63"/>
    </row>
    <row r="7864" spans="9:10" x14ac:dyDescent="0.35">
      <c r="I7864" s="63"/>
      <c r="J7864" s="63"/>
    </row>
    <row r="7865" spans="9:10" x14ac:dyDescent="0.35">
      <c r="I7865" s="63"/>
      <c r="J7865" s="63"/>
    </row>
    <row r="7866" spans="9:10" x14ac:dyDescent="0.35">
      <c r="I7866" s="63"/>
      <c r="J7866" s="63"/>
    </row>
    <row r="7867" spans="9:10" x14ac:dyDescent="0.35">
      <c r="I7867" s="63"/>
      <c r="J7867" s="63"/>
    </row>
    <row r="7868" spans="9:10" x14ac:dyDescent="0.35">
      <c r="I7868" s="63"/>
      <c r="J7868" s="63"/>
    </row>
    <row r="7869" spans="9:10" x14ac:dyDescent="0.35">
      <c r="I7869" s="63"/>
      <c r="J7869" s="63"/>
    </row>
    <row r="7870" spans="9:10" x14ac:dyDescent="0.35">
      <c r="I7870" s="63"/>
      <c r="J7870" s="63"/>
    </row>
    <row r="7871" spans="9:10" x14ac:dyDescent="0.35">
      <c r="I7871" s="63"/>
      <c r="J7871" s="63"/>
    </row>
    <row r="7872" spans="9:10" x14ac:dyDescent="0.35">
      <c r="I7872" s="63"/>
      <c r="J7872" s="63"/>
    </row>
    <row r="7873" spans="9:10" x14ac:dyDescent="0.35">
      <c r="I7873" s="63"/>
      <c r="J7873" s="63"/>
    </row>
    <row r="7874" spans="9:10" x14ac:dyDescent="0.35">
      <c r="I7874" s="63"/>
      <c r="J7874" s="63"/>
    </row>
    <row r="7875" spans="9:10" x14ac:dyDescent="0.35">
      <c r="I7875" s="63"/>
      <c r="J7875" s="63"/>
    </row>
    <row r="7876" spans="9:10" x14ac:dyDescent="0.35">
      <c r="I7876" s="63"/>
      <c r="J7876" s="63"/>
    </row>
    <row r="7877" spans="9:10" x14ac:dyDescent="0.35">
      <c r="I7877" s="63"/>
      <c r="J7877" s="63"/>
    </row>
    <row r="7878" spans="9:10" x14ac:dyDescent="0.35">
      <c r="I7878" s="63"/>
      <c r="J7878" s="63"/>
    </row>
    <row r="7879" spans="9:10" x14ac:dyDescent="0.35">
      <c r="I7879" s="63"/>
      <c r="J7879" s="63"/>
    </row>
    <row r="7880" spans="9:10" x14ac:dyDescent="0.35">
      <c r="I7880" s="63"/>
      <c r="J7880" s="63"/>
    </row>
    <row r="7881" spans="9:10" x14ac:dyDescent="0.35">
      <c r="I7881" s="63"/>
      <c r="J7881" s="63"/>
    </row>
    <row r="7882" spans="9:10" x14ac:dyDescent="0.35">
      <c r="I7882" s="63"/>
      <c r="J7882" s="63"/>
    </row>
    <row r="7883" spans="9:10" x14ac:dyDescent="0.35">
      <c r="I7883" s="63"/>
      <c r="J7883" s="63"/>
    </row>
    <row r="7884" spans="9:10" x14ac:dyDescent="0.35">
      <c r="I7884" s="63"/>
      <c r="J7884" s="63"/>
    </row>
    <row r="7885" spans="9:10" x14ac:dyDescent="0.35">
      <c r="I7885" s="63"/>
      <c r="J7885" s="63"/>
    </row>
    <row r="7886" spans="9:10" x14ac:dyDescent="0.35">
      <c r="I7886" s="63"/>
      <c r="J7886" s="63"/>
    </row>
    <row r="7887" spans="9:10" x14ac:dyDescent="0.35">
      <c r="I7887" s="63"/>
      <c r="J7887" s="63"/>
    </row>
    <row r="7888" spans="9:10" x14ac:dyDescent="0.35">
      <c r="I7888" s="63"/>
      <c r="J7888" s="63"/>
    </row>
    <row r="7889" spans="9:10" x14ac:dyDescent="0.35">
      <c r="I7889" s="63"/>
      <c r="J7889" s="63"/>
    </row>
    <row r="7890" spans="9:10" x14ac:dyDescent="0.35">
      <c r="I7890" s="63"/>
      <c r="J7890" s="63"/>
    </row>
    <row r="7891" spans="9:10" x14ac:dyDescent="0.35">
      <c r="I7891" s="63"/>
      <c r="J7891" s="63"/>
    </row>
    <row r="7892" spans="9:10" x14ac:dyDescent="0.35">
      <c r="I7892" s="63"/>
      <c r="J7892" s="63"/>
    </row>
    <row r="7893" spans="9:10" x14ac:dyDescent="0.35">
      <c r="I7893" s="63"/>
      <c r="J7893" s="63"/>
    </row>
    <row r="7894" spans="9:10" x14ac:dyDescent="0.35">
      <c r="I7894" s="63"/>
      <c r="J7894" s="63"/>
    </row>
    <row r="7895" spans="9:10" x14ac:dyDescent="0.35">
      <c r="I7895" s="63"/>
      <c r="J7895" s="63"/>
    </row>
    <row r="7896" spans="9:10" x14ac:dyDescent="0.35">
      <c r="I7896" s="63"/>
      <c r="J7896" s="63"/>
    </row>
    <row r="7897" spans="9:10" x14ac:dyDescent="0.35">
      <c r="I7897" s="63"/>
      <c r="J7897" s="63"/>
    </row>
    <row r="7898" spans="9:10" x14ac:dyDescent="0.35">
      <c r="I7898" s="63"/>
      <c r="J7898" s="63"/>
    </row>
    <row r="7899" spans="9:10" x14ac:dyDescent="0.35">
      <c r="I7899" s="63"/>
      <c r="J7899" s="63"/>
    </row>
    <row r="7900" spans="9:10" x14ac:dyDescent="0.35">
      <c r="I7900" s="63"/>
      <c r="J7900" s="63"/>
    </row>
    <row r="7901" spans="9:10" x14ac:dyDescent="0.35">
      <c r="I7901" s="63"/>
      <c r="J7901" s="63"/>
    </row>
    <row r="7902" spans="9:10" x14ac:dyDescent="0.35">
      <c r="I7902" s="63"/>
      <c r="J7902" s="63"/>
    </row>
    <row r="7903" spans="9:10" x14ac:dyDescent="0.35">
      <c r="I7903" s="63"/>
      <c r="J7903" s="63"/>
    </row>
    <row r="7904" spans="9:10" x14ac:dyDescent="0.35">
      <c r="I7904" s="63"/>
      <c r="J7904" s="63"/>
    </row>
    <row r="7905" spans="9:10" x14ac:dyDescent="0.35">
      <c r="I7905" s="63"/>
      <c r="J7905" s="63"/>
    </row>
    <row r="7906" spans="9:10" x14ac:dyDescent="0.35">
      <c r="I7906" s="63"/>
      <c r="J7906" s="63"/>
    </row>
    <row r="7907" spans="9:10" x14ac:dyDescent="0.35">
      <c r="I7907" s="63"/>
      <c r="J7907" s="63"/>
    </row>
    <row r="7908" spans="9:10" x14ac:dyDescent="0.35">
      <c r="I7908" s="63"/>
      <c r="J7908" s="63"/>
    </row>
    <row r="7909" spans="9:10" x14ac:dyDescent="0.35">
      <c r="I7909" s="63"/>
      <c r="J7909" s="63"/>
    </row>
    <row r="7910" spans="9:10" x14ac:dyDescent="0.35">
      <c r="I7910" s="63"/>
      <c r="J7910" s="63"/>
    </row>
    <row r="7911" spans="9:10" x14ac:dyDescent="0.35">
      <c r="I7911" s="63"/>
      <c r="J7911" s="63"/>
    </row>
    <row r="7912" spans="9:10" x14ac:dyDescent="0.35">
      <c r="I7912" s="63"/>
      <c r="J7912" s="63"/>
    </row>
    <row r="7913" spans="9:10" x14ac:dyDescent="0.35">
      <c r="I7913" s="63"/>
      <c r="J7913" s="63"/>
    </row>
    <row r="7914" spans="9:10" x14ac:dyDescent="0.35">
      <c r="I7914" s="63"/>
      <c r="J7914" s="63"/>
    </row>
    <row r="7915" spans="9:10" x14ac:dyDescent="0.35">
      <c r="I7915" s="63"/>
      <c r="J7915" s="63"/>
    </row>
    <row r="7916" spans="9:10" x14ac:dyDescent="0.35">
      <c r="I7916" s="63"/>
      <c r="J7916" s="63"/>
    </row>
    <row r="7917" spans="9:10" x14ac:dyDescent="0.35">
      <c r="I7917" s="63"/>
      <c r="J7917" s="63"/>
    </row>
    <row r="7918" spans="9:10" x14ac:dyDescent="0.35">
      <c r="I7918" s="63"/>
      <c r="J7918" s="63"/>
    </row>
    <row r="7919" spans="9:10" x14ac:dyDescent="0.35">
      <c r="I7919" s="63"/>
      <c r="J7919" s="63"/>
    </row>
    <row r="7920" spans="9:10" x14ac:dyDescent="0.35">
      <c r="I7920" s="63"/>
      <c r="J7920" s="63"/>
    </row>
    <row r="7921" spans="9:10" x14ac:dyDescent="0.35">
      <c r="I7921" s="63"/>
      <c r="J7921" s="63"/>
    </row>
    <row r="7922" spans="9:10" x14ac:dyDescent="0.35">
      <c r="I7922" s="63"/>
      <c r="J7922" s="63"/>
    </row>
    <row r="7923" spans="9:10" x14ac:dyDescent="0.35">
      <c r="I7923" s="63"/>
      <c r="J7923" s="63"/>
    </row>
    <row r="7924" spans="9:10" x14ac:dyDescent="0.35">
      <c r="I7924" s="63"/>
      <c r="J7924" s="63"/>
    </row>
    <row r="7925" spans="9:10" x14ac:dyDescent="0.35">
      <c r="I7925" s="63"/>
      <c r="J7925" s="63"/>
    </row>
    <row r="7926" spans="9:10" x14ac:dyDescent="0.35">
      <c r="I7926" s="63"/>
      <c r="J7926" s="63"/>
    </row>
    <row r="7927" spans="9:10" x14ac:dyDescent="0.35">
      <c r="I7927" s="63"/>
      <c r="J7927" s="63"/>
    </row>
    <row r="7928" spans="9:10" x14ac:dyDescent="0.35">
      <c r="I7928" s="63"/>
      <c r="J7928" s="63"/>
    </row>
    <row r="7929" spans="9:10" x14ac:dyDescent="0.35">
      <c r="I7929" s="63"/>
      <c r="J7929" s="63"/>
    </row>
    <row r="7930" spans="9:10" x14ac:dyDescent="0.35">
      <c r="I7930" s="63"/>
      <c r="J7930" s="63"/>
    </row>
    <row r="7931" spans="9:10" x14ac:dyDescent="0.35">
      <c r="I7931" s="63"/>
      <c r="J7931" s="63"/>
    </row>
    <row r="7932" spans="9:10" x14ac:dyDescent="0.35">
      <c r="I7932" s="63"/>
      <c r="J7932" s="63"/>
    </row>
    <row r="7933" spans="9:10" x14ac:dyDescent="0.35">
      <c r="I7933" s="63"/>
      <c r="J7933" s="63"/>
    </row>
    <row r="7934" spans="9:10" x14ac:dyDescent="0.35">
      <c r="I7934" s="63"/>
      <c r="J7934" s="63"/>
    </row>
    <row r="7935" spans="9:10" x14ac:dyDescent="0.35">
      <c r="I7935" s="63"/>
      <c r="J7935" s="63"/>
    </row>
    <row r="7936" spans="9:10" x14ac:dyDescent="0.35">
      <c r="I7936" s="63"/>
      <c r="J7936" s="63"/>
    </row>
    <row r="7937" spans="9:10" x14ac:dyDescent="0.35">
      <c r="I7937" s="63"/>
      <c r="J7937" s="63"/>
    </row>
    <row r="7938" spans="9:10" x14ac:dyDescent="0.35">
      <c r="I7938" s="63"/>
      <c r="J7938" s="63"/>
    </row>
    <row r="7939" spans="9:10" x14ac:dyDescent="0.35">
      <c r="I7939" s="63"/>
      <c r="J7939" s="63"/>
    </row>
    <row r="7940" spans="9:10" x14ac:dyDescent="0.35">
      <c r="I7940" s="63"/>
      <c r="J7940" s="63"/>
    </row>
    <row r="7941" spans="9:10" x14ac:dyDescent="0.35">
      <c r="I7941" s="63"/>
      <c r="J7941" s="63"/>
    </row>
    <row r="7942" spans="9:10" x14ac:dyDescent="0.35">
      <c r="I7942" s="63"/>
      <c r="J7942" s="63"/>
    </row>
    <row r="7943" spans="9:10" x14ac:dyDescent="0.35">
      <c r="I7943" s="63"/>
      <c r="J7943" s="63"/>
    </row>
    <row r="7944" spans="9:10" x14ac:dyDescent="0.35">
      <c r="I7944" s="63"/>
      <c r="J7944" s="63"/>
    </row>
    <row r="7945" spans="9:10" x14ac:dyDescent="0.35">
      <c r="I7945" s="63"/>
      <c r="J7945" s="63"/>
    </row>
    <row r="7946" spans="9:10" x14ac:dyDescent="0.35">
      <c r="I7946" s="63"/>
      <c r="J7946" s="63"/>
    </row>
    <row r="7947" spans="9:10" x14ac:dyDescent="0.35">
      <c r="I7947" s="63"/>
      <c r="J7947" s="63"/>
    </row>
    <row r="7948" spans="9:10" x14ac:dyDescent="0.35">
      <c r="I7948" s="63"/>
      <c r="J7948" s="63"/>
    </row>
    <row r="7949" spans="9:10" x14ac:dyDescent="0.35">
      <c r="I7949" s="63"/>
      <c r="J7949" s="63"/>
    </row>
    <row r="7950" spans="9:10" x14ac:dyDescent="0.35">
      <c r="I7950" s="63"/>
      <c r="J7950" s="63"/>
    </row>
    <row r="7951" spans="9:10" x14ac:dyDescent="0.35">
      <c r="I7951" s="63"/>
      <c r="J7951" s="63"/>
    </row>
    <row r="7952" spans="9:10" x14ac:dyDescent="0.35">
      <c r="I7952" s="63"/>
      <c r="J7952" s="63"/>
    </row>
    <row r="7953" spans="9:10" x14ac:dyDescent="0.35">
      <c r="I7953" s="63"/>
      <c r="J7953" s="63"/>
    </row>
    <row r="7954" spans="9:10" x14ac:dyDescent="0.35">
      <c r="I7954" s="63"/>
      <c r="J7954" s="63"/>
    </row>
    <row r="7955" spans="9:10" x14ac:dyDescent="0.35">
      <c r="I7955" s="63"/>
      <c r="J7955" s="63"/>
    </row>
    <row r="7956" spans="9:10" x14ac:dyDescent="0.35">
      <c r="I7956" s="63"/>
      <c r="J7956" s="63"/>
    </row>
    <row r="7957" spans="9:10" x14ac:dyDescent="0.35">
      <c r="I7957" s="63"/>
      <c r="J7957" s="63"/>
    </row>
    <row r="7958" spans="9:10" x14ac:dyDescent="0.35">
      <c r="I7958" s="63"/>
      <c r="J7958" s="63"/>
    </row>
    <row r="7959" spans="9:10" x14ac:dyDescent="0.35">
      <c r="I7959" s="63"/>
      <c r="J7959" s="63"/>
    </row>
    <row r="7960" spans="9:10" x14ac:dyDescent="0.35">
      <c r="I7960" s="63"/>
      <c r="J7960" s="63"/>
    </row>
    <row r="7961" spans="9:10" x14ac:dyDescent="0.35">
      <c r="I7961" s="63"/>
      <c r="J7961" s="63"/>
    </row>
    <row r="7962" spans="9:10" x14ac:dyDescent="0.35">
      <c r="I7962" s="63"/>
      <c r="J7962" s="63"/>
    </row>
    <row r="7963" spans="9:10" x14ac:dyDescent="0.35">
      <c r="I7963" s="63"/>
      <c r="J7963" s="63"/>
    </row>
    <row r="7964" spans="9:10" x14ac:dyDescent="0.35">
      <c r="I7964" s="63"/>
      <c r="J7964" s="63"/>
    </row>
    <row r="7965" spans="9:10" x14ac:dyDescent="0.35">
      <c r="I7965" s="63"/>
      <c r="J7965" s="63"/>
    </row>
    <row r="7966" spans="9:10" x14ac:dyDescent="0.35">
      <c r="I7966" s="63"/>
      <c r="J7966" s="63"/>
    </row>
    <row r="7967" spans="9:10" x14ac:dyDescent="0.35">
      <c r="I7967" s="63"/>
      <c r="J7967" s="63"/>
    </row>
    <row r="7968" spans="9:10" x14ac:dyDescent="0.35">
      <c r="I7968" s="63"/>
      <c r="J7968" s="63"/>
    </row>
    <row r="7969" spans="9:10" x14ac:dyDescent="0.35">
      <c r="I7969" s="63"/>
      <c r="J7969" s="63"/>
    </row>
    <row r="7970" spans="9:10" x14ac:dyDescent="0.35">
      <c r="I7970" s="63"/>
      <c r="J7970" s="63"/>
    </row>
    <row r="7971" spans="9:10" x14ac:dyDescent="0.35">
      <c r="I7971" s="63"/>
      <c r="J7971" s="63"/>
    </row>
    <row r="7972" spans="9:10" x14ac:dyDescent="0.35">
      <c r="I7972" s="63"/>
      <c r="J7972" s="63"/>
    </row>
    <row r="7973" spans="9:10" x14ac:dyDescent="0.35">
      <c r="I7973" s="63"/>
      <c r="J7973" s="63"/>
    </row>
    <row r="7974" spans="9:10" x14ac:dyDescent="0.35">
      <c r="I7974" s="63"/>
      <c r="J7974" s="63"/>
    </row>
    <row r="7975" spans="9:10" x14ac:dyDescent="0.35">
      <c r="I7975" s="63"/>
      <c r="J7975" s="63"/>
    </row>
    <row r="7976" spans="9:10" x14ac:dyDescent="0.35">
      <c r="I7976" s="63"/>
      <c r="J7976" s="63"/>
    </row>
    <row r="7977" spans="9:10" x14ac:dyDescent="0.35">
      <c r="I7977" s="63"/>
      <c r="J7977" s="63"/>
    </row>
    <row r="7978" spans="9:10" x14ac:dyDescent="0.35">
      <c r="I7978" s="63"/>
      <c r="J7978" s="63"/>
    </row>
    <row r="7979" spans="9:10" x14ac:dyDescent="0.35">
      <c r="I7979" s="63"/>
      <c r="J7979" s="63"/>
    </row>
    <row r="7980" spans="9:10" x14ac:dyDescent="0.35">
      <c r="I7980" s="63"/>
      <c r="J7980" s="63"/>
    </row>
    <row r="7981" spans="9:10" x14ac:dyDescent="0.35">
      <c r="I7981" s="63"/>
      <c r="J7981" s="63"/>
    </row>
    <row r="7982" spans="9:10" x14ac:dyDescent="0.35">
      <c r="I7982" s="63"/>
      <c r="J7982" s="63"/>
    </row>
    <row r="7983" spans="9:10" x14ac:dyDescent="0.35">
      <c r="I7983" s="63"/>
      <c r="J7983" s="63"/>
    </row>
    <row r="7984" spans="9:10" x14ac:dyDescent="0.35">
      <c r="I7984" s="63"/>
      <c r="J7984" s="63"/>
    </row>
    <row r="7985" spans="9:10" x14ac:dyDescent="0.35">
      <c r="I7985" s="63"/>
      <c r="J7985" s="63"/>
    </row>
    <row r="7986" spans="9:10" x14ac:dyDescent="0.35">
      <c r="I7986" s="63"/>
      <c r="J7986" s="63"/>
    </row>
    <row r="7987" spans="9:10" x14ac:dyDescent="0.35">
      <c r="I7987" s="63"/>
      <c r="J7987" s="63"/>
    </row>
    <row r="7988" spans="9:10" x14ac:dyDescent="0.35">
      <c r="I7988" s="63"/>
      <c r="J7988" s="63"/>
    </row>
    <row r="7989" spans="9:10" x14ac:dyDescent="0.35">
      <c r="I7989" s="63"/>
      <c r="J7989" s="63"/>
    </row>
    <row r="7990" spans="9:10" x14ac:dyDescent="0.35">
      <c r="I7990" s="63"/>
      <c r="J7990" s="63"/>
    </row>
    <row r="7991" spans="9:10" x14ac:dyDescent="0.35">
      <c r="I7991" s="63"/>
      <c r="J7991" s="63"/>
    </row>
    <row r="7992" spans="9:10" x14ac:dyDescent="0.35">
      <c r="I7992" s="63"/>
      <c r="J7992" s="63"/>
    </row>
    <row r="7993" spans="9:10" x14ac:dyDescent="0.35">
      <c r="I7993" s="63"/>
      <c r="J7993" s="63"/>
    </row>
    <row r="7994" spans="9:10" x14ac:dyDescent="0.35">
      <c r="I7994" s="63"/>
      <c r="J7994" s="63"/>
    </row>
    <row r="7995" spans="9:10" x14ac:dyDescent="0.35">
      <c r="I7995" s="63"/>
      <c r="J7995" s="63"/>
    </row>
    <row r="7996" spans="9:10" x14ac:dyDescent="0.35">
      <c r="I7996" s="63"/>
      <c r="J7996" s="63"/>
    </row>
    <row r="7997" spans="9:10" x14ac:dyDescent="0.35">
      <c r="I7997" s="63"/>
      <c r="J7997" s="63"/>
    </row>
    <row r="7998" spans="9:10" x14ac:dyDescent="0.35">
      <c r="I7998" s="63"/>
      <c r="J7998" s="63"/>
    </row>
    <row r="7999" spans="9:10" x14ac:dyDescent="0.35">
      <c r="I7999" s="63"/>
      <c r="J7999" s="63"/>
    </row>
    <row r="8000" spans="9:10" x14ac:dyDescent="0.35">
      <c r="I8000" s="63"/>
      <c r="J8000" s="63"/>
    </row>
    <row r="8001" spans="9:10" x14ac:dyDescent="0.35">
      <c r="I8001" s="63"/>
      <c r="J8001" s="63"/>
    </row>
    <row r="8002" spans="9:10" x14ac:dyDescent="0.35">
      <c r="I8002" s="63"/>
      <c r="J8002" s="63"/>
    </row>
    <row r="8003" spans="9:10" x14ac:dyDescent="0.35">
      <c r="I8003" s="63"/>
      <c r="J8003" s="63"/>
    </row>
    <row r="8004" spans="9:10" x14ac:dyDescent="0.35">
      <c r="I8004" s="63"/>
      <c r="J8004" s="63"/>
    </row>
    <row r="8005" spans="9:10" x14ac:dyDescent="0.35">
      <c r="I8005" s="63"/>
      <c r="J8005" s="63"/>
    </row>
    <row r="8006" spans="9:10" x14ac:dyDescent="0.35">
      <c r="I8006" s="63"/>
      <c r="J8006" s="63"/>
    </row>
    <row r="8007" spans="9:10" x14ac:dyDescent="0.35">
      <c r="I8007" s="63"/>
      <c r="J8007" s="63"/>
    </row>
    <row r="8008" spans="9:10" x14ac:dyDescent="0.35">
      <c r="I8008" s="63"/>
      <c r="J8008" s="63"/>
    </row>
    <row r="8009" spans="9:10" x14ac:dyDescent="0.35">
      <c r="I8009" s="63"/>
      <c r="J8009" s="63"/>
    </row>
    <row r="8010" spans="9:10" x14ac:dyDescent="0.35">
      <c r="I8010" s="63"/>
      <c r="J8010" s="63"/>
    </row>
    <row r="8011" spans="9:10" x14ac:dyDescent="0.35">
      <c r="I8011" s="63"/>
      <c r="J8011" s="63"/>
    </row>
    <row r="8012" spans="9:10" x14ac:dyDescent="0.35">
      <c r="I8012" s="63"/>
      <c r="J8012" s="63"/>
    </row>
    <row r="8013" spans="9:10" x14ac:dyDescent="0.35">
      <c r="I8013" s="63"/>
      <c r="J8013" s="63"/>
    </row>
    <row r="8014" spans="9:10" x14ac:dyDescent="0.35">
      <c r="I8014" s="63"/>
      <c r="J8014" s="63"/>
    </row>
    <row r="8015" spans="9:10" x14ac:dyDescent="0.35">
      <c r="I8015" s="63"/>
      <c r="J8015" s="63"/>
    </row>
    <row r="8016" spans="9:10" x14ac:dyDescent="0.35">
      <c r="I8016" s="63"/>
      <c r="J8016" s="63"/>
    </row>
    <row r="8017" spans="9:10" x14ac:dyDescent="0.35">
      <c r="I8017" s="63"/>
      <c r="J8017" s="63"/>
    </row>
    <row r="8018" spans="9:10" x14ac:dyDescent="0.35">
      <c r="I8018" s="63"/>
      <c r="J8018" s="63"/>
    </row>
    <row r="8019" spans="9:10" x14ac:dyDescent="0.35">
      <c r="I8019" s="63"/>
      <c r="J8019" s="63"/>
    </row>
    <row r="8020" spans="9:10" x14ac:dyDescent="0.35">
      <c r="I8020" s="63"/>
      <c r="J8020" s="63"/>
    </row>
    <row r="8021" spans="9:10" x14ac:dyDescent="0.35">
      <c r="I8021" s="63"/>
      <c r="J8021" s="63"/>
    </row>
    <row r="8022" spans="9:10" x14ac:dyDescent="0.35">
      <c r="I8022" s="63"/>
      <c r="J8022" s="63"/>
    </row>
    <row r="8023" spans="9:10" x14ac:dyDescent="0.35">
      <c r="I8023" s="63"/>
      <c r="J8023" s="63"/>
    </row>
    <row r="8024" spans="9:10" x14ac:dyDescent="0.35">
      <c r="I8024" s="63"/>
      <c r="J8024" s="63"/>
    </row>
    <row r="8025" spans="9:10" x14ac:dyDescent="0.35">
      <c r="I8025" s="63"/>
      <c r="J8025" s="63"/>
    </row>
    <row r="8026" spans="9:10" x14ac:dyDescent="0.35">
      <c r="I8026" s="63"/>
      <c r="J8026" s="63"/>
    </row>
    <row r="8027" spans="9:10" x14ac:dyDescent="0.35">
      <c r="I8027" s="63"/>
      <c r="J8027" s="63"/>
    </row>
    <row r="8028" spans="9:10" x14ac:dyDescent="0.35">
      <c r="I8028" s="63"/>
      <c r="J8028" s="63"/>
    </row>
    <row r="8029" spans="9:10" x14ac:dyDescent="0.35">
      <c r="I8029" s="63"/>
      <c r="J8029" s="63"/>
    </row>
    <row r="8030" spans="9:10" x14ac:dyDescent="0.35">
      <c r="I8030" s="63"/>
      <c r="J8030" s="63"/>
    </row>
    <row r="8031" spans="9:10" x14ac:dyDescent="0.35">
      <c r="I8031" s="63"/>
      <c r="J8031" s="63"/>
    </row>
    <row r="8032" spans="9:10" x14ac:dyDescent="0.35">
      <c r="I8032" s="63"/>
      <c r="J8032" s="63"/>
    </row>
    <row r="8033" spans="9:10" x14ac:dyDescent="0.35">
      <c r="I8033" s="63"/>
      <c r="J8033" s="63"/>
    </row>
    <row r="8034" spans="9:10" x14ac:dyDescent="0.35">
      <c r="I8034" s="63"/>
      <c r="J8034" s="63"/>
    </row>
    <row r="8035" spans="9:10" x14ac:dyDescent="0.35">
      <c r="I8035" s="63"/>
      <c r="J8035" s="63"/>
    </row>
    <row r="8036" spans="9:10" x14ac:dyDescent="0.35">
      <c r="I8036" s="63"/>
      <c r="J8036" s="63"/>
    </row>
    <row r="8037" spans="9:10" x14ac:dyDescent="0.35">
      <c r="I8037" s="63"/>
      <c r="J8037" s="63"/>
    </row>
    <row r="8038" spans="9:10" x14ac:dyDescent="0.35">
      <c r="I8038" s="63"/>
      <c r="J8038" s="63"/>
    </row>
    <row r="8039" spans="9:10" x14ac:dyDescent="0.35">
      <c r="I8039" s="63"/>
      <c r="J8039" s="63"/>
    </row>
    <row r="8040" spans="9:10" x14ac:dyDescent="0.35">
      <c r="I8040" s="63"/>
      <c r="J8040" s="63"/>
    </row>
    <row r="8041" spans="9:10" x14ac:dyDescent="0.35">
      <c r="I8041" s="63"/>
      <c r="J8041" s="63"/>
    </row>
    <row r="8042" spans="9:10" x14ac:dyDescent="0.35">
      <c r="I8042" s="63"/>
      <c r="J8042" s="63"/>
    </row>
    <row r="8043" spans="9:10" x14ac:dyDescent="0.35">
      <c r="I8043" s="63"/>
      <c r="J8043" s="63"/>
    </row>
    <row r="8044" spans="9:10" x14ac:dyDescent="0.35">
      <c r="I8044" s="63"/>
      <c r="J8044" s="63"/>
    </row>
    <row r="8045" spans="9:10" x14ac:dyDescent="0.35">
      <c r="I8045" s="63"/>
      <c r="J8045" s="63"/>
    </row>
    <row r="8046" spans="9:10" x14ac:dyDescent="0.35">
      <c r="I8046" s="63"/>
      <c r="J8046" s="63"/>
    </row>
    <row r="8047" spans="9:10" x14ac:dyDescent="0.35">
      <c r="I8047" s="63"/>
      <c r="J8047" s="63"/>
    </row>
    <row r="8048" spans="9:10" x14ac:dyDescent="0.35">
      <c r="I8048" s="63"/>
      <c r="J8048" s="63"/>
    </row>
    <row r="8049" spans="9:10" x14ac:dyDescent="0.35">
      <c r="I8049" s="63"/>
      <c r="J8049" s="63"/>
    </row>
    <row r="8050" spans="9:10" x14ac:dyDescent="0.35">
      <c r="I8050" s="63"/>
      <c r="J8050" s="63"/>
    </row>
    <row r="8051" spans="9:10" x14ac:dyDescent="0.35">
      <c r="I8051" s="63"/>
      <c r="J8051" s="63"/>
    </row>
    <row r="8052" spans="9:10" x14ac:dyDescent="0.35">
      <c r="I8052" s="63"/>
      <c r="J8052" s="63"/>
    </row>
    <row r="8053" spans="9:10" x14ac:dyDescent="0.35">
      <c r="I8053" s="63"/>
      <c r="J8053" s="63"/>
    </row>
    <row r="8054" spans="9:10" x14ac:dyDescent="0.35">
      <c r="I8054" s="63"/>
      <c r="J8054" s="63"/>
    </row>
    <row r="8055" spans="9:10" x14ac:dyDescent="0.35">
      <c r="I8055" s="63"/>
      <c r="J8055" s="63"/>
    </row>
    <row r="8056" spans="9:10" x14ac:dyDescent="0.35">
      <c r="I8056" s="63"/>
      <c r="J8056" s="63"/>
    </row>
    <row r="8057" spans="9:10" x14ac:dyDescent="0.35">
      <c r="I8057" s="63"/>
      <c r="J8057" s="63"/>
    </row>
    <row r="8058" spans="9:10" x14ac:dyDescent="0.35">
      <c r="I8058" s="63"/>
      <c r="J8058" s="63"/>
    </row>
    <row r="8059" spans="9:10" x14ac:dyDescent="0.35">
      <c r="I8059" s="63"/>
      <c r="J8059" s="63"/>
    </row>
    <row r="8060" spans="9:10" x14ac:dyDescent="0.35">
      <c r="I8060" s="63"/>
      <c r="J8060" s="63"/>
    </row>
    <row r="8061" spans="9:10" x14ac:dyDescent="0.35">
      <c r="I8061" s="63"/>
      <c r="J8061" s="63"/>
    </row>
    <row r="8062" spans="9:10" x14ac:dyDescent="0.35">
      <c r="I8062" s="63"/>
      <c r="J8062" s="63"/>
    </row>
    <row r="8063" spans="9:10" x14ac:dyDescent="0.35">
      <c r="I8063" s="63"/>
      <c r="J8063" s="63"/>
    </row>
    <row r="8064" spans="9:10" x14ac:dyDescent="0.35">
      <c r="I8064" s="63"/>
      <c r="J8064" s="63"/>
    </row>
    <row r="8065" spans="9:10" x14ac:dyDescent="0.35">
      <c r="I8065" s="63"/>
      <c r="J8065" s="63"/>
    </row>
    <row r="8066" spans="9:10" x14ac:dyDescent="0.35">
      <c r="I8066" s="63"/>
      <c r="J8066" s="63"/>
    </row>
    <row r="8067" spans="9:10" x14ac:dyDescent="0.35">
      <c r="I8067" s="63"/>
      <c r="J8067" s="63"/>
    </row>
    <row r="8068" spans="9:10" x14ac:dyDescent="0.35">
      <c r="I8068" s="63"/>
      <c r="J8068" s="63"/>
    </row>
    <row r="8069" spans="9:10" x14ac:dyDescent="0.35">
      <c r="I8069" s="63"/>
      <c r="J8069" s="63"/>
    </row>
    <row r="8070" spans="9:10" x14ac:dyDescent="0.35">
      <c r="I8070" s="63"/>
      <c r="J8070" s="63"/>
    </row>
    <row r="8071" spans="9:10" x14ac:dyDescent="0.35">
      <c r="I8071" s="63"/>
      <c r="J8071" s="63"/>
    </row>
    <row r="8072" spans="9:10" x14ac:dyDescent="0.35">
      <c r="I8072" s="63"/>
      <c r="J8072" s="63"/>
    </row>
    <row r="8073" spans="9:10" x14ac:dyDescent="0.35">
      <c r="I8073" s="63"/>
      <c r="J8073" s="63"/>
    </row>
    <row r="8074" spans="9:10" x14ac:dyDescent="0.35">
      <c r="I8074" s="63"/>
      <c r="J8074" s="63"/>
    </row>
    <row r="8075" spans="9:10" x14ac:dyDescent="0.35">
      <c r="I8075" s="63"/>
      <c r="J8075" s="63"/>
    </row>
    <row r="8076" spans="9:10" x14ac:dyDescent="0.35">
      <c r="I8076" s="63"/>
      <c r="J8076" s="63"/>
    </row>
    <row r="8077" spans="9:10" x14ac:dyDescent="0.35">
      <c r="I8077" s="63"/>
      <c r="J8077" s="63"/>
    </row>
    <row r="8078" spans="9:10" x14ac:dyDescent="0.35">
      <c r="I8078" s="63"/>
      <c r="J8078" s="63"/>
    </row>
    <row r="8079" spans="9:10" x14ac:dyDescent="0.35">
      <c r="I8079" s="63"/>
      <c r="J8079" s="63"/>
    </row>
    <row r="8080" spans="9:10" x14ac:dyDescent="0.35">
      <c r="I8080" s="63"/>
      <c r="J8080" s="63"/>
    </row>
    <row r="8081" spans="9:10" x14ac:dyDescent="0.35">
      <c r="I8081" s="63"/>
      <c r="J8081" s="63"/>
    </row>
    <row r="8082" spans="9:10" x14ac:dyDescent="0.35">
      <c r="I8082" s="63"/>
      <c r="J8082" s="63"/>
    </row>
    <row r="8083" spans="9:10" x14ac:dyDescent="0.35">
      <c r="I8083" s="63"/>
      <c r="J8083" s="63"/>
    </row>
    <row r="8084" spans="9:10" x14ac:dyDescent="0.35">
      <c r="I8084" s="63"/>
      <c r="J8084" s="63"/>
    </row>
    <row r="8085" spans="9:10" x14ac:dyDescent="0.35">
      <c r="I8085" s="63"/>
      <c r="J8085" s="63"/>
    </row>
    <row r="8086" spans="9:10" x14ac:dyDescent="0.35">
      <c r="I8086" s="63"/>
      <c r="J8086" s="63"/>
    </row>
    <row r="8087" spans="9:10" x14ac:dyDescent="0.35">
      <c r="I8087" s="63"/>
      <c r="J8087" s="63"/>
    </row>
    <row r="8088" spans="9:10" x14ac:dyDescent="0.35">
      <c r="I8088" s="63"/>
      <c r="J8088" s="63"/>
    </row>
    <row r="8089" spans="9:10" x14ac:dyDescent="0.35">
      <c r="I8089" s="63"/>
      <c r="J8089" s="63"/>
    </row>
    <row r="8090" spans="9:10" x14ac:dyDescent="0.35">
      <c r="I8090" s="63"/>
      <c r="J8090" s="63"/>
    </row>
    <row r="8091" spans="9:10" x14ac:dyDescent="0.35">
      <c r="I8091" s="63"/>
      <c r="J8091" s="63"/>
    </row>
    <row r="8092" spans="9:10" x14ac:dyDescent="0.35">
      <c r="I8092" s="63"/>
      <c r="J8092" s="63"/>
    </row>
    <row r="8093" spans="9:10" x14ac:dyDescent="0.35">
      <c r="I8093" s="63"/>
      <c r="J8093" s="63"/>
    </row>
    <row r="8094" spans="9:10" x14ac:dyDescent="0.35">
      <c r="I8094" s="63"/>
      <c r="J8094" s="63"/>
    </row>
    <row r="8095" spans="9:10" x14ac:dyDescent="0.35">
      <c r="I8095" s="63"/>
      <c r="J8095" s="63"/>
    </row>
    <row r="8096" spans="9:10" x14ac:dyDescent="0.35">
      <c r="I8096" s="63"/>
      <c r="J8096" s="63"/>
    </row>
    <row r="8097" spans="9:10" x14ac:dyDescent="0.35">
      <c r="I8097" s="63"/>
      <c r="J8097" s="63"/>
    </row>
    <row r="8098" spans="9:10" x14ac:dyDescent="0.35">
      <c r="I8098" s="63"/>
      <c r="J8098" s="63"/>
    </row>
    <row r="8099" spans="9:10" x14ac:dyDescent="0.35">
      <c r="I8099" s="63"/>
      <c r="J8099" s="63"/>
    </row>
    <row r="8100" spans="9:10" x14ac:dyDescent="0.35">
      <c r="I8100" s="63"/>
      <c r="J8100" s="63"/>
    </row>
    <row r="8101" spans="9:10" x14ac:dyDescent="0.35">
      <c r="I8101" s="63"/>
      <c r="J8101" s="63"/>
    </row>
    <row r="8102" spans="9:10" x14ac:dyDescent="0.35">
      <c r="I8102" s="63"/>
      <c r="J8102" s="63"/>
    </row>
    <row r="8103" spans="9:10" x14ac:dyDescent="0.35">
      <c r="I8103" s="63"/>
      <c r="J8103" s="63"/>
    </row>
    <row r="8104" spans="9:10" x14ac:dyDescent="0.35">
      <c r="I8104" s="63"/>
      <c r="J8104" s="63"/>
    </row>
    <row r="8105" spans="9:10" x14ac:dyDescent="0.35">
      <c r="I8105" s="63"/>
      <c r="J8105" s="63"/>
    </row>
    <row r="8106" spans="9:10" x14ac:dyDescent="0.35">
      <c r="I8106" s="63"/>
      <c r="J8106" s="63"/>
    </row>
    <row r="8107" spans="9:10" x14ac:dyDescent="0.35">
      <c r="I8107" s="63"/>
      <c r="J8107" s="63"/>
    </row>
    <row r="8108" spans="9:10" x14ac:dyDescent="0.35">
      <c r="I8108" s="63"/>
      <c r="J8108" s="63"/>
    </row>
    <row r="8109" spans="9:10" x14ac:dyDescent="0.35">
      <c r="I8109" s="63"/>
      <c r="J8109" s="63"/>
    </row>
    <row r="8110" spans="9:10" x14ac:dyDescent="0.35">
      <c r="I8110" s="63"/>
      <c r="J8110" s="63"/>
    </row>
    <row r="8111" spans="9:10" x14ac:dyDescent="0.35">
      <c r="I8111" s="63"/>
      <c r="J8111" s="63"/>
    </row>
    <row r="8112" spans="9:10" x14ac:dyDescent="0.35">
      <c r="I8112" s="63"/>
      <c r="J8112" s="63"/>
    </row>
    <row r="8113" spans="9:10" x14ac:dyDescent="0.35">
      <c r="I8113" s="63"/>
      <c r="J8113" s="63"/>
    </row>
    <row r="8114" spans="9:10" x14ac:dyDescent="0.35">
      <c r="I8114" s="63"/>
      <c r="J8114" s="63"/>
    </row>
    <row r="8115" spans="9:10" x14ac:dyDescent="0.35">
      <c r="I8115" s="63"/>
      <c r="J8115" s="63"/>
    </row>
    <row r="8116" spans="9:10" x14ac:dyDescent="0.35">
      <c r="I8116" s="63"/>
      <c r="J8116" s="63"/>
    </row>
    <row r="8117" spans="9:10" x14ac:dyDescent="0.35">
      <c r="I8117" s="63"/>
      <c r="J8117" s="63"/>
    </row>
    <row r="8118" spans="9:10" x14ac:dyDescent="0.35">
      <c r="I8118" s="63"/>
      <c r="J8118" s="63"/>
    </row>
    <row r="8119" spans="9:10" x14ac:dyDescent="0.35">
      <c r="I8119" s="63"/>
      <c r="J8119" s="63"/>
    </row>
    <row r="8120" spans="9:10" x14ac:dyDescent="0.35">
      <c r="I8120" s="63"/>
      <c r="J8120" s="63"/>
    </row>
    <row r="8121" spans="9:10" x14ac:dyDescent="0.35">
      <c r="I8121" s="63"/>
      <c r="J8121" s="63"/>
    </row>
    <row r="8122" spans="9:10" x14ac:dyDescent="0.35">
      <c r="I8122" s="63"/>
      <c r="J8122" s="63"/>
    </row>
    <row r="8123" spans="9:10" x14ac:dyDescent="0.35">
      <c r="I8123" s="63"/>
      <c r="J8123" s="63"/>
    </row>
    <row r="8124" spans="9:10" x14ac:dyDescent="0.35">
      <c r="I8124" s="63"/>
      <c r="J8124" s="63"/>
    </row>
    <row r="8125" spans="9:10" x14ac:dyDescent="0.35">
      <c r="I8125" s="63"/>
      <c r="J8125" s="63"/>
    </row>
    <row r="8126" spans="9:10" x14ac:dyDescent="0.35">
      <c r="I8126" s="63"/>
      <c r="J8126" s="63"/>
    </row>
    <row r="8127" spans="9:10" x14ac:dyDescent="0.35">
      <c r="I8127" s="63"/>
      <c r="J8127" s="63"/>
    </row>
    <row r="8128" spans="9:10" x14ac:dyDescent="0.35">
      <c r="I8128" s="63"/>
      <c r="J8128" s="63"/>
    </row>
    <row r="8129" spans="9:10" x14ac:dyDescent="0.35">
      <c r="I8129" s="63"/>
      <c r="J8129" s="63"/>
    </row>
    <row r="8130" spans="9:10" x14ac:dyDescent="0.35">
      <c r="I8130" s="63"/>
      <c r="J8130" s="63"/>
    </row>
    <row r="8131" spans="9:10" x14ac:dyDescent="0.35">
      <c r="I8131" s="63"/>
      <c r="J8131" s="63"/>
    </row>
    <row r="8132" spans="9:10" x14ac:dyDescent="0.35">
      <c r="I8132" s="63"/>
      <c r="J8132" s="63"/>
    </row>
    <row r="8133" spans="9:10" x14ac:dyDescent="0.35">
      <c r="I8133" s="63"/>
      <c r="J8133" s="63"/>
    </row>
    <row r="8134" spans="9:10" x14ac:dyDescent="0.35">
      <c r="I8134" s="63"/>
      <c r="J8134" s="63"/>
    </row>
    <row r="8135" spans="9:10" x14ac:dyDescent="0.35">
      <c r="I8135" s="63"/>
      <c r="J8135" s="63"/>
    </row>
    <row r="8136" spans="9:10" x14ac:dyDescent="0.35">
      <c r="I8136" s="63"/>
      <c r="J8136" s="63"/>
    </row>
    <row r="8137" spans="9:10" x14ac:dyDescent="0.35">
      <c r="I8137" s="63"/>
      <c r="J8137" s="63"/>
    </row>
    <row r="8138" spans="9:10" x14ac:dyDescent="0.35">
      <c r="I8138" s="63"/>
      <c r="J8138" s="63"/>
    </row>
    <row r="8139" spans="9:10" x14ac:dyDescent="0.35">
      <c r="I8139" s="63"/>
      <c r="J8139" s="63"/>
    </row>
    <row r="8140" spans="9:10" x14ac:dyDescent="0.35">
      <c r="I8140" s="63"/>
      <c r="J8140" s="63"/>
    </row>
    <row r="8141" spans="9:10" x14ac:dyDescent="0.35">
      <c r="I8141" s="63"/>
      <c r="J8141" s="63"/>
    </row>
    <row r="8142" spans="9:10" x14ac:dyDescent="0.35">
      <c r="I8142" s="63"/>
      <c r="J8142" s="63"/>
    </row>
    <row r="8143" spans="9:10" x14ac:dyDescent="0.35">
      <c r="I8143" s="63"/>
      <c r="J8143" s="63"/>
    </row>
    <row r="8144" spans="9:10" x14ac:dyDescent="0.35">
      <c r="I8144" s="63"/>
      <c r="J8144" s="63"/>
    </row>
    <row r="8145" spans="9:10" x14ac:dyDescent="0.35">
      <c r="I8145" s="63"/>
      <c r="J8145" s="63"/>
    </row>
    <row r="8146" spans="9:10" x14ac:dyDescent="0.35">
      <c r="I8146" s="63"/>
      <c r="J8146" s="63"/>
    </row>
    <row r="8147" spans="9:10" x14ac:dyDescent="0.35">
      <c r="I8147" s="63"/>
      <c r="J8147" s="63"/>
    </row>
    <row r="8148" spans="9:10" x14ac:dyDescent="0.35">
      <c r="I8148" s="63"/>
      <c r="J8148" s="63"/>
    </row>
    <row r="8149" spans="9:10" x14ac:dyDescent="0.35">
      <c r="I8149" s="63"/>
      <c r="J8149" s="63"/>
    </row>
    <row r="8150" spans="9:10" x14ac:dyDescent="0.35">
      <c r="I8150" s="63"/>
      <c r="J8150" s="63"/>
    </row>
    <row r="8151" spans="9:10" x14ac:dyDescent="0.35">
      <c r="I8151" s="63"/>
      <c r="J8151" s="63"/>
    </row>
    <row r="8152" spans="9:10" x14ac:dyDescent="0.35">
      <c r="I8152" s="63"/>
      <c r="J8152" s="63"/>
    </row>
    <row r="8153" spans="9:10" x14ac:dyDescent="0.35">
      <c r="I8153" s="63"/>
      <c r="J8153" s="63"/>
    </row>
    <row r="8154" spans="9:10" x14ac:dyDescent="0.35">
      <c r="I8154" s="63"/>
      <c r="J8154" s="63"/>
    </row>
    <row r="8155" spans="9:10" x14ac:dyDescent="0.35">
      <c r="I8155" s="63"/>
      <c r="J8155" s="63"/>
    </row>
    <row r="8156" spans="9:10" x14ac:dyDescent="0.35">
      <c r="I8156" s="63"/>
      <c r="J8156" s="63"/>
    </row>
    <row r="8157" spans="9:10" x14ac:dyDescent="0.35">
      <c r="I8157" s="63"/>
      <c r="J8157" s="63"/>
    </row>
    <row r="8158" spans="9:10" x14ac:dyDescent="0.35">
      <c r="I8158" s="63"/>
      <c r="J8158" s="63"/>
    </row>
    <row r="8159" spans="9:10" x14ac:dyDescent="0.35">
      <c r="I8159" s="63"/>
      <c r="J8159" s="63"/>
    </row>
    <row r="8160" spans="9:10" x14ac:dyDescent="0.35">
      <c r="I8160" s="63"/>
      <c r="J8160" s="63"/>
    </row>
    <row r="8161" spans="9:10" x14ac:dyDescent="0.35">
      <c r="I8161" s="63"/>
      <c r="J8161" s="63"/>
    </row>
    <row r="8162" spans="9:10" x14ac:dyDescent="0.35">
      <c r="I8162" s="63"/>
      <c r="J8162" s="63"/>
    </row>
    <row r="8163" spans="9:10" x14ac:dyDescent="0.35">
      <c r="I8163" s="63"/>
      <c r="J8163" s="63"/>
    </row>
    <row r="8164" spans="9:10" x14ac:dyDescent="0.35">
      <c r="I8164" s="63"/>
      <c r="J8164" s="63"/>
    </row>
    <row r="8165" spans="9:10" x14ac:dyDescent="0.35">
      <c r="I8165" s="63"/>
      <c r="J8165" s="63"/>
    </row>
    <row r="8166" spans="9:10" x14ac:dyDescent="0.35">
      <c r="I8166" s="63"/>
      <c r="J8166" s="63"/>
    </row>
    <row r="8167" spans="9:10" x14ac:dyDescent="0.35">
      <c r="I8167" s="63"/>
      <c r="J8167" s="63"/>
    </row>
    <row r="8168" spans="9:10" x14ac:dyDescent="0.35">
      <c r="I8168" s="63"/>
      <c r="J8168" s="63"/>
    </row>
    <row r="8169" spans="9:10" x14ac:dyDescent="0.35">
      <c r="I8169" s="63"/>
      <c r="J8169" s="63"/>
    </row>
    <row r="8170" spans="9:10" x14ac:dyDescent="0.35">
      <c r="I8170" s="63"/>
      <c r="J8170" s="63"/>
    </row>
    <row r="8171" spans="9:10" x14ac:dyDescent="0.35">
      <c r="I8171" s="63"/>
      <c r="J8171" s="63"/>
    </row>
    <row r="8172" spans="9:10" x14ac:dyDescent="0.35">
      <c r="I8172" s="63"/>
      <c r="J8172" s="63"/>
    </row>
    <row r="8173" spans="9:10" x14ac:dyDescent="0.35">
      <c r="I8173" s="63"/>
      <c r="J8173" s="63"/>
    </row>
    <row r="8174" spans="9:10" x14ac:dyDescent="0.35">
      <c r="I8174" s="63"/>
      <c r="J8174" s="63"/>
    </row>
    <row r="8175" spans="9:10" x14ac:dyDescent="0.35">
      <c r="I8175" s="63"/>
      <c r="J8175" s="63"/>
    </row>
    <row r="8176" spans="9:10" x14ac:dyDescent="0.35">
      <c r="I8176" s="63"/>
      <c r="J8176" s="63"/>
    </row>
    <row r="8177" spans="9:10" x14ac:dyDescent="0.35">
      <c r="I8177" s="63"/>
      <c r="J8177" s="63"/>
    </row>
    <row r="8178" spans="9:10" x14ac:dyDescent="0.35">
      <c r="I8178" s="63"/>
      <c r="J8178" s="63"/>
    </row>
    <row r="8179" spans="9:10" x14ac:dyDescent="0.35">
      <c r="I8179" s="63"/>
      <c r="J8179" s="63"/>
    </row>
    <row r="8180" spans="9:10" x14ac:dyDescent="0.35">
      <c r="I8180" s="63"/>
      <c r="J8180" s="63"/>
    </row>
    <row r="8181" spans="9:10" x14ac:dyDescent="0.35">
      <c r="I8181" s="63"/>
      <c r="J8181" s="63"/>
    </row>
    <row r="8182" spans="9:10" x14ac:dyDescent="0.35">
      <c r="I8182" s="63"/>
      <c r="J8182" s="63"/>
    </row>
    <row r="8183" spans="9:10" x14ac:dyDescent="0.35">
      <c r="I8183" s="63"/>
      <c r="J8183" s="63"/>
    </row>
    <row r="8184" spans="9:10" x14ac:dyDescent="0.35">
      <c r="I8184" s="63"/>
      <c r="J8184" s="63"/>
    </row>
    <row r="8185" spans="9:10" x14ac:dyDescent="0.35">
      <c r="I8185" s="63"/>
      <c r="J8185" s="63"/>
    </row>
    <row r="8186" spans="9:10" x14ac:dyDescent="0.35">
      <c r="I8186" s="63"/>
      <c r="J8186" s="63"/>
    </row>
    <row r="8187" spans="9:10" x14ac:dyDescent="0.35">
      <c r="I8187" s="63"/>
      <c r="J8187" s="63"/>
    </row>
    <row r="8188" spans="9:10" x14ac:dyDescent="0.35">
      <c r="I8188" s="63"/>
      <c r="J8188" s="63"/>
    </row>
    <row r="8189" spans="9:10" x14ac:dyDescent="0.35">
      <c r="I8189" s="63"/>
      <c r="J8189" s="63"/>
    </row>
    <row r="8190" spans="9:10" x14ac:dyDescent="0.35">
      <c r="I8190" s="63"/>
      <c r="J8190" s="63"/>
    </row>
    <row r="8191" spans="9:10" x14ac:dyDescent="0.35">
      <c r="I8191" s="63"/>
      <c r="J8191" s="63"/>
    </row>
    <row r="8192" spans="9:10" x14ac:dyDescent="0.35">
      <c r="I8192" s="63"/>
      <c r="J8192" s="63"/>
    </row>
    <row r="8193" spans="9:10" x14ac:dyDescent="0.35">
      <c r="I8193" s="63"/>
      <c r="J8193" s="63"/>
    </row>
    <row r="8194" spans="9:10" x14ac:dyDescent="0.35">
      <c r="I8194" s="63"/>
      <c r="J8194" s="63"/>
    </row>
    <row r="8195" spans="9:10" x14ac:dyDescent="0.35">
      <c r="I8195" s="63"/>
      <c r="J8195" s="63"/>
    </row>
    <row r="8196" spans="9:10" x14ac:dyDescent="0.35">
      <c r="I8196" s="63"/>
      <c r="J8196" s="63"/>
    </row>
    <row r="8197" spans="9:10" x14ac:dyDescent="0.35">
      <c r="I8197" s="63"/>
      <c r="J8197" s="63"/>
    </row>
    <row r="8198" spans="9:10" x14ac:dyDescent="0.35">
      <c r="I8198" s="63"/>
      <c r="J8198" s="63"/>
    </row>
    <row r="8199" spans="9:10" x14ac:dyDescent="0.35">
      <c r="I8199" s="63"/>
      <c r="J8199" s="63"/>
    </row>
    <row r="8200" spans="9:10" x14ac:dyDescent="0.35">
      <c r="I8200" s="63"/>
      <c r="J8200" s="63"/>
    </row>
    <row r="8201" spans="9:10" x14ac:dyDescent="0.35">
      <c r="I8201" s="63"/>
      <c r="J8201" s="63"/>
    </row>
    <row r="8202" spans="9:10" x14ac:dyDescent="0.35">
      <c r="I8202" s="63"/>
      <c r="J8202" s="63"/>
    </row>
    <row r="8203" spans="9:10" x14ac:dyDescent="0.35">
      <c r="I8203" s="63"/>
      <c r="J8203" s="63"/>
    </row>
    <row r="8204" spans="9:10" x14ac:dyDescent="0.35">
      <c r="I8204" s="63"/>
      <c r="J8204" s="63"/>
    </row>
    <row r="8205" spans="9:10" x14ac:dyDescent="0.35">
      <c r="I8205" s="63"/>
      <c r="J8205" s="63"/>
    </row>
    <row r="8206" spans="9:10" x14ac:dyDescent="0.35">
      <c r="I8206" s="63"/>
      <c r="J8206" s="63"/>
    </row>
    <row r="8207" spans="9:10" x14ac:dyDescent="0.35">
      <c r="I8207" s="63"/>
      <c r="J8207" s="63"/>
    </row>
    <row r="8208" spans="9:10" x14ac:dyDescent="0.35">
      <c r="I8208" s="63"/>
      <c r="J8208" s="63"/>
    </row>
    <row r="8209" spans="9:10" x14ac:dyDescent="0.35">
      <c r="I8209" s="63"/>
      <c r="J8209" s="63"/>
    </row>
    <row r="8210" spans="9:10" x14ac:dyDescent="0.35">
      <c r="I8210" s="63"/>
      <c r="J8210" s="63"/>
    </row>
    <row r="8211" spans="9:10" x14ac:dyDescent="0.35">
      <c r="I8211" s="63"/>
      <c r="J8211" s="63"/>
    </row>
    <row r="8212" spans="9:10" x14ac:dyDescent="0.35">
      <c r="I8212" s="63"/>
      <c r="J8212" s="63"/>
    </row>
    <row r="8213" spans="9:10" x14ac:dyDescent="0.35">
      <c r="I8213" s="63"/>
      <c r="J8213" s="63"/>
    </row>
    <row r="8214" spans="9:10" x14ac:dyDescent="0.35">
      <c r="I8214" s="63"/>
      <c r="J8214" s="63"/>
    </row>
    <row r="8215" spans="9:10" x14ac:dyDescent="0.35">
      <c r="I8215" s="63"/>
      <c r="J8215" s="63"/>
    </row>
    <row r="8216" spans="9:10" x14ac:dyDescent="0.35">
      <c r="I8216" s="63"/>
      <c r="J8216" s="63"/>
    </row>
    <row r="8217" spans="9:10" x14ac:dyDescent="0.35">
      <c r="I8217" s="63"/>
      <c r="J8217" s="63"/>
    </row>
    <row r="8218" spans="9:10" x14ac:dyDescent="0.35">
      <c r="I8218" s="63"/>
      <c r="J8218" s="63"/>
    </row>
    <row r="8219" spans="9:10" x14ac:dyDescent="0.35">
      <c r="I8219" s="63"/>
      <c r="J8219" s="63"/>
    </row>
    <row r="8220" spans="9:10" x14ac:dyDescent="0.35">
      <c r="I8220" s="63"/>
      <c r="J8220" s="63"/>
    </row>
    <row r="8221" spans="9:10" x14ac:dyDescent="0.35">
      <c r="I8221" s="63"/>
      <c r="J8221" s="63"/>
    </row>
    <row r="8222" spans="9:10" x14ac:dyDescent="0.35">
      <c r="I8222" s="63"/>
      <c r="J8222" s="63"/>
    </row>
    <row r="8223" spans="9:10" x14ac:dyDescent="0.35">
      <c r="I8223" s="63"/>
      <c r="J8223" s="63"/>
    </row>
    <row r="8224" spans="9:10" x14ac:dyDescent="0.35">
      <c r="I8224" s="63"/>
      <c r="J8224" s="63"/>
    </row>
    <row r="8225" spans="9:10" x14ac:dyDescent="0.35">
      <c r="I8225" s="63"/>
      <c r="J8225" s="63"/>
    </row>
    <row r="8226" spans="9:10" x14ac:dyDescent="0.35">
      <c r="I8226" s="63"/>
      <c r="J8226" s="63"/>
    </row>
    <row r="8227" spans="9:10" x14ac:dyDescent="0.35">
      <c r="I8227" s="63"/>
      <c r="J8227" s="63"/>
    </row>
    <row r="8228" spans="9:10" x14ac:dyDescent="0.35">
      <c r="I8228" s="63"/>
      <c r="J8228" s="63"/>
    </row>
    <row r="8229" spans="9:10" x14ac:dyDescent="0.35">
      <c r="I8229" s="63"/>
      <c r="J8229" s="63"/>
    </row>
    <row r="8230" spans="9:10" x14ac:dyDescent="0.35">
      <c r="I8230" s="63"/>
      <c r="J8230" s="63"/>
    </row>
    <row r="8231" spans="9:10" x14ac:dyDescent="0.35">
      <c r="I8231" s="63"/>
      <c r="J8231" s="63"/>
    </row>
    <row r="8232" spans="9:10" x14ac:dyDescent="0.35">
      <c r="I8232" s="63"/>
      <c r="J8232" s="63"/>
    </row>
    <row r="8233" spans="9:10" x14ac:dyDescent="0.35">
      <c r="I8233" s="63"/>
      <c r="J8233" s="63"/>
    </row>
    <row r="8234" spans="9:10" x14ac:dyDescent="0.35">
      <c r="I8234" s="63"/>
      <c r="J8234" s="63"/>
    </row>
    <row r="8235" spans="9:10" x14ac:dyDescent="0.35">
      <c r="I8235" s="63"/>
      <c r="J8235" s="63"/>
    </row>
    <row r="8236" spans="9:10" x14ac:dyDescent="0.35">
      <c r="I8236" s="63"/>
      <c r="J8236" s="63"/>
    </row>
    <row r="8237" spans="9:10" x14ac:dyDescent="0.35">
      <c r="I8237" s="63"/>
      <c r="J8237" s="63"/>
    </row>
    <row r="8238" spans="9:10" x14ac:dyDescent="0.35">
      <c r="I8238" s="63"/>
      <c r="J8238" s="63"/>
    </row>
    <row r="8239" spans="9:10" x14ac:dyDescent="0.35">
      <c r="I8239" s="63"/>
      <c r="J8239" s="63"/>
    </row>
    <row r="8240" spans="9:10" x14ac:dyDescent="0.35">
      <c r="I8240" s="63"/>
      <c r="J8240" s="63"/>
    </row>
    <row r="8241" spans="9:10" x14ac:dyDescent="0.35">
      <c r="I8241" s="63"/>
      <c r="J8241" s="63"/>
    </row>
    <row r="8242" spans="9:10" x14ac:dyDescent="0.35">
      <c r="I8242" s="63"/>
      <c r="J8242" s="63"/>
    </row>
    <row r="8243" spans="9:10" x14ac:dyDescent="0.35">
      <c r="I8243" s="63"/>
      <c r="J8243" s="63"/>
    </row>
    <row r="8244" spans="9:10" x14ac:dyDescent="0.35">
      <c r="I8244" s="63"/>
      <c r="J8244" s="63"/>
    </row>
    <row r="8245" spans="9:10" x14ac:dyDescent="0.35">
      <c r="I8245" s="63"/>
      <c r="J8245" s="63"/>
    </row>
    <row r="8246" spans="9:10" x14ac:dyDescent="0.35">
      <c r="I8246" s="63"/>
      <c r="J8246" s="63"/>
    </row>
    <row r="8247" spans="9:10" x14ac:dyDescent="0.35">
      <c r="I8247" s="63"/>
      <c r="J8247" s="63"/>
    </row>
    <row r="8248" spans="9:10" x14ac:dyDescent="0.35">
      <c r="I8248" s="63"/>
      <c r="J8248" s="63"/>
    </row>
    <row r="8249" spans="9:10" x14ac:dyDescent="0.35">
      <c r="I8249" s="63"/>
      <c r="J8249" s="63"/>
    </row>
    <row r="8250" spans="9:10" x14ac:dyDescent="0.35">
      <c r="I8250" s="63"/>
      <c r="J8250" s="63"/>
    </row>
    <row r="8251" spans="9:10" x14ac:dyDescent="0.35">
      <c r="I8251" s="63"/>
      <c r="J8251" s="63"/>
    </row>
    <row r="8252" spans="9:10" x14ac:dyDescent="0.35">
      <c r="I8252" s="63"/>
      <c r="J8252" s="63"/>
    </row>
    <row r="8253" spans="9:10" x14ac:dyDescent="0.35">
      <c r="I8253" s="63"/>
      <c r="J8253" s="63"/>
    </row>
    <row r="8254" spans="9:10" x14ac:dyDescent="0.35">
      <c r="I8254" s="63"/>
      <c r="J8254" s="63"/>
    </row>
    <row r="8255" spans="9:10" x14ac:dyDescent="0.35">
      <c r="I8255" s="63"/>
      <c r="J8255" s="63"/>
    </row>
    <row r="8256" spans="9:10" x14ac:dyDescent="0.35">
      <c r="I8256" s="63"/>
      <c r="J8256" s="63"/>
    </row>
    <row r="8257" spans="9:10" x14ac:dyDescent="0.35">
      <c r="I8257" s="63"/>
      <c r="J8257" s="63"/>
    </row>
    <row r="8258" spans="9:10" x14ac:dyDescent="0.35">
      <c r="I8258" s="63"/>
      <c r="J8258" s="63"/>
    </row>
    <row r="8259" spans="9:10" x14ac:dyDescent="0.35">
      <c r="I8259" s="63"/>
      <c r="J8259" s="63"/>
    </row>
    <row r="8260" spans="9:10" x14ac:dyDescent="0.35">
      <c r="I8260" s="63"/>
      <c r="J8260" s="63"/>
    </row>
    <row r="8261" spans="9:10" x14ac:dyDescent="0.35">
      <c r="I8261" s="63"/>
      <c r="J8261" s="63"/>
    </row>
    <row r="8262" spans="9:10" x14ac:dyDescent="0.35">
      <c r="I8262" s="63"/>
      <c r="J8262" s="63"/>
    </row>
    <row r="8263" spans="9:10" x14ac:dyDescent="0.35">
      <c r="I8263" s="63"/>
      <c r="J8263" s="63"/>
    </row>
    <row r="8264" spans="9:10" x14ac:dyDescent="0.35">
      <c r="I8264" s="63"/>
      <c r="J8264" s="63"/>
    </row>
    <row r="8265" spans="9:10" x14ac:dyDescent="0.35">
      <c r="I8265" s="63"/>
      <c r="J8265" s="63"/>
    </row>
    <row r="8266" spans="9:10" x14ac:dyDescent="0.35">
      <c r="I8266" s="63"/>
      <c r="J8266" s="63"/>
    </row>
    <row r="8267" spans="9:10" x14ac:dyDescent="0.35">
      <c r="I8267" s="63"/>
      <c r="J8267" s="63"/>
    </row>
    <row r="8268" spans="9:10" x14ac:dyDescent="0.35">
      <c r="I8268" s="63"/>
      <c r="J8268" s="63"/>
    </row>
    <row r="8269" spans="9:10" x14ac:dyDescent="0.35">
      <c r="I8269" s="63"/>
      <c r="J8269" s="63"/>
    </row>
    <row r="8270" spans="9:10" x14ac:dyDescent="0.35">
      <c r="I8270" s="63"/>
      <c r="J8270" s="63"/>
    </row>
    <row r="8271" spans="9:10" x14ac:dyDescent="0.35">
      <c r="I8271" s="63"/>
      <c r="J8271" s="63"/>
    </row>
    <row r="8272" spans="9:10" x14ac:dyDescent="0.35">
      <c r="I8272" s="63"/>
      <c r="J8272" s="63"/>
    </row>
    <row r="8273" spans="9:10" x14ac:dyDescent="0.35">
      <c r="I8273" s="63"/>
      <c r="J8273" s="63"/>
    </row>
    <row r="8274" spans="9:10" x14ac:dyDescent="0.35">
      <c r="I8274" s="63"/>
      <c r="J8274" s="63"/>
    </row>
    <row r="8275" spans="9:10" x14ac:dyDescent="0.35">
      <c r="I8275" s="63"/>
      <c r="J8275" s="63"/>
    </row>
    <row r="8276" spans="9:10" x14ac:dyDescent="0.35">
      <c r="I8276" s="63"/>
      <c r="J8276" s="63"/>
    </row>
    <row r="8277" spans="9:10" x14ac:dyDescent="0.35">
      <c r="I8277" s="63"/>
      <c r="J8277" s="63"/>
    </row>
    <row r="8278" spans="9:10" x14ac:dyDescent="0.35">
      <c r="I8278" s="63"/>
      <c r="J8278" s="63"/>
    </row>
    <row r="8279" spans="9:10" x14ac:dyDescent="0.35">
      <c r="I8279" s="63"/>
      <c r="J8279" s="63"/>
    </row>
    <row r="8280" spans="9:10" x14ac:dyDescent="0.35">
      <c r="I8280" s="63"/>
      <c r="J8280" s="63"/>
    </row>
    <row r="8281" spans="9:10" x14ac:dyDescent="0.35">
      <c r="I8281" s="63"/>
      <c r="J8281" s="63"/>
    </row>
    <row r="8282" spans="9:10" x14ac:dyDescent="0.35">
      <c r="I8282" s="63"/>
      <c r="J8282" s="63"/>
    </row>
    <row r="8283" spans="9:10" x14ac:dyDescent="0.35">
      <c r="I8283" s="63"/>
      <c r="J8283" s="63"/>
    </row>
    <row r="8284" spans="9:10" x14ac:dyDescent="0.35">
      <c r="I8284" s="63"/>
      <c r="J8284" s="63"/>
    </row>
    <row r="8285" spans="9:10" x14ac:dyDescent="0.35">
      <c r="I8285" s="63"/>
      <c r="J8285" s="63"/>
    </row>
    <row r="8286" spans="9:10" x14ac:dyDescent="0.35">
      <c r="I8286" s="63"/>
      <c r="J8286" s="63"/>
    </row>
    <row r="8287" spans="9:10" x14ac:dyDescent="0.35">
      <c r="I8287" s="63"/>
      <c r="J8287" s="63"/>
    </row>
    <row r="8288" spans="9:10" x14ac:dyDescent="0.35">
      <c r="I8288" s="63"/>
      <c r="J8288" s="63"/>
    </row>
    <row r="8289" spans="9:10" x14ac:dyDescent="0.35">
      <c r="I8289" s="63"/>
      <c r="J8289" s="63"/>
    </row>
    <row r="8290" spans="9:10" x14ac:dyDescent="0.35">
      <c r="I8290" s="63"/>
      <c r="J8290" s="63"/>
    </row>
    <row r="8291" spans="9:10" x14ac:dyDescent="0.35">
      <c r="I8291" s="63"/>
      <c r="J8291" s="63"/>
    </row>
    <row r="8292" spans="9:10" x14ac:dyDescent="0.35">
      <c r="I8292" s="63"/>
      <c r="J8292" s="63"/>
    </row>
    <row r="8293" spans="9:10" x14ac:dyDescent="0.35">
      <c r="I8293" s="63"/>
      <c r="J8293" s="63"/>
    </row>
    <row r="8294" spans="9:10" x14ac:dyDescent="0.35">
      <c r="I8294" s="63"/>
      <c r="J8294" s="63"/>
    </row>
    <row r="8295" spans="9:10" x14ac:dyDescent="0.35">
      <c r="I8295" s="63"/>
      <c r="J8295" s="63"/>
    </row>
    <row r="8296" spans="9:10" x14ac:dyDescent="0.35">
      <c r="I8296" s="63"/>
      <c r="J8296" s="63"/>
    </row>
    <row r="8297" spans="9:10" x14ac:dyDescent="0.35">
      <c r="I8297" s="63"/>
      <c r="J8297" s="63"/>
    </row>
    <row r="8298" spans="9:10" x14ac:dyDescent="0.35">
      <c r="I8298" s="63"/>
      <c r="J8298" s="63"/>
    </row>
    <row r="8299" spans="9:10" x14ac:dyDescent="0.35">
      <c r="I8299" s="63"/>
      <c r="J8299" s="63"/>
    </row>
    <row r="8300" spans="9:10" x14ac:dyDescent="0.35">
      <c r="I8300" s="63"/>
      <c r="J8300" s="63"/>
    </row>
    <row r="8301" spans="9:10" x14ac:dyDescent="0.35">
      <c r="I8301" s="63"/>
      <c r="J8301" s="63"/>
    </row>
    <row r="8302" spans="9:10" x14ac:dyDescent="0.35">
      <c r="I8302" s="63"/>
      <c r="J8302" s="63"/>
    </row>
    <row r="8303" spans="9:10" x14ac:dyDescent="0.35">
      <c r="I8303" s="63"/>
      <c r="J8303" s="63"/>
    </row>
    <row r="8304" spans="9:10" x14ac:dyDescent="0.35">
      <c r="I8304" s="63"/>
      <c r="J8304" s="63"/>
    </row>
    <row r="8305" spans="9:10" x14ac:dyDescent="0.35">
      <c r="I8305" s="63"/>
      <c r="J8305" s="63"/>
    </row>
    <row r="8306" spans="9:10" x14ac:dyDescent="0.35">
      <c r="I8306" s="63"/>
      <c r="J8306" s="63"/>
    </row>
    <row r="8307" spans="9:10" x14ac:dyDescent="0.35">
      <c r="I8307" s="63"/>
      <c r="J8307" s="63"/>
    </row>
    <row r="8308" spans="9:10" x14ac:dyDescent="0.35">
      <c r="I8308" s="63"/>
      <c r="J8308" s="63"/>
    </row>
    <row r="8309" spans="9:10" x14ac:dyDescent="0.35">
      <c r="I8309" s="63"/>
      <c r="J8309" s="63"/>
    </row>
    <row r="8310" spans="9:10" x14ac:dyDescent="0.35">
      <c r="I8310" s="63"/>
      <c r="J8310" s="63"/>
    </row>
    <row r="8311" spans="9:10" x14ac:dyDescent="0.35">
      <c r="I8311" s="63"/>
      <c r="J8311" s="63"/>
    </row>
    <row r="8312" spans="9:10" x14ac:dyDescent="0.35">
      <c r="I8312" s="63"/>
      <c r="J8312" s="63"/>
    </row>
    <row r="8313" spans="9:10" x14ac:dyDescent="0.35">
      <c r="I8313" s="63"/>
      <c r="J8313" s="63"/>
    </row>
    <row r="8314" spans="9:10" x14ac:dyDescent="0.35">
      <c r="I8314" s="63"/>
      <c r="J8314" s="63"/>
    </row>
    <row r="8315" spans="9:10" x14ac:dyDescent="0.35">
      <c r="I8315" s="63"/>
      <c r="J8315" s="63"/>
    </row>
    <row r="8316" spans="9:10" x14ac:dyDescent="0.35">
      <c r="I8316" s="63"/>
      <c r="J8316" s="63"/>
    </row>
    <row r="8317" spans="9:10" x14ac:dyDescent="0.35">
      <c r="I8317" s="63"/>
      <c r="J8317" s="63"/>
    </row>
    <row r="8318" spans="9:10" x14ac:dyDescent="0.35">
      <c r="I8318" s="63"/>
      <c r="J8318" s="63"/>
    </row>
    <row r="8319" spans="9:10" x14ac:dyDescent="0.35">
      <c r="I8319" s="63"/>
      <c r="J8319" s="63"/>
    </row>
    <row r="8320" spans="9:10" x14ac:dyDescent="0.35">
      <c r="I8320" s="63"/>
      <c r="J8320" s="63"/>
    </row>
    <row r="8321" spans="9:10" x14ac:dyDescent="0.35">
      <c r="I8321" s="63"/>
      <c r="J8321" s="63"/>
    </row>
    <row r="8322" spans="9:10" x14ac:dyDescent="0.35">
      <c r="I8322" s="63"/>
      <c r="J8322" s="63"/>
    </row>
    <row r="8323" spans="9:10" x14ac:dyDescent="0.35">
      <c r="I8323" s="63"/>
      <c r="J8323" s="63"/>
    </row>
    <row r="8324" spans="9:10" x14ac:dyDescent="0.35">
      <c r="I8324" s="63"/>
      <c r="J8324" s="63"/>
    </row>
    <row r="8325" spans="9:10" x14ac:dyDescent="0.35">
      <c r="I8325" s="63"/>
      <c r="J8325" s="63"/>
    </row>
    <row r="8326" spans="9:10" x14ac:dyDescent="0.35">
      <c r="I8326" s="63"/>
      <c r="J8326" s="63"/>
    </row>
    <row r="8327" spans="9:10" x14ac:dyDescent="0.35">
      <c r="I8327" s="63"/>
      <c r="J8327" s="63"/>
    </row>
    <row r="8328" spans="9:10" x14ac:dyDescent="0.35">
      <c r="I8328" s="63"/>
      <c r="J8328" s="63"/>
    </row>
    <row r="8329" spans="9:10" x14ac:dyDescent="0.35">
      <c r="I8329" s="63"/>
      <c r="J8329" s="63"/>
    </row>
    <row r="8330" spans="9:10" x14ac:dyDescent="0.35">
      <c r="I8330" s="63"/>
      <c r="J8330" s="63"/>
    </row>
    <row r="8331" spans="9:10" x14ac:dyDescent="0.35">
      <c r="I8331" s="63"/>
      <c r="J8331" s="63"/>
    </row>
    <row r="8332" spans="9:10" x14ac:dyDescent="0.35">
      <c r="I8332" s="63"/>
      <c r="J8332" s="63"/>
    </row>
    <row r="8333" spans="9:10" x14ac:dyDescent="0.35">
      <c r="I8333" s="63"/>
      <c r="J8333" s="63"/>
    </row>
    <row r="8334" spans="9:10" x14ac:dyDescent="0.35">
      <c r="I8334" s="63"/>
      <c r="J8334" s="63"/>
    </row>
    <row r="8335" spans="9:10" x14ac:dyDescent="0.35">
      <c r="I8335" s="63"/>
      <c r="J8335" s="63"/>
    </row>
    <row r="8336" spans="9:10" x14ac:dyDescent="0.35">
      <c r="I8336" s="63"/>
      <c r="J8336" s="63"/>
    </row>
    <row r="8337" spans="9:10" x14ac:dyDescent="0.35">
      <c r="I8337" s="63"/>
      <c r="J8337" s="63"/>
    </row>
    <row r="8338" spans="9:10" x14ac:dyDescent="0.35">
      <c r="I8338" s="63"/>
      <c r="J8338" s="63"/>
    </row>
    <row r="8339" spans="9:10" x14ac:dyDescent="0.35">
      <c r="I8339" s="63"/>
      <c r="J8339" s="63"/>
    </row>
    <row r="8340" spans="9:10" x14ac:dyDescent="0.35">
      <c r="I8340" s="63"/>
      <c r="J8340" s="63"/>
    </row>
    <row r="8341" spans="9:10" x14ac:dyDescent="0.35">
      <c r="I8341" s="63"/>
      <c r="J8341" s="63"/>
    </row>
    <row r="8342" spans="9:10" x14ac:dyDescent="0.35">
      <c r="I8342" s="63"/>
      <c r="J8342" s="63"/>
    </row>
    <row r="8343" spans="9:10" x14ac:dyDescent="0.35">
      <c r="I8343" s="63"/>
      <c r="J8343" s="63"/>
    </row>
    <row r="8344" spans="9:10" x14ac:dyDescent="0.35">
      <c r="I8344" s="63"/>
      <c r="J8344" s="63"/>
    </row>
    <row r="8345" spans="9:10" x14ac:dyDescent="0.35">
      <c r="I8345" s="63"/>
      <c r="J8345" s="63"/>
    </row>
    <row r="8346" spans="9:10" x14ac:dyDescent="0.35">
      <c r="I8346" s="63"/>
      <c r="J8346" s="63"/>
    </row>
    <row r="8347" spans="9:10" x14ac:dyDescent="0.35">
      <c r="I8347" s="63"/>
      <c r="J8347" s="63"/>
    </row>
    <row r="8348" spans="9:10" x14ac:dyDescent="0.35">
      <c r="I8348" s="63"/>
      <c r="J8348" s="63"/>
    </row>
    <row r="8349" spans="9:10" x14ac:dyDescent="0.35">
      <c r="I8349" s="63"/>
      <c r="J8349" s="63"/>
    </row>
    <row r="8350" spans="9:10" x14ac:dyDescent="0.35">
      <c r="I8350" s="63"/>
      <c r="J8350" s="63"/>
    </row>
    <row r="8351" spans="9:10" x14ac:dyDescent="0.35">
      <c r="I8351" s="63"/>
      <c r="J8351" s="63"/>
    </row>
    <row r="8352" spans="9:10" x14ac:dyDescent="0.35">
      <c r="I8352" s="63"/>
      <c r="J8352" s="63"/>
    </row>
    <row r="8353" spans="9:10" x14ac:dyDescent="0.35">
      <c r="I8353" s="63"/>
      <c r="J8353" s="63"/>
    </row>
    <row r="8354" spans="9:10" x14ac:dyDescent="0.35">
      <c r="I8354" s="63"/>
      <c r="J8354" s="63"/>
    </row>
    <row r="8355" spans="9:10" x14ac:dyDescent="0.35">
      <c r="I8355" s="63"/>
      <c r="J8355" s="63"/>
    </row>
    <row r="8356" spans="9:10" x14ac:dyDescent="0.35">
      <c r="I8356" s="63"/>
      <c r="J8356" s="63"/>
    </row>
    <row r="8357" spans="9:10" x14ac:dyDescent="0.35">
      <c r="I8357" s="63"/>
      <c r="J8357" s="63"/>
    </row>
    <row r="8358" spans="9:10" x14ac:dyDescent="0.35">
      <c r="I8358" s="63"/>
      <c r="J8358" s="63"/>
    </row>
    <row r="8359" spans="9:10" x14ac:dyDescent="0.35">
      <c r="I8359" s="63"/>
      <c r="J8359" s="63"/>
    </row>
    <row r="8360" spans="9:10" x14ac:dyDescent="0.35">
      <c r="I8360" s="63"/>
      <c r="J8360" s="63"/>
    </row>
    <row r="8361" spans="9:10" x14ac:dyDescent="0.35">
      <c r="I8361" s="63"/>
      <c r="J8361" s="63"/>
    </row>
    <row r="8362" spans="9:10" x14ac:dyDescent="0.35">
      <c r="I8362" s="63"/>
      <c r="J8362" s="63"/>
    </row>
    <row r="8363" spans="9:10" x14ac:dyDescent="0.35">
      <c r="I8363" s="63"/>
      <c r="J8363" s="63"/>
    </row>
    <row r="8364" spans="9:10" x14ac:dyDescent="0.35">
      <c r="I8364" s="63"/>
      <c r="J8364" s="63"/>
    </row>
    <row r="8365" spans="9:10" x14ac:dyDescent="0.35">
      <c r="I8365" s="63"/>
      <c r="J8365" s="63"/>
    </row>
    <row r="8366" spans="9:10" x14ac:dyDescent="0.35">
      <c r="I8366" s="63"/>
      <c r="J8366" s="63"/>
    </row>
    <row r="8367" spans="9:10" x14ac:dyDescent="0.35">
      <c r="I8367" s="63"/>
      <c r="J8367" s="63"/>
    </row>
    <row r="8368" spans="9:10" x14ac:dyDescent="0.35">
      <c r="I8368" s="63"/>
      <c r="J8368" s="63"/>
    </row>
    <row r="8369" spans="9:10" x14ac:dyDescent="0.35">
      <c r="I8369" s="63"/>
      <c r="J8369" s="63"/>
    </row>
    <row r="8370" spans="9:10" x14ac:dyDescent="0.35">
      <c r="I8370" s="63"/>
      <c r="J8370" s="63"/>
    </row>
    <row r="8371" spans="9:10" x14ac:dyDescent="0.35">
      <c r="I8371" s="63"/>
      <c r="J8371" s="63"/>
    </row>
    <row r="8372" spans="9:10" x14ac:dyDescent="0.35">
      <c r="I8372" s="63"/>
      <c r="J8372" s="63"/>
    </row>
    <row r="8373" spans="9:10" x14ac:dyDescent="0.35">
      <c r="I8373" s="63"/>
      <c r="J8373" s="63"/>
    </row>
    <row r="8374" spans="9:10" x14ac:dyDescent="0.35">
      <c r="I8374" s="63"/>
      <c r="J8374" s="63"/>
    </row>
    <row r="8375" spans="9:10" x14ac:dyDescent="0.35">
      <c r="I8375" s="63"/>
      <c r="J8375" s="63"/>
    </row>
    <row r="8376" spans="9:10" x14ac:dyDescent="0.35">
      <c r="I8376" s="63"/>
      <c r="J8376" s="63"/>
    </row>
    <row r="8377" spans="9:10" x14ac:dyDescent="0.35">
      <c r="I8377" s="63"/>
      <c r="J8377" s="63"/>
    </row>
    <row r="8378" spans="9:10" x14ac:dyDescent="0.35">
      <c r="I8378" s="63"/>
      <c r="J8378" s="63"/>
    </row>
    <row r="8379" spans="9:10" x14ac:dyDescent="0.35">
      <c r="I8379" s="63"/>
      <c r="J8379" s="63"/>
    </row>
    <row r="8380" spans="9:10" x14ac:dyDescent="0.35">
      <c r="I8380" s="63"/>
      <c r="J8380" s="63"/>
    </row>
    <row r="8381" spans="9:10" x14ac:dyDescent="0.35">
      <c r="I8381" s="63"/>
      <c r="J8381" s="63"/>
    </row>
    <row r="8382" spans="9:10" x14ac:dyDescent="0.35">
      <c r="I8382" s="63"/>
      <c r="J8382" s="63"/>
    </row>
    <row r="8383" spans="9:10" x14ac:dyDescent="0.35">
      <c r="I8383" s="63"/>
      <c r="J8383" s="63"/>
    </row>
    <row r="8384" spans="9:10" x14ac:dyDescent="0.35">
      <c r="I8384" s="63"/>
      <c r="J8384" s="63"/>
    </row>
    <row r="8385" spans="9:10" x14ac:dyDescent="0.35">
      <c r="I8385" s="63"/>
      <c r="J8385" s="63"/>
    </row>
    <row r="8386" spans="9:10" x14ac:dyDescent="0.35">
      <c r="I8386" s="63"/>
      <c r="J8386" s="63"/>
    </row>
    <row r="8387" spans="9:10" x14ac:dyDescent="0.35">
      <c r="I8387" s="63"/>
      <c r="J8387" s="63"/>
    </row>
    <row r="8388" spans="9:10" x14ac:dyDescent="0.35">
      <c r="I8388" s="63"/>
      <c r="J8388" s="63"/>
    </row>
    <row r="8389" spans="9:10" x14ac:dyDescent="0.35">
      <c r="I8389" s="63"/>
      <c r="J8389" s="63"/>
    </row>
    <row r="8390" spans="9:10" x14ac:dyDescent="0.35">
      <c r="I8390" s="63"/>
      <c r="J8390" s="63"/>
    </row>
    <row r="8391" spans="9:10" x14ac:dyDescent="0.35">
      <c r="I8391" s="63"/>
      <c r="J8391" s="63"/>
    </row>
    <row r="8392" spans="9:10" x14ac:dyDescent="0.35">
      <c r="I8392" s="63"/>
      <c r="J8392" s="63"/>
    </row>
    <row r="8393" spans="9:10" x14ac:dyDescent="0.35">
      <c r="I8393" s="63"/>
      <c r="J8393" s="63"/>
    </row>
    <row r="8394" spans="9:10" x14ac:dyDescent="0.35">
      <c r="I8394" s="63"/>
      <c r="J8394" s="63"/>
    </row>
    <row r="8395" spans="9:10" x14ac:dyDescent="0.35">
      <c r="I8395" s="63"/>
      <c r="J8395" s="63"/>
    </row>
    <row r="8396" spans="9:10" x14ac:dyDescent="0.35">
      <c r="I8396" s="63"/>
      <c r="J8396" s="63"/>
    </row>
    <row r="8397" spans="9:10" x14ac:dyDescent="0.35">
      <c r="I8397" s="63"/>
      <c r="J8397" s="63"/>
    </row>
    <row r="8398" spans="9:10" x14ac:dyDescent="0.35">
      <c r="I8398" s="63"/>
      <c r="J8398" s="63"/>
    </row>
    <row r="8399" spans="9:10" x14ac:dyDescent="0.35">
      <c r="I8399" s="63"/>
      <c r="J8399" s="63"/>
    </row>
    <row r="8400" spans="9:10" x14ac:dyDescent="0.35">
      <c r="I8400" s="63"/>
      <c r="J8400" s="63"/>
    </row>
    <row r="8401" spans="9:10" x14ac:dyDescent="0.35">
      <c r="I8401" s="63"/>
      <c r="J8401" s="63"/>
    </row>
    <row r="8402" spans="9:10" x14ac:dyDescent="0.35">
      <c r="I8402" s="63"/>
      <c r="J8402" s="63"/>
    </row>
    <row r="8403" spans="9:10" x14ac:dyDescent="0.35">
      <c r="I8403" s="63"/>
      <c r="J8403" s="63"/>
    </row>
    <row r="8404" spans="9:10" x14ac:dyDescent="0.35">
      <c r="I8404" s="63"/>
      <c r="J8404" s="63"/>
    </row>
    <row r="8405" spans="9:10" x14ac:dyDescent="0.35">
      <c r="I8405" s="63"/>
      <c r="J8405" s="63"/>
    </row>
    <row r="8406" spans="9:10" x14ac:dyDescent="0.35">
      <c r="I8406" s="63"/>
      <c r="J8406" s="63"/>
    </row>
    <row r="8407" spans="9:10" x14ac:dyDescent="0.35">
      <c r="I8407" s="63"/>
      <c r="J8407" s="63"/>
    </row>
    <row r="8408" spans="9:10" x14ac:dyDescent="0.35">
      <c r="I8408" s="63"/>
      <c r="J8408" s="63"/>
    </row>
    <row r="8409" spans="9:10" x14ac:dyDescent="0.35">
      <c r="I8409" s="63"/>
      <c r="J8409" s="63"/>
    </row>
    <row r="8410" spans="9:10" x14ac:dyDescent="0.35">
      <c r="I8410" s="63"/>
      <c r="J8410" s="63"/>
    </row>
    <row r="8411" spans="9:10" x14ac:dyDescent="0.35">
      <c r="I8411" s="63"/>
      <c r="J8411" s="63"/>
    </row>
    <row r="8412" spans="9:10" x14ac:dyDescent="0.35">
      <c r="I8412" s="63"/>
      <c r="J8412" s="63"/>
    </row>
    <row r="8413" spans="9:10" x14ac:dyDescent="0.35">
      <c r="I8413" s="63"/>
      <c r="J8413" s="63"/>
    </row>
    <row r="8414" spans="9:10" x14ac:dyDescent="0.35">
      <c r="I8414" s="63"/>
      <c r="J8414" s="63"/>
    </row>
    <row r="8415" spans="9:10" x14ac:dyDescent="0.35">
      <c r="I8415" s="63"/>
      <c r="J8415" s="63"/>
    </row>
    <row r="8416" spans="9:10" x14ac:dyDescent="0.35">
      <c r="I8416" s="63"/>
      <c r="J8416" s="63"/>
    </row>
    <row r="8417" spans="9:10" x14ac:dyDescent="0.35">
      <c r="I8417" s="63"/>
      <c r="J8417" s="63"/>
    </row>
    <row r="8418" spans="9:10" x14ac:dyDescent="0.35">
      <c r="I8418" s="63"/>
      <c r="J8418" s="63"/>
    </row>
    <row r="8419" spans="9:10" x14ac:dyDescent="0.35">
      <c r="I8419" s="63"/>
      <c r="J8419" s="63"/>
    </row>
    <row r="8420" spans="9:10" x14ac:dyDescent="0.35">
      <c r="I8420" s="63"/>
      <c r="J8420" s="63"/>
    </row>
    <row r="8421" spans="9:10" x14ac:dyDescent="0.35">
      <c r="I8421" s="63"/>
      <c r="J8421" s="63"/>
    </row>
    <row r="8422" spans="9:10" x14ac:dyDescent="0.35">
      <c r="I8422" s="63"/>
      <c r="J8422" s="63"/>
    </row>
    <row r="8423" spans="9:10" x14ac:dyDescent="0.35">
      <c r="I8423" s="63"/>
      <c r="J8423" s="63"/>
    </row>
    <row r="8424" spans="9:10" x14ac:dyDescent="0.35">
      <c r="I8424" s="63"/>
      <c r="J8424" s="63"/>
    </row>
    <row r="8425" spans="9:10" x14ac:dyDescent="0.35">
      <c r="I8425" s="63"/>
      <c r="J8425" s="63"/>
    </row>
    <row r="8426" spans="9:10" x14ac:dyDescent="0.35">
      <c r="I8426" s="63"/>
      <c r="J8426" s="63"/>
    </row>
    <row r="8427" spans="9:10" x14ac:dyDescent="0.35">
      <c r="I8427" s="63"/>
      <c r="J8427" s="63"/>
    </row>
    <row r="8428" spans="9:10" x14ac:dyDescent="0.35">
      <c r="I8428" s="63"/>
      <c r="J8428" s="63"/>
    </row>
    <row r="8429" spans="9:10" x14ac:dyDescent="0.35">
      <c r="I8429" s="63"/>
      <c r="J8429" s="63"/>
    </row>
    <row r="8430" spans="9:10" x14ac:dyDescent="0.35">
      <c r="I8430" s="63"/>
      <c r="J8430" s="63"/>
    </row>
    <row r="8431" spans="9:10" x14ac:dyDescent="0.35">
      <c r="I8431" s="63"/>
      <c r="J8431" s="63"/>
    </row>
    <row r="8432" spans="9:10" x14ac:dyDescent="0.35">
      <c r="I8432" s="63"/>
      <c r="J8432" s="63"/>
    </row>
    <row r="8433" spans="9:10" x14ac:dyDescent="0.35">
      <c r="I8433" s="63"/>
      <c r="J8433" s="63"/>
    </row>
    <row r="8434" spans="9:10" x14ac:dyDescent="0.35">
      <c r="I8434" s="63"/>
      <c r="J8434" s="63"/>
    </row>
    <row r="8435" spans="9:10" x14ac:dyDescent="0.35">
      <c r="I8435" s="63"/>
      <c r="J8435" s="63"/>
    </row>
    <row r="8436" spans="9:10" x14ac:dyDescent="0.35">
      <c r="I8436" s="63"/>
      <c r="J8436" s="63"/>
    </row>
    <row r="8437" spans="9:10" x14ac:dyDescent="0.35">
      <c r="I8437" s="63"/>
      <c r="J8437" s="63"/>
    </row>
    <row r="8438" spans="9:10" x14ac:dyDescent="0.35">
      <c r="I8438" s="63"/>
      <c r="J8438" s="63"/>
    </row>
    <row r="8439" spans="9:10" x14ac:dyDescent="0.35">
      <c r="I8439" s="63"/>
      <c r="J8439" s="63"/>
    </row>
    <row r="8440" spans="9:10" x14ac:dyDescent="0.35">
      <c r="I8440" s="63"/>
      <c r="J8440" s="63"/>
    </row>
    <row r="8441" spans="9:10" x14ac:dyDescent="0.35">
      <c r="I8441" s="63"/>
      <c r="J8441" s="63"/>
    </row>
    <row r="8442" spans="9:10" x14ac:dyDescent="0.35">
      <c r="I8442" s="63"/>
      <c r="J8442" s="63"/>
    </row>
    <row r="8443" spans="9:10" x14ac:dyDescent="0.35">
      <c r="I8443" s="63"/>
      <c r="J8443" s="63"/>
    </row>
    <row r="8444" spans="9:10" x14ac:dyDescent="0.35">
      <c r="I8444" s="63"/>
      <c r="J8444" s="63"/>
    </row>
    <row r="8445" spans="9:10" x14ac:dyDescent="0.35">
      <c r="I8445" s="63"/>
      <c r="J8445" s="63"/>
    </row>
    <row r="8446" spans="9:10" x14ac:dyDescent="0.35">
      <c r="I8446" s="63"/>
      <c r="J8446" s="63"/>
    </row>
    <row r="8447" spans="9:10" x14ac:dyDescent="0.35">
      <c r="I8447" s="63"/>
      <c r="J8447" s="63"/>
    </row>
    <row r="8448" spans="9:10" x14ac:dyDescent="0.35">
      <c r="I8448" s="63"/>
      <c r="J8448" s="63"/>
    </row>
    <row r="8449" spans="9:10" x14ac:dyDescent="0.35">
      <c r="I8449" s="63"/>
      <c r="J8449" s="63"/>
    </row>
    <row r="8450" spans="9:10" x14ac:dyDescent="0.35">
      <c r="I8450" s="63"/>
      <c r="J8450" s="63"/>
    </row>
    <row r="8451" spans="9:10" x14ac:dyDescent="0.35">
      <c r="I8451" s="63"/>
      <c r="J8451" s="63"/>
    </row>
    <row r="8452" spans="9:10" x14ac:dyDescent="0.35">
      <c r="I8452" s="63"/>
      <c r="J8452" s="63"/>
    </row>
    <row r="8453" spans="9:10" x14ac:dyDescent="0.35">
      <c r="I8453" s="63"/>
      <c r="J8453" s="63"/>
    </row>
    <row r="8454" spans="9:10" x14ac:dyDescent="0.35">
      <c r="I8454" s="63"/>
      <c r="J8454" s="63"/>
    </row>
    <row r="8455" spans="9:10" x14ac:dyDescent="0.35">
      <c r="I8455" s="63"/>
      <c r="J8455" s="63"/>
    </row>
    <row r="8456" spans="9:10" x14ac:dyDescent="0.35">
      <c r="I8456" s="63"/>
      <c r="J8456" s="63"/>
    </row>
    <row r="8457" spans="9:10" x14ac:dyDescent="0.35">
      <c r="I8457" s="63"/>
      <c r="J8457" s="63"/>
    </row>
    <row r="8458" spans="9:10" x14ac:dyDescent="0.35">
      <c r="I8458" s="63"/>
      <c r="J8458" s="63"/>
    </row>
    <row r="8459" spans="9:10" x14ac:dyDescent="0.35">
      <c r="I8459" s="63"/>
      <c r="J8459" s="63"/>
    </row>
    <row r="8460" spans="9:10" x14ac:dyDescent="0.35">
      <c r="I8460" s="63"/>
      <c r="J8460" s="63"/>
    </row>
    <row r="8461" spans="9:10" x14ac:dyDescent="0.35">
      <c r="I8461" s="63"/>
      <c r="J8461" s="63"/>
    </row>
    <row r="8462" spans="9:10" x14ac:dyDescent="0.35">
      <c r="I8462" s="63"/>
      <c r="J8462" s="63"/>
    </row>
    <row r="8463" spans="9:10" x14ac:dyDescent="0.35">
      <c r="I8463" s="63"/>
      <c r="J8463" s="63"/>
    </row>
    <row r="8464" spans="9:10" x14ac:dyDescent="0.35">
      <c r="I8464" s="63"/>
      <c r="J8464" s="63"/>
    </row>
    <row r="8465" spans="9:10" x14ac:dyDescent="0.35">
      <c r="I8465" s="63"/>
      <c r="J8465" s="63"/>
    </row>
    <row r="8466" spans="9:10" x14ac:dyDescent="0.35">
      <c r="I8466" s="63"/>
      <c r="J8466" s="63"/>
    </row>
    <row r="8467" spans="9:10" x14ac:dyDescent="0.35">
      <c r="I8467" s="63"/>
      <c r="J8467" s="63"/>
    </row>
    <row r="8468" spans="9:10" x14ac:dyDescent="0.35">
      <c r="I8468" s="63"/>
      <c r="J8468" s="63"/>
    </row>
    <row r="8469" spans="9:10" x14ac:dyDescent="0.35">
      <c r="I8469" s="63"/>
      <c r="J8469" s="63"/>
    </row>
    <row r="8470" spans="9:10" x14ac:dyDescent="0.35">
      <c r="I8470" s="63"/>
      <c r="J8470" s="63"/>
    </row>
    <row r="8471" spans="9:10" x14ac:dyDescent="0.35">
      <c r="I8471" s="63"/>
      <c r="J8471" s="63"/>
    </row>
    <row r="8472" spans="9:10" x14ac:dyDescent="0.35">
      <c r="I8472" s="63"/>
      <c r="J8472" s="63"/>
    </row>
    <row r="8473" spans="9:10" x14ac:dyDescent="0.35">
      <c r="I8473" s="63"/>
      <c r="J8473" s="63"/>
    </row>
    <row r="8474" spans="9:10" x14ac:dyDescent="0.35">
      <c r="I8474" s="63"/>
      <c r="J8474" s="63"/>
    </row>
    <row r="8475" spans="9:10" x14ac:dyDescent="0.35">
      <c r="I8475" s="63"/>
      <c r="J8475" s="63"/>
    </row>
    <row r="8476" spans="9:10" x14ac:dyDescent="0.35">
      <c r="I8476" s="63"/>
      <c r="J8476" s="63"/>
    </row>
    <row r="8477" spans="9:10" x14ac:dyDescent="0.35">
      <c r="I8477" s="63"/>
      <c r="J8477" s="63"/>
    </row>
    <row r="8478" spans="9:10" x14ac:dyDescent="0.35">
      <c r="I8478" s="63"/>
      <c r="J8478" s="63"/>
    </row>
    <row r="8479" spans="9:10" x14ac:dyDescent="0.35">
      <c r="I8479" s="63"/>
      <c r="J8479" s="63"/>
    </row>
    <row r="8480" spans="9:10" x14ac:dyDescent="0.35">
      <c r="I8480" s="63"/>
      <c r="J8480" s="63"/>
    </row>
    <row r="8481" spans="9:10" x14ac:dyDescent="0.35">
      <c r="I8481" s="63"/>
      <c r="J8481" s="63"/>
    </row>
    <row r="8482" spans="9:10" x14ac:dyDescent="0.35">
      <c r="I8482" s="63"/>
      <c r="J8482" s="63"/>
    </row>
    <row r="8483" spans="9:10" x14ac:dyDescent="0.35">
      <c r="I8483" s="63"/>
      <c r="J8483" s="63"/>
    </row>
    <row r="8484" spans="9:10" x14ac:dyDescent="0.35">
      <c r="I8484" s="63"/>
      <c r="J8484" s="63"/>
    </row>
    <row r="8485" spans="9:10" x14ac:dyDescent="0.35">
      <c r="I8485" s="63"/>
      <c r="J8485" s="63"/>
    </row>
    <row r="8486" spans="9:10" x14ac:dyDescent="0.35">
      <c r="I8486" s="63"/>
      <c r="J8486" s="63"/>
    </row>
    <row r="8487" spans="9:10" x14ac:dyDescent="0.35">
      <c r="I8487" s="63"/>
      <c r="J8487" s="63"/>
    </row>
    <row r="8488" spans="9:10" x14ac:dyDescent="0.35">
      <c r="I8488" s="63"/>
      <c r="J8488" s="63"/>
    </row>
    <row r="8489" spans="9:10" x14ac:dyDescent="0.35">
      <c r="I8489" s="63"/>
      <c r="J8489" s="63"/>
    </row>
    <row r="8490" spans="9:10" x14ac:dyDescent="0.35">
      <c r="I8490" s="63"/>
      <c r="J8490" s="63"/>
    </row>
    <row r="8491" spans="9:10" x14ac:dyDescent="0.35">
      <c r="I8491" s="63"/>
      <c r="J8491" s="63"/>
    </row>
    <row r="8492" spans="9:10" x14ac:dyDescent="0.35">
      <c r="I8492" s="63"/>
      <c r="J8492" s="63"/>
    </row>
    <row r="8493" spans="9:10" x14ac:dyDescent="0.35">
      <c r="I8493" s="63"/>
      <c r="J8493" s="63"/>
    </row>
    <row r="8494" spans="9:10" x14ac:dyDescent="0.35">
      <c r="I8494" s="63"/>
      <c r="J8494" s="63"/>
    </row>
    <row r="8495" spans="9:10" x14ac:dyDescent="0.35">
      <c r="I8495" s="63"/>
      <c r="J8495" s="63"/>
    </row>
    <row r="8496" spans="9:10" x14ac:dyDescent="0.35">
      <c r="I8496" s="63"/>
      <c r="J8496" s="63"/>
    </row>
    <row r="8497" spans="9:10" x14ac:dyDescent="0.35">
      <c r="I8497" s="63"/>
      <c r="J8497" s="63"/>
    </row>
    <row r="8498" spans="9:10" x14ac:dyDescent="0.35">
      <c r="I8498" s="63"/>
      <c r="J8498" s="63"/>
    </row>
    <row r="8499" spans="9:10" x14ac:dyDescent="0.35">
      <c r="I8499" s="63"/>
      <c r="J8499" s="63"/>
    </row>
    <row r="8500" spans="9:10" x14ac:dyDescent="0.35">
      <c r="I8500" s="63"/>
      <c r="J8500" s="63"/>
    </row>
    <row r="8501" spans="9:10" x14ac:dyDescent="0.35">
      <c r="I8501" s="63"/>
      <c r="J8501" s="63"/>
    </row>
    <row r="8502" spans="9:10" x14ac:dyDescent="0.35">
      <c r="I8502" s="63"/>
      <c r="J8502" s="63"/>
    </row>
    <row r="8503" spans="9:10" x14ac:dyDescent="0.35">
      <c r="I8503" s="63"/>
      <c r="J8503" s="63"/>
    </row>
    <row r="8504" spans="9:10" x14ac:dyDescent="0.35">
      <c r="I8504" s="63"/>
      <c r="J8504" s="63"/>
    </row>
    <row r="8505" spans="9:10" x14ac:dyDescent="0.35">
      <c r="I8505" s="63"/>
      <c r="J8505" s="63"/>
    </row>
    <row r="8506" spans="9:10" x14ac:dyDescent="0.35">
      <c r="I8506" s="63"/>
      <c r="J8506" s="63"/>
    </row>
    <row r="8507" spans="9:10" x14ac:dyDescent="0.35">
      <c r="I8507" s="63"/>
      <c r="J8507" s="63"/>
    </row>
    <row r="8508" spans="9:10" x14ac:dyDescent="0.35">
      <c r="I8508" s="63"/>
      <c r="J8508" s="63"/>
    </row>
    <row r="8509" spans="9:10" x14ac:dyDescent="0.35">
      <c r="I8509" s="63"/>
      <c r="J8509" s="63"/>
    </row>
    <row r="8510" spans="9:10" x14ac:dyDescent="0.35">
      <c r="I8510" s="63"/>
      <c r="J8510" s="63"/>
    </row>
    <row r="8511" spans="9:10" x14ac:dyDescent="0.35">
      <c r="I8511" s="63"/>
      <c r="J8511" s="63"/>
    </row>
    <row r="8512" spans="9:10" x14ac:dyDescent="0.35">
      <c r="I8512" s="63"/>
      <c r="J8512" s="63"/>
    </row>
    <row r="8513" spans="9:10" x14ac:dyDescent="0.35">
      <c r="I8513" s="63"/>
      <c r="J8513" s="63"/>
    </row>
    <row r="8514" spans="9:10" x14ac:dyDescent="0.35">
      <c r="I8514" s="63"/>
      <c r="J8514" s="63"/>
    </row>
    <row r="8515" spans="9:10" x14ac:dyDescent="0.35">
      <c r="I8515" s="63"/>
      <c r="J8515" s="63"/>
    </row>
    <row r="8516" spans="9:10" x14ac:dyDescent="0.35">
      <c r="I8516" s="63"/>
      <c r="J8516" s="63"/>
    </row>
    <row r="8517" spans="9:10" x14ac:dyDescent="0.35">
      <c r="I8517" s="63"/>
      <c r="J8517" s="63"/>
    </row>
    <row r="8518" spans="9:10" x14ac:dyDescent="0.35">
      <c r="I8518" s="63"/>
      <c r="J8518" s="63"/>
    </row>
    <row r="8519" spans="9:10" x14ac:dyDescent="0.35">
      <c r="I8519" s="63"/>
      <c r="J8519" s="63"/>
    </row>
    <row r="8520" spans="9:10" x14ac:dyDescent="0.35">
      <c r="I8520" s="63"/>
      <c r="J8520" s="63"/>
    </row>
    <row r="8521" spans="9:10" x14ac:dyDescent="0.35">
      <c r="I8521" s="63"/>
      <c r="J8521" s="63"/>
    </row>
    <row r="8522" spans="9:10" x14ac:dyDescent="0.35">
      <c r="I8522" s="63"/>
      <c r="J8522" s="63"/>
    </row>
    <row r="8523" spans="9:10" x14ac:dyDescent="0.35">
      <c r="I8523" s="63"/>
      <c r="J8523" s="63"/>
    </row>
    <row r="8524" spans="9:10" x14ac:dyDescent="0.35">
      <c r="I8524" s="63"/>
      <c r="J8524" s="63"/>
    </row>
    <row r="8525" spans="9:10" x14ac:dyDescent="0.35">
      <c r="I8525" s="63"/>
      <c r="J8525" s="63"/>
    </row>
    <row r="8526" spans="9:10" x14ac:dyDescent="0.35">
      <c r="I8526" s="63"/>
      <c r="J8526" s="63"/>
    </row>
    <row r="8527" spans="9:10" x14ac:dyDescent="0.35">
      <c r="I8527" s="63"/>
      <c r="J8527" s="63"/>
    </row>
    <row r="8528" spans="9:10" x14ac:dyDescent="0.35">
      <c r="I8528" s="63"/>
      <c r="J8528" s="63"/>
    </row>
    <row r="8529" spans="9:10" x14ac:dyDescent="0.35">
      <c r="I8529" s="63"/>
      <c r="J8529" s="63"/>
    </row>
    <row r="8530" spans="9:10" x14ac:dyDescent="0.35">
      <c r="I8530" s="63"/>
      <c r="J8530" s="63"/>
    </row>
    <row r="8531" spans="9:10" x14ac:dyDescent="0.35">
      <c r="I8531" s="63"/>
      <c r="J8531" s="63"/>
    </row>
    <row r="8532" spans="9:10" x14ac:dyDescent="0.35">
      <c r="I8532" s="63"/>
      <c r="J8532" s="63"/>
    </row>
    <row r="8533" spans="9:10" x14ac:dyDescent="0.35">
      <c r="I8533" s="63"/>
      <c r="J8533" s="63"/>
    </row>
    <row r="8534" spans="9:10" x14ac:dyDescent="0.35">
      <c r="I8534" s="63"/>
      <c r="J8534" s="63"/>
    </row>
    <row r="8535" spans="9:10" x14ac:dyDescent="0.35">
      <c r="I8535" s="63"/>
      <c r="J8535" s="63"/>
    </row>
    <row r="8536" spans="9:10" x14ac:dyDescent="0.35">
      <c r="I8536" s="63"/>
      <c r="J8536" s="63"/>
    </row>
    <row r="8537" spans="9:10" x14ac:dyDescent="0.35">
      <c r="I8537" s="63"/>
      <c r="J8537" s="63"/>
    </row>
    <row r="8538" spans="9:10" x14ac:dyDescent="0.35">
      <c r="I8538" s="63"/>
      <c r="J8538" s="63"/>
    </row>
    <row r="8539" spans="9:10" x14ac:dyDescent="0.35">
      <c r="I8539" s="63"/>
      <c r="J8539" s="63"/>
    </row>
    <row r="8540" spans="9:10" x14ac:dyDescent="0.35">
      <c r="I8540" s="63"/>
      <c r="J8540" s="63"/>
    </row>
    <row r="8541" spans="9:10" x14ac:dyDescent="0.35">
      <c r="I8541" s="63"/>
      <c r="J8541" s="63"/>
    </row>
    <row r="8542" spans="9:10" x14ac:dyDescent="0.35">
      <c r="I8542" s="63"/>
      <c r="J8542" s="63"/>
    </row>
    <row r="8543" spans="9:10" x14ac:dyDescent="0.35">
      <c r="I8543" s="63"/>
      <c r="J8543" s="63"/>
    </row>
    <row r="8544" spans="9:10" x14ac:dyDescent="0.35">
      <c r="I8544" s="63"/>
      <c r="J8544" s="63"/>
    </row>
    <row r="8545" spans="9:10" x14ac:dyDescent="0.35">
      <c r="I8545" s="63"/>
      <c r="J8545" s="63"/>
    </row>
    <row r="8546" spans="9:10" x14ac:dyDescent="0.35">
      <c r="I8546" s="63"/>
      <c r="J8546" s="63"/>
    </row>
    <row r="8547" spans="9:10" x14ac:dyDescent="0.35">
      <c r="I8547" s="63"/>
      <c r="J8547" s="63"/>
    </row>
    <row r="8548" spans="9:10" x14ac:dyDescent="0.35">
      <c r="I8548" s="63"/>
      <c r="J8548" s="63"/>
    </row>
    <row r="8549" spans="9:10" x14ac:dyDescent="0.35">
      <c r="I8549" s="63"/>
      <c r="J8549" s="63"/>
    </row>
    <row r="8550" spans="9:10" x14ac:dyDescent="0.35">
      <c r="I8550" s="63"/>
      <c r="J8550" s="63"/>
    </row>
    <row r="8551" spans="9:10" x14ac:dyDescent="0.35">
      <c r="I8551" s="63"/>
      <c r="J8551" s="63"/>
    </row>
    <row r="8552" spans="9:10" x14ac:dyDescent="0.35">
      <c r="I8552" s="63"/>
      <c r="J8552" s="63"/>
    </row>
    <row r="8553" spans="9:10" x14ac:dyDescent="0.35">
      <c r="I8553" s="63"/>
      <c r="J8553" s="63"/>
    </row>
    <row r="8554" spans="9:10" x14ac:dyDescent="0.35">
      <c r="I8554" s="63"/>
      <c r="J8554" s="63"/>
    </row>
    <row r="8555" spans="9:10" x14ac:dyDescent="0.35">
      <c r="I8555" s="63"/>
      <c r="J8555" s="63"/>
    </row>
    <row r="8556" spans="9:10" x14ac:dyDescent="0.35">
      <c r="I8556" s="63"/>
      <c r="J8556" s="63"/>
    </row>
    <row r="8557" spans="9:10" x14ac:dyDescent="0.35">
      <c r="I8557" s="63"/>
      <c r="J8557" s="63"/>
    </row>
    <row r="8558" spans="9:10" x14ac:dyDescent="0.35">
      <c r="I8558" s="63"/>
      <c r="J8558" s="63"/>
    </row>
    <row r="8559" spans="9:10" x14ac:dyDescent="0.35">
      <c r="I8559" s="63"/>
      <c r="J8559" s="63"/>
    </row>
    <row r="8560" spans="9:10" x14ac:dyDescent="0.35">
      <c r="I8560" s="63"/>
      <c r="J8560" s="63"/>
    </row>
    <row r="8561" spans="9:10" x14ac:dyDescent="0.35">
      <c r="I8561" s="63"/>
      <c r="J8561" s="63"/>
    </row>
    <row r="8562" spans="9:10" x14ac:dyDescent="0.35">
      <c r="I8562" s="63"/>
      <c r="J8562" s="63"/>
    </row>
    <row r="8563" spans="9:10" x14ac:dyDescent="0.35">
      <c r="I8563" s="63"/>
      <c r="J8563" s="63"/>
    </row>
    <row r="8564" spans="9:10" x14ac:dyDescent="0.35">
      <c r="I8564" s="63"/>
      <c r="J8564" s="63"/>
    </row>
    <row r="8565" spans="9:10" x14ac:dyDescent="0.35">
      <c r="I8565" s="63"/>
      <c r="J8565" s="63"/>
    </row>
    <row r="8566" spans="9:10" x14ac:dyDescent="0.35">
      <c r="I8566" s="63"/>
      <c r="J8566" s="63"/>
    </row>
    <row r="8567" spans="9:10" x14ac:dyDescent="0.35">
      <c r="I8567" s="63"/>
      <c r="J8567" s="63"/>
    </row>
    <row r="8568" spans="9:10" x14ac:dyDescent="0.35">
      <c r="I8568" s="63"/>
      <c r="J8568" s="63"/>
    </row>
    <row r="8569" spans="9:10" x14ac:dyDescent="0.35">
      <c r="I8569" s="63"/>
      <c r="J8569" s="63"/>
    </row>
    <row r="8570" spans="9:10" x14ac:dyDescent="0.35">
      <c r="I8570" s="63"/>
      <c r="J8570" s="63"/>
    </row>
    <row r="8571" spans="9:10" x14ac:dyDescent="0.35">
      <c r="I8571" s="63"/>
      <c r="J8571" s="63"/>
    </row>
    <row r="8572" spans="9:10" x14ac:dyDescent="0.35">
      <c r="I8572" s="63"/>
      <c r="J8572" s="63"/>
    </row>
    <row r="8573" spans="9:10" x14ac:dyDescent="0.35">
      <c r="I8573" s="63"/>
      <c r="J8573" s="63"/>
    </row>
    <row r="8574" spans="9:10" x14ac:dyDescent="0.35">
      <c r="I8574" s="63"/>
      <c r="J8574" s="63"/>
    </row>
    <row r="8575" spans="9:10" x14ac:dyDescent="0.35">
      <c r="I8575" s="63"/>
      <c r="J8575" s="63"/>
    </row>
    <row r="8576" spans="9:10" x14ac:dyDescent="0.35">
      <c r="I8576" s="63"/>
      <c r="J8576" s="63"/>
    </row>
    <row r="8577" spans="9:10" x14ac:dyDescent="0.35">
      <c r="I8577" s="63"/>
      <c r="J8577" s="63"/>
    </row>
    <row r="8578" spans="9:10" x14ac:dyDescent="0.35">
      <c r="I8578" s="63"/>
      <c r="J8578" s="63"/>
    </row>
    <row r="8579" spans="9:10" x14ac:dyDescent="0.35">
      <c r="I8579" s="63"/>
      <c r="J8579" s="63"/>
    </row>
    <row r="8580" spans="9:10" x14ac:dyDescent="0.35">
      <c r="I8580" s="63"/>
      <c r="J8580" s="63"/>
    </row>
    <row r="8581" spans="9:10" x14ac:dyDescent="0.35">
      <c r="I8581" s="63"/>
      <c r="J8581" s="63"/>
    </row>
    <row r="8582" spans="9:10" x14ac:dyDescent="0.35">
      <c r="I8582" s="63"/>
      <c r="J8582" s="63"/>
    </row>
    <row r="8583" spans="9:10" x14ac:dyDescent="0.35">
      <c r="I8583" s="63"/>
      <c r="J8583" s="63"/>
    </row>
    <row r="8584" spans="9:10" x14ac:dyDescent="0.35">
      <c r="I8584" s="63"/>
      <c r="J8584" s="63"/>
    </row>
    <row r="8585" spans="9:10" x14ac:dyDescent="0.35">
      <c r="I8585" s="63"/>
      <c r="J8585" s="63"/>
    </row>
    <row r="8586" spans="9:10" x14ac:dyDescent="0.35">
      <c r="I8586" s="63"/>
      <c r="J8586" s="63"/>
    </row>
    <row r="8587" spans="9:10" x14ac:dyDescent="0.35">
      <c r="I8587" s="63"/>
      <c r="J8587" s="63"/>
    </row>
    <row r="8588" spans="9:10" x14ac:dyDescent="0.35">
      <c r="I8588" s="63"/>
      <c r="J8588" s="63"/>
    </row>
    <row r="8589" spans="9:10" x14ac:dyDescent="0.35">
      <c r="I8589" s="63"/>
      <c r="J8589" s="63"/>
    </row>
    <row r="8590" spans="9:10" x14ac:dyDescent="0.35">
      <c r="I8590" s="63"/>
      <c r="J8590" s="63"/>
    </row>
    <row r="8591" spans="9:10" x14ac:dyDescent="0.35">
      <c r="I8591" s="63"/>
      <c r="J8591" s="63"/>
    </row>
    <row r="8592" spans="9:10" x14ac:dyDescent="0.35">
      <c r="I8592" s="63"/>
      <c r="J8592" s="63"/>
    </row>
    <row r="8593" spans="9:10" x14ac:dyDescent="0.35">
      <c r="I8593" s="63"/>
      <c r="J8593" s="63"/>
    </row>
    <row r="8594" spans="9:10" x14ac:dyDescent="0.35">
      <c r="I8594" s="63"/>
      <c r="J8594" s="63"/>
    </row>
    <row r="8595" spans="9:10" x14ac:dyDescent="0.35">
      <c r="I8595" s="63"/>
      <c r="J8595" s="63"/>
    </row>
    <row r="8596" spans="9:10" x14ac:dyDescent="0.35">
      <c r="I8596" s="63"/>
      <c r="J8596" s="63"/>
    </row>
    <row r="8597" spans="9:10" x14ac:dyDescent="0.35">
      <c r="I8597" s="63"/>
      <c r="J8597" s="63"/>
    </row>
    <row r="8598" spans="9:10" x14ac:dyDescent="0.35">
      <c r="I8598" s="63"/>
      <c r="J8598" s="63"/>
    </row>
    <row r="8599" spans="9:10" x14ac:dyDescent="0.35">
      <c r="I8599" s="63"/>
      <c r="J8599" s="63"/>
    </row>
    <row r="8600" spans="9:10" x14ac:dyDescent="0.35">
      <c r="I8600" s="63"/>
      <c r="J8600" s="63"/>
    </row>
    <row r="8601" spans="9:10" x14ac:dyDescent="0.35">
      <c r="I8601" s="63"/>
      <c r="J8601" s="63"/>
    </row>
    <row r="8602" spans="9:10" x14ac:dyDescent="0.35">
      <c r="I8602" s="63"/>
      <c r="J8602" s="63"/>
    </row>
    <row r="8603" spans="9:10" x14ac:dyDescent="0.35">
      <c r="I8603" s="63"/>
      <c r="J8603" s="63"/>
    </row>
    <row r="8604" spans="9:10" x14ac:dyDescent="0.35">
      <c r="I8604" s="63"/>
      <c r="J8604" s="63"/>
    </row>
    <row r="8605" spans="9:10" x14ac:dyDescent="0.35">
      <c r="I8605" s="63"/>
      <c r="J8605" s="63"/>
    </row>
    <row r="8606" spans="9:10" x14ac:dyDescent="0.35">
      <c r="I8606" s="63"/>
      <c r="J8606" s="63"/>
    </row>
    <row r="8607" spans="9:10" x14ac:dyDescent="0.35">
      <c r="I8607" s="63"/>
      <c r="J8607" s="63"/>
    </row>
    <row r="8608" spans="9:10" x14ac:dyDescent="0.35">
      <c r="I8608" s="63"/>
      <c r="J8608" s="63"/>
    </row>
    <row r="8609" spans="9:10" x14ac:dyDescent="0.35">
      <c r="I8609" s="63"/>
      <c r="J8609" s="63"/>
    </row>
    <row r="8610" spans="9:10" x14ac:dyDescent="0.35">
      <c r="I8610" s="63"/>
      <c r="J8610" s="63"/>
    </row>
    <row r="8611" spans="9:10" x14ac:dyDescent="0.35">
      <c r="I8611" s="63"/>
      <c r="J8611" s="63"/>
    </row>
    <row r="8612" spans="9:10" x14ac:dyDescent="0.35">
      <c r="I8612" s="63"/>
      <c r="J8612" s="63"/>
    </row>
    <row r="8613" spans="9:10" x14ac:dyDescent="0.35">
      <c r="I8613" s="63"/>
      <c r="J8613" s="63"/>
    </row>
    <row r="8614" spans="9:10" x14ac:dyDescent="0.35">
      <c r="I8614" s="63"/>
      <c r="J8614" s="63"/>
    </row>
    <row r="8615" spans="9:10" x14ac:dyDescent="0.35">
      <c r="I8615" s="63"/>
      <c r="J8615" s="63"/>
    </row>
    <row r="8616" spans="9:10" x14ac:dyDescent="0.35">
      <c r="I8616" s="63"/>
      <c r="J8616" s="63"/>
    </row>
    <row r="8617" spans="9:10" x14ac:dyDescent="0.35">
      <c r="I8617" s="63"/>
      <c r="J8617" s="63"/>
    </row>
    <row r="8618" spans="9:10" x14ac:dyDescent="0.35">
      <c r="I8618" s="63"/>
      <c r="J8618" s="63"/>
    </row>
    <row r="8619" spans="9:10" x14ac:dyDescent="0.35">
      <c r="I8619" s="63"/>
      <c r="J8619" s="63"/>
    </row>
    <row r="8620" spans="9:10" x14ac:dyDescent="0.35">
      <c r="I8620" s="63"/>
      <c r="J8620" s="63"/>
    </row>
    <row r="8621" spans="9:10" x14ac:dyDescent="0.35">
      <c r="I8621" s="63"/>
      <c r="J8621" s="63"/>
    </row>
    <row r="8622" spans="9:10" x14ac:dyDescent="0.35">
      <c r="I8622" s="63"/>
      <c r="J8622" s="63"/>
    </row>
    <row r="8623" spans="9:10" x14ac:dyDescent="0.35">
      <c r="I8623" s="63"/>
      <c r="J8623" s="63"/>
    </row>
    <row r="8624" spans="9:10" x14ac:dyDescent="0.35">
      <c r="I8624" s="63"/>
      <c r="J8624" s="63"/>
    </row>
    <row r="8625" spans="9:10" x14ac:dyDescent="0.35">
      <c r="I8625" s="63"/>
      <c r="J8625" s="63"/>
    </row>
    <row r="8626" spans="9:10" x14ac:dyDescent="0.35">
      <c r="I8626" s="63"/>
      <c r="J8626" s="63"/>
    </row>
    <row r="8627" spans="9:10" x14ac:dyDescent="0.35">
      <c r="I8627" s="63"/>
      <c r="J8627" s="63"/>
    </row>
    <row r="8628" spans="9:10" x14ac:dyDescent="0.35">
      <c r="I8628" s="63"/>
      <c r="J8628" s="63"/>
    </row>
    <row r="8629" spans="9:10" x14ac:dyDescent="0.35">
      <c r="I8629" s="63"/>
      <c r="J8629" s="63"/>
    </row>
    <row r="8630" spans="9:10" x14ac:dyDescent="0.35">
      <c r="I8630" s="63"/>
      <c r="J8630" s="63"/>
    </row>
    <row r="8631" spans="9:10" x14ac:dyDescent="0.35">
      <c r="I8631" s="63"/>
      <c r="J8631" s="63"/>
    </row>
    <row r="8632" spans="9:10" x14ac:dyDescent="0.35">
      <c r="I8632" s="63"/>
      <c r="J8632" s="63"/>
    </row>
    <row r="8633" spans="9:10" x14ac:dyDescent="0.35">
      <c r="I8633" s="63"/>
      <c r="J8633" s="63"/>
    </row>
    <row r="8634" spans="9:10" x14ac:dyDescent="0.35">
      <c r="I8634" s="63"/>
      <c r="J8634" s="63"/>
    </row>
    <row r="8635" spans="9:10" x14ac:dyDescent="0.35">
      <c r="I8635" s="63"/>
      <c r="J8635" s="63"/>
    </row>
    <row r="8636" spans="9:10" x14ac:dyDescent="0.35">
      <c r="I8636" s="63"/>
      <c r="J8636" s="63"/>
    </row>
    <row r="8637" spans="9:10" x14ac:dyDescent="0.35">
      <c r="I8637" s="63"/>
      <c r="J8637" s="63"/>
    </row>
    <row r="8638" spans="9:10" x14ac:dyDescent="0.35">
      <c r="I8638" s="63"/>
      <c r="J8638" s="63"/>
    </row>
    <row r="8639" spans="9:10" x14ac:dyDescent="0.35">
      <c r="I8639" s="63"/>
      <c r="J8639" s="63"/>
    </row>
    <row r="8640" spans="9:10" x14ac:dyDescent="0.35">
      <c r="I8640" s="63"/>
      <c r="J8640" s="63"/>
    </row>
    <row r="8641" spans="9:10" x14ac:dyDescent="0.35">
      <c r="I8641" s="63"/>
      <c r="J8641" s="63"/>
    </row>
    <row r="8642" spans="9:10" x14ac:dyDescent="0.35">
      <c r="I8642" s="63"/>
      <c r="J8642" s="63"/>
    </row>
    <row r="8643" spans="9:10" x14ac:dyDescent="0.35">
      <c r="I8643" s="63"/>
      <c r="J8643" s="63"/>
    </row>
    <row r="8644" spans="9:10" x14ac:dyDescent="0.35">
      <c r="I8644" s="63"/>
      <c r="J8644" s="63"/>
    </row>
    <row r="8645" spans="9:10" x14ac:dyDescent="0.35">
      <c r="I8645" s="63"/>
      <c r="J8645" s="63"/>
    </row>
    <row r="8646" spans="9:10" x14ac:dyDescent="0.35">
      <c r="I8646" s="63"/>
      <c r="J8646" s="63"/>
    </row>
    <row r="8647" spans="9:10" x14ac:dyDescent="0.35">
      <c r="I8647" s="63"/>
      <c r="J8647" s="63"/>
    </row>
    <row r="8648" spans="9:10" x14ac:dyDescent="0.35">
      <c r="I8648" s="63"/>
      <c r="J8648" s="63"/>
    </row>
    <row r="8649" spans="9:10" x14ac:dyDescent="0.35">
      <c r="I8649" s="63"/>
      <c r="J8649" s="63"/>
    </row>
    <row r="8650" spans="9:10" x14ac:dyDescent="0.35">
      <c r="I8650" s="63"/>
      <c r="J8650" s="63"/>
    </row>
    <row r="8651" spans="9:10" x14ac:dyDescent="0.35">
      <c r="I8651" s="63"/>
      <c r="J8651" s="63"/>
    </row>
    <row r="8652" spans="9:10" x14ac:dyDescent="0.35">
      <c r="I8652" s="63"/>
      <c r="J8652" s="63"/>
    </row>
    <row r="8653" spans="9:10" x14ac:dyDescent="0.35">
      <c r="I8653" s="63"/>
      <c r="J8653" s="63"/>
    </row>
    <row r="8654" spans="9:10" x14ac:dyDescent="0.35">
      <c r="I8654" s="63"/>
      <c r="J8654" s="63"/>
    </row>
    <row r="8655" spans="9:10" x14ac:dyDescent="0.35">
      <c r="I8655" s="63"/>
      <c r="J8655" s="63"/>
    </row>
    <row r="8656" spans="9:10" x14ac:dyDescent="0.35">
      <c r="I8656" s="63"/>
      <c r="J8656" s="63"/>
    </row>
    <row r="8657" spans="9:10" x14ac:dyDescent="0.35">
      <c r="I8657" s="63"/>
      <c r="J8657" s="63"/>
    </row>
    <row r="8658" spans="9:10" x14ac:dyDescent="0.35">
      <c r="I8658" s="63"/>
      <c r="J8658" s="63"/>
    </row>
    <row r="8659" spans="9:10" x14ac:dyDescent="0.35">
      <c r="I8659" s="63"/>
      <c r="J8659" s="63"/>
    </row>
    <row r="8660" spans="9:10" x14ac:dyDescent="0.35">
      <c r="I8660" s="63"/>
      <c r="J8660" s="63"/>
    </row>
    <row r="8661" spans="9:10" x14ac:dyDescent="0.35">
      <c r="I8661" s="63"/>
      <c r="J8661" s="63"/>
    </row>
    <row r="8662" spans="9:10" x14ac:dyDescent="0.35">
      <c r="I8662" s="63"/>
      <c r="J8662" s="63"/>
    </row>
    <row r="8663" spans="9:10" x14ac:dyDescent="0.35">
      <c r="I8663" s="63"/>
      <c r="J8663" s="63"/>
    </row>
    <row r="8664" spans="9:10" x14ac:dyDescent="0.35">
      <c r="I8664" s="63"/>
      <c r="J8664" s="63"/>
    </row>
    <row r="8665" spans="9:10" x14ac:dyDescent="0.35">
      <c r="I8665" s="63"/>
      <c r="J8665" s="63"/>
    </row>
    <row r="8666" spans="9:10" x14ac:dyDescent="0.35">
      <c r="I8666" s="63"/>
      <c r="J8666" s="63"/>
    </row>
    <row r="8667" spans="9:10" x14ac:dyDescent="0.35">
      <c r="I8667" s="63"/>
      <c r="J8667" s="63"/>
    </row>
    <row r="8668" spans="9:10" x14ac:dyDescent="0.35">
      <c r="I8668" s="63"/>
      <c r="J8668" s="63"/>
    </row>
    <row r="8669" spans="9:10" x14ac:dyDescent="0.35">
      <c r="I8669" s="63"/>
      <c r="J8669" s="63"/>
    </row>
    <row r="8670" spans="9:10" x14ac:dyDescent="0.35">
      <c r="I8670" s="63"/>
      <c r="J8670" s="63"/>
    </row>
    <row r="8671" spans="9:10" x14ac:dyDescent="0.35">
      <c r="I8671" s="63"/>
      <c r="J8671" s="63"/>
    </row>
    <row r="8672" spans="9:10" x14ac:dyDescent="0.35">
      <c r="I8672" s="63"/>
      <c r="J8672" s="63"/>
    </row>
    <row r="8673" spans="9:10" x14ac:dyDescent="0.35">
      <c r="I8673" s="63"/>
      <c r="J8673" s="63"/>
    </row>
    <row r="8674" spans="9:10" x14ac:dyDescent="0.35">
      <c r="I8674" s="63"/>
      <c r="J8674" s="63"/>
    </row>
    <row r="8675" spans="9:10" x14ac:dyDescent="0.35">
      <c r="I8675" s="63"/>
      <c r="J8675" s="63"/>
    </row>
    <row r="8676" spans="9:10" x14ac:dyDescent="0.35">
      <c r="I8676" s="63"/>
      <c r="J8676" s="63"/>
    </row>
    <row r="8677" spans="9:10" x14ac:dyDescent="0.35">
      <c r="I8677" s="63"/>
      <c r="J8677" s="63"/>
    </row>
    <row r="8678" spans="9:10" x14ac:dyDescent="0.35">
      <c r="I8678" s="63"/>
      <c r="J8678" s="63"/>
    </row>
    <row r="8679" spans="9:10" x14ac:dyDescent="0.35">
      <c r="I8679" s="63"/>
      <c r="J8679" s="63"/>
    </row>
    <row r="8680" spans="9:10" x14ac:dyDescent="0.35">
      <c r="I8680" s="63"/>
      <c r="J8680" s="63"/>
    </row>
    <row r="8681" spans="9:10" x14ac:dyDescent="0.35">
      <c r="I8681" s="63"/>
      <c r="J8681" s="63"/>
    </row>
    <row r="8682" spans="9:10" x14ac:dyDescent="0.35">
      <c r="I8682" s="63"/>
      <c r="J8682" s="63"/>
    </row>
    <row r="8683" spans="9:10" x14ac:dyDescent="0.35">
      <c r="I8683" s="63"/>
      <c r="J8683" s="63"/>
    </row>
    <row r="8684" spans="9:10" x14ac:dyDescent="0.35">
      <c r="I8684" s="63"/>
      <c r="J8684" s="63"/>
    </row>
    <row r="8685" spans="9:10" x14ac:dyDescent="0.35">
      <c r="I8685" s="63"/>
      <c r="J8685" s="63"/>
    </row>
    <row r="8686" spans="9:10" x14ac:dyDescent="0.35">
      <c r="I8686" s="63"/>
      <c r="J8686" s="63"/>
    </row>
    <row r="8687" spans="9:10" x14ac:dyDescent="0.35">
      <c r="I8687" s="63"/>
      <c r="J8687" s="63"/>
    </row>
    <row r="8688" spans="9:10" x14ac:dyDescent="0.35">
      <c r="I8688" s="63"/>
      <c r="J8688" s="63"/>
    </row>
    <row r="8689" spans="9:10" x14ac:dyDescent="0.35">
      <c r="I8689" s="63"/>
      <c r="J8689" s="63"/>
    </row>
    <row r="8690" spans="9:10" x14ac:dyDescent="0.35">
      <c r="I8690" s="63"/>
      <c r="J8690" s="63"/>
    </row>
    <row r="8691" spans="9:10" x14ac:dyDescent="0.35">
      <c r="I8691" s="63"/>
      <c r="J8691" s="63"/>
    </row>
    <row r="8692" spans="9:10" x14ac:dyDescent="0.35">
      <c r="I8692" s="63"/>
      <c r="J8692" s="63"/>
    </row>
    <row r="8693" spans="9:10" x14ac:dyDescent="0.35">
      <c r="I8693" s="63"/>
      <c r="J8693" s="63"/>
    </row>
    <row r="8694" spans="9:10" x14ac:dyDescent="0.35">
      <c r="I8694" s="63"/>
      <c r="J8694" s="63"/>
    </row>
    <row r="8695" spans="9:10" x14ac:dyDescent="0.35">
      <c r="I8695" s="63"/>
      <c r="J8695" s="63"/>
    </row>
    <row r="8696" spans="9:10" x14ac:dyDescent="0.35">
      <c r="I8696" s="63"/>
      <c r="J8696" s="63"/>
    </row>
    <row r="8697" spans="9:10" x14ac:dyDescent="0.35">
      <c r="I8697" s="63"/>
      <c r="J8697" s="63"/>
    </row>
    <row r="8698" spans="9:10" x14ac:dyDescent="0.35">
      <c r="I8698" s="63"/>
      <c r="J8698" s="63"/>
    </row>
    <row r="8699" spans="9:10" x14ac:dyDescent="0.35">
      <c r="I8699" s="63"/>
      <c r="J8699" s="63"/>
    </row>
    <row r="8700" spans="9:10" x14ac:dyDescent="0.35">
      <c r="I8700" s="63"/>
      <c r="J8700" s="63"/>
    </row>
    <row r="8701" spans="9:10" x14ac:dyDescent="0.35">
      <c r="I8701" s="63"/>
      <c r="J8701" s="63"/>
    </row>
    <row r="8702" spans="9:10" x14ac:dyDescent="0.35">
      <c r="I8702" s="63"/>
      <c r="J8702" s="63"/>
    </row>
    <row r="8703" spans="9:10" x14ac:dyDescent="0.35">
      <c r="I8703" s="63"/>
      <c r="J8703" s="63"/>
    </row>
    <row r="8704" spans="9:10" x14ac:dyDescent="0.35">
      <c r="I8704" s="63"/>
      <c r="J8704" s="63"/>
    </row>
    <row r="8705" spans="9:10" x14ac:dyDescent="0.35">
      <c r="I8705" s="63"/>
      <c r="J8705" s="63"/>
    </row>
    <row r="8706" spans="9:10" x14ac:dyDescent="0.35">
      <c r="I8706" s="63"/>
      <c r="J8706" s="63"/>
    </row>
    <row r="8707" spans="9:10" x14ac:dyDescent="0.35">
      <c r="I8707" s="63"/>
      <c r="J8707" s="63"/>
    </row>
    <row r="8708" spans="9:10" x14ac:dyDescent="0.35">
      <c r="I8708" s="63"/>
      <c r="J8708" s="63"/>
    </row>
    <row r="8709" spans="9:10" x14ac:dyDescent="0.35">
      <c r="I8709" s="63"/>
      <c r="J8709" s="63"/>
    </row>
    <row r="8710" spans="9:10" x14ac:dyDescent="0.35">
      <c r="I8710" s="63"/>
      <c r="J8710" s="63"/>
    </row>
    <row r="8711" spans="9:10" x14ac:dyDescent="0.35">
      <c r="I8711" s="63"/>
      <c r="J8711" s="63"/>
    </row>
    <row r="8712" spans="9:10" x14ac:dyDescent="0.35">
      <c r="I8712" s="63"/>
      <c r="J8712" s="63"/>
    </row>
    <row r="8713" spans="9:10" x14ac:dyDescent="0.35">
      <c r="I8713" s="63"/>
      <c r="J8713" s="63"/>
    </row>
    <row r="8714" spans="9:10" x14ac:dyDescent="0.35">
      <c r="I8714" s="63"/>
      <c r="J8714" s="63"/>
    </row>
    <row r="8715" spans="9:10" x14ac:dyDescent="0.35">
      <c r="I8715" s="63"/>
      <c r="J8715" s="63"/>
    </row>
    <row r="8716" spans="9:10" x14ac:dyDescent="0.35">
      <c r="I8716" s="63"/>
      <c r="J8716" s="63"/>
    </row>
    <row r="8717" spans="9:10" x14ac:dyDescent="0.35">
      <c r="I8717" s="63"/>
      <c r="J8717" s="63"/>
    </row>
    <row r="8718" spans="9:10" x14ac:dyDescent="0.35">
      <c r="I8718" s="63"/>
      <c r="J8718" s="63"/>
    </row>
    <row r="8719" spans="9:10" x14ac:dyDescent="0.35">
      <c r="I8719" s="63"/>
      <c r="J8719" s="63"/>
    </row>
    <row r="8720" spans="9:10" x14ac:dyDescent="0.35">
      <c r="I8720" s="63"/>
      <c r="J8720" s="63"/>
    </row>
    <row r="8721" spans="9:10" x14ac:dyDescent="0.35">
      <c r="I8721" s="63"/>
      <c r="J8721" s="63"/>
    </row>
    <row r="8722" spans="9:10" x14ac:dyDescent="0.35">
      <c r="I8722" s="63"/>
      <c r="J8722" s="63"/>
    </row>
    <row r="8723" spans="9:10" x14ac:dyDescent="0.35">
      <c r="I8723" s="63"/>
      <c r="J8723" s="63"/>
    </row>
    <row r="8724" spans="9:10" x14ac:dyDescent="0.35">
      <c r="I8724" s="63"/>
      <c r="J8724" s="63"/>
    </row>
    <row r="8725" spans="9:10" x14ac:dyDescent="0.35">
      <c r="I8725" s="63"/>
      <c r="J8725" s="63"/>
    </row>
    <row r="8726" spans="9:10" x14ac:dyDescent="0.35">
      <c r="I8726" s="63"/>
      <c r="J8726" s="63"/>
    </row>
    <row r="8727" spans="9:10" x14ac:dyDescent="0.35">
      <c r="I8727" s="63"/>
      <c r="J8727" s="63"/>
    </row>
    <row r="8728" spans="9:10" x14ac:dyDescent="0.35">
      <c r="I8728" s="63"/>
      <c r="J8728" s="63"/>
    </row>
    <row r="8729" spans="9:10" x14ac:dyDescent="0.35">
      <c r="I8729" s="63"/>
      <c r="J8729" s="63"/>
    </row>
    <row r="8730" spans="9:10" x14ac:dyDescent="0.35">
      <c r="I8730" s="63"/>
      <c r="J8730" s="63"/>
    </row>
    <row r="8731" spans="9:10" x14ac:dyDescent="0.35">
      <c r="I8731" s="63"/>
      <c r="J8731" s="63"/>
    </row>
    <row r="8732" spans="9:10" x14ac:dyDescent="0.35">
      <c r="I8732" s="63"/>
      <c r="J8732" s="63"/>
    </row>
    <row r="8733" spans="9:10" x14ac:dyDescent="0.35">
      <c r="I8733" s="63"/>
      <c r="J8733" s="63"/>
    </row>
    <row r="8734" spans="9:10" x14ac:dyDescent="0.35">
      <c r="I8734" s="63"/>
      <c r="J8734" s="63"/>
    </row>
    <row r="8735" spans="9:10" x14ac:dyDescent="0.35">
      <c r="I8735" s="63"/>
      <c r="J8735" s="63"/>
    </row>
    <row r="8736" spans="9:10" x14ac:dyDescent="0.35">
      <c r="I8736" s="63"/>
      <c r="J8736" s="63"/>
    </row>
    <row r="8737" spans="9:10" x14ac:dyDescent="0.35">
      <c r="I8737" s="63"/>
      <c r="J8737" s="63"/>
    </row>
    <row r="8738" spans="9:10" x14ac:dyDescent="0.35">
      <c r="I8738" s="63"/>
      <c r="J8738" s="63"/>
    </row>
    <row r="8739" spans="9:10" x14ac:dyDescent="0.35">
      <c r="I8739" s="63"/>
      <c r="J8739" s="63"/>
    </row>
    <row r="8740" spans="9:10" x14ac:dyDescent="0.35">
      <c r="I8740" s="63"/>
      <c r="J8740" s="63"/>
    </row>
    <row r="8741" spans="9:10" x14ac:dyDescent="0.35">
      <c r="I8741" s="63"/>
      <c r="J8741" s="63"/>
    </row>
    <row r="8742" spans="9:10" x14ac:dyDescent="0.35">
      <c r="I8742" s="63"/>
      <c r="J8742" s="63"/>
    </row>
    <row r="8743" spans="9:10" x14ac:dyDescent="0.35">
      <c r="I8743" s="63"/>
      <c r="J8743" s="63"/>
    </row>
    <row r="8744" spans="9:10" x14ac:dyDescent="0.35">
      <c r="I8744" s="63"/>
      <c r="J8744" s="63"/>
    </row>
    <row r="8745" spans="9:10" x14ac:dyDescent="0.35">
      <c r="I8745" s="63"/>
      <c r="J8745" s="63"/>
    </row>
    <row r="8746" spans="9:10" x14ac:dyDescent="0.35">
      <c r="I8746" s="63"/>
      <c r="J8746" s="63"/>
    </row>
    <row r="8747" spans="9:10" x14ac:dyDescent="0.35">
      <c r="I8747" s="63"/>
      <c r="J8747" s="63"/>
    </row>
    <row r="8748" spans="9:10" x14ac:dyDescent="0.35">
      <c r="I8748" s="63"/>
      <c r="J8748" s="63"/>
    </row>
    <row r="8749" spans="9:10" x14ac:dyDescent="0.35">
      <c r="I8749" s="63"/>
      <c r="J8749" s="63"/>
    </row>
    <row r="8750" spans="9:10" x14ac:dyDescent="0.35">
      <c r="I8750" s="63"/>
      <c r="J8750" s="63"/>
    </row>
    <row r="8751" spans="9:10" x14ac:dyDescent="0.35">
      <c r="I8751" s="63"/>
      <c r="J8751" s="63"/>
    </row>
    <row r="8752" spans="9:10" x14ac:dyDescent="0.35">
      <c r="I8752" s="63"/>
      <c r="J8752" s="63"/>
    </row>
    <row r="8753" spans="9:10" x14ac:dyDescent="0.35">
      <c r="I8753" s="63"/>
      <c r="J8753" s="63"/>
    </row>
    <row r="8754" spans="9:10" x14ac:dyDescent="0.35">
      <c r="I8754" s="63"/>
      <c r="J8754" s="63"/>
    </row>
    <row r="8755" spans="9:10" x14ac:dyDescent="0.35">
      <c r="I8755" s="63"/>
      <c r="J8755" s="63"/>
    </row>
    <row r="8756" spans="9:10" x14ac:dyDescent="0.35">
      <c r="I8756" s="63"/>
      <c r="J8756" s="63"/>
    </row>
    <row r="8757" spans="9:10" x14ac:dyDescent="0.35">
      <c r="I8757" s="63"/>
      <c r="J8757" s="63"/>
    </row>
    <row r="8758" spans="9:10" x14ac:dyDescent="0.35">
      <c r="I8758" s="63"/>
      <c r="J8758" s="63"/>
    </row>
    <row r="8759" spans="9:10" x14ac:dyDescent="0.35">
      <c r="I8759" s="63"/>
      <c r="J8759" s="63"/>
    </row>
    <row r="8760" spans="9:10" x14ac:dyDescent="0.35">
      <c r="I8760" s="63"/>
      <c r="J8760" s="63"/>
    </row>
    <row r="8761" spans="9:10" x14ac:dyDescent="0.35">
      <c r="I8761" s="63"/>
      <c r="J8761" s="63"/>
    </row>
    <row r="8762" spans="9:10" x14ac:dyDescent="0.35">
      <c r="I8762" s="63"/>
      <c r="J8762" s="63"/>
    </row>
    <row r="8763" spans="9:10" x14ac:dyDescent="0.35">
      <c r="I8763" s="63"/>
      <c r="J8763" s="63"/>
    </row>
    <row r="8764" spans="9:10" x14ac:dyDescent="0.35">
      <c r="I8764" s="63"/>
      <c r="J8764" s="63"/>
    </row>
    <row r="8765" spans="9:10" x14ac:dyDescent="0.35">
      <c r="I8765" s="63"/>
      <c r="J8765" s="63"/>
    </row>
    <row r="8766" spans="9:10" x14ac:dyDescent="0.35">
      <c r="I8766" s="63"/>
      <c r="J8766" s="63"/>
    </row>
    <row r="8767" spans="9:10" x14ac:dyDescent="0.35">
      <c r="I8767" s="63"/>
      <c r="J8767" s="63"/>
    </row>
    <row r="8768" spans="9:10" x14ac:dyDescent="0.35">
      <c r="I8768" s="63"/>
      <c r="J8768" s="63"/>
    </row>
    <row r="8769" spans="9:10" x14ac:dyDescent="0.35">
      <c r="I8769" s="63"/>
      <c r="J8769" s="63"/>
    </row>
    <row r="8770" spans="9:10" x14ac:dyDescent="0.35">
      <c r="I8770" s="63"/>
      <c r="J8770" s="63"/>
    </row>
    <row r="8771" spans="9:10" x14ac:dyDescent="0.35">
      <c r="I8771" s="63"/>
      <c r="J8771" s="63"/>
    </row>
    <row r="8772" spans="9:10" x14ac:dyDescent="0.35">
      <c r="I8772" s="63"/>
      <c r="J8772" s="63"/>
    </row>
    <row r="8773" spans="9:10" x14ac:dyDescent="0.35">
      <c r="I8773" s="63"/>
      <c r="J8773" s="63"/>
    </row>
    <row r="8774" spans="9:10" x14ac:dyDescent="0.35">
      <c r="I8774" s="63"/>
      <c r="J8774" s="63"/>
    </row>
    <row r="8775" spans="9:10" x14ac:dyDescent="0.35">
      <c r="I8775" s="63"/>
      <c r="J8775" s="63"/>
    </row>
    <row r="8776" spans="9:10" x14ac:dyDescent="0.35">
      <c r="I8776" s="63"/>
      <c r="J8776" s="63"/>
    </row>
    <row r="8777" spans="9:10" x14ac:dyDescent="0.35">
      <c r="I8777" s="63"/>
      <c r="J8777" s="63"/>
    </row>
    <row r="8778" spans="9:10" x14ac:dyDescent="0.35">
      <c r="I8778" s="63"/>
      <c r="J8778" s="63"/>
    </row>
    <row r="8779" spans="9:10" x14ac:dyDescent="0.35">
      <c r="I8779" s="63"/>
      <c r="J8779" s="63"/>
    </row>
    <row r="8780" spans="9:10" x14ac:dyDescent="0.35">
      <c r="I8780" s="63"/>
      <c r="J8780" s="63"/>
    </row>
    <row r="8781" spans="9:10" x14ac:dyDescent="0.35">
      <c r="I8781" s="63"/>
      <c r="J8781" s="63"/>
    </row>
    <row r="8782" spans="9:10" x14ac:dyDescent="0.35">
      <c r="I8782" s="63"/>
      <c r="J8782" s="63"/>
    </row>
    <row r="8783" spans="9:10" x14ac:dyDescent="0.35">
      <c r="I8783" s="63"/>
      <c r="J8783" s="63"/>
    </row>
    <row r="8784" spans="9:10" x14ac:dyDescent="0.35">
      <c r="I8784" s="63"/>
      <c r="J8784" s="63"/>
    </row>
    <row r="8785" spans="9:10" x14ac:dyDescent="0.35">
      <c r="I8785" s="63"/>
      <c r="J8785" s="63"/>
    </row>
    <row r="8786" spans="9:10" x14ac:dyDescent="0.35">
      <c r="I8786" s="63"/>
      <c r="J8786" s="63"/>
    </row>
    <row r="8787" spans="9:10" x14ac:dyDescent="0.35">
      <c r="I8787" s="63"/>
      <c r="J8787" s="63"/>
    </row>
    <row r="8788" spans="9:10" x14ac:dyDescent="0.35">
      <c r="I8788" s="63"/>
      <c r="J8788" s="63"/>
    </row>
    <row r="8789" spans="9:10" x14ac:dyDescent="0.35">
      <c r="I8789" s="63"/>
      <c r="J8789" s="63"/>
    </row>
    <row r="8790" spans="9:10" x14ac:dyDescent="0.35">
      <c r="I8790" s="63"/>
      <c r="J8790" s="63"/>
    </row>
    <row r="8791" spans="9:10" x14ac:dyDescent="0.35">
      <c r="I8791" s="63"/>
      <c r="J8791" s="63"/>
    </row>
    <row r="8792" spans="9:10" x14ac:dyDescent="0.35">
      <c r="I8792" s="63"/>
      <c r="J8792" s="63"/>
    </row>
    <row r="8793" spans="9:10" x14ac:dyDescent="0.35">
      <c r="I8793" s="63"/>
      <c r="J8793" s="63"/>
    </row>
    <row r="8794" spans="9:10" x14ac:dyDescent="0.35">
      <c r="I8794" s="63"/>
      <c r="J8794" s="63"/>
    </row>
    <row r="8795" spans="9:10" x14ac:dyDescent="0.35">
      <c r="I8795" s="63"/>
      <c r="J8795" s="63"/>
    </row>
    <row r="8796" spans="9:10" x14ac:dyDescent="0.35">
      <c r="I8796" s="63"/>
      <c r="J8796" s="63"/>
    </row>
    <row r="8797" spans="9:10" x14ac:dyDescent="0.35">
      <c r="I8797" s="63"/>
      <c r="J8797" s="63"/>
    </row>
    <row r="8798" spans="9:10" x14ac:dyDescent="0.35">
      <c r="I8798" s="63"/>
      <c r="J8798" s="63"/>
    </row>
    <row r="8799" spans="9:10" x14ac:dyDescent="0.35">
      <c r="I8799" s="63"/>
      <c r="J8799" s="63"/>
    </row>
    <row r="8800" spans="9:10" x14ac:dyDescent="0.35">
      <c r="I8800" s="63"/>
      <c r="J8800" s="63"/>
    </row>
    <row r="8801" spans="9:10" x14ac:dyDescent="0.35">
      <c r="I8801" s="63"/>
      <c r="J8801" s="63"/>
    </row>
    <row r="8802" spans="9:10" x14ac:dyDescent="0.35">
      <c r="I8802" s="63"/>
      <c r="J8802" s="63"/>
    </row>
    <row r="8803" spans="9:10" x14ac:dyDescent="0.35">
      <c r="I8803" s="63"/>
      <c r="J8803" s="63"/>
    </row>
    <row r="8804" spans="9:10" x14ac:dyDescent="0.35">
      <c r="I8804" s="63"/>
      <c r="J8804" s="63"/>
    </row>
    <row r="8805" spans="9:10" x14ac:dyDescent="0.35">
      <c r="I8805" s="63"/>
      <c r="J8805" s="63"/>
    </row>
    <row r="8806" spans="9:10" x14ac:dyDescent="0.35">
      <c r="I8806" s="63"/>
      <c r="J8806" s="63"/>
    </row>
    <row r="8807" spans="9:10" x14ac:dyDescent="0.35">
      <c r="I8807" s="63"/>
      <c r="J8807" s="63"/>
    </row>
    <row r="8808" spans="9:10" x14ac:dyDescent="0.35">
      <c r="I8808" s="63"/>
      <c r="J8808" s="63"/>
    </row>
    <row r="8809" spans="9:10" x14ac:dyDescent="0.35">
      <c r="I8809" s="63"/>
      <c r="J8809" s="63"/>
    </row>
    <row r="8810" spans="9:10" x14ac:dyDescent="0.35">
      <c r="I8810" s="63"/>
      <c r="J8810" s="63"/>
    </row>
    <row r="8811" spans="9:10" x14ac:dyDescent="0.35">
      <c r="I8811" s="63"/>
      <c r="J8811" s="63"/>
    </row>
    <row r="8812" spans="9:10" x14ac:dyDescent="0.35">
      <c r="I8812" s="63"/>
      <c r="J8812" s="63"/>
    </row>
    <row r="8813" spans="9:10" x14ac:dyDescent="0.35">
      <c r="I8813" s="63"/>
      <c r="J8813" s="63"/>
    </row>
    <row r="8814" spans="9:10" x14ac:dyDescent="0.35">
      <c r="I8814" s="63"/>
      <c r="J8814" s="63"/>
    </row>
    <row r="8815" spans="9:10" x14ac:dyDescent="0.35">
      <c r="I8815" s="63"/>
      <c r="J8815" s="63"/>
    </row>
    <row r="8816" spans="9:10" x14ac:dyDescent="0.35">
      <c r="I8816" s="63"/>
      <c r="J8816" s="63"/>
    </row>
    <row r="8817" spans="9:10" x14ac:dyDescent="0.35">
      <c r="I8817" s="63"/>
      <c r="J8817" s="63"/>
    </row>
    <row r="8818" spans="9:10" x14ac:dyDescent="0.35">
      <c r="I8818" s="63"/>
      <c r="J8818" s="63"/>
    </row>
    <row r="8819" spans="9:10" x14ac:dyDescent="0.35">
      <c r="I8819" s="63"/>
      <c r="J8819" s="63"/>
    </row>
    <row r="8820" spans="9:10" x14ac:dyDescent="0.35">
      <c r="I8820" s="63"/>
      <c r="J8820" s="63"/>
    </row>
    <row r="8821" spans="9:10" x14ac:dyDescent="0.35">
      <c r="I8821" s="63"/>
      <c r="J8821" s="63"/>
    </row>
    <row r="8822" spans="9:10" x14ac:dyDescent="0.35">
      <c r="I8822" s="63"/>
      <c r="J8822" s="63"/>
    </row>
    <row r="8823" spans="9:10" x14ac:dyDescent="0.35">
      <c r="I8823" s="63"/>
      <c r="J8823" s="63"/>
    </row>
    <row r="8824" spans="9:10" x14ac:dyDescent="0.35">
      <c r="I8824" s="63"/>
      <c r="J8824" s="63"/>
    </row>
    <row r="8825" spans="9:10" x14ac:dyDescent="0.35">
      <c r="I8825" s="63"/>
      <c r="J8825" s="63"/>
    </row>
    <row r="8826" spans="9:10" x14ac:dyDescent="0.35">
      <c r="I8826" s="63"/>
      <c r="J8826" s="63"/>
    </row>
    <row r="8827" spans="9:10" x14ac:dyDescent="0.35">
      <c r="I8827" s="63"/>
      <c r="J8827" s="63"/>
    </row>
    <row r="8828" spans="9:10" x14ac:dyDescent="0.35">
      <c r="I8828" s="63"/>
      <c r="J8828" s="63"/>
    </row>
    <row r="8829" spans="9:10" x14ac:dyDescent="0.35">
      <c r="I8829" s="63"/>
      <c r="J8829" s="63"/>
    </row>
    <row r="8830" spans="9:10" x14ac:dyDescent="0.35">
      <c r="I8830" s="63"/>
      <c r="J8830" s="63"/>
    </row>
    <row r="8831" spans="9:10" x14ac:dyDescent="0.35">
      <c r="I8831" s="63"/>
      <c r="J8831" s="63"/>
    </row>
    <row r="8832" spans="9:10" x14ac:dyDescent="0.35">
      <c r="I8832" s="63"/>
      <c r="J8832" s="63"/>
    </row>
    <row r="8833" spans="9:10" x14ac:dyDescent="0.35">
      <c r="I8833" s="63"/>
      <c r="J8833" s="63"/>
    </row>
    <row r="8834" spans="9:10" x14ac:dyDescent="0.35">
      <c r="I8834" s="63"/>
      <c r="J8834" s="63"/>
    </row>
    <row r="8835" spans="9:10" x14ac:dyDescent="0.35">
      <c r="I8835" s="63"/>
      <c r="J8835" s="63"/>
    </row>
    <row r="8836" spans="9:10" x14ac:dyDescent="0.35">
      <c r="I8836" s="63"/>
      <c r="J8836" s="63"/>
    </row>
    <row r="8837" spans="9:10" x14ac:dyDescent="0.35">
      <c r="I8837" s="63"/>
      <c r="J8837" s="63"/>
    </row>
    <row r="8838" spans="9:10" x14ac:dyDescent="0.35">
      <c r="I8838" s="63"/>
      <c r="J8838" s="63"/>
    </row>
    <row r="8839" spans="9:10" x14ac:dyDescent="0.35">
      <c r="I8839" s="63"/>
      <c r="J8839" s="63"/>
    </row>
    <row r="8840" spans="9:10" x14ac:dyDescent="0.35">
      <c r="I8840" s="63"/>
      <c r="J8840" s="63"/>
    </row>
    <row r="8841" spans="9:10" x14ac:dyDescent="0.35">
      <c r="I8841" s="63"/>
      <c r="J8841" s="63"/>
    </row>
    <row r="8842" spans="9:10" x14ac:dyDescent="0.35">
      <c r="I8842" s="63"/>
      <c r="J8842" s="63"/>
    </row>
    <row r="8843" spans="9:10" x14ac:dyDescent="0.35">
      <c r="I8843" s="63"/>
      <c r="J8843" s="63"/>
    </row>
    <row r="8844" spans="9:10" x14ac:dyDescent="0.35">
      <c r="I8844" s="63"/>
      <c r="J8844" s="63"/>
    </row>
    <row r="8845" spans="9:10" x14ac:dyDescent="0.35">
      <c r="I8845" s="63"/>
      <c r="J8845" s="63"/>
    </row>
    <row r="8846" spans="9:10" x14ac:dyDescent="0.35">
      <c r="I8846" s="63"/>
      <c r="J8846" s="63"/>
    </row>
    <row r="8847" spans="9:10" x14ac:dyDescent="0.35">
      <c r="I8847" s="63"/>
      <c r="J8847" s="63"/>
    </row>
    <row r="8848" spans="9:10" x14ac:dyDescent="0.35">
      <c r="I8848" s="63"/>
      <c r="J8848" s="63"/>
    </row>
    <row r="8849" spans="9:10" x14ac:dyDescent="0.35">
      <c r="I8849" s="63"/>
      <c r="J8849" s="63"/>
    </row>
    <row r="8850" spans="9:10" x14ac:dyDescent="0.35">
      <c r="I8850" s="63"/>
      <c r="J8850" s="63"/>
    </row>
    <row r="8851" spans="9:10" x14ac:dyDescent="0.35">
      <c r="I8851" s="63"/>
      <c r="J8851" s="63"/>
    </row>
    <row r="8852" spans="9:10" x14ac:dyDescent="0.35">
      <c r="I8852" s="63"/>
      <c r="J8852" s="63"/>
    </row>
    <row r="8853" spans="9:10" x14ac:dyDescent="0.35">
      <c r="I8853" s="63"/>
      <c r="J8853" s="63"/>
    </row>
    <row r="8854" spans="9:10" x14ac:dyDescent="0.35">
      <c r="I8854" s="63"/>
      <c r="J8854" s="63"/>
    </row>
    <row r="8855" spans="9:10" x14ac:dyDescent="0.35">
      <c r="I8855" s="63"/>
      <c r="J8855" s="63"/>
    </row>
    <row r="8856" spans="9:10" x14ac:dyDescent="0.35">
      <c r="I8856" s="63"/>
      <c r="J8856" s="63"/>
    </row>
    <row r="8857" spans="9:10" x14ac:dyDescent="0.35">
      <c r="I8857" s="63"/>
      <c r="J8857" s="63"/>
    </row>
    <row r="8858" spans="9:10" x14ac:dyDescent="0.35">
      <c r="I8858" s="63"/>
      <c r="J8858" s="63"/>
    </row>
    <row r="8859" spans="9:10" x14ac:dyDescent="0.35">
      <c r="I8859" s="63"/>
      <c r="J8859" s="63"/>
    </row>
    <row r="8860" spans="9:10" x14ac:dyDescent="0.35">
      <c r="I8860" s="63"/>
      <c r="J8860" s="63"/>
    </row>
    <row r="8861" spans="9:10" x14ac:dyDescent="0.35">
      <c r="I8861" s="63"/>
      <c r="J8861" s="63"/>
    </row>
    <row r="8862" spans="9:10" x14ac:dyDescent="0.35">
      <c r="I8862" s="63"/>
      <c r="J8862" s="63"/>
    </row>
    <row r="8863" spans="9:10" x14ac:dyDescent="0.35">
      <c r="I8863" s="63"/>
      <c r="J8863" s="63"/>
    </row>
    <row r="8864" spans="9:10" x14ac:dyDescent="0.35">
      <c r="I8864" s="63"/>
      <c r="J8864" s="63"/>
    </row>
    <row r="8865" spans="9:10" x14ac:dyDescent="0.35">
      <c r="I8865" s="63"/>
      <c r="J8865" s="63"/>
    </row>
    <row r="8866" spans="9:10" x14ac:dyDescent="0.35">
      <c r="I8866" s="63"/>
      <c r="J8866" s="63"/>
    </row>
    <row r="8867" spans="9:10" x14ac:dyDescent="0.35">
      <c r="I8867" s="63"/>
      <c r="J8867" s="63"/>
    </row>
    <row r="8868" spans="9:10" x14ac:dyDescent="0.35">
      <c r="I8868" s="63"/>
      <c r="J8868" s="63"/>
    </row>
    <row r="8869" spans="9:10" x14ac:dyDescent="0.35">
      <c r="I8869" s="63"/>
      <c r="J8869" s="63"/>
    </row>
    <row r="8870" spans="9:10" x14ac:dyDescent="0.35">
      <c r="I8870" s="63"/>
      <c r="J8870" s="63"/>
    </row>
    <row r="8871" spans="9:10" x14ac:dyDescent="0.35">
      <c r="I8871" s="63"/>
      <c r="J8871" s="63"/>
    </row>
    <row r="8872" spans="9:10" x14ac:dyDescent="0.35">
      <c r="I8872" s="63"/>
      <c r="J8872" s="63"/>
    </row>
    <row r="8873" spans="9:10" x14ac:dyDescent="0.35">
      <c r="I8873" s="63"/>
      <c r="J8873" s="63"/>
    </row>
    <row r="8874" spans="9:10" x14ac:dyDescent="0.35">
      <c r="I8874" s="63"/>
      <c r="J8874" s="63"/>
    </row>
    <row r="8875" spans="9:10" x14ac:dyDescent="0.35">
      <c r="I8875" s="63"/>
      <c r="J8875" s="63"/>
    </row>
    <row r="8876" spans="9:10" x14ac:dyDescent="0.35">
      <c r="I8876" s="63"/>
      <c r="J8876" s="63"/>
    </row>
    <row r="8877" spans="9:10" x14ac:dyDescent="0.35">
      <c r="I8877" s="63"/>
      <c r="J8877" s="63"/>
    </row>
    <row r="8878" spans="9:10" x14ac:dyDescent="0.35">
      <c r="I8878" s="63"/>
      <c r="J8878" s="63"/>
    </row>
    <row r="8879" spans="9:10" x14ac:dyDescent="0.35">
      <c r="I8879" s="63"/>
      <c r="J8879" s="63"/>
    </row>
    <row r="8880" spans="9:10" x14ac:dyDescent="0.35">
      <c r="I8880" s="63"/>
      <c r="J8880" s="63"/>
    </row>
    <row r="8881" spans="9:10" x14ac:dyDescent="0.35">
      <c r="I8881" s="63"/>
      <c r="J8881" s="63"/>
    </row>
    <row r="8882" spans="9:10" x14ac:dyDescent="0.35">
      <c r="I8882" s="63"/>
      <c r="J8882" s="63"/>
    </row>
    <row r="8883" spans="9:10" x14ac:dyDescent="0.35">
      <c r="I8883" s="63"/>
      <c r="J8883" s="63"/>
    </row>
    <row r="8884" spans="9:10" x14ac:dyDescent="0.35">
      <c r="I8884" s="63"/>
      <c r="J8884" s="63"/>
    </row>
    <row r="8885" spans="9:10" x14ac:dyDescent="0.35">
      <c r="I8885" s="63"/>
      <c r="J8885" s="63"/>
    </row>
    <row r="8886" spans="9:10" x14ac:dyDescent="0.35">
      <c r="I8886" s="63"/>
      <c r="J8886" s="63"/>
    </row>
    <row r="8887" spans="9:10" x14ac:dyDescent="0.35">
      <c r="I8887" s="63"/>
      <c r="J8887" s="63"/>
    </row>
    <row r="8888" spans="9:10" x14ac:dyDescent="0.35">
      <c r="I8888" s="63"/>
      <c r="J8888" s="63"/>
    </row>
    <row r="8889" spans="9:10" x14ac:dyDescent="0.35">
      <c r="I8889" s="63"/>
      <c r="J8889" s="63"/>
    </row>
    <row r="8890" spans="9:10" x14ac:dyDescent="0.35">
      <c r="I8890" s="63"/>
      <c r="J8890" s="63"/>
    </row>
    <row r="8891" spans="9:10" x14ac:dyDescent="0.35">
      <c r="I8891" s="63"/>
      <c r="J8891" s="63"/>
    </row>
    <row r="8892" spans="9:10" x14ac:dyDescent="0.35">
      <c r="I8892" s="63"/>
      <c r="J8892" s="63"/>
    </row>
    <row r="8893" spans="9:10" x14ac:dyDescent="0.35">
      <c r="I8893" s="63"/>
      <c r="J8893" s="63"/>
    </row>
    <row r="8894" spans="9:10" x14ac:dyDescent="0.35">
      <c r="I8894" s="63"/>
      <c r="J8894" s="63"/>
    </row>
    <row r="8895" spans="9:10" x14ac:dyDescent="0.35">
      <c r="I8895" s="63"/>
      <c r="J8895" s="63"/>
    </row>
    <row r="8896" spans="9:10" x14ac:dyDescent="0.35">
      <c r="I8896" s="63"/>
      <c r="J8896" s="63"/>
    </row>
    <row r="8897" spans="9:10" x14ac:dyDescent="0.35">
      <c r="I8897" s="63"/>
      <c r="J8897" s="63"/>
    </row>
    <row r="8898" spans="9:10" x14ac:dyDescent="0.35">
      <c r="I8898" s="63"/>
      <c r="J8898" s="63"/>
    </row>
    <row r="8899" spans="9:10" x14ac:dyDescent="0.35">
      <c r="I8899" s="63"/>
      <c r="J8899" s="63"/>
    </row>
    <row r="8900" spans="9:10" x14ac:dyDescent="0.35">
      <c r="I8900" s="63"/>
      <c r="J8900" s="63"/>
    </row>
    <row r="8901" spans="9:10" x14ac:dyDescent="0.35">
      <c r="I8901" s="63"/>
      <c r="J8901" s="63"/>
    </row>
    <row r="8902" spans="9:10" x14ac:dyDescent="0.35">
      <c r="I8902" s="63"/>
      <c r="J8902" s="63"/>
    </row>
    <row r="8903" spans="9:10" x14ac:dyDescent="0.35">
      <c r="I8903" s="63"/>
      <c r="J8903" s="63"/>
    </row>
    <row r="8904" spans="9:10" x14ac:dyDescent="0.35">
      <c r="I8904" s="63"/>
      <c r="J8904" s="63"/>
    </row>
    <row r="8905" spans="9:10" x14ac:dyDescent="0.35">
      <c r="I8905" s="63"/>
      <c r="J8905" s="63"/>
    </row>
    <row r="8906" spans="9:10" x14ac:dyDescent="0.35">
      <c r="I8906" s="63"/>
      <c r="J8906" s="63"/>
    </row>
    <row r="8907" spans="9:10" x14ac:dyDescent="0.35">
      <c r="I8907" s="63"/>
      <c r="J8907" s="63"/>
    </row>
    <row r="8908" spans="9:10" x14ac:dyDescent="0.35">
      <c r="I8908" s="63"/>
      <c r="J8908" s="63"/>
    </row>
    <row r="8909" spans="9:10" x14ac:dyDescent="0.35">
      <c r="I8909" s="63"/>
      <c r="J8909" s="63"/>
    </row>
    <row r="8910" spans="9:10" x14ac:dyDescent="0.35">
      <c r="I8910" s="63"/>
      <c r="J8910" s="63"/>
    </row>
    <row r="8911" spans="9:10" x14ac:dyDescent="0.35">
      <c r="I8911" s="63"/>
      <c r="J8911" s="63"/>
    </row>
    <row r="8912" spans="9:10" x14ac:dyDescent="0.35">
      <c r="I8912" s="63"/>
      <c r="J8912" s="63"/>
    </row>
    <row r="8913" spans="9:10" x14ac:dyDescent="0.35">
      <c r="I8913" s="63"/>
      <c r="J8913" s="63"/>
    </row>
    <row r="8914" spans="9:10" x14ac:dyDescent="0.35">
      <c r="I8914" s="63"/>
      <c r="J8914" s="63"/>
    </row>
    <row r="8915" spans="9:10" x14ac:dyDescent="0.35">
      <c r="I8915" s="63"/>
      <c r="J8915" s="63"/>
    </row>
    <row r="8916" spans="9:10" x14ac:dyDescent="0.35">
      <c r="I8916" s="63"/>
      <c r="J8916" s="63"/>
    </row>
    <row r="8917" spans="9:10" x14ac:dyDescent="0.35">
      <c r="I8917" s="63"/>
      <c r="J8917" s="63"/>
    </row>
    <row r="8918" spans="9:10" x14ac:dyDescent="0.35">
      <c r="I8918" s="63"/>
      <c r="J8918" s="63"/>
    </row>
    <row r="8919" spans="9:10" x14ac:dyDescent="0.35">
      <c r="I8919" s="63"/>
      <c r="J8919" s="63"/>
    </row>
    <row r="8920" spans="9:10" x14ac:dyDescent="0.35">
      <c r="I8920" s="63"/>
      <c r="J8920" s="63"/>
    </row>
    <row r="8921" spans="9:10" x14ac:dyDescent="0.35">
      <c r="I8921" s="63"/>
      <c r="J8921" s="63"/>
    </row>
    <row r="8922" spans="9:10" x14ac:dyDescent="0.35">
      <c r="I8922" s="63"/>
      <c r="J8922" s="63"/>
    </row>
    <row r="8923" spans="9:10" x14ac:dyDescent="0.35">
      <c r="I8923" s="63"/>
      <c r="J8923" s="63"/>
    </row>
    <row r="8924" spans="9:10" x14ac:dyDescent="0.35">
      <c r="I8924" s="63"/>
      <c r="J8924" s="63"/>
    </row>
    <row r="8925" spans="9:10" x14ac:dyDescent="0.35">
      <c r="I8925" s="63"/>
      <c r="J8925" s="63"/>
    </row>
    <row r="8926" spans="9:10" x14ac:dyDescent="0.35">
      <c r="I8926" s="63"/>
      <c r="J8926" s="63"/>
    </row>
    <row r="8927" spans="9:10" x14ac:dyDescent="0.35">
      <c r="I8927" s="63"/>
      <c r="J8927" s="63"/>
    </row>
    <row r="8928" spans="9:10" x14ac:dyDescent="0.35">
      <c r="I8928" s="63"/>
      <c r="J8928" s="63"/>
    </row>
    <row r="8929" spans="9:10" x14ac:dyDescent="0.35">
      <c r="I8929" s="63"/>
      <c r="J8929" s="63"/>
    </row>
    <row r="8930" spans="9:10" x14ac:dyDescent="0.35">
      <c r="I8930" s="63"/>
      <c r="J8930" s="63"/>
    </row>
    <row r="8931" spans="9:10" x14ac:dyDescent="0.35">
      <c r="I8931" s="63"/>
      <c r="J8931" s="63"/>
    </row>
    <row r="8932" spans="9:10" x14ac:dyDescent="0.35">
      <c r="I8932" s="63"/>
      <c r="J8932" s="63"/>
    </row>
    <row r="8933" spans="9:10" x14ac:dyDescent="0.35">
      <c r="I8933" s="63"/>
      <c r="J8933" s="63"/>
    </row>
    <row r="8934" spans="9:10" x14ac:dyDescent="0.35">
      <c r="I8934" s="63"/>
      <c r="J8934" s="63"/>
    </row>
    <row r="8935" spans="9:10" x14ac:dyDescent="0.35">
      <c r="I8935" s="63"/>
      <c r="J8935" s="63"/>
    </row>
    <row r="8936" spans="9:10" x14ac:dyDescent="0.35">
      <c r="I8936" s="63"/>
      <c r="J8936" s="63"/>
    </row>
    <row r="8937" spans="9:10" x14ac:dyDescent="0.35">
      <c r="I8937" s="63"/>
      <c r="J8937" s="63"/>
    </row>
    <row r="8938" spans="9:10" x14ac:dyDescent="0.35">
      <c r="I8938" s="63"/>
      <c r="J8938" s="63"/>
    </row>
    <row r="8939" spans="9:10" x14ac:dyDescent="0.35">
      <c r="I8939" s="63"/>
      <c r="J8939" s="63"/>
    </row>
    <row r="8940" spans="9:10" x14ac:dyDescent="0.35">
      <c r="I8940" s="63"/>
      <c r="J8940" s="63"/>
    </row>
    <row r="8941" spans="9:10" x14ac:dyDescent="0.35">
      <c r="I8941" s="63"/>
      <c r="J8941" s="63"/>
    </row>
    <row r="8942" spans="9:10" x14ac:dyDescent="0.35">
      <c r="I8942" s="63"/>
      <c r="J8942" s="63"/>
    </row>
    <row r="8943" spans="9:10" x14ac:dyDescent="0.35">
      <c r="I8943" s="63"/>
      <c r="J8943" s="63"/>
    </row>
    <row r="8944" spans="9:10" x14ac:dyDescent="0.35">
      <c r="I8944" s="63"/>
      <c r="J8944" s="63"/>
    </row>
    <row r="8945" spans="9:10" x14ac:dyDescent="0.35">
      <c r="I8945" s="63"/>
      <c r="J8945" s="63"/>
    </row>
    <row r="8946" spans="9:10" x14ac:dyDescent="0.35">
      <c r="I8946" s="63"/>
      <c r="J8946" s="63"/>
    </row>
    <row r="8947" spans="9:10" x14ac:dyDescent="0.35">
      <c r="I8947" s="63"/>
      <c r="J8947" s="63"/>
    </row>
    <row r="8948" spans="9:10" x14ac:dyDescent="0.35">
      <c r="I8948" s="63"/>
      <c r="J8948" s="63"/>
    </row>
    <row r="8949" spans="9:10" x14ac:dyDescent="0.35">
      <c r="I8949" s="63"/>
      <c r="J8949" s="63"/>
    </row>
    <row r="8950" spans="9:10" x14ac:dyDescent="0.35">
      <c r="I8950" s="63"/>
      <c r="J8950" s="63"/>
    </row>
    <row r="8951" spans="9:10" x14ac:dyDescent="0.35">
      <c r="I8951" s="63"/>
      <c r="J8951" s="63"/>
    </row>
    <row r="8952" spans="9:10" x14ac:dyDescent="0.35">
      <c r="I8952" s="63"/>
      <c r="J8952" s="63"/>
    </row>
    <row r="8953" spans="9:10" x14ac:dyDescent="0.35">
      <c r="I8953" s="63"/>
      <c r="J8953" s="63"/>
    </row>
    <row r="8954" spans="9:10" x14ac:dyDescent="0.35">
      <c r="I8954" s="63"/>
      <c r="J8954" s="63"/>
    </row>
    <row r="8955" spans="9:10" x14ac:dyDescent="0.35">
      <c r="I8955" s="63"/>
      <c r="J8955" s="63"/>
    </row>
    <row r="8956" spans="9:10" x14ac:dyDescent="0.35">
      <c r="I8956" s="63"/>
      <c r="J8956" s="63"/>
    </row>
    <row r="8957" spans="9:10" x14ac:dyDescent="0.35">
      <c r="I8957" s="63"/>
      <c r="J8957" s="63"/>
    </row>
    <row r="8958" spans="9:10" x14ac:dyDescent="0.35">
      <c r="I8958" s="63"/>
      <c r="J8958" s="63"/>
    </row>
    <row r="8959" spans="9:10" x14ac:dyDescent="0.35">
      <c r="I8959" s="63"/>
      <c r="J8959" s="63"/>
    </row>
    <row r="8960" spans="9:10" x14ac:dyDescent="0.35">
      <c r="I8960" s="63"/>
      <c r="J8960" s="63"/>
    </row>
    <row r="8961" spans="9:10" x14ac:dyDescent="0.35">
      <c r="I8961" s="63"/>
      <c r="J8961" s="63"/>
    </row>
    <row r="8962" spans="9:10" x14ac:dyDescent="0.35">
      <c r="I8962" s="63"/>
      <c r="J8962" s="63"/>
    </row>
    <row r="8963" spans="9:10" x14ac:dyDescent="0.35">
      <c r="I8963" s="63"/>
      <c r="J8963" s="63"/>
    </row>
    <row r="8964" spans="9:10" x14ac:dyDescent="0.35">
      <c r="I8964" s="63"/>
      <c r="J8964" s="63"/>
    </row>
    <row r="8965" spans="9:10" x14ac:dyDescent="0.35">
      <c r="I8965" s="63"/>
      <c r="J8965" s="63"/>
    </row>
    <row r="8966" spans="9:10" x14ac:dyDescent="0.35">
      <c r="I8966" s="63"/>
      <c r="J8966" s="63"/>
    </row>
    <row r="8967" spans="9:10" x14ac:dyDescent="0.35">
      <c r="I8967" s="63"/>
      <c r="J8967" s="63"/>
    </row>
    <row r="8968" spans="9:10" x14ac:dyDescent="0.35">
      <c r="I8968" s="63"/>
      <c r="J8968" s="63"/>
    </row>
    <row r="8969" spans="9:10" x14ac:dyDescent="0.35">
      <c r="I8969" s="63"/>
      <c r="J8969" s="63"/>
    </row>
    <row r="8970" spans="9:10" x14ac:dyDescent="0.35">
      <c r="I8970" s="63"/>
      <c r="J8970" s="63"/>
    </row>
    <row r="8971" spans="9:10" x14ac:dyDescent="0.35">
      <c r="I8971" s="63"/>
      <c r="J8971" s="63"/>
    </row>
    <row r="8972" spans="9:10" x14ac:dyDescent="0.35">
      <c r="I8972" s="63"/>
      <c r="J8972" s="63"/>
    </row>
    <row r="8973" spans="9:10" x14ac:dyDescent="0.35">
      <c r="I8973" s="63"/>
      <c r="J8973" s="63"/>
    </row>
    <row r="8974" spans="9:10" x14ac:dyDescent="0.35">
      <c r="I8974" s="63"/>
      <c r="J8974" s="63"/>
    </row>
    <row r="8975" spans="9:10" x14ac:dyDescent="0.35">
      <c r="I8975" s="63"/>
      <c r="J8975" s="63"/>
    </row>
    <row r="8976" spans="9:10" x14ac:dyDescent="0.35">
      <c r="I8976" s="63"/>
      <c r="J8976" s="63"/>
    </row>
    <row r="8977" spans="9:10" x14ac:dyDescent="0.35">
      <c r="I8977" s="63"/>
      <c r="J8977" s="63"/>
    </row>
    <row r="8978" spans="9:10" x14ac:dyDescent="0.35">
      <c r="I8978" s="63"/>
      <c r="J8978" s="63"/>
    </row>
    <row r="8979" spans="9:10" x14ac:dyDescent="0.35">
      <c r="I8979" s="63"/>
      <c r="J8979" s="63"/>
    </row>
    <row r="8980" spans="9:10" x14ac:dyDescent="0.35">
      <c r="I8980" s="63"/>
      <c r="J8980" s="63"/>
    </row>
    <row r="8981" spans="9:10" x14ac:dyDescent="0.35">
      <c r="I8981" s="63"/>
      <c r="J8981" s="63"/>
    </row>
    <row r="8982" spans="9:10" x14ac:dyDescent="0.35">
      <c r="I8982" s="63"/>
      <c r="J8982" s="63"/>
    </row>
    <row r="8983" spans="9:10" x14ac:dyDescent="0.35">
      <c r="I8983" s="63"/>
      <c r="J8983" s="63"/>
    </row>
    <row r="8984" spans="9:10" x14ac:dyDescent="0.35">
      <c r="I8984" s="63"/>
      <c r="J8984" s="63"/>
    </row>
    <row r="8985" spans="9:10" x14ac:dyDescent="0.35">
      <c r="I8985" s="63"/>
      <c r="J8985" s="63"/>
    </row>
    <row r="8986" spans="9:10" x14ac:dyDescent="0.35">
      <c r="I8986" s="63"/>
      <c r="J8986" s="63"/>
    </row>
    <row r="8987" spans="9:10" x14ac:dyDescent="0.35">
      <c r="I8987" s="63"/>
      <c r="J8987" s="63"/>
    </row>
    <row r="8988" spans="9:10" x14ac:dyDescent="0.35">
      <c r="I8988" s="63"/>
      <c r="J8988" s="63"/>
    </row>
    <row r="8989" spans="9:10" x14ac:dyDescent="0.35">
      <c r="I8989" s="63"/>
      <c r="J8989" s="63"/>
    </row>
    <row r="8990" spans="9:10" x14ac:dyDescent="0.35">
      <c r="I8990" s="63"/>
      <c r="J8990" s="63"/>
    </row>
    <row r="8991" spans="9:10" x14ac:dyDescent="0.35">
      <c r="I8991" s="63"/>
      <c r="J8991" s="63"/>
    </row>
    <row r="8992" spans="9:10" x14ac:dyDescent="0.35">
      <c r="I8992" s="63"/>
      <c r="J8992" s="63"/>
    </row>
    <row r="8993" spans="9:10" x14ac:dyDescent="0.35">
      <c r="I8993" s="63"/>
      <c r="J8993" s="63"/>
    </row>
    <row r="8994" spans="9:10" x14ac:dyDescent="0.35">
      <c r="I8994" s="63"/>
      <c r="J8994" s="63"/>
    </row>
    <row r="8995" spans="9:10" x14ac:dyDescent="0.35">
      <c r="I8995" s="63"/>
      <c r="J8995" s="63"/>
    </row>
    <row r="8996" spans="9:10" x14ac:dyDescent="0.35">
      <c r="I8996" s="63"/>
      <c r="J8996" s="63"/>
    </row>
    <row r="8997" spans="9:10" x14ac:dyDescent="0.35">
      <c r="I8997" s="63"/>
      <c r="J8997" s="63"/>
    </row>
    <row r="8998" spans="9:10" x14ac:dyDescent="0.35">
      <c r="I8998" s="63"/>
      <c r="J8998" s="63"/>
    </row>
    <row r="8999" spans="9:10" x14ac:dyDescent="0.35">
      <c r="I8999" s="63"/>
      <c r="J8999" s="63"/>
    </row>
    <row r="9000" spans="9:10" x14ac:dyDescent="0.35">
      <c r="I9000" s="63"/>
      <c r="J9000" s="63"/>
    </row>
    <row r="9001" spans="9:10" x14ac:dyDescent="0.35">
      <c r="I9001" s="63"/>
      <c r="J9001" s="63"/>
    </row>
    <row r="9002" spans="9:10" x14ac:dyDescent="0.35">
      <c r="I9002" s="63"/>
      <c r="J9002" s="63"/>
    </row>
    <row r="9003" spans="9:10" x14ac:dyDescent="0.35">
      <c r="I9003" s="63"/>
      <c r="J9003" s="63"/>
    </row>
    <row r="9004" spans="9:10" x14ac:dyDescent="0.35">
      <c r="I9004" s="63"/>
      <c r="J9004" s="63"/>
    </row>
    <row r="9005" spans="9:10" x14ac:dyDescent="0.35">
      <c r="I9005" s="63"/>
      <c r="J9005" s="63"/>
    </row>
    <row r="9006" spans="9:10" x14ac:dyDescent="0.35">
      <c r="I9006" s="63"/>
      <c r="J9006" s="63"/>
    </row>
    <row r="9007" spans="9:10" x14ac:dyDescent="0.35">
      <c r="I9007" s="63"/>
      <c r="J9007" s="63"/>
    </row>
    <row r="9008" spans="9:10" x14ac:dyDescent="0.35">
      <c r="I9008" s="63"/>
      <c r="J9008" s="63"/>
    </row>
    <row r="9009" spans="9:10" x14ac:dyDescent="0.35">
      <c r="I9009" s="63"/>
      <c r="J9009" s="63"/>
    </row>
    <row r="9010" spans="9:10" x14ac:dyDescent="0.35">
      <c r="I9010" s="63"/>
      <c r="J9010" s="63"/>
    </row>
    <row r="9011" spans="9:10" x14ac:dyDescent="0.35">
      <c r="I9011" s="63"/>
      <c r="J9011" s="63"/>
    </row>
    <row r="9012" spans="9:10" x14ac:dyDescent="0.35">
      <c r="I9012" s="63"/>
      <c r="J9012" s="63"/>
    </row>
    <row r="9013" spans="9:10" x14ac:dyDescent="0.35">
      <c r="I9013" s="63"/>
      <c r="J9013" s="63"/>
    </row>
    <row r="9014" spans="9:10" x14ac:dyDescent="0.35">
      <c r="I9014" s="63"/>
      <c r="J9014" s="63"/>
    </row>
    <row r="9015" spans="9:10" x14ac:dyDescent="0.35">
      <c r="I9015" s="63"/>
      <c r="J9015" s="63"/>
    </row>
    <row r="9016" spans="9:10" x14ac:dyDescent="0.35">
      <c r="I9016" s="63"/>
      <c r="J9016" s="63"/>
    </row>
    <row r="9017" spans="9:10" x14ac:dyDescent="0.35">
      <c r="I9017" s="63"/>
      <c r="J9017" s="63"/>
    </row>
    <row r="9018" spans="9:10" x14ac:dyDescent="0.35">
      <c r="I9018" s="63"/>
      <c r="J9018" s="63"/>
    </row>
    <row r="9019" spans="9:10" x14ac:dyDescent="0.35">
      <c r="I9019" s="63"/>
      <c r="J9019" s="63"/>
    </row>
    <row r="9020" spans="9:10" x14ac:dyDescent="0.35">
      <c r="I9020" s="63"/>
      <c r="J9020" s="63"/>
    </row>
    <row r="9021" spans="9:10" x14ac:dyDescent="0.35">
      <c r="I9021" s="63"/>
      <c r="J9021" s="63"/>
    </row>
    <row r="9022" spans="9:10" x14ac:dyDescent="0.35">
      <c r="I9022" s="63"/>
      <c r="J9022" s="63"/>
    </row>
    <row r="9023" spans="9:10" x14ac:dyDescent="0.35">
      <c r="I9023" s="63"/>
      <c r="J9023" s="63"/>
    </row>
    <row r="9024" spans="9:10" x14ac:dyDescent="0.35">
      <c r="I9024" s="63"/>
      <c r="J9024" s="63"/>
    </row>
    <row r="9025" spans="9:10" x14ac:dyDescent="0.35">
      <c r="I9025" s="63"/>
      <c r="J9025" s="63"/>
    </row>
    <row r="9026" spans="9:10" x14ac:dyDescent="0.35">
      <c r="I9026" s="63"/>
      <c r="J9026" s="63"/>
    </row>
    <row r="9027" spans="9:10" x14ac:dyDescent="0.35">
      <c r="I9027" s="63"/>
      <c r="J9027" s="63"/>
    </row>
    <row r="9028" spans="9:10" x14ac:dyDescent="0.35">
      <c r="I9028" s="63"/>
      <c r="J9028" s="63"/>
    </row>
    <row r="9029" spans="9:10" x14ac:dyDescent="0.35">
      <c r="I9029" s="63"/>
      <c r="J9029" s="63"/>
    </row>
    <row r="9030" spans="9:10" x14ac:dyDescent="0.35">
      <c r="I9030" s="63"/>
      <c r="J9030" s="63"/>
    </row>
    <row r="9031" spans="9:10" x14ac:dyDescent="0.35">
      <c r="I9031" s="63"/>
      <c r="J9031" s="63"/>
    </row>
    <row r="9032" spans="9:10" x14ac:dyDescent="0.35">
      <c r="I9032" s="63"/>
      <c r="J9032" s="63"/>
    </row>
    <row r="9033" spans="9:10" x14ac:dyDescent="0.35">
      <c r="I9033" s="63"/>
      <c r="J9033" s="63"/>
    </row>
    <row r="9034" spans="9:10" x14ac:dyDescent="0.35">
      <c r="I9034" s="63"/>
      <c r="J9034" s="63"/>
    </row>
    <row r="9035" spans="9:10" x14ac:dyDescent="0.35">
      <c r="I9035" s="63"/>
      <c r="J9035" s="63"/>
    </row>
    <row r="9036" spans="9:10" x14ac:dyDescent="0.35">
      <c r="I9036" s="63"/>
      <c r="J9036" s="63"/>
    </row>
    <row r="9037" spans="9:10" x14ac:dyDescent="0.35">
      <c r="I9037" s="63"/>
      <c r="J9037" s="63"/>
    </row>
    <row r="9038" spans="9:10" x14ac:dyDescent="0.35">
      <c r="I9038" s="63"/>
      <c r="J9038" s="63"/>
    </row>
    <row r="9039" spans="9:10" x14ac:dyDescent="0.35">
      <c r="I9039" s="63"/>
      <c r="J9039" s="63"/>
    </row>
    <row r="9040" spans="9:10" x14ac:dyDescent="0.35">
      <c r="I9040" s="63"/>
      <c r="J9040" s="63"/>
    </row>
    <row r="9041" spans="9:10" x14ac:dyDescent="0.35">
      <c r="I9041" s="63"/>
      <c r="J9041" s="63"/>
    </row>
    <row r="9042" spans="9:10" x14ac:dyDescent="0.35">
      <c r="I9042" s="63"/>
      <c r="J9042" s="63"/>
    </row>
    <row r="9043" spans="9:10" x14ac:dyDescent="0.35">
      <c r="I9043" s="63"/>
      <c r="J9043" s="63"/>
    </row>
    <row r="9044" spans="9:10" x14ac:dyDescent="0.35">
      <c r="I9044" s="63"/>
      <c r="J9044" s="63"/>
    </row>
    <row r="9045" spans="9:10" x14ac:dyDescent="0.35">
      <c r="I9045" s="63"/>
      <c r="J9045" s="63"/>
    </row>
    <row r="9046" spans="9:10" x14ac:dyDescent="0.35">
      <c r="I9046" s="63"/>
      <c r="J9046" s="63"/>
    </row>
    <row r="9047" spans="9:10" x14ac:dyDescent="0.35">
      <c r="I9047" s="63"/>
      <c r="J9047" s="63"/>
    </row>
    <row r="9048" spans="9:10" x14ac:dyDescent="0.35">
      <c r="I9048" s="63"/>
      <c r="J9048" s="63"/>
    </row>
    <row r="9049" spans="9:10" x14ac:dyDescent="0.35">
      <c r="I9049" s="63"/>
      <c r="J9049" s="63"/>
    </row>
    <row r="9050" spans="9:10" x14ac:dyDescent="0.35">
      <c r="I9050" s="63"/>
      <c r="J9050" s="63"/>
    </row>
    <row r="9051" spans="9:10" x14ac:dyDescent="0.35">
      <c r="I9051" s="63"/>
      <c r="J9051" s="63"/>
    </row>
    <row r="9052" spans="9:10" x14ac:dyDescent="0.35">
      <c r="I9052" s="63"/>
      <c r="J9052" s="63"/>
    </row>
    <row r="9053" spans="9:10" x14ac:dyDescent="0.35">
      <c r="I9053" s="63"/>
      <c r="J9053" s="63"/>
    </row>
    <row r="9054" spans="9:10" x14ac:dyDescent="0.35">
      <c r="I9054" s="63"/>
      <c r="J9054" s="63"/>
    </row>
    <row r="9055" spans="9:10" x14ac:dyDescent="0.35">
      <c r="I9055" s="63"/>
      <c r="J9055" s="63"/>
    </row>
    <row r="9056" spans="9:10" x14ac:dyDescent="0.35">
      <c r="I9056" s="63"/>
      <c r="J9056" s="63"/>
    </row>
    <row r="9057" spans="9:10" x14ac:dyDescent="0.35">
      <c r="I9057" s="63"/>
      <c r="J9057" s="63"/>
    </row>
    <row r="9058" spans="9:10" x14ac:dyDescent="0.35">
      <c r="I9058" s="63"/>
      <c r="J9058" s="63"/>
    </row>
    <row r="9059" spans="9:10" x14ac:dyDescent="0.35">
      <c r="I9059" s="63"/>
      <c r="J9059" s="63"/>
    </row>
    <row r="9060" spans="9:10" x14ac:dyDescent="0.35">
      <c r="I9060" s="63"/>
      <c r="J9060" s="63"/>
    </row>
    <row r="9061" spans="9:10" x14ac:dyDescent="0.35">
      <c r="I9061" s="63"/>
      <c r="J9061" s="63"/>
    </row>
    <row r="9062" spans="9:10" x14ac:dyDescent="0.35">
      <c r="I9062" s="63"/>
      <c r="J9062" s="63"/>
    </row>
    <row r="9063" spans="9:10" x14ac:dyDescent="0.35">
      <c r="I9063" s="63"/>
      <c r="J9063" s="63"/>
    </row>
    <row r="9064" spans="9:10" x14ac:dyDescent="0.35">
      <c r="I9064" s="63"/>
      <c r="J9064" s="63"/>
    </row>
    <row r="9065" spans="9:10" x14ac:dyDescent="0.35">
      <c r="I9065" s="63"/>
      <c r="J9065" s="63"/>
    </row>
    <row r="9066" spans="9:10" x14ac:dyDescent="0.35">
      <c r="I9066" s="63"/>
      <c r="J9066" s="63"/>
    </row>
    <row r="9067" spans="9:10" x14ac:dyDescent="0.35">
      <c r="I9067" s="63"/>
      <c r="J9067" s="63"/>
    </row>
    <row r="9068" spans="9:10" x14ac:dyDescent="0.35">
      <c r="I9068" s="63"/>
      <c r="J9068" s="63"/>
    </row>
    <row r="9069" spans="9:10" x14ac:dyDescent="0.35">
      <c r="I9069" s="63"/>
      <c r="J9069" s="63"/>
    </row>
    <row r="9070" spans="9:10" x14ac:dyDescent="0.35">
      <c r="I9070" s="63"/>
      <c r="J9070" s="63"/>
    </row>
    <row r="9071" spans="9:10" x14ac:dyDescent="0.35">
      <c r="I9071" s="63"/>
      <c r="J9071" s="63"/>
    </row>
    <row r="9072" spans="9:10" x14ac:dyDescent="0.35">
      <c r="I9072" s="63"/>
      <c r="J9072" s="63"/>
    </row>
    <row r="9073" spans="9:10" x14ac:dyDescent="0.35">
      <c r="I9073" s="63"/>
      <c r="J9073" s="63"/>
    </row>
    <row r="9074" spans="9:10" x14ac:dyDescent="0.35">
      <c r="I9074" s="63"/>
      <c r="J9074" s="63"/>
    </row>
    <row r="9075" spans="9:10" x14ac:dyDescent="0.35">
      <c r="I9075" s="63"/>
      <c r="J9075" s="63"/>
    </row>
    <row r="9076" spans="9:10" x14ac:dyDescent="0.35">
      <c r="I9076" s="63"/>
      <c r="J9076" s="63"/>
    </row>
    <row r="9077" spans="9:10" x14ac:dyDescent="0.35">
      <c r="I9077" s="63"/>
      <c r="J9077" s="63"/>
    </row>
    <row r="9078" spans="9:10" x14ac:dyDescent="0.35">
      <c r="I9078" s="63"/>
      <c r="J9078" s="63"/>
    </row>
    <row r="9079" spans="9:10" x14ac:dyDescent="0.35">
      <c r="I9079" s="63"/>
      <c r="J9079" s="63"/>
    </row>
    <row r="9080" spans="9:10" x14ac:dyDescent="0.35">
      <c r="I9080" s="63"/>
      <c r="J9080" s="63"/>
    </row>
    <row r="9081" spans="9:10" x14ac:dyDescent="0.35">
      <c r="I9081" s="63"/>
      <c r="J9081" s="63"/>
    </row>
    <row r="9082" spans="9:10" x14ac:dyDescent="0.35">
      <c r="I9082" s="63"/>
      <c r="J9082" s="63"/>
    </row>
    <row r="9083" spans="9:10" x14ac:dyDescent="0.35">
      <c r="I9083" s="63"/>
      <c r="J9083" s="63"/>
    </row>
    <row r="9084" spans="9:10" x14ac:dyDescent="0.35">
      <c r="I9084" s="63"/>
      <c r="J9084" s="63"/>
    </row>
    <row r="9085" spans="9:10" x14ac:dyDescent="0.35">
      <c r="I9085" s="63"/>
      <c r="J9085" s="63"/>
    </row>
    <row r="9086" spans="9:10" x14ac:dyDescent="0.35">
      <c r="I9086" s="63"/>
      <c r="J9086" s="63"/>
    </row>
    <row r="9087" spans="9:10" x14ac:dyDescent="0.35">
      <c r="I9087" s="63"/>
      <c r="J9087" s="63"/>
    </row>
    <row r="9088" spans="9:10" x14ac:dyDescent="0.35">
      <c r="I9088" s="63"/>
      <c r="J9088" s="63"/>
    </row>
    <row r="9089" spans="9:10" x14ac:dyDescent="0.35">
      <c r="I9089" s="63"/>
      <c r="J9089" s="63"/>
    </row>
    <row r="9090" spans="9:10" x14ac:dyDescent="0.35">
      <c r="I9090" s="63"/>
      <c r="J9090" s="63"/>
    </row>
    <row r="9091" spans="9:10" x14ac:dyDescent="0.35">
      <c r="I9091" s="63"/>
      <c r="J9091" s="63"/>
    </row>
    <row r="9092" spans="9:10" x14ac:dyDescent="0.35">
      <c r="I9092" s="63"/>
      <c r="J9092" s="63"/>
    </row>
    <row r="9093" spans="9:10" x14ac:dyDescent="0.35">
      <c r="I9093" s="63"/>
      <c r="J9093" s="63"/>
    </row>
    <row r="9094" spans="9:10" x14ac:dyDescent="0.35">
      <c r="I9094" s="63"/>
      <c r="J9094" s="63"/>
    </row>
    <row r="9095" spans="9:10" x14ac:dyDescent="0.35">
      <c r="I9095" s="63"/>
      <c r="J9095" s="63"/>
    </row>
    <row r="9096" spans="9:10" x14ac:dyDescent="0.35">
      <c r="I9096" s="63"/>
      <c r="J9096" s="63"/>
    </row>
    <row r="9097" spans="9:10" x14ac:dyDescent="0.35">
      <c r="I9097" s="63"/>
      <c r="J9097" s="63"/>
    </row>
    <row r="9098" spans="9:10" x14ac:dyDescent="0.35">
      <c r="I9098" s="63"/>
      <c r="J9098" s="63"/>
    </row>
    <row r="9099" spans="9:10" x14ac:dyDescent="0.35">
      <c r="I9099" s="63"/>
      <c r="J9099" s="63"/>
    </row>
    <row r="9100" spans="9:10" x14ac:dyDescent="0.35">
      <c r="I9100" s="63"/>
      <c r="J9100" s="63"/>
    </row>
    <row r="9101" spans="9:10" x14ac:dyDescent="0.35">
      <c r="I9101" s="63"/>
      <c r="J9101" s="63"/>
    </row>
    <row r="9102" spans="9:10" x14ac:dyDescent="0.35">
      <c r="I9102" s="63"/>
      <c r="J9102" s="63"/>
    </row>
    <row r="9103" spans="9:10" x14ac:dyDescent="0.35">
      <c r="I9103" s="63"/>
      <c r="J9103" s="63"/>
    </row>
    <row r="9104" spans="9:10" x14ac:dyDescent="0.35">
      <c r="I9104" s="63"/>
      <c r="J9104" s="63"/>
    </row>
    <row r="9105" spans="9:10" x14ac:dyDescent="0.35">
      <c r="I9105" s="63"/>
      <c r="J9105" s="63"/>
    </row>
    <row r="9106" spans="9:10" x14ac:dyDescent="0.35">
      <c r="I9106" s="63"/>
      <c r="J9106" s="63"/>
    </row>
    <row r="9107" spans="9:10" x14ac:dyDescent="0.35">
      <c r="I9107" s="63"/>
      <c r="J9107" s="63"/>
    </row>
    <row r="9108" spans="9:10" x14ac:dyDescent="0.35">
      <c r="I9108" s="63"/>
      <c r="J9108" s="63"/>
    </row>
    <row r="9109" spans="9:10" x14ac:dyDescent="0.35">
      <c r="I9109" s="63"/>
      <c r="J9109" s="63"/>
    </row>
    <row r="9110" spans="9:10" x14ac:dyDescent="0.35">
      <c r="I9110" s="63"/>
      <c r="J9110" s="63"/>
    </row>
    <row r="9111" spans="9:10" x14ac:dyDescent="0.35">
      <c r="I9111" s="63"/>
      <c r="J9111" s="63"/>
    </row>
    <row r="9112" spans="9:10" x14ac:dyDescent="0.35">
      <c r="I9112" s="63"/>
      <c r="J9112" s="63"/>
    </row>
    <row r="9113" spans="9:10" x14ac:dyDescent="0.35">
      <c r="I9113" s="63"/>
      <c r="J9113" s="63"/>
    </row>
    <row r="9114" spans="9:10" x14ac:dyDescent="0.35">
      <c r="I9114" s="63"/>
      <c r="J9114" s="63"/>
    </row>
    <row r="9115" spans="9:10" x14ac:dyDescent="0.35">
      <c r="I9115" s="63"/>
      <c r="J9115" s="63"/>
    </row>
    <row r="9116" spans="9:10" x14ac:dyDescent="0.35">
      <c r="I9116" s="63"/>
      <c r="J9116" s="63"/>
    </row>
    <row r="9117" spans="9:10" x14ac:dyDescent="0.35">
      <c r="I9117" s="63"/>
      <c r="J9117" s="63"/>
    </row>
    <row r="9118" spans="9:10" x14ac:dyDescent="0.35">
      <c r="I9118" s="63"/>
      <c r="J9118" s="63"/>
    </row>
    <row r="9119" spans="9:10" x14ac:dyDescent="0.35">
      <c r="I9119" s="63"/>
      <c r="J9119" s="63"/>
    </row>
    <row r="9120" spans="9:10" x14ac:dyDescent="0.35">
      <c r="I9120" s="63"/>
      <c r="J9120" s="63"/>
    </row>
    <row r="9121" spans="9:10" x14ac:dyDescent="0.35">
      <c r="I9121" s="63"/>
      <c r="J9121" s="63"/>
    </row>
    <row r="9122" spans="9:10" x14ac:dyDescent="0.35">
      <c r="I9122" s="63"/>
      <c r="J9122" s="63"/>
    </row>
    <row r="9123" spans="9:10" x14ac:dyDescent="0.35">
      <c r="I9123" s="63"/>
      <c r="J9123" s="63"/>
    </row>
    <row r="9124" spans="9:10" x14ac:dyDescent="0.35">
      <c r="I9124" s="63"/>
      <c r="J9124" s="63"/>
    </row>
    <row r="9125" spans="9:10" x14ac:dyDescent="0.35">
      <c r="I9125" s="63"/>
      <c r="J9125" s="63"/>
    </row>
    <row r="9126" spans="9:10" x14ac:dyDescent="0.35">
      <c r="I9126" s="63"/>
      <c r="J9126" s="63"/>
    </row>
    <row r="9127" spans="9:10" x14ac:dyDescent="0.35">
      <c r="I9127" s="63"/>
      <c r="J9127" s="63"/>
    </row>
    <row r="9128" spans="9:10" x14ac:dyDescent="0.35">
      <c r="I9128" s="63"/>
      <c r="J9128" s="63"/>
    </row>
    <row r="9129" spans="9:10" x14ac:dyDescent="0.35">
      <c r="I9129" s="63"/>
      <c r="J9129" s="63"/>
    </row>
    <row r="9130" spans="9:10" x14ac:dyDescent="0.35">
      <c r="I9130" s="63"/>
      <c r="J9130" s="63"/>
    </row>
    <row r="9131" spans="9:10" x14ac:dyDescent="0.35">
      <c r="I9131" s="63"/>
      <c r="J9131" s="63"/>
    </row>
    <row r="9132" spans="9:10" x14ac:dyDescent="0.35">
      <c r="I9132" s="63"/>
      <c r="J9132" s="63"/>
    </row>
    <row r="9133" spans="9:10" x14ac:dyDescent="0.35">
      <c r="I9133" s="63"/>
      <c r="J9133" s="63"/>
    </row>
    <row r="9134" spans="9:10" x14ac:dyDescent="0.35">
      <c r="I9134" s="63"/>
      <c r="J9134" s="63"/>
    </row>
    <row r="9135" spans="9:10" x14ac:dyDescent="0.35">
      <c r="I9135" s="63"/>
      <c r="J9135" s="63"/>
    </row>
    <row r="9136" spans="9:10" x14ac:dyDescent="0.35">
      <c r="I9136" s="63"/>
      <c r="J9136" s="63"/>
    </row>
    <row r="9137" spans="9:10" x14ac:dyDescent="0.35">
      <c r="I9137" s="63"/>
      <c r="J9137" s="63"/>
    </row>
    <row r="9138" spans="9:10" x14ac:dyDescent="0.35">
      <c r="I9138" s="63"/>
      <c r="J9138" s="63"/>
    </row>
    <row r="9139" spans="9:10" x14ac:dyDescent="0.35">
      <c r="I9139" s="63"/>
      <c r="J9139" s="63"/>
    </row>
    <row r="9140" spans="9:10" x14ac:dyDescent="0.35">
      <c r="I9140" s="63"/>
      <c r="J9140" s="63"/>
    </row>
    <row r="9141" spans="9:10" x14ac:dyDescent="0.35">
      <c r="I9141" s="63"/>
      <c r="J9141" s="63"/>
    </row>
    <row r="9142" spans="9:10" x14ac:dyDescent="0.35">
      <c r="I9142" s="63"/>
      <c r="J9142" s="63"/>
    </row>
    <row r="9143" spans="9:10" x14ac:dyDescent="0.35">
      <c r="I9143" s="63"/>
      <c r="J9143" s="63"/>
    </row>
    <row r="9144" spans="9:10" x14ac:dyDescent="0.35">
      <c r="I9144" s="63"/>
      <c r="J9144" s="63"/>
    </row>
    <row r="9145" spans="9:10" x14ac:dyDescent="0.35">
      <c r="I9145" s="63"/>
      <c r="J9145" s="63"/>
    </row>
    <row r="9146" spans="9:10" x14ac:dyDescent="0.35">
      <c r="I9146" s="63"/>
      <c r="J9146" s="63"/>
    </row>
    <row r="9147" spans="9:10" x14ac:dyDescent="0.35">
      <c r="I9147" s="63"/>
      <c r="J9147" s="63"/>
    </row>
    <row r="9148" spans="9:10" x14ac:dyDescent="0.35">
      <c r="I9148" s="63"/>
      <c r="J9148" s="63"/>
    </row>
    <row r="9149" spans="9:10" x14ac:dyDescent="0.35">
      <c r="I9149" s="63"/>
      <c r="J9149" s="63"/>
    </row>
    <row r="9150" spans="9:10" x14ac:dyDescent="0.35">
      <c r="I9150" s="63"/>
      <c r="J9150" s="63"/>
    </row>
    <row r="9151" spans="9:10" x14ac:dyDescent="0.35">
      <c r="I9151" s="63"/>
      <c r="J9151" s="63"/>
    </row>
    <row r="9152" spans="9:10" x14ac:dyDescent="0.35">
      <c r="I9152" s="63"/>
      <c r="J9152" s="63"/>
    </row>
    <row r="9153" spans="9:10" x14ac:dyDescent="0.35">
      <c r="I9153" s="63"/>
      <c r="J9153" s="63"/>
    </row>
    <row r="9154" spans="9:10" x14ac:dyDescent="0.35">
      <c r="I9154" s="63"/>
      <c r="J9154" s="63"/>
    </row>
    <row r="9155" spans="9:10" x14ac:dyDescent="0.35">
      <c r="I9155" s="63"/>
      <c r="J9155" s="63"/>
    </row>
    <row r="9156" spans="9:10" x14ac:dyDescent="0.35">
      <c r="I9156" s="63"/>
      <c r="J9156" s="63"/>
    </row>
    <row r="9157" spans="9:10" x14ac:dyDescent="0.35">
      <c r="I9157" s="63"/>
      <c r="J9157" s="63"/>
    </row>
    <row r="9158" spans="9:10" x14ac:dyDescent="0.35">
      <c r="I9158" s="63"/>
      <c r="J9158" s="63"/>
    </row>
    <row r="9159" spans="9:10" x14ac:dyDescent="0.35">
      <c r="I9159" s="63"/>
      <c r="J9159" s="63"/>
    </row>
    <row r="9160" spans="9:10" x14ac:dyDescent="0.35">
      <c r="I9160" s="63"/>
      <c r="J9160" s="63"/>
    </row>
    <row r="9161" spans="9:10" x14ac:dyDescent="0.35">
      <c r="I9161" s="63"/>
      <c r="J9161" s="63"/>
    </row>
    <row r="9162" spans="9:10" x14ac:dyDescent="0.35">
      <c r="I9162" s="63"/>
      <c r="J9162" s="63"/>
    </row>
    <row r="9163" spans="9:10" x14ac:dyDescent="0.35">
      <c r="I9163" s="63"/>
      <c r="J9163" s="63"/>
    </row>
    <row r="9164" spans="9:10" x14ac:dyDescent="0.35">
      <c r="I9164" s="63"/>
      <c r="J9164" s="63"/>
    </row>
    <row r="9165" spans="9:10" x14ac:dyDescent="0.35">
      <c r="I9165" s="63"/>
      <c r="J9165" s="63"/>
    </row>
    <row r="9166" spans="9:10" x14ac:dyDescent="0.35">
      <c r="I9166" s="63"/>
      <c r="J9166" s="63"/>
    </row>
    <row r="9167" spans="9:10" x14ac:dyDescent="0.35">
      <c r="I9167" s="63"/>
      <c r="J9167" s="63"/>
    </row>
    <row r="9168" spans="9:10" x14ac:dyDescent="0.35">
      <c r="I9168" s="63"/>
      <c r="J9168" s="63"/>
    </row>
    <row r="9169" spans="9:10" x14ac:dyDescent="0.35">
      <c r="I9169" s="63"/>
      <c r="J9169" s="63"/>
    </row>
    <row r="9170" spans="9:10" x14ac:dyDescent="0.35">
      <c r="I9170" s="63"/>
      <c r="J9170" s="63"/>
    </row>
    <row r="9171" spans="9:10" x14ac:dyDescent="0.35">
      <c r="I9171" s="63"/>
      <c r="J9171" s="63"/>
    </row>
    <row r="9172" spans="9:10" x14ac:dyDescent="0.35">
      <c r="I9172" s="63"/>
      <c r="J9172" s="63"/>
    </row>
    <row r="9173" spans="9:10" x14ac:dyDescent="0.35">
      <c r="I9173" s="63"/>
      <c r="J9173" s="63"/>
    </row>
    <row r="9174" spans="9:10" x14ac:dyDescent="0.35">
      <c r="I9174" s="63"/>
      <c r="J9174" s="63"/>
    </row>
    <row r="9175" spans="9:10" x14ac:dyDescent="0.35">
      <c r="I9175" s="63"/>
      <c r="J9175" s="63"/>
    </row>
    <row r="9176" spans="9:10" x14ac:dyDescent="0.35">
      <c r="I9176" s="63"/>
      <c r="J9176" s="63"/>
    </row>
    <row r="9177" spans="9:10" x14ac:dyDescent="0.35">
      <c r="I9177" s="63"/>
      <c r="J9177" s="63"/>
    </row>
    <row r="9178" spans="9:10" x14ac:dyDescent="0.35">
      <c r="I9178" s="63"/>
      <c r="J9178" s="63"/>
    </row>
    <row r="9179" spans="9:10" x14ac:dyDescent="0.35">
      <c r="I9179" s="63"/>
      <c r="J9179" s="63"/>
    </row>
    <row r="9180" spans="9:10" x14ac:dyDescent="0.35">
      <c r="I9180" s="63"/>
      <c r="J9180" s="63"/>
    </row>
    <row r="9181" spans="9:10" x14ac:dyDescent="0.35">
      <c r="I9181" s="63"/>
      <c r="J9181" s="63"/>
    </row>
    <row r="9182" spans="9:10" x14ac:dyDescent="0.35">
      <c r="I9182" s="63"/>
      <c r="J9182" s="63"/>
    </row>
    <row r="9183" spans="9:10" x14ac:dyDescent="0.35">
      <c r="I9183" s="63"/>
      <c r="J9183" s="63"/>
    </row>
    <row r="9184" spans="9:10" x14ac:dyDescent="0.35">
      <c r="I9184" s="63"/>
      <c r="J9184" s="63"/>
    </row>
    <row r="9185" spans="9:10" x14ac:dyDescent="0.35">
      <c r="I9185" s="63"/>
      <c r="J9185" s="63"/>
    </row>
    <row r="9186" spans="9:10" x14ac:dyDescent="0.35">
      <c r="I9186" s="63"/>
      <c r="J9186" s="63"/>
    </row>
    <row r="9187" spans="9:10" x14ac:dyDescent="0.35">
      <c r="I9187" s="63"/>
      <c r="J9187" s="63"/>
    </row>
    <row r="9188" spans="9:10" x14ac:dyDescent="0.35">
      <c r="I9188" s="63"/>
      <c r="J9188" s="63"/>
    </row>
    <row r="9189" spans="9:10" x14ac:dyDescent="0.35">
      <c r="I9189" s="63"/>
      <c r="J9189" s="63"/>
    </row>
    <row r="9190" spans="9:10" x14ac:dyDescent="0.35">
      <c r="I9190" s="63"/>
      <c r="J9190" s="63"/>
    </row>
    <row r="9191" spans="9:10" x14ac:dyDescent="0.35">
      <c r="I9191" s="63"/>
      <c r="J9191" s="63"/>
    </row>
    <row r="9192" spans="9:10" x14ac:dyDescent="0.35">
      <c r="I9192" s="63"/>
      <c r="J9192" s="63"/>
    </row>
    <row r="9193" spans="9:10" x14ac:dyDescent="0.35">
      <c r="I9193" s="63"/>
      <c r="J9193" s="63"/>
    </row>
    <row r="9194" spans="9:10" x14ac:dyDescent="0.35">
      <c r="I9194" s="63"/>
      <c r="J9194" s="63"/>
    </row>
    <row r="9195" spans="9:10" x14ac:dyDescent="0.35">
      <c r="I9195" s="63"/>
      <c r="J9195" s="63"/>
    </row>
    <row r="9196" spans="9:10" x14ac:dyDescent="0.35">
      <c r="I9196" s="63"/>
      <c r="J9196" s="63"/>
    </row>
    <row r="9197" spans="9:10" x14ac:dyDescent="0.35">
      <c r="I9197" s="63"/>
      <c r="J9197" s="63"/>
    </row>
    <row r="9198" spans="9:10" x14ac:dyDescent="0.35">
      <c r="I9198" s="63"/>
      <c r="J9198" s="63"/>
    </row>
    <row r="9199" spans="9:10" x14ac:dyDescent="0.35">
      <c r="I9199" s="63"/>
      <c r="J9199" s="63"/>
    </row>
    <row r="9200" spans="9:10" x14ac:dyDescent="0.35">
      <c r="I9200" s="63"/>
      <c r="J9200" s="63"/>
    </row>
    <row r="9201" spans="9:10" x14ac:dyDescent="0.35">
      <c r="I9201" s="63"/>
      <c r="J9201" s="63"/>
    </row>
    <row r="9202" spans="9:10" x14ac:dyDescent="0.35">
      <c r="I9202" s="63"/>
      <c r="J9202" s="63"/>
    </row>
    <row r="9203" spans="9:10" x14ac:dyDescent="0.35">
      <c r="I9203" s="63"/>
      <c r="J9203" s="63"/>
    </row>
    <row r="9204" spans="9:10" x14ac:dyDescent="0.35">
      <c r="I9204" s="63"/>
      <c r="J9204" s="63"/>
    </row>
    <row r="9205" spans="9:10" x14ac:dyDescent="0.35">
      <c r="I9205" s="63"/>
      <c r="J9205" s="63"/>
    </row>
    <row r="9206" spans="9:10" x14ac:dyDescent="0.35">
      <c r="I9206" s="63"/>
      <c r="J9206" s="63"/>
    </row>
    <row r="9207" spans="9:10" x14ac:dyDescent="0.35">
      <c r="I9207" s="63"/>
      <c r="J9207" s="63"/>
    </row>
    <row r="9208" spans="9:10" x14ac:dyDescent="0.35">
      <c r="I9208" s="63"/>
      <c r="J9208" s="63"/>
    </row>
    <row r="9209" spans="9:10" x14ac:dyDescent="0.35">
      <c r="I9209" s="63"/>
      <c r="J9209" s="63"/>
    </row>
    <row r="9210" spans="9:10" x14ac:dyDescent="0.35">
      <c r="I9210" s="63"/>
      <c r="J9210" s="63"/>
    </row>
    <row r="9211" spans="9:10" x14ac:dyDescent="0.35">
      <c r="I9211" s="63"/>
      <c r="J9211" s="63"/>
    </row>
    <row r="9212" spans="9:10" x14ac:dyDescent="0.35">
      <c r="I9212" s="63"/>
      <c r="J9212" s="63"/>
    </row>
    <row r="9213" spans="9:10" x14ac:dyDescent="0.35">
      <c r="I9213" s="63"/>
      <c r="J9213" s="63"/>
    </row>
    <row r="9214" spans="9:10" x14ac:dyDescent="0.35">
      <c r="I9214" s="63"/>
      <c r="J9214" s="63"/>
    </row>
    <row r="9215" spans="9:10" x14ac:dyDescent="0.35">
      <c r="I9215" s="63"/>
      <c r="J9215" s="63"/>
    </row>
    <row r="9216" spans="9:10" x14ac:dyDescent="0.35">
      <c r="I9216" s="63"/>
      <c r="J9216" s="63"/>
    </row>
    <row r="9217" spans="9:10" x14ac:dyDescent="0.35">
      <c r="I9217" s="63"/>
      <c r="J9217" s="63"/>
    </row>
    <row r="9218" spans="9:10" x14ac:dyDescent="0.35">
      <c r="I9218" s="63"/>
      <c r="J9218" s="63"/>
    </row>
    <row r="9219" spans="9:10" x14ac:dyDescent="0.35">
      <c r="I9219" s="63"/>
      <c r="J9219" s="63"/>
    </row>
    <row r="9220" spans="9:10" x14ac:dyDescent="0.35">
      <c r="I9220" s="63"/>
      <c r="J9220" s="63"/>
    </row>
    <row r="9221" spans="9:10" x14ac:dyDescent="0.35">
      <c r="I9221" s="63"/>
      <c r="J9221" s="63"/>
    </row>
    <row r="9222" spans="9:10" x14ac:dyDescent="0.35">
      <c r="I9222" s="63"/>
      <c r="J9222" s="63"/>
    </row>
    <row r="9223" spans="9:10" x14ac:dyDescent="0.35">
      <c r="I9223" s="63"/>
      <c r="J9223" s="63"/>
    </row>
    <row r="9224" spans="9:10" x14ac:dyDescent="0.35">
      <c r="I9224" s="63"/>
      <c r="J9224" s="63"/>
    </row>
    <row r="9225" spans="9:10" x14ac:dyDescent="0.35">
      <c r="I9225" s="63"/>
      <c r="J9225" s="63"/>
    </row>
    <row r="9226" spans="9:10" x14ac:dyDescent="0.35">
      <c r="I9226" s="63"/>
      <c r="J9226" s="63"/>
    </row>
    <row r="9227" spans="9:10" x14ac:dyDescent="0.35">
      <c r="I9227" s="63"/>
      <c r="J9227" s="63"/>
    </row>
    <row r="9228" spans="9:10" x14ac:dyDescent="0.35">
      <c r="I9228" s="63"/>
      <c r="J9228" s="63"/>
    </row>
    <row r="9229" spans="9:10" x14ac:dyDescent="0.35">
      <c r="I9229" s="63"/>
      <c r="J9229" s="63"/>
    </row>
    <row r="9230" spans="9:10" x14ac:dyDescent="0.35">
      <c r="I9230" s="63"/>
      <c r="J9230" s="63"/>
    </row>
    <row r="9231" spans="9:10" x14ac:dyDescent="0.35">
      <c r="I9231" s="63"/>
      <c r="J9231" s="63"/>
    </row>
    <row r="9232" spans="9:10" x14ac:dyDescent="0.35">
      <c r="I9232" s="63"/>
      <c r="J9232" s="63"/>
    </row>
    <row r="9233" spans="9:10" x14ac:dyDescent="0.35">
      <c r="I9233" s="63"/>
      <c r="J9233" s="63"/>
    </row>
    <row r="9234" spans="9:10" x14ac:dyDescent="0.35">
      <c r="I9234" s="63"/>
      <c r="J9234" s="63"/>
    </row>
    <row r="9235" spans="9:10" x14ac:dyDescent="0.35">
      <c r="I9235" s="63"/>
      <c r="J9235" s="63"/>
    </row>
    <row r="9236" spans="9:10" x14ac:dyDescent="0.35">
      <c r="I9236" s="63"/>
      <c r="J9236" s="63"/>
    </row>
    <row r="9237" spans="9:10" x14ac:dyDescent="0.35">
      <c r="I9237" s="63"/>
      <c r="J9237" s="63"/>
    </row>
    <row r="9238" spans="9:10" x14ac:dyDescent="0.35">
      <c r="I9238" s="63"/>
      <c r="J9238" s="63"/>
    </row>
    <row r="9239" spans="9:10" x14ac:dyDescent="0.35">
      <c r="I9239" s="63"/>
      <c r="J9239" s="63"/>
    </row>
    <row r="9240" spans="9:10" x14ac:dyDescent="0.35">
      <c r="I9240" s="63"/>
      <c r="J9240" s="63"/>
    </row>
    <row r="9241" spans="9:10" x14ac:dyDescent="0.35">
      <c r="I9241" s="63"/>
      <c r="J9241" s="63"/>
    </row>
    <row r="9242" spans="9:10" x14ac:dyDescent="0.35">
      <c r="I9242" s="63"/>
      <c r="J9242" s="63"/>
    </row>
    <row r="9243" spans="9:10" x14ac:dyDescent="0.35">
      <c r="I9243" s="63"/>
      <c r="J9243" s="63"/>
    </row>
    <row r="9244" spans="9:10" x14ac:dyDescent="0.35">
      <c r="I9244" s="63"/>
      <c r="J9244" s="63"/>
    </row>
    <row r="9245" spans="9:10" x14ac:dyDescent="0.35">
      <c r="I9245" s="63"/>
      <c r="J9245" s="63"/>
    </row>
    <row r="9246" spans="9:10" x14ac:dyDescent="0.35">
      <c r="I9246" s="63"/>
      <c r="J9246" s="63"/>
    </row>
    <row r="9247" spans="9:10" x14ac:dyDescent="0.35">
      <c r="I9247" s="63"/>
      <c r="J9247" s="63"/>
    </row>
    <row r="9248" spans="9:10" x14ac:dyDescent="0.35">
      <c r="I9248" s="63"/>
      <c r="J9248" s="63"/>
    </row>
    <row r="9249" spans="9:10" x14ac:dyDescent="0.35">
      <c r="I9249" s="63"/>
      <c r="J9249" s="63"/>
    </row>
    <row r="9250" spans="9:10" x14ac:dyDescent="0.35">
      <c r="I9250" s="63"/>
      <c r="J9250" s="63"/>
    </row>
    <row r="9251" spans="9:10" x14ac:dyDescent="0.35">
      <c r="I9251" s="63"/>
      <c r="J9251" s="63"/>
    </row>
    <row r="9252" spans="9:10" x14ac:dyDescent="0.35">
      <c r="I9252" s="63"/>
      <c r="J9252" s="63"/>
    </row>
    <row r="9253" spans="9:10" x14ac:dyDescent="0.35">
      <c r="I9253" s="63"/>
      <c r="J9253" s="63"/>
    </row>
    <row r="9254" spans="9:10" x14ac:dyDescent="0.35">
      <c r="I9254" s="63"/>
      <c r="J9254" s="63"/>
    </row>
    <row r="9255" spans="9:10" x14ac:dyDescent="0.35">
      <c r="I9255" s="63"/>
      <c r="J9255" s="63"/>
    </row>
    <row r="9256" spans="9:10" x14ac:dyDescent="0.35">
      <c r="I9256" s="63"/>
      <c r="J9256" s="63"/>
    </row>
    <row r="9257" spans="9:10" x14ac:dyDescent="0.35">
      <c r="I9257" s="63"/>
      <c r="J9257" s="63"/>
    </row>
    <row r="9258" spans="9:10" x14ac:dyDescent="0.35">
      <c r="I9258" s="63"/>
      <c r="J9258" s="63"/>
    </row>
    <row r="9259" spans="9:10" x14ac:dyDescent="0.35">
      <c r="I9259" s="63"/>
      <c r="J9259" s="63"/>
    </row>
    <row r="9260" spans="9:10" x14ac:dyDescent="0.35">
      <c r="I9260" s="63"/>
      <c r="J9260" s="63"/>
    </row>
    <row r="9261" spans="9:10" x14ac:dyDescent="0.35">
      <c r="I9261" s="63"/>
      <c r="J9261" s="63"/>
    </row>
    <row r="9262" spans="9:10" x14ac:dyDescent="0.35">
      <c r="I9262" s="63"/>
      <c r="J9262" s="63"/>
    </row>
    <row r="9263" spans="9:10" x14ac:dyDescent="0.35">
      <c r="I9263" s="63"/>
      <c r="J9263" s="63"/>
    </row>
    <row r="9264" spans="9:10" x14ac:dyDescent="0.35">
      <c r="I9264" s="63"/>
      <c r="J9264" s="63"/>
    </row>
    <row r="9265" spans="9:10" x14ac:dyDescent="0.35">
      <c r="I9265" s="63"/>
      <c r="J9265" s="63"/>
    </row>
    <row r="9266" spans="9:10" x14ac:dyDescent="0.35">
      <c r="I9266" s="63"/>
      <c r="J9266" s="63"/>
    </row>
    <row r="9267" spans="9:10" x14ac:dyDescent="0.35">
      <c r="I9267" s="63"/>
      <c r="J9267" s="63"/>
    </row>
    <row r="9268" spans="9:10" x14ac:dyDescent="0.35">
      <c r="I9268" s="63"/>
      <c r="J9268" s="63"/>
    </row>
    <row r="9269" spans="9:10" x14ac:dyDescent="0.35">
      <c r="I9269" s="63"/>
      <c r="J9269" s="63"/>
    </row>
    <row r="9270" spans="9:10" x14ac:dyDescent="0.35">
      <c r="I9270" s="63"/>
      <c r="J9270" s="63"/>
    </row>
    <row r="9271" spans="9:10" x14ac:dyDescent="0.35">
      <c r="I9271" s="63"/>
      <c r="J9271" s="63"/>
    </row>
    <row r="9272" spans="9:10" x14ac:dyDescent="0.35">
      <c r="I9272" s="63"/>
      <c r="J9272" s="63"/>
    </row>
    <row r="9273" spans="9:10" x14ac:dyDescent="0.35">
      <c r="I9273" s="63"/>
      <c r="J9273" s="63"/>
    </row>
    <row r="9274" spans="9:10" x14ac:dyDescent="0.35">
      <c r="I9274" s="63"/>
      <c r="J9274" s="63"/>
    </row>
    <row r="9275" spans="9:10" x14ac:dyDescent="0.35">
      <c r="I9275" s="63"/>
      <c r="J9275" s="63"/>
    </row>
    <row r="9276" spans="9:10" x14ac:dyDescent="0.35">
      <c r="I9276" s="63"/>
      <c r="J9276" s="63"/>
    </row>
    <row r="9277" spans="9:10" x14ac:dyDescent="0.35">
      <c r="I9277" s="63"/>
      <c r="J9277" s="63"/>
    </row>
    <row r="9278" spans="9:10" x14ac:dyDescent="0.35">
      <c r="I9278" s="63"/>
      <c r="J9278" s="63"/>
    </row>
    <row r="9279" spans="9:10" x14ac:dyDescent="0.35">
      <c r="I9279" s="63"/>
      <c r="J9279" s="63"/>
    </row>
    <row r="9280" spans="9:10" x14ac:dyDescent="0.35">
      <c r="I9280" s="63"/>
      <c r="J9280" s="63"/>
    </row>
    <row r="9281" spans="9:10" x14ac:dyDescent="0.35">
      <c r="I9281" s="63"/>
      <c r="J9281" s="63"/>
    </row>
    <row r="9282" spans="9:10" x14ac:dyDescent="0.35">
      <c r="I9282" s="63"/>
      <c r="J9282" s="63"/>
    </row>
    <row r="9283" spans="9:10" x14ac:dyDescent="0.35">
      <c r="I9283" s="63"/>
      <c r="J9283" s="63"/>
    </row>
    <row r="9284" spans="9:10" x14ac:dyDescent="0.35">
      <c r="I9284" s="63"/>
      <c r="J9284" s="63"/>
    </row>
    <row r="9285" spans="9:10" x14ac:dyDescent="0.35">
      <c r="I9285" s="63"/>
      <c r="J9285" s="63"/>
    </row>
    <row r="9286" spans="9:10" x14ac:dyDescent="0.35">
      <c r="I9286" s="63"/>
      <c r="J9286" s="63"/>
    </row>
    <row r="9287" spans="9:10" x14ac:dyDescent="0.35">
      <c r="I9287" s="63"/>
      <c r="J9287" s="63"/>
    </row>
    <row r="9288" spans="9:10" x14ac:dyDescent="0.35">
      <c r="I9288" s="63"/>
      <c r="J9288" s="63"/>
    </row>
    <row r="9289" spans="9:10" x14ac:dyDescent="0.35">
      <c r="I9289" s="63"/>
      <c r="J9289" s="63"/>
    </row>
    <row r="9290" spans="9:10" x14ac:dyDescent="0.35">
      <c r="I9290" s="63"/>
      <c r="J9290" s="63"/>
    </row>
    <row r="9291" spans="9:10" x14ac:dyDescent="0.35">
      <c r="I9291" s="63"/>
      <c r="J9291" s="63"/>
    </row>
    <row r="9292" spans="9:10" x14ac:dyDescent="0.35">
      <c r="I9292" s="63"/>
      <c r="J9292" s="63"/>
    </row>
    <row r="9293" spans="9:10" x14ac:dyDescent="0.35">
      <c r="I9293" s="63"/>
      <c r="J9293" s="63"/>
    </row>
    <row r="9294" spans="9:10" x14ac:dyDescent="0.35">
      <c r="I9294" s="63"/>
      <c r="J9294" s="63"/>
    </row>
    <row r="9295" spans="9:10" x14ac:dyDescent="0.35">
      <c r="I9295" s="63"/>
      <c r="J9295" s="63"/>
    </row>
    <row r="9296" spans="9:10" x14ac:dyDescent="0.35">
      <c r="I9296" s="63"/>
      <c r="J9296" s="63"/>
    </row>
    <row r="9297" spans="9:10" x14ac:dyDescent="0.35">
      <c r="I9297" s="63"/>
      <c r="J9297" s="63"/>
    </row>
    <row r="9298" spans="9:10" x14ac:dyDescent="0.35">
      <c r="I9298" s="63"/>
      <c r="J9298" s="63"/>
    </row>
    <row r="9299" spans="9:10" x14ac:dyDescent="0.35">
      <c r="I9299" s="63"/>
      <c r="J9299" s="63"/>
    </row>
    <row r="9300" spans="9:10" x14ac:dyDescent="0.35">
      <c r="I9300" s="63"/>
      <c r="J9300" s="63"/>
    </row>
    <row r="9301" spans="9:10" x14ac:dyDescent="0.35">
      <c r="I9301" s="63"/>
      <c r="J9301" s="63"/>
    </row>
    <row r="9302" spans="9:10" x14ac:dyDescent="0.35">
      <c r="I9302" s="63"/>
      <c r="J9302" s="63"/>
    </row>
    <row r="9303" spans="9:10" x14ac:dyDescent="0.35">
      <c r="I9303" s="63"/>
      <c r="J9303" s="63"/>
    </row>
    <row r="9304" spans="9:10" x14ac:dyDescent="0.35">
      <c r="I9304" s="63"/>
      <c r="J9304" s="63"/>
    </row>
    <row r="9305" spans="9:10" x14ac:dyDescent="0.35">
      <c r="I9305" s="63"/>
      <c r="J9305" s="63"/>
    </row>
    <row r="9306" spans="9:10" x14ac:dyDescent="0.35">
      <c r="I9306" s="63"/>
      <c r="J9306" s="63"/>
    </row>
    <row r="9307" spans="9:10" x14ac:dyDescent="0.35">
      <c r="I9307" s="63"/>
      <c r="J9307" s="63"/>
    </row>
    <row r="9308" spans="9:10" x14ac:dyDescent="0.35">
      <c r="I9308" s="63"/>
      <c r="J9308" s="63"/>
    </row>
    <row r="9309" spans="9:10" x14ac:dyDescent="0.35">
      <c r="I9309" s="63"/>
      <c r="J9309" s="63"/>
    </row>
    <row r="9310" spans="9:10" x14ac:dyDescent="0.35">
      <c r="I9310" s="63"/>
      <c r="J9310" s="63"/>
    </row>
    <row r="9311" spans="9:10" x14ac:dyDescent="0.35">
      <c r="I9311" s="63"/>
      <c r="J9311" s="63"/>
    </row>
    <row r="9312" spans="9:10" x14ac:dyDescent="0.35">
      <c r="I9312" s="63"/>
      <c r="J9312" s="63"/>
    </row>
    <row r="9313" spans="9:10" x14ac:dyDescent="0.35">
      <c r="I9313" s="63"/>
      <c r="J9313" s="63"/>
    </row>
    <row r="9314" spans="9:10" x14ac:dyDescent="0.35">
      <c r="I9314" s="63"/>
      <c r="J9314" s="63"/>
    </row>
    <row r="9315" spans="9:10" x14ac:dyDescent="0.35">
      <c r="I9315" s="63"/>
      <c r="J9315" s="63"/>
    </row>
    <row r="9316" spans="9:10" x14ac:dyDescent="0.35">
      <c r="I9316" s="63"/>
      <c r="J9316" s="63"/>
    </row>
    <row r="9317" spans="9:10" x14ac:dyDescent="0.35">
      <c r="I9317" s="63"/>
      <c r="J9317" s="63"/>
    </row>
    <row r="9318" spans="9:10" x14ac:dyDescent="0.35">
      <c r="I9318" s="63"/>
      <c r="J9318" s="63"/>
    </row>
    <row r="9319" spans="9:10" x14ac:dyDescent="0.35">
      <c r="I9319" s="63"/>
      <c r="J9319" s="63"/>
    </row>
    <row r="9320" spans="9:10" x14ac:dyDescent="0.35">
      <c r="I9320" s="63"/>
      <c r="J9320" s="63"/>
    </row>
    <row r="9321" spans="9:10" x14ac:dyDescent="0.35">
      <c r="I9321" s="63"/>
      <c r="J9321" s="63"/>
    </row>
    <row r="9322" spans="9:10" x14ac:dyDescent="0.35">
      <c r="I9322" s="63"/>
      <c r="J9322" s="63"/>
    </row>
    <row r="9323" spans="9:10" x14ac:dyDescent="0.35">
      <c r="I9323" s="63"/>
      <c r="J9323" s="63"/>
    </row>
    <row r="9324" spans="9:10" x14ac:dyDescent="0.35">
      <c r="I9324" s="63"/>
      <c r="J9324" s="63"/>
    </row>
    <row r="9325" spans="9:10" x14ac:dyDescent="0.35">
      <c r="I9325" s="63"/>
      <c r="J9325" s="63"/>
    </row>
    <row r="9326" spans="9:10" x14ac:dyDescent="0.35">
      <c r="I9326" s="63"/>
      <c r="J9326" s="63"/>
    </row>
    <row r="9327" spans="9:10" x14ac:dyDescent="0.35">
      <c r="I9327" s="63"/>
      <c r="J9327" s="63"/>
    </row>
    <row r="9328" spans="9:10" x14ac:dyDescent="0.35">
      <c r="I9328" s="63"/>
      <c r="J9328" s="63"/>
    </row>
    <row r="9329" spans="9:10" x14ac:dyDescent="0.35">
      <c r="I9329" s="63"/>
      <c r="J9329" s="63"/>
    </row>
    <row r="9330" spans="9:10" x14ac:dyDescent="0.35">
      <c r="I9330" s="63"/>
      <c r="J9330" s="63"/>
    </row>
    <row r="9331" spans="9:10" x14ac:dyDescent="0.35">
      <c r="I9331" s="63"/>
      <c r="J9331" s="63"/>
    </row>
    <row r="9332" spans="9:10" x14ac:dyDescent="0.35">
      <c r="I9332" s="63"/>
      <c r="J9332" s="63"/>
    </row>
    <row r="9333" spans="9:10" x14ac:dyDescent="0.35">
      <c r="I9333" s="63"/>
      <c r="J9333" s="63"/>
    </row>
    <row r="9334" spans="9:10" x14ac:dyDescent="0.35">
      <c r="I9334" s="63"/>
      <c r="J9334" s="63"/>
    </row>
    <row r="9335" spans="9:10" x14ac:dyDescent="0.35">
      <c r="I9335" s="63"/>
      <c r="J9335" s="63"/>
    </row>
    <row r="9336" spans="9:10" x14ac:dyDescent="0.35">
      <c r="I9336" s="63"/>
      <c r="J9336" s="63"/>
    </row>
    <row r="9337" spans="9:10" x14ac:dyDescent="0.35">
      <c r="I9337" s="63"/>
      <c r="J9337" s="63"/>
    </row>
    <row r="9338" spans="9:10" x14ac:dyDescent="0.35">
      <c r="I9338" s="63"/>
      <c r="J9338" s="63"/>
    </row>
    <row r="9339" spans="9:10" x14ac:dyDescent="0.35">
      <c r="I9339" s="63"/>
      <c r="J9339" s="63"/>
    </row>
    <row r="9340" spans="9:10" x14ac:dyDescent="0.35">
      <c r="I9340" s="63"/>
      <c r="J9340" s="63"/>
    </row>
    <row r="9341" spans="9:10" x14ac:dyDescent="0.35">
      <c r="I9341" s="63"/>
      <c r="J9341" s="63"/>
    </row>
    <row r="9342" spans="9:10" x14ac:dyDescent="0.35">
      <c r="I9342" s="63"/>
      <c r="J9342" s="63"/>
    </row>
    <row r="9343" spans="9:10" x14ac:dyDescent="0.35">
      <c r="I9343" s="63"/>
      <c r="J9343" s="63"/>
    </row>
    <row r="9344" spans="9:10" x14ac:dyDescent="0.35">
      <c r="I9344" s="63"/>
      <c r="J9344" s="63"/>
    </row>
    <row r="9345" spans="9:10" x14ac:dyDescent="0.35">
      <c r="I9345" s="63"/>
      <c r="J9345" s="63"/>
    </row>
    <row r="9346" spans="9:10" x14ac:dyDescent="0.35">
      <c r="I9346" s="63"/>
      <c r="J9346" s="63"/>
    </row>
    <row r="9347" spans="9:10" x14ac:dyDescent="0.35">
      <c r="I9347" s="63"/>
      <c r="J9347" s="63"/>
    </row>
    <row r="9348" spans="9:10" x14ac:dyDescent="0.35">
      <c r="I9348" s="63"/>
      <c r="J9348" s="63"/>
    </row>
    <row r="9349" spans="9:10" x14ac:dyDescent="0.35">
      <c r="I9349" s="63"/>
      <c r="J9349" s="63"/>
    </row>
    <row r="9350" spans="9:10" x14ac:dyDescent="0.35">
      <c r="I9350" s="63"/>
      <c r="J9350" s="63"/>
    </row>
    <row r="9351" spans="9:10" x14ac:dyDescent="0.35">
      <c r="I9351" s="63"/>
      <c r="J9351" s="63"/>
    </row>
    <row r="9352" spans="9:10" x14ac:dyDescent="0.35">
      <c r="I9352" s="63"/>
      <c r="J9352" s="63"/>
    </row>
    <row r="9353" spans="9:10" x14ac:dyDescent="0.35">
      <c r="I9353" s="63"/>
      <c r="J9353" s="63"/>
    </row>
    <row r="9354" spans="9:10" x14ac:dyDescent="0.35">
      <c r="I9354" s="63"/>
      <c r="J9354" s="63"/>
    </row>
    <row r="9355" spans="9:10" x14ac:dyDescent="0.35">
      <c r="I9355" s="63"/>
      <c r="J9355" s="63"/>
    </row>
    <row r="9356" spans="9:10" x14ac:dyDescent="0.35">
      <c r="I9356" s="63"/>
      <c r="J9356" s="63"/>
    </row>
    <row r="9357" spans="9:10" x14ac:dyDescent="0.35">
      <c r="I9357" s="63"/>
      <c r="J9357" s="63"/>
    </row>
    <row r="9358" spans="9:10" x14ac:dyDescent="0.35">
      <c r="I9358" s="63"/>
      <c r="J9358" s="63"/>
    </row>
    <row r="9359" spans="9:10" x14ac:dyDescent="0.35">
      <c r="I9359" s="63"/>
      <c r="J9359" s="63"/>
    </row>
    <row r="9360" spans="9:10" x14ac:dyDescent="0.35">
      <c r="I9360" s="63"/>
      <c r="J9360" s="63"/>
    </row>
    <row r="9361" spans="9:10" x14ac:dyDescent="0.35">
      <c r="I9361" s="63"/>
      <c r="J9361" s="63"/>
    </row>
    <row r="9362" spans="9:10" x14ac:dyDescent="0.35">
      <c r="I9362" s="63"/>
      <c r="J9362" s="63"/>
    </row>
    <row r="9363" spans="9:10" x14ac:dyDescent="0.35">
      <c r="I9363" s="63"/>
      <c r="J9363" s="63"/>
    </row>
    <row r="9364" spans="9:10" x14ac:dyDescent="0.35">
      <c r="I9364" s="63"/>
      <c r="J9364" s="63"/>
    </row>
    <row r="9365" spans="9:10" x14ac:dyDescent="0.35">
      <c r="I9365" s="63"/>
      <c r="J9365" s="63"/>
    </row>
    <row r="9366" spans="9:10" x14ac:dyDescent="0.35">
      <c r="I9366" s="63"/>
      <c r="J9366" s="63"/>
    </row>
    <row r="9367" spans="9:10" x14ac:dyDescent="0.35">
      <c r="I9367" s="63"/>
      <c r="J9367" s="63"/>
    </row>
    <row r="9368" spans="9:10" x14ac:dyDescent="0.35">
      <c r="I9368" s="63"/>
      <c r="J9368" s="63"/>
    </row>
    <row r="9369" spans="9:10" x14ac:dyDescent="0.35">
      <c r="I9369" s="63"/>
      <c r="J9369" s="63"/>
    </row>
    <row r="9370" spans="9:10" x14ac:dyDescent="0.35">
      <c r="I9370" s="63"/>
      <c r="J9370" s="63"/>
    </row>
    <row r="9371" spans="9:10" x14ac:dyDescent="0.35">
      <c r="I9371" s="63"/>
      <c r="J9371" s="63"/>
    </row>
    <row r="9372" spans="9:10" x14ac:dyDescent="0.35">
      <c r="I9372" s="63"/>
      <c r="J9372" s="63"/>
    </row>
    <row r="9373" spans="9:10" x14ac:dyDescent="0.35">
      <c r="I9373" s="63"/>
      <c r="J9373" s="63"/>
    </row>
    <row r="9374" spans="9:10" x14ac:dyDescent="0.35">
      <c r="I9374" s="63"/>
      <c r="J9374" s="63"/>
    </row>
    <row r="9375" spans="9:10" x14ac:dyDescent="0.35">
      <c r="I9375" s="63"/>
      <c r="J9375" s="63"/>
    </row>
    <row r="9376" spans="9:10" x14ac:dyDescent="0.35">
      <c r="I9376" s="63"/>
      <c r="J9376" s="63"/>
    </row>
    <row r="9377" spans="9:10" x14ac:dyDescent="0.35">
      <c r="I9377" s="63"/>
      <c r="J9377" s="63"/>
    </row>
    <row r="9378" spans="9:10" x14ac:dyDescent="0.35">
      <c r="I9378" s="63"/>
      <c r="J9378" s="63"/>
    </row>
    <row r="9379" spans="9:10" x14ac:dyDescent="0.35">
      <c r="I9379" s="63"/>
      <c r="J9379" s="63"/>
    </row>
    <row r="9380" spans="9:10" x14ac:dyDescent="0.35">
      <c r="I9380" s="63"/>
      <c r="J9380" s="63"/>
    </row>
    <row r="9381" spans="9:10" x14ac:dyDescent="0.35">
      <c r="I9381" s="63"/>
      <c r="J9381" s="63"/>
    </row>
    <row r="9382" spans="9:10" x14ac:dyDescent="0.35">
      <c r="I9382" s="63"/>
      <c r="J9382" s="63"/>
    </row>
    <row r="9383" spans="9:10" x14ac:dyDescent="0.35">
      <c r="I9383" s="63"/>
      <c r="J9383" s="63"/>
    </row>
    <row r="9384" spans="9:10" x14ac:dyDescent="0.35">
      <c r="I9384" s="63"/>
      <c r="J9384" s="63"/>
    </row>
    <row r="9385" spans="9:10" x14ac:dyDescent="0.35">
      <c r="I9385" s="63"/>
      <c r="J9385" s="63"/>
    </row>
    <row r="9386" spans="9:10" x14ac:dyDescent="0.35">
      <c r="I9386" s="63"/>
      <c r="J9386" s="63"/>
    </row>
    <row r="9387" spans="9:10" x14ac:dyDescent="0.35">
      <c r="I9387" s="63"/>
      <c r="J9387" s="63"/>
    </row>
    <row r="9388" spans="9:10" x14ac:dyDescent="0.35">
      <c r="I9388" s="63"/>
      <c r="J9388" s="63"/>
    </row>
    <row r="9389" spans="9:10" x14ac:dyDescent="0.35">
      <c r="I9389" s="63"/>
      <c r="J9389" s="63"/>
    </row>
    <row r="9390" spans="9:10" x14ac:dyDescent="0.35">
      <c r="I9390" s="63"/>
      <c r="J9390" s="63"/>
    </row>
    <row r="9391" spans="9:10" x14ac:dyDescent="0.35">
      <c r="I9391" s="63"/>
      <c r="J9391" s="63"/>
    </row>
    <row r="9392" spans="9:10" x14ac:dyDescent="0.35">
      <c r="I9392" s="63"/>
      <c r="J9392" s="63"/>
    </row>
    <row r="9393" spans="9:10" x14ac:dyDescent="0.35">
      <c r="I9393" s="63"/>
      <c r="J9393" s="63"/>
    </row>
    <row r="9394" spans="9:10" x14ac:dyDescent="0.35">
      <c r="I9394" s="63"/>
      <c r="J9394" s="63"/>
    </row>
    <row r="9395" spans="9:10" x14ac:dyDescent="0.35">
      <c r="I9395" s="63"/>
      <c r="J9395" s="63"/>
    </row>
    <row r="9396" spans="9:10" x14ac:dyDescent="0.35">
      <c r="I9396" s="63"/>
      <c r="J9396" s="63"/>
    </row>
    <row r="9397" spans="9:10" x14ac:dyDescent="0.35">
      <c r="I9397" s="63"/>
      <c r="J9397" s="63"/>
    </row>
    <row r="9398" spans="9:10" x14ac:dyDescent="0.35">
      <c r="I9398" s="63"/>
      <c r="J9398" s="63"/>
    </row>
    <row r="9399" spans="9:10" x14ac:dyDescent="0.35">
      <c r="I9399" s="63"/>
      <c r="J9399" s="63"/>
    </row>
    <row r="9400" spans="9:10" x14ac:dyDescent="0.35">
      <c r="I9400" s="63"/>
      <c r="J9400" s="63"/>
    </row>
    <row r="9401" spans="9:10" x14ac:dyDescent="0.35">
      <c r="I9401" s="63"/>
      <c r="J9401" s="63"/>
    </row>
    <row r="9402" spans="9:10" x14ac:dyDescent="0.35">
      <c r="I9402" s="63"/>
      <c r="J9402" s="63"/>
    </row>
    <row r="9403" spans="9:10" x14ac:dyDescent="0.35">
      <c r="I9403" s="63"/>
      <c r="J9403" s="63"/>
    </row>
    <row r="9404" spans="9:10" x14ac:dyDescent="0.35">
      <c r="I9404" s="63"/>
      <c r="J9404" s="63"/>
    </row>
    <row r="9405" spans="9:10" x14ac:dyDescent="0.35">
      <c r="I9405" s="63"/>
      <c r="J9405" s="63"/>
    </row>
    <row r="9406" spans="9:10" x14ac:dyDescent="0.35">
      <c r="I9406" s="63"/>
      <c r="J9406" s="63"/>
    </row>
    <row r="9407" spans="9:10" x14ac:dyDescent="0.35">
      <c r="I9407" s="63"/>
      <c r="J9407" s="63"/>
    </row>
    <row r="9408" spans="9:10" x14ac:dyDescent="0.35">
      <c r="I9408" s="63"/>
      <c r="J9408" s="63"/>
    </row>
    <row r="9409" spans="9:10" x14ac:dyDescent="0.35">
      <c r="I9409" s="63"/>
      <c r="J9409" s="63"/>
    </row>
    <row r="9410" spans="9:10" x14ac:dyDescent="0.35">
      <c r="I9410" s="63"/>
      <c r="J9410" s="63"/>
    </row>
    <row r="9411" spans="9:10" x14ac:dyDescent="0.35">
      <c r="I9411" s="63"/>
      <c r="J9411" s="63"/>
    </row>
    <row r="9412" spans="9:10" x14ac:dyDescent="0.35">
      <c r="I9412" s="63"/>
      <c r="J9412" s="63"/>
    </row>
    <row r="9413" spans="9:10" x14ac:dyDescent="0.35">
      <c r="I9413" s="63"/>
      <c r="J9413" s="63"/>
    </row>
    <row r="9414" spans="9:10" x14ac:dyDescent="0.35">
      <c r="I9414" s="63"/>
      <c r="J9414" s="63"/>
    </row>
    <row r="9415" spans="9:10" x14ac:dyDescent="0.35">
      <c r="I9415" s="63"/>
      <c r="J9415" s="63"/>
    </row>
    <row r="9416" spans="9:10" x14ac:dyDescent="0.35">
      <c r="I9416" s="63"/>
      <c r="J9416" s="63"/>
    </row>
    <row r="9417" spans="9:10" x14ac:dyDescent="0.35">
      <c r="I9417" s="63"/>
      <c r="J9417" s="63"/>
    </row>
    <row r="9418" spans="9:10" x14ac:dyDescent="0.35">
      <c r="I9418" s="63"/>
      <c r="J9418" s="63"/>
    </row>
    <row r="9419" spans="9:10" x14ac:dyDescent="0.35">
      <c r="I9419" s="63"/>
      <c r="J9419" s="63"/>
    </row>
    <row r="9420" spans="9:10" x14ac:dyDescent="0.35">
      <c r="I9420" s="63"/>
      <c r="J9420" s="63"/>
    </row>
    <row r="9421" spans="9:10" x14ac:dyDescent="0.35">
      <c r="I9421" s="63"/>
      <c r="J9421" s="63"/>
    </row>
    <row r="9422" spans="9:10" x14ac:dyDescent="0.35">
      <c r="I9422" s="63"/>
      <c r="J9422" s="63"/>
    </row>
    <row r="9423" spans="9:10" x14ac:dyDescent="0.35">
      <c r="I9423" s="63"/>
      <c r="J9423" s="63"/>
    </row>
    <row r="9424" spans="9:10" x14ac:dyDescent="0.35">
      <c r="I9424" s="63"/>
      <c r="J9424" s="63"/>
    </row>
    <row r="9425" spans="9:10" x14ac:dyDescent="0.35">
      <c r="I9425" s="63"/>
      <c r="J9425" s="63"/>
    </row>
    <row r="9426" spans="9:10" x14ac:dyDescent="0.35">
      <c r="I9426" s="63"/>
      <c r="J9426" s="63"/>
    </row>
    <row r="9427" spans="9:10" x14ac:dyDescent="0.35">
      <c r="I9427" s="63"/>
      <c r="J9427" s="63"/>
    </row>
    <row r="9428" spans="9:10" x14ac:dyDescent="0.35">
      <c r="I9428" s="63"/>
      <c r="J9428" s="63"/>
    </row>
    <row r="9429" spans="9:10" x14ac:dyDescent="0.35">
      <c r="I9429" s="63"/>
      <c r="J9429" s="63"/>
    </row>
    <row r="9430" spans="9:10" x14ac:dyDescent="0.35">
      <c r="I9430" s="63"/>
      <c r="J9430" s="63"/>
    </row>
    <row r="9431" spans="9:10" x14ac:dyDescent="0.35">
      <c r="I9431" s="63"/>
      <c r="J9431" s="63"/>
    </row>
    <row r="9432" spans="9:10" x14ac:dyDescent="0.35">
      <c r="I9432" s="63"/>
      <c r="J9432" s="63"/>
    </row>
    <row r="9433" spans="9:10" x14ac:dyDescent="0.35">
      <c r="I9433" s="63"/>
      <c r="J9433" s="63"/>
    </row>
    <row r="9434" spans="9:10" x14ac:dyDescent="0.35">
      <c r="I9434" s="63"/>
      <c r="J9434" s="63"/>
    </row>
    <row r="9435" spans="9:10" x14ac:dyDescent="0.35">
      <c r="I9435" s="63"/>
      <c r="J9435" s="63"/>
    </row>
    <row r="9436" spans="9:10" x14ac:dyDescent="0.35">
      <c r="I9436" s="63"/>
      <c r="J9436" s="63"/>
    </row>
    <row r="9437" spans="9:10" x14ac:dyDescent="0.35">
      <c r="I9437" s="63"/>
      <c r="J9437" s="63"/>
    </row>
    <row r="9438" spans="9:10" x14ac:dyDescent="0.35">
      <c r="I9438" s="63"/>
      <c r="J9438" s="63"/>
    </row>
    <row r="9439" spans="9:10" x14ac:dyDescent="0.35">
      <c r="I9439" s="63"/>
      <c r="J9439" s="63"/>
    </row>
    <row r="9440" spans="9:10" x14ac:dyDescent="0.35">
      <c r="I9440" s="63"/>
      <c r="J9440" s="63"/>
    </row>
    <row r="9441" spans="9:10" x14ac:dyDescent="0.35">
      <c r="I9441" s="63"/>
      <c r="J9441" s="63"/>
    </row>
    <row r="9442" spans="9:10" x14ac:dyDescent="0.35">
      <c r="I9442" s="63"/>
      <c r="J9442" s="63"/>
    </row>
    <row r="9443" spans="9:10" x14ac:dyDescent="0.35">
      <c r="I9443" s="63"/>
      <c r="J9443" s="63"/>
    </row>
    <row r="9444" spans="9:10" x14ac:dyDescent="0.35">
      <c r="I9444" s="63"/>
      <c r="J9444" s="63"/>
    </row>
    <row r="9445" spans="9:10" x14ac:dyDescent="0.35">
      <c r="I9445" s="63"/>
      <c r="J9445" s="63"/>
    </row>
    <row r="9446" spans="9:10" x14ac:dyDescent="0.35">
      <c r="I9446" s="63"/>
      <c r="J9446" s="63"/>
    </row>
    <row r="9447" spans="9:10" x14ac:dyDescent="0.35">
      <c r="I9447" s="63"/>
      <c r="J9447" s="63"/>
    </row>
    <row r="9448" spans="9:10" x14ac:dyDescent="0.35">
      <c r="I9448" s="63"/>
      <c r="J9448" s="63"/>
    </row>
    <row r="9449" spans="9:10" x14ac:dyDescent="0.35">
      <c r="I9449" s="63"/>
      <c r="J9449" s="63"/>
    </row>
    <row r="9450" spans="9:10" x14ac:dyDescent="0.35">
      <c r="I9450" s="63"/>
      <c r="J9450" s="63"/>
    </row>
    <row r="9451" spans="9:10" x14ac:dyDescent="0.35">
      <c r="I9451" s="63"/>
      <c r="J9451" s="63"/>
    </row>
    <row r="9452" spans="9:10" x14ac:dyDescent="0.35">
      <c r="I9452" s="63"/>
      <c r="J9452" s="63"/>
    </row>
    <row r="9453" spans="9:10" x14ac:dyDescent="0.35">
      <c r="I9453" s="63"/>
      <c r="J9453" s="63"/>
    </row>
    <row r="9454" spans="9:10" x14ac:dyDescent="0.35">
      <c r="I9454" s="63"/>
      <c r="J9454" s="63"/>
    </row>
    <row r="9455" spans="9:10" x14ac:dyDescent="0.35">
      <c r="I9455" s="63"/>
      <c r="J9455" s="63"/>
    </row>
    <row r="9456" spans="9:10" x14ac:dyDescent="0.35">
      <c r="I9456" s="63"/>
      <c r="J9456" s="63"/>
    </row>
    <row r="9457" spans="9:10" x14ac:dyDescent="0.35">
      <c r="I9457" s="63"/>
      <c r="J9457" s="63"/>
    </row>
    <row r="9458" spans="9:10" x14ac:dyDescent="0.35">
      <c r="I9458" s="63"/>
      <c r="J9458" s="63"/>
    </row>
    <row r="9459" spans="9:10" x14ac:dyDescent="0.35">
      <c r="I9459" s="63"/>
      <c r="J9459" s="63"/>
    </row>
    <row r="9460" spans="9:10" x14ac:dyDescent="0.35">
      <c r="I9460" s="63"/>
      <c r="J9460" s="63"/>
    </row>
    <row r="9461" spans="9:10" x14ac:dyDescent="0.35">
      <c r="I9461" s="63"/>
      <c r="J9461" s="63"/>
    </row>
    <row r="9462" spans="9:10" x14ac:dyDescent="0.35">
      <c r="I9462" s="63"/>
      <c r="J9462" s="63"/>
    </row>
    <row r="9463" spans="9:10" x14ac:dyDescent="0.35">
      <c r="I9463" s="63"/>
      <c r="J9463" s="63"/>
    </row>
    <row r="9464" spans="9:10" x14ac:dyDescent="0.35">
      <c r="I9464" s="63"/>
      <c r="J9464" s="63"/>
    </row>
    <row r="9465" spans="9:10" x14ac:dyDescent="0.35">
      <c r="I9465" s="63"/>
      <c r="J9465" s="63"/>
    </row>
    <row r="9466" spans="9:10" x14ac:dyDescent="0.35">
      <c r="I9466" s="63"/>
      <c r="J9466" s="63"/>
    </row>
    <row r="9467" spans="9:10" x14ac:dyDescent="0.35">
      <c r="I9467" s="63"/>
      <c r="J9467" s="63"/>
    </row>
    <row r="9468" spans="9:10" x14ac:dyDescent="0.35">
      <c r="I9468" s="63"/>
      <c r="J9468" s="63"/>
    </row>
    <row r="9469" spans="9:10" x14ac:dyDescent="0.35">
      <c r="I9469" s="63"/>
      <c r="J9469" s="63"/>
    </row>
    <row r="9470" spans="9:10" x14ac:dyDescent="0.35">
      <c r="I9470" s="63"/>
      <c r="J9470" s="63"/>
    </row>
    <row r="9471" spans="9:10" x14ac:dyDescent="0.35">
      <c r="I9471" s="63"/>
      <c r="J9471" s="63"/>
    </row>
    <row r="9472" spans="9:10" x14ac:dyDescent="0.35">
      <c r="I9472" s="63"/>
      <c r="J9472" s="63"/>
    </row>
    <row r="9473" spans="9:10" x14ac:dyDescent="0.35">
      <c r="I9473" s="63"/>
      <c r="J9473" s="63"/>
    </row>
    <row r="9474" spans="9:10" x14ac:dyDescent="0.35">
      <c r="I9474" s="63"/>
      <c r="J9474" s="63"/>
    </row>
    <row r="9475" spans="9:10" x14ac:dyDescent="0.35">
      <c r="I9475" s="63"/>
      <c r="J9475" s="63"/>
    </row>
    <row r="9476" spans="9:10" x14ac:dyDescent="0.35">
      <c r="I9476" s="63"/>
      <c r="J9476" s="63"/>
    </row>
    <row r="9477" spans="9:10" x14ac:dyDescent="0.35">
      <c r="I9477" s="63"/>
      <c r="J9477" s="63"/>
    </row>
    <row r="9478" spans="9:10" x14ac:dyDescent="0.35">
      <c r="I9478" s="63"/>
      <c r="J9478" s="63"/>
    </row>
    <row r="9479" spans="9:10" x14ac:dyDescent="0.35">
      <c r="I9479" s="63"/>
      <c r="J9479" s="63"/>
    </row>
    <row r="9480" spans="9:10" x14ac:dyDescent="0.35">
      <c r="I9480" s="63"/>
      <c r="J9480" s="63"/>
    </row>
    <row r="9481" spans="9:10" x14ac:dyDescent="0.35">
      <c r="I9481" s="63"/>
      <c r="J9481" s="63"/>
    </row>
    <row r="9482" spans="9:10" x14ac:dyDescent="0.35">
      <c r="I9482" s="63"/>
      <c r="J9482" s="63"/>
    </row>
    <row r="9483" spans="9:10" x14ac:dyDescent="0.35">
      <c r="I9483" s="63"/>
      <c r="J9483" s="63"/>
    </row>
    <row r="9484" spans="9:10" x14ac:dyDescent="0.35">
      <c r="I9484" s="63"/>
      <c r="J9484" s="63"/>
    </row>
    <row r="9485" spans="9:10" x14ac:dyDescent="0.35">
      <c r="I9485" s="63"/>
      <c r="J9485" s="63"/>
    </row>
    <row r="9486" spans="9:10" x14ac:dyDescent="0.35">
      <c r="I9486" s="63"/>
      <c r="J9486" s="63"/>
    </row>
    <row r="9487" spans="9:10" x14ac:dyDescent="0.35">
      <c r="I9487" s="63"/>
      <c r="J9487" s="63"/>
    </row>
    <row r="9488" spans="9:10" x14ac:dyDescent="0.35">
      <c r="I9488" s="63"/>
      <c r="J9488" s="63"/>
    </row>
    <row r="9489" spans="9:10" x14ac:dyDescent="0.35">
      <c r="I9489" s="63"/>
      <c r="J9489" s="63"/>
    </row>
    <row r="9490" spans="9:10" x14ac:dyDescent="0.35">
      <c r="I9490" s="63"/>
      <c r="J9490" s="63"/>
    </row>
    <row r="9491" spans="9:10" x14ac:dyDescent="0.35">
      <c r="I9491" s="63"/>
      <c r="J9491" s="63"/>
    </row>
    <row r="9492" spans="9:10" x14ac:dyDescent="0.35">
      <c r="I9492" s="63"/>
      <c r="J9492" s="63"/>
    </row>
    <row r="9493" spans="9:10" x14ac:dyDescent="0.35">
      <c r="I9493" s="63"/>
      <c r="J9493" s="63"/>
    </row>
    <row r="9494" spans="9:10" x14ac:dyDescent="0.35">
      <c r="I9494" s="63"/>
      <c r="J9494" s="63"/>
    </row>
    <row r="9495" spans="9:10" x14ac:dyDescent="0.35">
      <c r="I9495" s="63"/>
      <c r="J9495" s="63"/>
    </row>
    <row r="9496" spans="9:10" x14ac:dyDescent="0.35">
      <c r="I9496" s="63"/>
      <c r="J9496" s="63"/>
    </row>
    <row r="9497" spans="9:10" x14ac:dyDescent="0.35">
      <c r="I9497" s="63"/>
      <c r="J9497" s="63"/>
    </row>
    <row r="9498" spans="9:10" x14ac:dyDescent="0.35">
      <c r="I9498" s="63"/>
      <c r="J9498" s="63"/>
    </row>
    <row r="9499" spans="9:10" x14ac:dyDescent="0.35">
      <c r="I9499" s="63"/>
      <c r="J9499" s="63"/>
    </row>
    <row r="9500" spans="9:10" x14ac:dyDescent="0.35">
      <c r="I9500" s="63"/>
      <c r="J9500" s="63"/>
    </row>
    <row r="9501" spans="9:10" x14ac:dyDescent="0.35">
      <c r="I9501" s="63"/>
      <c r="J9501" s="63"/>
    </row>
    <row r="9502" spans="9:10" x14ac:dyDescent="0.35">
      <c r="I9502" s="63"/>
      <c r="J9502" s="63"/>
    </row>
    <row r="9503" spans="9:10" x14ac:dyDescent="0.35">
      <c r="I9503" s="63"/>
      <c r="J9503" s="63"/>
    </row>
    <row r="9504" spans="9:10" x14ac:dyDescent="0.35">
      <c r="I9504" s="63"/>
      <c r="J9504" s="63"/>
    </row>
    <row r="9505" spans="9:10" x14ac:dyDescent="0.35">
      <c r="I9505" s="63"/>
      <c r="J9505" s="63"/>
    </row>
    <row r="9506" spans="9:10" x14ac:dyDescent="0.35">
      <c r="I9506" s="63"/>
      <c r="J9506" s="63"/>
    </row>
    <row r="9507" spans="9:10" x14ac:dyDescent="0.35">
      <c r="I9507" s="63"/>
      <c r="J9507" s="63"/>
    </row>
    <row r="9508" spans="9:10" x14ac:dyDescent="0.35">
      <c r="I9508" s="63"/>
      <c r="J9508" s="63"/>
    </row>
    <row r="9509" spans="9:10" x14ac:dyDescent="0.35">
      <c r="I9509" s="63"/>
      <c r="J9509" s="63"/>
    </row>
    <row r="9510" spans="9:10" x14ac:dyDescent="0.35">
      <c r="I9510" s="63"/>
      <c r="J9510" s="63"/>
    </row>
    <row r="9511" spans="9:10" x14ac:dyDescent="0.35">
      <c r="I9511" s="63"/>
      <c r="J9511" s="63"/>
    </row>
    <row r="9512" spans="9:10" x14ac:dyDescent="0.35">
      <c r="I9512" s="63"/>
      <c r="J9512" s="63"/>
    </row>
    <row r="9513" spans="9:10" x14ac:dyDescent="0.35">
      <c r="I9513" s="63"/>
      <c r="J9513" s="63"/>
    </row>
    <row r="9514" spans="9:10" x14ac:dyDescent="0.35">
      <c r="I9514" s="63"/>
      <c r="J9514" s="63"/>
    </row>
    <row r="9515" spans="9:10" x14ac:dyDescent="0.35">
      <c r="I9515" s="63"/>
      <c r="J9515" s="63"/>
    </row>
    <row r="9516" spans="9:10" x14ac:dyDescent="0.35">
      <c r="I9516" s="63"/>
      <c r="J9516" s="63"/>
    </row>
    <row r="9517" spans="9:10" x14ac:dyDescent="0.35">
      <c r="I9517" s="63"/>
      <c r="J9517" s="63"/>
    </row>
    <row r="9518" spans="9:10" x14ac:dyDescent="0.35">
      <c r="I9518" s="63"/>
      <c r="J9518" s="63"/>
    </row>
    <row r="9519" spans="9:10" x14ac:dyDescent="0.35">
      <c r="I9519" s="63"/>
      <c r="J9519" s="63"/>
    </row>
    <row r="9520" spans="9:10" x14ac:dyDescent="0.35">
      <c r="I9520" s="63"/>
      <c r="J9520" s="63"/>
    </row>
    <row r="9521" spans="9:10" x14ac:dyDescent="0.35">
      <c r="I9521" s="63"/>
      <c r="J9521" s="63"/>
    </row>
    <row r="9522" spans="9:10" x14ac:dyDescent="0.35">
      <c r="I9522" s="63"/>
      <c r="J9522" s="63"/>
    </row>
    <row r="9523" spans="9:10" x14ac:dyDescent="0.35">
      <c r="I9523" s="63"/>
      <c r="J9523" s="63"/>
    </row>
    <row r="9524" spans="9:10" x14ac:dyDescent="0.35">
      <c r="I9524" s="63"/>
      <c r="J9524" s="63"/>
    </row>
    <row r="9525" spans="9:10" x14ac:dyDescent="0.35">
      <c r="I9525" s="63"/>
      <c r="J9525" s="63"/>
    </row>
    <row r="9526" spans="9:10" x14ac:dyDescent="0.35">
      <c r="I9526" s="63"/>
      <c r="J9526" s="63"/>
    </row>
    <row r="9527" spans="9:10" x14ac:dyDescent="0.35">
      <c r="I9527" s="63"/>
      <c r="J9527" s="63"/>
    </row>
    <row r="9528" spans="9:10" x14ac:dyDescent="0.35">
      <c r="I9528" s="63"/>
      <c r="J9528" s="63"/>
    </row>
    <row r="9529" spans="9:10" x14ac:dyDescent="0.35">
      <c r="I9529" s="63"/>
      <c r="J9529" s="63"/>
    </row>
    <row r="9530" spans="9:10" x14ac:dyDescent="0.35">
      <c r="I9530" s="63"/>
      <c r="J9530" s="63"/>
    </row>
    <row r="9531" spans="9:10" x14ac:dyDescent="0.35">
      <c r="I9531" s="63"/>
      <c r="J9531" s="63"/>
    </row>
    <row r="9532" spans="9:10" x14ac:dyDescent="0.35">
      <c r="I9532" s="63"/>
      <c r="J9532" s="63"/>
    </row>
    <row r="9533" spans="9:10" x14ac:dyDescent="0.35">
      <c r="I9533" s="63"/>
      <c r="J9533" s="63"/>
    </row>
    <row r="9534" spans="9:10" x14ac:dyDescent="0.35">
      <c r="I9534" s="63"/>
      <c r="J9534" s="63"/>
    </row>
    <row r="9535" spans="9:10" x14ac:dyDescent="0.35">
      <c r="I9535" s="63"/>
      <c r="J9535" s="63"/>
    </row>
    <row r="9536" spans="9:10" x14ac:dyDescent="0.35">
      <c r="I9536" s="63"/>
      <c r="J9536" s="63"/>
    </row>
    <row r="9537" spans="9:10" x14ac:dyDescent="0.35">
      <c r="I9537" s="63"/>
      <c r="J9537" s="63"/>
    </row>
    <row r="9538" spans="9:10" x14ac:dyDescent="0.35">
      <c r="I9538" s="63"/>
      <c r="J9538" s="63"/>
    </row>
    <row r="9539" spans="9:10" x14ac:dyDescent="0.35">
      <c r="I9539" s="63"/>
      <c r="J9539" s="63"/>
    </row>
    <row r="9540" spans="9:10" x14ac:dyDescent="0.35">
      <c r="I9540" s="63"/>
      <c r="J9540" s="63"/>
    </row>
    <row r="9541" spans="9:10" x14ac:dyDescent="0.35">
      <c r="I9541" s="63"/>
      <c r="J9541" s="63"/>
    </row>
    <row r="9542" spans="9:10" x14ac:dyDescent="0.35">
      <c r="I9542" s="63"/>
      <c r="J9542" s="63"/>
    </row>
    <row r="9543" spans="9:10" x14ac:dyDescent="0.35">
      <c r="I9543" s="63"/>
      <c r="J9543" s="63"/>
    </row>
    <row r="9544" spans="9:10" x14ac:dyDescent="0.35">
      <c r="I9544" s="63"/>
      <c r="J9544" s="63"/>
    </row>
    <row r="9545" spans="9:10" x14ac:dyDescent="0.35">
      <c r="I9545" s="63"/>
      <c r="J9545" s="63"/>
    </row>
    <row r="9546" spans="9:10" x14ac:dyDescent="0.35">
      <c r="I9546" s="63"/>
      <c r="J9546" s="63"/>
    </row>
    <row r="9547" spans="9:10" x14ac:dyDescent="0.35">
      <c r="I9547" s="63"/>
      <c r="J9547" s="63"/>
    </row>
    <row r="9548" spans="9:10" x14ac:dyDescent="0.35">
      <c r="I9548" s="63"/>
      <c r="J9548" s="63"/>
    </row>
    <row r="9549" spans="9:10" x14ac:dyDescent="0.35">
      <c r="I9549" s="63"/>
      <c r="J9549" s="63"/>
    </row>
    <row r="9550" spans="9:10" x14ac:dyDescent="0.35">
      <c r="I9550" s="63"/>
      <c r="J9550" s="63"/>
    </row>
    <row r="9551" spans="9:10" x14ac:dyDescent="0.35">
      <c r="I9551" s="63"/>
      <c r="J9551" s="63"/>
    </row>
    <row r="9552" spans="9:10" x14ac:dyDescent="0.35">
      <c r="I9552" s="63"/>
      <c r="J9552" s="63"/>
    </row>
    <row r="9553" spans="9:10" x14ac:dyDescent="0.35">
      <c r="I9553" s="63"/>
      <c r="J9553" s="63"/>
    </row>
    <row r="9554" spans="9:10" x14ac:dyDescent="0.35">
      <c r="I9554" s="63"/>
      <c r="J9554" s="63"/>
    </row>
    <row r="9555" spans="9:10" x14ac:dyDescent="0.35">
      <c r="I9555" s="63"/>
      <c r="J9555" s="63"/>
    </row>
    <row r="9556" spans="9:10" x14ac:dyDescent="0.35">
      <c r="I9556" s="63"/>
      <c r="J9556" s="63"/>
    </row>
    <row r="9557" spans="9:10" x14ac:dyDescent="0.35">
      <c r="I9557" s="63"/>
      <c r="J9557" s="63"/>
    </row>
    <row r="9558" spans="9:10" x14ac:dyDescent="0.35">
      <c r="I9558" s="63"/>
      <c r="J9558" s="63"/>
    </row>
    <row r="9559" spans="9:10" x14ac:dyDescent="0.35">
      <c r="I9559" s="63"/>
      <c r="J9559" s="63"/>
    </row>
    <row r="9560" spans="9:10" x14ac:dyDescent="0.35">
      <c r="I9560" s="63"/>
      <c r="J9560" s="63"/>
    </row>
    <row r="9561" spans="9:10" x14ac:dyDescent="0.35">
      <c r="I9561" s="63"/>
      <c r="J9561" s="63"/>
    </row>
    <row r="9562" spans="9:10" x14ac:dyDescent="0.35">
      <c r="I9562" s="63"/>
      <c r="J9562" s="63"/>
    </row>
    <row r="9563" spans="9:10" x14ac:dyDescent="0.35">
      <c r="I9563" s="63"/>
      <c r="J9563" s="63"/>
    </row>
    <row r="9564" spans="9:10" x14ac:dyDescent="0.35">
      <c r="I9564" s="63"/>
      <c r="J9564" s="63"/>
    </row>
    <row r="9565" spans="9:10" x14ac:dyDescent="0.35">
      <c r="I9565" s="63"/>
      <c r="J9565" s="63"/>
    </row>
    <row r="9566" spans="9:10" x14ac:dyDescent="0.35">
      <c r="I9566" s="63"/>
      <c r="J9566" s="63"/>
    </row>
    <row r="9567" spans="9:10" x14ac:dyDescent="0.35">
      <c r="I9567" s="63"/>
      <c r="J9567" s="63"/>
    </row>
    <row r="9568" spans="9:10" x14ac:dyDescent="0.35">
      <c r="I9568" s="63"/>
      <c r="J9568" s="63"/>
    </row>
    <row r="9569" spans="9:10" x14ac:dyDescent="0.35">
      <c r="I9569" s="63"/>
      <c r="J9569" s="63"/>
    </row>
    <row r="9570" spans="9:10" x14ac:dyDescent="0.35">
      <c r="I9570" s="63"/>
      <c r="J9570" s="63"/>
    </row>
    <row r="9571" spans="9:10" x14ac:dyDescent="0.35">
      <c r="I9571" s="63"/>
      <c r="J9571" s="63"/>
    </row>
    <row r="9572" spans="9:10" x14ac:dyDescent="0.35">
      <c r="I9572" s="63"/>
      <c r="J9572" s="63"/>
    </row>
    <row r="9573" spans="9:10" x14ac:dyDescent="0.35">
      <c r="I9573" s="63"/>
      <c r="J9573" s="63"/>
    </row>
    <row r="9574" spans="9:10" x14ac:dyDescent="0.35">
      <c r="I9574" s="63"/>
      <c r="J9574" s="63"/>
    </row>
    <row r="9575" spans="9:10" x14ac:dyDescent="0.35">
      <c r="I9575" s="63"/>
      <c r="J9575" s="63"/>
    </row>
    <row r="9576" spans="9:10" x14ac:dyDescent="0.35">
      <c r="I9576" s="63"/>
      <c r="J9576" s="63"/>
    </row>
    <row r="9577" spans="9:10" x14ac:dyDescent="0.35">
      <c r="I9577" s="63"/>
      <c r="J9577" s="63"/>
    </row>
    <row r="9578" spans="9:10" x14ac:dyDescent="0.35">
      <c r="I9578" s="63"/>
      <c r="J9578" s="63"/>
    </row>
    <row r="9579" spans="9:10" x14ac:dyDescent="0.35">
      <c r="I9579" s="63"/>
      <c r="J9579" s="63"/>
    </row>
    <row r="9580" spans="9:10" x14ac:dyDescent="0.35">
      <c r="I9580" s="63"/>
      <c r="J9580" s="63"/>
    </row>
    <row r="9581" spans="9:10" x14ac:dyDescent="0.35">
      <c r="I9581" s="63"/>
      <c r="J9581" s="63"/>
    </row>
    <row r="9582" spans="9:10" x14ac:dyDescent="0.35">
      <c r="I9582" s="63"/>
      <c r="J9582" s="63"/>
    </row>
    <row r="9583" spans="9:10" x14ac:dyDescent="0.35">
      <c r="I9583" s="63"/>
      <c r="J9583" s="63"/>
    </row>
    <row r="9584" spans="9:10" x14ac:dyDescent="0.35">
      <c r="I9584" s="63"/>
      <c r="J9584" s="63"/>
    </row>
    <row r="9585" spans="9:10" x14ac:dyDescent="0.35">
      <c r="I9585" s="63"/>
      <c r="J9585" s="63"/>
    </row>
    <row r="9586" spans="9:10" x14ac:dyDescent="0.35">
      <c r="I9586" s="63"/>
      <c r="J9586" s="63"/>
    </row>
    <row r="9587" spans="9:10" x14ac:dyDescent="0.35">
      <c r="I9587" s="63"/>
      <c r="J9587" s="63"/>
    </row>
    <row r="9588" spans="9:10" x14ac:dyDescent="0.35">
      <c r="I9588" s="63"/>
      <c r="J9588" s="63"/>
    </row>
    <row r="9589" spans="9:10" x14ac:dyDescent="0.35">
      <c r="I9589" s="63"/>
      <c r="J9589" s="63"/>
    </row>
    <row r="9590" spans="9:10" x14ac:dyDescent="0.35">
      <c r="I9590" s="63"/>
      <c r="J9590" s="63"/>
    </row>
    <row r="9591" spans="9:10" x14ac:dyDescent="0.35">
      <c r="I9591" s="63"/>
      <c r="J9591" s="63"/>
    </row>
    <row r="9592" spans="9:10" x14ac:dyDescent="0.35">
      <c r="I9592" s="63"/>
      <c r="J9592" s="63"/>
    </row>
    <row r="9593" spans="9:10" x14ac:dyDescent="0.35">
      <c r="I9593" s="63"/>
      <c r="J9593" s="63"/>
    </row>
    <row r="9594" spans="9:10" x14ac:dyDescent="0.35">
      <c r="I9594" s="63"/>
      <c r="J9594" s="63"/>
    </row>
    <row r="9595" spans="9:10" x14ac:dyDescent="0.35">
      <c r="I9595" s="63"/>
      <c r="J9595" s="63"/>
    </row>
    <row r="9596" spans="9:10" x14ac:dyDescent="0.35">
      <c r="I9596" s="63"/>
      <c r="J9596" s="63"/>
    </row>
    <row r="9597" spans="9:10" x14ac:dyDescent="0.35">
      <c r="I9597" s="63"/>
      <c r="J9597" s="63"/>
    </row>
    <row r="9598" spans="9:10" x14ac:dyDescent="0.35">
      <c r="I9598" s="63"/>
      <c r="J9598" s="63"/>
    </row>
    <row r="9599" spans="9:10" x14ac:dyDescent="0.35">
      <c r="I9599" s="63"/>
      <c r="J9599" s="63"/>
    </row>
    <row r="9600" spans="9:10" x14ac:dyDescent="0.35">
      <c r="I9600" s="63"/>
      <c r="J9600" s="63"/>
    </row>
    <row r="9601" spans="9:10" x14ac:dyDescent="0.35">
      <c r="I9601" s="63"/>
      <c r="J9601" s="63"/>
    </row>
    <row r="9602" spans="9:10" x14ac:dyDescent="0.35">
      <c r="I9602" s="63"/>
      <c r="J9602" s="63"/>
    </row>
    <row r="9603" spans="9:10" x14ac:dyDescent="0.35">
      <c r="I9603" s="63"/>
      <c r="J9603" s="63"/>
    </row>
    <row r="9604" spans="9:10" x14ac:dyDescent="0.35">
      <c r="I9604" s="63"/>
      <c r="J9604" s="63"/>
    </row>
    <row r="9605" spans="9:10" x14ac:dyDescent="0.35">
      <c r="I9605" s="63"/>
      <c r="J9605" s="63"/>
    </row>
    <row r="9606" spans="9:10" x14ac:dyDescent="0.35">
      <c r="I9606" s="63"/>
      <c r="J9606" s="63"/>
    </row>
    <row r="9607" spans="9:10" x14ac:dyDescent="0.35">
      <c r="I9607" s="63"/>
      <c r="J9607" s="63"/>
    </row>
    <row r="9608" spans="9:10" x14ac:dyDescent="0.35">
      <c r="I9608" s="63"/>
      <c r="J9608" s="63"/>
    </row>
    <row r="9609" spans="9:10" x14ac:dyDescent="0.35">
      <c r="I9609" s="63"/>
      <c r="J9609" s="63"/>
    </row>
    <row r="9610" spans="9:10" x14ac:dyDescent="0.35">
      <c r="I9610" s="63"/>
      <c r="J9610" s="63"/>
    </row>
    <row r="9611" spans="9:10" x14ac:dyDescent="0.35">
      <c r="I9611" s="63"/>
      <c r="J9611" s="63"/>
    </row>
    <row r="9612" spans="9:10" x14ac:dyDescent="0.35">
      <c r="I9612" s="63"/>
      <c r="J9612" s="63"/>
    </row>
    <row r="9613" spans="9:10" x14ac:dyDescent="0.35">
      <c r="I9613" s="63"/>
      <c r="J9613" s="63"/>
    </row>
    <row r="9614" spans="9:10" x14ac:dyDescent="0.35">
      <c r="I9614" s="63"/>
      <c r="J9614" s="63"/>
    </row>
    <row r="9615" spans="9:10" x14ac:dyDescent="0.35">
      <c r="I9615" s="63"/>
      <c r="J9615" s="63"/>
    </row>
    <row r="9616" spans="9:10" x14ac:dyDescent="0.35">
      <c r="I9616" s="63"/>
      <c r="J9616" s="63"/>
    </row>
    <row r="9617" spans="9:10" x14ac:dyDescent="0.35">
      <c r="I9617" s="63"/>
      <c r="J9617" s="63"/>
    </row>
    <row r="9618" spans="9:10" x14ac:dyDescent="0.35">
      <c r="I9618" s="63"/>
      <c r="J9618" s="63"/>
    </row>
    <row r="9619" spans="9:10" x14ac:dyDescent="0.35">
      <c r="I9619" s="63"/>
      <c r="J9619" s="63"/>
    </row>
    <row r="9620" spans="9:10" x14ac:dyDescent="0.35">
      <c r="I9620" s="63"/>
      <c r="J9620" s="63"/>
    </row>
    <row r="9621" spans="9:10" x14ac:dyDescent="0.35">
      <c r="I9621" s="63"/>
      <c r="J9621" s="63"/>
    </row>
    <row r="9622" spans="9:10" x14ac:dyDescent="0.35">
      <c r="I9622" s="63"/>
      <c r="J9622" s="63"/>
    </row>
    <row r="9623" spans="9:10" x14ac:dyDescent="0.35">
      <c r="I9623" s="63"/>
      <c r="J9623" s="63"/>
    </row>
    <row r="9624" spans="9:10" x14ac:dyDescent="0.35">
      <c r="I9624" s="63"/>
      <c r="J9624" s="63"/>
    </row>
    <row r="9625" spans="9:10" x14ac:dyDescent="0.35">
      <c r="I9625" s="63"/>
      <c r="J9625" s="63"/>
    </row>
    <row r="9626" spans="9:10" x14ac:dyDescent="0.35">
      <c r="I9626" s="63"/>
      <c r="J9626" s="63"/>
    </row>
    <row r="9627" spans="9:10" x14ac:dyDescent="0.35">
      <c r="I9627" s="63"/>
      <c r="J9627" s="63"/>
    </row>
    <row r="9628" spans="9:10" x14ac:dyDescent="0.35">
      <c r="I9628" s="63"/>
      <c r="J9628" s="63"/>
    </row>
    <row r="9629" spans="9:10" x14ac:dyDescent="0.35">
      <c r="I9629" s="63"/>
      <c r="J9629" s="63"/>
    </row>
    <row r="9630" spans="9:10" x14ac:dyDescent="0.35">
      <c r="I9630" s="63"/>
      <c r="J9630" s="63"/>
    </row>
    <row r="9631" spans="9:10" x14ac:dyDescent="0.35">
      <c r="I9631" s="63"/>
      <c r="J9631" s="63"/>
    </row>
    <row r="9632" spans="9:10" x14ac:dyDescent="0.35">
      <c r="I9632" s="63"/>
      <c r="J9632" s="63"/>
    </row>
    <row r="9633" spans="9:10" x14ac:dyDescent="0.35">
      <c r="I9633" s="63"/>
      <c r="J9633" s="63"/>
    </row>
    <row r="9634" spans="9:10" x14ac:dyDescent="0.35">
      <c r="I9634" s="63"/>
      <c r="J9634" s="63"/>
    </row>
    <row r="9635" spans="9:10" x14ac:dyDescent="0.35">
      <c r="I9635" s="63"/>
      <c r="J9635" s="63"/>
    </row>
    <row r="9636" spans="9:10" x14ac:dyDescent="0.35">
      <c r="I9636" s="63"/>
      <c r="J9636" s="63"/>
    </row>
    <row r="9637" spans="9:10" x14ac:dyDescent="0.35">
      <c r="I9637" s="63"/>
      <c r="J9637" s="63"/>
    </row>
    <row r="9638" spans="9:10" x14ac:dyDescent="0.35">
      <c r="I9638" s="63"/>
      <c r="J9638" s="63"/>
    </row>
    <row r="9639" spans="9:10" x14ac:dyDescent="0.35">
      <c r="I9639" s="63"/>
      <c r="J9639" s="63"/>
    </row>
    <row r="9640" spans="9:10" x14ac:dyDescent="0.35">
      <c r="I9640" s="63"/>
      <c r="J9640" s="63"/>
    </row>
    <row r="9641" spans="9:10" x14ac:dyDescent="0.35">
      <c r="I9641" s="63"/>
      <c r="J9641" s="63"/>
    </row>
    <row r="9642" spans="9:10" x14ac:dyDescent="0.35">
      <c r="I9642" s="63"/>
      <c r="J9642" s="63"/>
    </row>
    <row r="9643" spans="9:10" x14ac:dyDescent="0.35">
      <c r="I9643" s="63"/>
      <c r="J9643" s="63"/>
    </row>
    <row r="9644" spans="9:10" x14ac:dyDescent="0.35">
      <c r="I9644" s="63"/>
      <c r="J9644" s="63"/>
    </row>
    <row r="9645" spans="9:10" x14ac:dyDescent="0.35">
      <c r="I9645" s="63"/>
      <c r="J9645" s="63"/>
    </row>
    <row r="9646" spans="9:10" x14ac:dyDescent="0.35">
      <c r="I9646" s="63"/>
      <c r="J9646" s="63"/>
    </row>
    <row r="9647" spans="9:10" x14ac:dyDescent="0.35">
      <c r="I9647" s="63"/>
      <c r="J9647" s="63"/>
    </row>
    <row r="9648" spans="9:10" x14ac:dyDescent="0.35">
      <c r="I9648" s="63"/>
      <c r="J9648" s="63"/>
    </row>
    <row r="9649" spans="9:10" x14ac:dyDescent="0.35">
      <c r="I9649" s="63"/>
      <c r="J9649" s="63"/>
    </row>
    <row r="9650" spans="9:10" x14ac:dyDescent="0.35">
      <c r="I9650" s="63"/>
      <c r="J9650" s="63"/>
    </row>
    <row r="9651" spans="9:10" x14ac:dyDescent="0.35">
      <c r="I9651" s="63"/>
      <c r="J9651" s="63"/>
    </row>
    <row r="9652" spans="9:10" x14ac:dyDescent="0.35">
      <c r="I9652" s="63"/>
      <c r="J9652" s="63"/>
    </row>
    <row r="9653" spans="9:10" x14ac:dyDescent="0.35">
      <c r="I9653" s="63"/>
      <c r="J9653" s="63"/>
    </row>
    <row r="9654" spans="9:10" x14ac:dyDescent="0.35">
      <c r="I9654" s="63"/>
      <c r="J9654" s="63"/>
    </row>
    <row r="9655" spans="9:10" x14ac:dyDescent="0.35">
      <c r="I9655" s="63"/>
      <c r="J9655" s="63"/>
    </row>
    <row r="9656" spans="9:10" x14ac:dyDescent="0.35">
      <c r="I9656" s="63"/>
      <c r="J9656" s="63"/>
    </row>
    <row r="9657" spans="9:10" x14ac:dyDescent="0.35">
      <c r="I9657" s="63"/>
      <c r="J9657" s="63"/>
    </row>
    <row r="9658" spans="9:10" x14ac:dyDescent="0.35">
      <c r="I9658" s="63"/>
      <c r="J9658" s="63"/>
    </row>
    <row r="9659" spans="9:10" x14ac:dyDescent="0.35">
      <c r="I9659" s="63"/>
      <c r="J9659" s="63"/>
    </row>
    <row r="9660" spans="9:10" x14ac:dyDescent="0.35">
      <c r="I9660" s="63"/>
      <c r="J9660" s="63"/>
    </row>
    <row r="9661" spans="9:10" x14ac:dyDescent="0.35">
      <c r="I9661" s="63"/>
      <c r="J9661" s="63"/>
    </row>
    <row r="9662" spans="9:10" x14ac:dyDescent="0.35">
      <c r="I9662" s="63"/>
      <c r="J9662" s="63"/>
    </row>
    <row r="9663" spans="9:10" x14ac:dyDescent="0.35">
      <c r="I9663" s="63"/>
      <c r="J9663" s="63"/>
    </row>
    <row r="9664" spans="9:10" x14ac:dyDescent="0.35">
      <c r="I9664" s="63"/>
      <c r="J9664" s="63"/>
    </row>
    <row r="9665" spans="9:10" x14ac:dyDescent="0.35">
      <c r="I9665" s="63"/>
      <c r="J9665" s="63"/>
    </row>
    <row r="9666" spans="9:10" x14ac:dyDescent="0.35">
      <c r="I9666" s="63"/>
      <c r="J9666" s="63"/>
    </row>
    <row r="9667" spans="9:10" x14ac:dyDescent="0.35">
      <c r="I9667" s="63"/>
      <c r="J9667" s="63"/>
    </row>
    <row r="9668" spans="9:10" x14ac:dyDescent="0.35">
      <c r="I9668" s="63"/>
      <c r="J9668" s="63"/>
    </row>
    <row r="9669" spans="9:10" x14ac:dyDescent="0.35">
      <c r="I9669" s="63"/>
      <c r="J9669" s="63"/>
    </row>
    <row r="9670" spans="9:10" x14ac:dyDescent="0.35">
      <c r="I9670" s="63"/>
      <c r="J9670" s="63"/>
    </row>
    <row r="9671" spans="9:10" x14ac:dyDescent="0.35">
      <c r="I9671" s="63"/>
      <c r="J9671" s="63"/>
    </row>
    <row r="9672" spans="9:10" x14ac:dyDescent="0.35">
      <c r="I9672" s="63"/>
      <c r="J9672" s="63"/>
    </row>
    <row r="9673" spans="9:10" x14ac:dyDescent="0.35">
      <c r="I9673" s="63"/>
      <c r="J9673" s="63"/>
    </row>
    <row r="9674" spans="9:10" x14ac:dyDescent="0.35">
      <c r="I9674" s="63"/>
      <c r="J9674" s="63"/>
    </row>
    <row r="9675" spans="9:10" x14ac:dyDescent="0.35">
      <c r="I9675" s="63"/>
      <c r="J9675" s="63"/>
    </row>
    <row r="9676" spans="9:10" x14ac:dyDescent="0.35">
      <c r="I9676" s="63"/>
      <c r="J9676" s="63"/>
    </row>
    <row r="9677" spans="9:10" x14ac:dyDescent="0.35">
      <c r="I9677" s="63"/>
      <c r="J9677" s="63"/>
    </row>
    <row r="9678" spans="9:10" x14ac:dyDescent="0.35">
      <c r="I9678" s="63"/>
      <c r="J9678" s="63"/>
    </row>
    <row r="9679" spans="9:10" x14ac:dyDescent="0.35">
      <c r="I9679" s="63"/>
      <c r="J9679" s="63"/>
    </row>
    <row r="9680" spans="9:10" x14ac:dyDescent="0.35">
      <c r="I9680" s="63"/>
      <c r="J9680" s="63"/>
    </row>
    <row r="9681" spans="9:10" x14ac:dyDescent="0.35">
      <c r="I9681" s="63"/>
      <c r="J9681" s="63"/>
    </row>
    <row r="9682" spans="9:10" x14ac:dyDescent="0.35">
      <c r="I9682" s="63"/>
      <c r="J9682" s="63"/>
    </row>
    <row r="9683" spans="9:10" x14ac:dyDescent="0.35">
      <c r="I9683" s="63"/>
      <c r="J9683" s="63"/>
    </row>
    <row r="9684" spans="9:10" x14ac:dyDescent="0.35">
      <c r="I9684" s="63"/>
      <c r="J9684" s="63"/>
    </row>
    <row r="9685" spans="9:10" x14ac:dyDescent="0.35">
      <c r="I9685" s="63"/>
      <c r="J9685" s="63"/>
    </row>
    <row r="9686" spans="9:10" x14ac:dyDescent="0.35">
      <c r="I9686" s="63"/>
      <c r="J9686" s="63"/>
    </row>
    <row r="9687" spans="9:10" x14ac:dyDescent="0.35">
      <c r="I9687" s="63"/>
      <c r="J9687" s="63"/>
    </row>
    <row r="9688" spans="9:10" x14ac:dyDescent="0.35">
      <c r="I9688" s="63"/>
      <c r="J9688" s="63"/>
    </row>
    <row r="9689" spans="9:10" x14ac:dyDescent="0.35">
      <c r="I9689" s="63"/>
      <c r="J9689" s="63"/>
    </row>
    <row r="9690" spans="9:10" x14ac:dyDescent="0.35">
      <c r="I9690" s="63"/>
      <c r="J9690" s="63"/>
    </row>
    <row r="9691" spans="9:10" x14ac:dyDescent="0.35">
      <c r="I9691" s="63"/>
      <c r="J9691" s="63"/>
    </row>
    <row r="9692" spans="9:10" x14ac:dyDescent="0.35">
      <c r="I9692" s="63"/>
      <c r="J9692" s="63"/>
    </row>
    <row r="9693" spans="9:10" x14ac:dyDescent="0.35">
      <c r="I9693" s="63"/>
      <c r="J9693" s="63"/>
    </row>
    <row r="9694" spans="9:10" x14ac:dyDescent="0.35">
      <c r="I9694" s="63"/>
      <c r="J9694" s="63"/>
    </row>
    <row r="9695" spans="9:10" x14ac:dyDescent="0.35">
      <c r="I9695" s="63"/>
      <c r="J9695" s="63"/>
    </row>
    <row r="9696" spans="9:10" x14ac:dyDescent="0.35">
      <c r="I9696" s="63"/>
      <c r="J9696" s="63"/>
    </row>
    <row r="9697" spans="9:10" x14ac:dyDescent="0.35">
      <c r="I9697" s="63"/>
      <c r="J9697" s="63"/>
    </row>
    <row r="9698" spans="9:10" x14ac:dyDescent="0.35">
      <c r="I9698" s="63"/>
      <c r="J9698" s="63"/>
    </row>
    <row r="9699" spans="9:10" x14ac:dyDescent="0.35">
      <c r="I9699" s="63"/>
      <c r="J9699" s="63"/>
    </row>
    <row r="9700" spans="9:10" x14ac:dyDescent="0.35">
      <c r="I9700" s="63"/>
      <c r="J9700" s="63"/>
    </row>
    <row r="9701" spans="9:10" x14ac:dyDescent="0.35">
      <c r="I9701" s="63"/>
      <c r="J9701" s="63"/>
    </row>
    <row r="9702" spans="9:10" x14ac:dyDescent="0.35">
      <c r="I9702" s="63"/>
      <c r="J9702" s="63"/>
    </row>
    <row r="9703" spans="9:10" x14ac:dyDescent="0.35">
      <c r="I9703" s="63"/>
      <c r="J9703" s="63"/>
    </row>
    <row r="9704" spans="9:10" x14ac:dyDescent="0.35">
      <c r="I9704" s="63"/>
      <c r="J9704" s="63"/>
    </row>
    <row r="9705" spans="9:10" x14ac:dyDescent="0.35">
      <c r="I9705" s="63"/>
      <c r="J9705" s="63"/>
    </row>
    <row r="9706" spans="9:10" x14ac:dyDescent="0.35">
      <c r="I9706" s="63"/>
      <c r="J9706" s="63"/>
    </row>
    <row r="9707" spans="9:10" x14ac:dyDescent="0.35">
      <c r="I9707" s="63"/>
      <c r="J9707" s="63"/>
    </row>
    <row r="9708" spans="9:10" x14ac:dyDescent="0.35">
      <c r="I9708" s="63"/>
      <c r="J9708" s="63"/>
    </row>
    <row r="9709" spans="9:10" x14ac:dyDescent="0.35">
      <c r="I9709" s="63"/>
      <c r="J9709" s="63"/>
    </row>
    <row r="9710" spans="9:10" x14ac:dyDescent="0.35">
      <c r="I9710" s="63"/>
      <c r="J9710" s="63"/>
    </row>
    <row r="9711" spans="9:10" x14ac:dyDescent="0.35">
      <c r="I9711" s="63"/>
      <c r="J9711" s="63"/>
    </row>
    <row r="9712" spans="9:10" x14ac:dyDescent="0.35">
      <c r="I9712" s="63"/>
      <c r="J9712" s="63"/>
    </row>
    <row r="9713" spans="9:10" x14ac:dyDescent="0.35">
      <c r="I9713" s="63"/>
      <c r="J9713" s="63"/>
    </row>
    <row r="9714" spans="9:10" x14ac:dyDescent="0.35">
      <c r="I9714" s="63"/>
      <c r="J9714" s="63"/>
    </row>
    <row r="9715" spans="9:10" x14ac:dyDescent="0.35">
      <c r="I9715" s="63"/>
      <c r="J9715" s="63"/>
    </row>
    <row r="9716" spans="9:10" x14ac:dyDescent="0.35">
      <c r="I9716" s="63"/>
      <c r="J9716" s="63"/>
    </row>
    <row r="9717" spans="9:10" x14ac:dyDescent="0.35">
      <c r="I9717" s="63"/>
      <c r="J9717" s="63"/>
    </row>
    <row r="9718" spans="9:10" x14ac:dyDescent="0.35">
      <c r="I9718" s="63"/>
      <c r="J9718" s="63"/>
    </row>
    <row r="9719" spans="9:10" x14ac:dyDescent="0.35">
      <c r="I9719" s="63"/>
      <c r="J9719" s="63"/>
    </row>
    <row r="9720" spans="9:10" x14ac:dyDescent="0.35">
      <c r="I9720" s="63"/>
      <c r="J9720" s="63"/>
    </row>
    <row r="9721" spans="9:10" x14ac:dyDescent="0.35">
      <c r="I9721" s="63"/>
      <c r="J9721" s="63"/>
    </row>
    <row r="9722" spans="9:10" x14ac:dyDescent="0.35">
      <c r="I9722" s="63"/>
      <c r="J9722" s="63"/>
    </row>
    <row r="9723" spans="9:10" x14ac:dyDescent="0.35">
      <c r="I9723" s="63"/>
      <c r="J9723" s="63"/>
    </row>
    <row r="9724" spans="9:10" x14ac:dyDescent="0.35">
      <c r="I9724" s="63"/>
      <c r="J9724" s="63"/>
    </row>
    <row r="9725" spans="9:10" x14ac:dyDescent="0.35">
      <c r="I9725" s="63"/>
      <c r="J9725" s="63"/>
    </row>
    <row r="9726" spans="9:10" x14ac:dyDescent="0.35">
      <c r="I9726" s="63"/>
      <c r="J9726" s="63"/>
    </row>
    <row r="9727" spans="9:10" x14ac:dyDescent="0.35">
      <c r="I9727" s="63"/>
      <c r="J9727" s="63"/>
    </row>
    <row r="9728" spans="9:10" x14ac:dyDescent="0.35">
      <c r="I9728" s="63"/>
      <c r="J9728" s="63"/>
    </row>
    <row r="9729" spans="9:10" x14ac:dyDescent="0.35">
      <c r="I9729" s="63"/>
      <c r="J9729" s="63"/>
    </row>
    <row r="9730" spans="9:10" x14ac:dyDescent="0.35">
      <c r="I9730" s="63"/>
      <c r="J9730" s="63"/>
    </row>
    <row r="9731" spans="9:10" x14ac:dyDescent="0.35">
      <c r="I9731" s="63"/>
      <c r="J9731" s="63"/>
    </row>
    <row r="9732" spans="9:10" x14ac:dyDescent="0.35">
      <c r="I9732" s="63"/>
      <c r="J9732" s="63"/>
    </row>
    <row r="9733" spans="9:10" x14ac:dyDescent="0.35">
      <c r="I9733" s="63"/>
      <c r="J9733" s="63"/>
    </row>
    <row r="9734" spans="9:10" x14ac:dyDescent="0.35">
      <c r="I9734" s="63"/>
      <c r="J9734" s="63"/>
    </row>
    <row r="9735" spans="9:10" x14ac:dyDescent="0.35">
      <c r="I9735" s="63"/>
      <c r="J9735" s="63"/>
    </row>
    <row r="9736" spans="9:10" x14ac:dyDescent="0.35">
      <c r="I9736" s="63"/>
      <c r="J9736" s="63"/>
    </row>
    <row r="9737" spans="9:10" x14ac:dyDescent="0.35">
      <c r="I9737" s="63"/>
      <c r="J9737" s="63"/>
    </row>
    <row r="9738" spans="9:10" x14ac:dyDescent="0.35">
      <c r="I9738" s="63"/>
      <c r="J9738" s="63"/>
    </row>
    <row r="9739" spans="9:10" x14ac:dyDescent="0.35">
      <c r="I9739" s="63"/>
      <c r="J9739" s="63"/>
    </row>
    <row r="9740" spans="9:10" x14ac:dyDescent="0.35">
      <c r="I9740" s="63"/>
      <c r="J9740" s="63"/>
    </row>
    <row r="9741" spans="9:10" x14ac:dyDescent="0.35">
      <c r="I9741" s="63"/>
      <c r="J9741" s="63"/>
    </row>
    <row r="9742" spans="9:10" x14ac:dyDescent="0.35">
      <c r="I9742" s="63"/>
      <c r="J9742" s="63"/>
    </row>
    <row r="9743" spans="9:10" x14ac:dyDescent="0.35">
      <c r="I9743" s="63"/>
      <c r="J9743" s="63"/>
    </row>
    <row r="9744" spans="9:10" x14ac:dyDescent="0.35">
      <c r="I9744" s="63"/>
      <c r="J9744" s="63"/>
    </row>
    <row r="9745" spans="9:10" x14ac:dyDescent="0.35">
      <c r="I9745" s="63"/>
      <c r="J9745" s="63"/>
    </row>
    <row r="9746" spans="9:10" x14ac:dyDescent="0.35">
      <c r="I9746" s="63"/>
      <c r="J9746" s="63"/>
    </row>
    <row r="9747" spans="9:10" x14ac:dyDescent="0.35">
      <c r="I9747" s="63"/>
      <c r="J9747" s="63"/>
    </row>
    <row r="9748" spans="9:10" x14ac:dyDescent="0.35">
      <c r="I9748" s="63"/>
      <c r="J9748" s="63"/>
    </row>
    <row r="9749" spans="9:10" x14ac:dyDescent="0.35">
      <c r="I9749" s="63"/>
      <c r="J9749" s="63"/>
    </row>
    <row r="9750" spans="9:10" x14ac:dyDescent="0.35">
      <c r="I9750" s="63"/>
      <c r="J9750" s="63"/>
    </row>
    <row r="9751" spans="9:10" x14ac:dyDescent="0.35">
      <c r="I9751" s="63"/>
      <c r="J9751" s="63"/>
    </row>
    <row r="9752" spans="9:10" x14ac:dyDescent="0.35">
      <c r="I9752" s="63"/>
      <c r="J9752" s="63"/>
    </row>
    <row r="9753" spans="9:10" x14ac:dyDescent="0.35">
      <c r="I9753" s="63"/>
      <c r="J9753" s="63"/>
    </row>
    <row r="9754" spans="9:10" x14ac:dyDescent="0.35">
      <c r="I9754" s="63"/>
      <c r="J9754" s="63"/>
    </row>
    <row r="9755" spans="9:10" x14ac:dyDescent="0.35">
      <c r="I9755" s="63"/>
      <c r="J9755" s="63"/>
    </row>
    <row r="9756" spans="9:10" x14ac:dyDescent="0.35">
      <c r="I9756" s="63"/>
      <c r="J9756" s="63"/>
    </row>
    <row r="9757" spans="9:10" x14ac:dyDescent="0.35">
      <c r="I9757" s="63"/>
      <c r="J9757" s="63"/>
    </row>
    <row r="9758" spans="9:10" x14ac:dyDescent="0.35">
      <c r="I9758" s="63"/>
      <c r="J9758" s="63"/>
    </row>
    <row r="9759" spans="9:10" x14ac:dyDescent="0.35">
      <c r="I9759" s="63"/>
      <c r="J9759" s="63"/>
    </row>
    <row r="9760" spans="9:10" x14ac:dyDescent="0.35">
      <c r="I9760" s="63"/>
      <c r="J9760" s="63"/>
    </row>
    <row r="9761" spans="9:10" x14ac:dyDescent="0.35">
      <c r="I9761" s="63"/>
      <c r="J9761" s="63"/>
    </row>
    <row r="9762" spans="9:10" x14ac:dyDescent="0.35">
      <c r="I9762" s="63"/>
      <c r="J9762" s="63"/>
    </row>
    <row r="9763" spans="9:10" x14ac:dyDescent="0.35">
      <c r="I9763" s="63"/>
      <c r="J9763" s="63"/>
    </row>
    <row r="9764" spans="9:10" x14ac:dyDescent="0.35">
      <c r="I9764" s="63"/>
      <c r="J9764" s="63"/>
    </row>
    <row r="9765" spans="9:10" x14ac:dyDescent="0.35">
      <c r="I9765" s="63"/>
      <c r="J9765" s="63"/>
    </row>
    <row r="9766" spans="9:10" x14ac:dyDescent="0.35">
      <c r="I9766" s="63"/>
      <c r="J9766" s="63"/>
    </row>
    <row r="9767" spans="9:10" x14ac:dyDescent="0.35">
      <c r="I9767" s="63"/>
      <c r="J9767" s="63"/>
    </row>
    <row r="9768" spans="9:10" x14ac:dyDescent="0.35">
      <c r="I9768" s="63"/>
      <c r="J9768" s="63"/>
    </row>
    <row r="9769" spans="9:10" x14ac:dyDescent="0.35">
      <c r="I9769" s="63"/>
      <c r="J9769" s="63"/>
    </row>
    <row r="9770" spans="9:10" x14ac:dyDescent="0.35">
      <c r="I9770" s="63"/>
      <c r="J9770" s="63"/>
    </row>
    <row r="9771" spans="9:10" x14ac:dyDescent="0.35">
      <c r="I9771" s="63"/>
      <c r="J9771" s="63"/>
    </row>
    <row r="9772" spans="9:10" x14ac:dyDescent="0.35">
      <c r="I9772" s="63"/>
      <c r="J9772" s="63"/>
    </row>
    <row r="9773" spans="9:10" x14ac:dyDescent="0.35">
      <c r="I9773" s="63"/>
      <c r="J9773" s="63"/>
    </row>
    <row r="9774" spans="9:10" x14ac:dyDescent="0.35">
      <c r="I9774" s="63"/>
      <c r="J9774" s="63"/>
    </row>
    <row r="9775" spans="9:10" x14ac:dyDescent="0.35">
      <c r="I9775" s="63"/>
      <c r="J9775" s="63"/>
    </row>
    <row r="9776" spans="9:10" x14ac:dyDescent="0.35">
      <c r="I9776" s="63"/>
      <c r="J9776" s="63"/>
    </row>
    <row r="9777" spans="9:10" x14ac:dyDescent="0.35">
      <c r="I9777" s="63"/>
      <c r="J9777" s="63"/>
    </row>
    <row r="9778" spans="9:10" x14ac:dyDescent="0.35">
      <c r="I9778" s="63"/>
      <c r="J9778" s="63"/>
    </row>
    <row r="9779" spans="9:10" x14ac:dyDescent="0.35">
      <c r="I9779" s="63"/>
      <c r="J9779" s="63"/>
    </row>
    <row r="9780" spans="9:10" x14ac:dyDescent="0.35">
      <c r="I9780" s="63"/>
      <c r="J9780" s="63"/>
    </row>
    <row r="9781" spans="9:10" x14ac:dyDescent="0.35">
      <c r="I9781" s="63"/>
      <c r="J9781" s="63"/>
    </row>
    <row r="9782" spans="9:10" x14ac:dyDescent="0.35">
      <c r="I9782" s="63"/>
      <c r="J9782" s="63"/>
    </row>
    <row r="9783" spans="9:10" x14ac:dyDescent="0.35">
      <c r="I9783" s="63"/>
      <c r="J9783" s="63"/>
    </row>
    <row r="9784" spans="9:10" x14ac:dyDescent="0.35">
      <c r="I9784" s="63"/>
      <c r="J9784" s="63"/>
    </row>
    <row r="9785" spans="9:10" x14ac:dyDescent="0.35">
      <c r="I9785" s="63"/>
      <c r="J9785" s="63"/>
    </row>
    <row r="9786" spans="9:10" x14ac:dyDescent="0.35">
      <c r="I9786" s="63"/>
      <c r="J9786" s="63"/>
    </row>
    <row r="9787" spans="9:10" x14ac:dyDescent="0.35">
      <c r="I9787" s="63"/>
      <c r="J9787" s="63"/>
    </row>
    <row r="9788" spans="9:10" x14ac:dyDescent="0.35">
      <c r="I9788" s="63"/>
      <c r="J9788" s="63"/>
    </row>
    <row r="9789" spans="9:10" x14ac:dyDescent="0.35">
      <c r="I9789" s="63"/>
      <c r="J9789" s="63"/>
    </row>
    <row r="9790" spans="9:10" x14ac:dyDescent="0.35">
      <c r="I9790" s="63"/>
      <c r="J9790" s="63"/>
    </row>
    <row r="9791" spans="9:10" x14ac:dyDescent="0.35">
      <c r="I9791" s="63"/>
      <c r="J9791" s="63"/>
    </row>
    <row r="9792" spans="9:10" x14ac:dyDescent="0.35">
      <c r="I9792" s="63"/>
      <c r="J9792" s="63"/>
    </row>
    <row r="9793" spans="9:10" x14ac:dyDescent="0.35">
      <c r="I9793" s="63"/>
      <c r="J9793" s="63"/>
    </row>
    <row r="9794" spans="9:10" x14ac:dyDescent="0.35">
      <c r="I9794" s="63"/>
      <c r="J9794" s="63"/>
    </row>
    <row r="9795" spans="9:10" x14ac:dyDescent="0.35">
      <c r="I9795" s="63"/>
      <c r="J9795" s="63"/>
    </row>
    <row r="9796" spans="9:10" x14ac:dyDescent="0.35">
      <c r="I9796" s="63"/>
      <c r="J9796" s="63"/>
    </row>
    <row r="9797" spans="9:10" x14ac:dyDescent="0.35">
      <c r="I9797" s="63"/>
      <c r="J9797" s="63"/>
    </row>
    <row r="9798" spans="9:10" x14ac:dyDescent="0.35">
      <c r="I9798" s="63"/>
      <c r="J9798" s="63"/>
    </row>
    <row r="9799" spans="9:10" x14ac:dyDescent="0.35">
      <c r="I9799" s="63"/>
      <c r="J9799" s="63"/>
    </row>
    <row r="9800" spans="9:10" x14ac:dyDescent="0.35">
      <c r="I9800" s="63"/>
      <c r="J9800" s="63"/>
    </row>
    <row r="9801" spans="9:10" x14ac:dyDescent="0.35">
      <c r="I9801" s="63"/>
      <c r="J9801" s="63"/>
    </row>
    <row r="9802" spans="9:10" x14ac:dyDescent="0.35">
      <c r="I9802" s="63"/>
      <c r="J9802" s="63"/>
    </row>
    <row r="9803" spans="9:10" x14ac:dyDescent="0.35">
      <c r="I9803" s="63"/>
      <c r="J9803" s="63"/>
    </row>
    <row r="9804" spans="9:10" x14ac:dyDescent="0.35">
      <c r="I9804" s="63"/>
      <c r="J9804" s="63"/>
    </row>
    <row r="9805" spans="9:10" x14ac:dyDescent="0.35">
      <c r="I9805" s="63"/>
      <c r="J9805" s="63"/>
    </row>
    <row r="9806" spans="9:10" x14ac:dyDescent="0.35">
      <c r="I9806" s="63"/>
      <c r="J9806" s="63"/>
    </row>
    <row r="9807" spans="9:10" x14ac:dyDescent="0.35">
      <c r="I9807" s="63"/>
      <c r="J9807" s="63"/>
    </row>
    <row r="9808" spans="9:10" x14ac:dyDescent="0.35">
      <c r="I9808" s="63"/>
      <c r="J9808" s="63"/>
    </row>
    <row r="9809" spans="9:10" x14ac:dyDescent="0.35">
      <c r="I9809" s="63"/>
      <c r="J9809" s="63"/>
    </row>
    <row r="9810" spans="9:10" x14ac:dyDescent="0.35">
      <c r="I9810" s="63"/>
      <c r="J9810" s="63"/>
    </row>
    <row r="9811" spans="9:10" x14ac:dyDescent="0.35">
      <c r="I9811" s="63"/>
      <c r="J9811" s="63"/>
    </row>
    <row r="9812" spans="9:10" x14ac:dyDescent="0.35">
      <c r="I9812" s="63"/>
      <c r="J9812" s="63"/>
    </row>
    <row r="9813" spans="9:10" x14ac:dyDescent="0.35">
      <c r="I9813" s="63"/>
      <c r="J9813" s="63"/>
    </row>
    <row r="9814" spans="9:10" x14ac:dyDescent="0.35">
      <c r="I9814" s="63"/>
      <c r="J9814" s="63"/>
    </row>
    <row r="9815" spans="9:10" x14ac:dyDescent="0.35">
      <c r="I9815" s="63"/>
      <c r="J9815" s="63"/>
    </row>
    <row r="9816" spans="9:10" x14ac:dyDescent="0.35">
      <c r="I9816" s="63"/>
      <c r="J9816" s="63"/>
    </row>
    <row r="9817" spans="9:10" x14ac:dyDescent="0.35">
      <c r="I9817" s="63"/>
      <c r="J9817" s="63"/>
    </row>
    <row r="9818" spans="9:10" x14ac:dyDescent="0.35">
      <c r="I9818" s="63"/>
      <c r="J9818" s="63"/>
    </row>
    <row r="9819" spans="9:10" x14ac:dyDescent="0.35">
      <c r="I9819" s="63"/>
      <c r="J9819" s="63"/>
    </row>
    <row r="9820" spans="9:10" x14ac:dyDescent="0.35">
      <c r="I9820" s="63"/>
      <c r="J9820" s="63"/>
    </row>
    <row r="9821" spans="9:10" x14ac:dyDescent="0.35">
      <c r="I9821" s="63"/>
      <c r="J9821" s="63"/>
    </row>
    <row r="9822" spans="9:10" x14ac:dyDescent="0.35">
      <c r="I9822" s="63"/>
      <c r="J9822" s="63"/>
    </row>
    <row r="9823" spans="9:10" x14ac:dyDescent="0.35">
      <c r="I9823" s="63"/>
      <c r="J9823" s="63"/>
    </row>
    <row r="9824" spans="9:10" x14ac:dyDescent="0.35">
      <c r="I9824" s="63"/>
      <c r="J9824" s="63"/>
    </row>
    <row r="9825" spans="9:10" x14ac:dyDescent="0.35">
      <c r="I9825" s="63"/>
      <c r="J9825" s="63"/>
    </row>
    <row r="9826" spans="9:10" x14ac:dyDescent="0.35">
      <c r="I9826" s="63"/>
      <c r="J9826" s="63"/>
    </row>
    <row r="9827" spans="9:10" x14ac:dyDescent="0.35">
      <c r="I9827" s="63"/>
      <c r="J9827" s="63"/>
    </row>
    <row r="9828" spans="9:10" x14ac:dyDescent="0.35">
      <c r="I9828" s="63"/>
      <c r="J9828" s="63"/>
    </row>
    <row r="9829" spans="9:10" x14ac:dyDescent="0.35">
      <c r="I9829" s="63"/>
      <c r="J9829" s="63"/>
    </row>
    <row r="9830" spans="9:10" x14ac:dyDescent="0.35">
      <c r="I9830" s="63"/>
      <c r="J9830" s="63"/>
    </row>
    <row r="9831" spans="9:10" x14ac:dyDescent="0.35">
      <c r="I9831" s="63"/>
      <c r="J9831" s="63"/>
    </row>
    <row r="9832" spans="9:10" x14ac:dyDescent="0.35">
      <c r="I9832" s="63"/>
      <c r="J9832" s="63"/>
    </row>
    <row r="9833" spans="9:10" x14ac:dyDescent="0.35">
      <c r="I9833" s="63"/>
      <c r="J9833" s="63"/>
    </row>
    <row r="9834" spans="9:10" x14ac:dyDescent="0.35">
      <c r="I9834" s="63"/>
      <c r="J9834" s="63"/>
    </row>
    <row r="9835" spans="9:10" x14ac:dyDescent="0.35">
      <c r="I9835" s="63"/>
      <c r="J9835" s="63"/>
    </row>
    <row r="9836" spans="9:10" x14ac:dyDescent="0.35">
      <c r="I9836" s="63"/>
      <c r="J9836" s="63"/>
    </row>
    <row r="9837" spans="9:10" x14ac:dyDescent="0.35">
      <c r="I9837" s="63"/>
      <c r="J9837" s="63"/>
    </row>
    <row r="9838" spans="9:10" x14ac:dyDescent="0.35">
      <c r="I9838" s="63"/>
      <c r="J9838" s="63"/>
    </row>
    <row r="9839" spans="9:10" x14ac:dyDescent="0.35">
      <c r="I9839" s="63"/>
      <c r="J9839" s="63"/>
    </row>
    <row r="9840" spans="9:10" x14ac:dyDescent="0.35">
      <c r="I9840" s="63"/>
      <c r="J9840" s="63"/>
    </row>
    <row r="9841" spans="9:10" x14ac:dyDescent="0.35">
      <c r="I9841" s="63"/>
      <c r="J9841" s="63"/>
    </row>
    <row r="9842" spans="9:10" x14ac:dyDescent="0.35">
      <c r="I9842" s="63"/>
      <c r="J9842" s="63"/>
    </row>
    <row r="9843" spans="9:10" x14ac:dyDescent="0.35">
      <c r="I9843" s="63"/>
      <c r="J9843" s="63"/>
    </row>
    <row r="9844" spans="9:10" x14ac:dyDescent="0.35">
      <c r="I9844" s="63"/>
      <c r="J9844" s="63"/>
    </row>
    <row r="9845" spans="9:10" x14ac:dyDescent="0.35">
      <c r="I9845" s="63"/>
      <c r="J9845" s="63"/>
    </row>
    <row r="9846" spans="9:10" x14ac:dyDescent="0.35">
      <c r="I9846" s="63"/>
      <c r="J9846" s="63"/>
    </row>
    <row r="9847" spans="9:10" x14ac:dyDescent="0.35">
      <c r="I9847" s="63"/>
      <c r="J9847" s="63"/>
    </row>
    <row r="9848" spans="9:10" x14ac:dyDescent="0.35">
      <c r="I9848" s="63"/>
      <c r="J9848" s="63"/>
    </row>
    <row r="9849" spans="9:10" x14ac:dyDescent="0.35">
      <c r="I9849" s="63"/>
      <c r="J9849" s="63"/>
    </row>
    <row r="9850" spans="9:10" x14ac:dyDescent="0.35">
      <c r="I9850" s="63"/>
      <c r="J9850" s="63"/>
    </row>
    <row r="9851" spans="9:10" x14ac:dyDescent="0.35">
      <c r="I9851" s="63"/>
      <c r="J9851" s="63"/>
    </row>
    <row r="9852" spans="9:10" x14ac:dyDescent="0.35">
      <c r="I9852" s="63"/>
      <c r="J9852" s="63"/>
    </row>
    <row r="9853" spans="9:10" x14ac:dyDescent="0.35">
      <c r="I9853" s="63"/>
      <c r="J9853" s="63"/>
    </row>
    <row r="9854" spans="9:10" x14ac:dyDescent="0.35">
      <c r="I9854" s="63"/>
      <c r="J9854" s="63"/>
    </row>
    <row r="9855" spans="9:10" x14ac:dyDescent="0.35">
      <c r="I9855" s="63"/>
      <c r="J9855" s="63"/>
    </row>
    <row r="9856" spans="9:10" x14ac:dyDescent="0.35">
      <c r="I9856" s="63"/>
      <c r="J9856" s="63"/>
    </row>
    <row r="9857" spans="9:10" x14ac:dyDescent="0.35">
      <c r="I9857" s="63"/>
      <c r="J9857" s="63"/>
    </row>
    <row r="9858" spans="9:10" x14ac:dyDescent="0.35">
      <c r="I9858" s="63"/>
      <c r="J9858" s="63"/>
    </row>
    <row r="9859" spans="9:10" x14ac:dyDescent="0.35">
      <c r="I9859" s="63"/>
      <c r="J9859" s="63"/>
    </row>
    <row r="9860" spans="9:10" x14ac:dyDescent="0.35">
      <c r="I9860" s="63"/>
      <c r="J9860" s="63"/>
    </row>
    <row r="9861" spans="9:10" x14ac:dyDescent="0.35">
      <c r="I9861" s="63"/>
      <c r="J9861" s="63"/>
    </row>
    <row r="9862" spans="9:10" x14ac:dyDescent="0.35">
      <c r="I9862" s="63"/>
      <c r="J9862" s="63"/>
    </row>
    <row r="9863" spans="9:10" x14ac:dyDescent="0.35">
      <c r="I9863" s="63"/>
      <c r="J9863" s="63"/>
    </row>
    <row r="9864" spans="9:10" x14ac:dyDescent="0.35">
      <c r="I9864" s="63"/>
      <c r="J9864" s="63"/>
    </row>
    <row r="9865" spans="9:10" x14ac:dyDescent="0.35">
      <c r="I9865" s="63"/>
      <c r="J9865" s="63"/>
    </row>
    <row r="9866" spans="9:10" x14ac:dyDescent="0.35">
      <c r="I9866" s="63"/>
      <c r="J9866" s="63"/>
    </row>
    <row r="9867" spans="9:10" x14ac:dyDescent="0.35">
      <c r="I9867" s="63"/>
      <c r="J9867" s="63"/>
    </row>
    <row r="9868" spans="9:10" x14ac:dyDescent="0.35">
      <c r="I9868" s="63"/>
      <c r="J9868" s="63"/>
    </row>
    <row r="9869" spans="9:10" x14ac:dyDescent="0.35">
      <c r="I9869" s="63"/>
      <c r="J9869" s="63"/>
    </row>
    <row r="9870" spans="9:10" x14ac:dyDescent="0.35">
      <c r="I9870" s="63"/>
      <c r="J9870" s="63"/>
    </row>
    <row r="9871" spans="9:10" x14ac:dyDescent="0.35">
      <c r="I9871" s="63"/>
      <c r="J9871" s="63"/>
    </row>
    <row r="9872" spans="9:10" x14ac:dyDescent="0.35">
      <c r="I9872" s="63"/>
      <c r="J9872" s="63"/>
    </row>
    <row r="9873" spans="9:10" x14ac:dyDescent="0.35">
      <c r="I9873" s="63"/>
      <c r="J9873" s="63"/>
    </row>
    <row r="9874" spans="9:10" x14ac:dyDescent="0.35">
      <c r="I9874" s="63"/>
      <c r="J9874" s="63"/>
    </row>
    <row r="9875" spans="9:10" x14ac:dyDescent="0.35">
      <c r="I9875" s="63"/>
      <c r="J9875" s="63"/>
    </row>
    <row r="9876" spans="9:10" x14ac:dyDescent="0.35">
      <c r="I9876" s="63"/>
      <c r="J9876" s="63"/>
    </row>
    <row r="9877" spans="9:10" x14ac:dyDescent="0.35">
      <c r="I9877" s="63"/>
      <c r="J9877" s="63"/>
    </row>
    <row r="9878" spans="9:10" x14ac:dyDescent="0.35">
      <c r="I9878" s="63"/>
      <c r="J9878" s="63"/>
    </row>
    <row r="9879" spans="9:10" x14ac:dyDescent="0.35">
      <c r="I9879" s="63"/>
      <c r="J9879" s="63"/>
    </row>
    <row r="9880" spans="9:10" x14ac:dyDescent="0.35">
      <c r="I9880" s="63"/>
      <c r="J9880" s="63"/>
    </row>
    <row r="9881" spans="9:10" x14ac:dyDescent="0.35">
      <c r="I9881" s="63"/>
      <c r="J9881" s="63"/>
    </row>
    <row r="9882" spans="9:10" x14ac:dyDescent="0.35">
      <c r="I9882" s="63"/>
      <c r="J9882" s="63"/>
    </row>
    <row r="9883" spans="9:10" x14ac:dyDescent="0.35">
      <c r="I9883" s="63"/>
      <c r="J9883" s="63"/>
    </row>
    <row r="9884" spans="9:10" x14ac:dyDescent="0.35">
      <c r="I9884" s="63"/>
      <c r="J9884" s="63"/>
    </row>
    <row r="9885" spans="9:10" x14ac:dyDescent="0.35">
      <c r="I9885" s="63"/>
      <c r="J9885" s="63"/>
    </row>
    <row r="9886" spans="9:10" x14ac:dyDescent="0.35">
      <c r="I9886" s="63"/>
      <c r="J9886" s="63"/>
    </row>
    <row r="9887" spans="9:10" x14ac:dyDescent="0.35">
      <c r="I9887" s="63"/>
      <c r="J9887" s="63"/>
    </row>
    <row r="9888" spans="9:10" x14ac:dyDescent="0.35">
      <c r="I9888" s="63"/>
      <c r="J9888" s="63"/>
    </row>
    <row r="9889" spans="9:10" x14ac:dyDescent="0.35">
      <c r="I9889" s="63"/>
      <c r="J9889" s="63"/>
    </row>
    <row r="9890" spans="9:10" x14ac:dyDescent="0.35">
      <c r="I9890" s="63"/>
      <c r="J9890" s="63"/>
    </row>
    <row r="9891" spans="9:10" x14ac:dyDescent="0.35">
      <c r="I9891" s="63"/>
      <c r="J9891" s="63"/>
    </row>
    <row r="9892" spans="9:10" x14ac:dyDescent="0.35">
      <c r="I9892" s="63"/>
      <c r="J9892" s="63"/>
    </row>
    <row r="9893" spans="9:10" x14ac:dyDescent="0.35">
      <c r="I9893" s="63"/>
      <c r="J9893" s="63"/>
    </row>
    <row r="9894" spans="9:10" x14ac:dyDescent="0.35">
      <c r="I9894" s="63"/>
      <c r="J9894" s="63"/>
    </row>
    <row r="9895" spans="9:10" x14ac:dyDescent="0.35">
      <c r="I9895" s="63"/>
      <c r="J9895" s="63"/>
    </row>
    <row r="9896" spans="9:10" x14ac:dyDescent="0.35">
      <c r="I9896" s="63"/>
      <c r="J9896" s="63"/>
    </row>
    <row r="9897" spans="9:10" x14ac:dyDescent="0.35">
      <c r="I9897" s="63"/>
      <c r="J9897" s="63"/>
    </row>
    <row r="9898" spans="9:10" x14ac:dyDescent="0.35">
      <c r="I9898" s="63"/>
      <c r="J9898" s="63"/>
    </row>
    <row r="9899" spans="9:10" x14ac:dyDescent="0.35">
      <c r="I9899" s="63"/>
      <c r="J9899" s="63"/>
    </row>
    <row r="9900" spans="9:10" x14ac:dyDescent="0.35">
      <c r="I9900" s="63"/>
      <c r="J9900" s="63"/>
    </row>
    <row r="9901" spans="9:10" x14ac:dyDescent="0.35">
      <c r="I9901" s="63"/>
      <c r="J9901" s="63"/>
    </row>
    <row r="9902" spans="9:10" x14ac:dyDescent="0.35">
      <c r="I9902" s="63"/>
      <c r="J9902" s="63"/>
    </row>
    <row r="9903" spans="9:10" x14ac:dyDescent="0.35">
      <c r="I9903" s="63"/>
      <c r="J9903" s="63"/>
    </row>
    <row r="9904" spans="9:10" x14ac:dyDescent="0.35">
      <c r="I9904" s="63"/>
      <c r="J9904" s="63"/>
    </row>
    <row r="9905" spans="9:10" x14ac:dyDescent="0.35">
      <c r="I9905" s="63"/>
      <c r="J9905" s="63"/>
    </row>
    <row r="9906" spans="9:10" x14ac:dyDescent="0.35">
      <c r="I9906" s="63"/>
      <c r="J9906" s="63"/>
    </row>
    <row r="9907" spans="9:10" x14ac:dyDescent="0.35">
      <c r="I9907" s="63"/>
      <c r="J9907" s="63"/>
    </row>
    <row r="9908" spans="9:10" x14ac:dyDescent="0.35">
      <c r="I9908" s="63"/>
      <c r="J9908" s="63"/>
    </row>
    <row r="9909" spans="9:10" x14ac:dyDescent="0.35">
      <c r="I9909" s="63"/>
      <c r="J9909" s="63"/>
    </row>
    <row r="9910" spans="9:10" x14ac:dyDescent="0.35">
      <c r="I9910" s="63"/>
      <c r="J9910" s="63"/>
    </row>
    <row r="9911" spans="9:10" x14ac:dyDescent="0.35">
      <c r="I9911" s="63"/>
      <c r="J9911" s="63"/>
    </row>
    <row r="9912" spans="9:10" x14ac:dyDescent="0.35">
      <c r="I9912" s="63"/>
      <c r="J9912" s="63"/>
    </row>
    <row r="9913" spans="9:10" x14ac:dyDescent="0.35">
      <c r="I9913" s="63"/>
      <c r="J9913" s="63"/>
    </row>
    <row r="9914" spans="9:10" x14ac:dyDescent="0.35">
      <c r="I9914" s="63"/>
      <c r="J9914" s="63"/>
    </row>
    <row r="9915" spans="9:10" x14ac:dyDescent="0.35">
      <c r="I9915" s="63"/>
      <c r="J9915" s="63"/>
    </row>
    <row r="9916" spans="9:10" x14ac:dyDescent="0.35">
      <c r="I9916" s="63"/>
      <c r="J9916" s="63"/>
    </row>
    <row r="9917" spans="9:10" x14ac:dyDescent="0.35">
      <c r="I9917" s="63"/>
      <c r="J9917" s="63"/>
    </row>
    <row r="9918" spans="9:10" x14ac:dyDescent="0.35">
      <c r="I9918" s="63"/>
      <c r="J9918" s="63"/>
    </row>
    <row r="9919" spans="9:10" x14ac:dyDescent="0.35">
      <c r="I9919" s="63"/>
      <c r="J9919" s="63"/>
    </row>
    <row r="9920" spans="9:10" x14ac:dyDescent="0.35">
      <c r="I9920" s="63"/>
      <c r="J9920" s="63"/>
    </row>
    <row r="9921" spans="9:10" x14ac:dyDescent="0.35">
      <c r="I9921" s="63"/>
      <c r="J9921" s="63"/>
    </row>
    <row r="9922" spans="9:10" x14ac:dyDescent="0.35">
      <c r="I9922" s="63"/>
      <c r="J9922" s="63"/>
    </row>
    <row r="9923" spans="9:10" x14ac:dyDescent="0.35">
      <c r="I9923" s="63"/>
      <c r="J9923" s="63"/>
    </row>
    <row r="9924" spans="9:10" x14ac:dyDescent="0.35">
      <c r="I9924" s="63"/>
      <c r="J9924" s="63"/>
    </row>
    <row r="9925" spans="9:10" x14ac:dyDescent="0.35">
      <c r="I9925" s="63"/>
      <c r="J9925" s="63"/>
    </row>
    <row r="9926" spans="9:10" x14ac:dyDescent="0.35">
      <c r="I9926" s="63"/>
      <c r="J9926" s="63"/>
    </row>
    <row r="9927" spans="9:10" x14ac:dyDescent="0.35">
      <c r="I9927" s="63"/>
      <c r="J9927" s="63"/>
    </row>
    <row r="9928" spans="9:10" x14ac:dyDescent="0.35">
      <c r="I9928" s="63"/>
      <c r="J9928" s="63"/>
    </row>
    <row r="9929" spans="9:10" x14ac:dyDescent="0.35">
      <c r="I9929" s="63"/>
      <c r="J9929" s="63"/>
    </row>
    <row r="9930" spans="9:10" x14ac:dyDescent="0.35">
      <c r="I9930" s="63"/>
      <c r="J9930" s="63"/>
    </row>
    <row r="9931" spans="9:10" x14ac:dyDescent="0.35">
      <c r="I9931" s="63"/>
      <c r="J9931" s="63"/>
    </row>
    <row r="9932" spans="9:10" x14ac:dyDescent="0.35">
      <c r="I9932" s="63"/>
      <c r="J9932" s="63"/>
    </row>
    <row r="9933" spans="9:10" x14ac:dyDescent="0.35">
      <c r="I9933" s="63"/>
      <c r="J9933" s="63"/>
    </row>
    <row r="9934" spans="9:10" x14ac:dyDescent="0.35">
      <c r="I9934" s="63"/>
      <c r="J9934" s="63"/>
    </row>
    <row r="9935" spans="9:10" x14ac:dyDescent="0.35">
      <c r="I9935" s="63"/>
      <c r="J9935" s="63"/>
    </row>
    <row r="9936" spans="9:10" x14ac:dyDescent="0.35">
      <c r="I9936" s="63"/>
      <c r="J9936" s="63"/>
    </row>
    <row r="9937" spans="9:10" x14ac:dyDescent="0.35">
      <c r="I9937" s="63"/>
      <c r="J9937" s="63"/>
    </row>
    <row r="9938" spans="9:10" x14ac:dyDescent="0.35">
      <c r="I9938" s="63"/>
      <c r="J9938" s="63"/>
    </row>
    <row r="9939" spans="9:10" x14ac:dyDescent="0.35">
      <c r="I9939" s="63"/>
      <c r="J9939" s="63"/>
    </row>
    <row r="9940" spans="9:10" x14ac:dyDescent="0.35">
      <c r="I9940" s="63"/>
      <c r="J9940" s="63"/>
    </row>
    <row r="9941" spans="9:10" x14ac:dyDescent="0.35">
      <c r="I9941" s="63"/>
      <c r="J9941" s="63"/>
    </row>
    <row r="9942" spans="9:10" x14ac:dyDescent="0.35">
      <c r="I9942" s="63"/>
      <c r="J9942" s="63"/>
    </row>
    <row r="9943" spans="9:10" x14ac:dyDescent="0.35">
      <c r="I9943" s="63"/>
      <c r="J9943" s="63"/>
    </row>
    <row r="9944" spans="9:10" x14ac:dyDescent="0.35">
      <c r="I9944" s="63"/>
      <c r="J9944" s="63"/>
    </row>
    <row r="9945" spans="9:10" x14ac:dyDescent="0.35">
      <c r="I9945" s="63"/>
      <c r="J9945" s="63"/>
    </row>
    <row r="9946" spans="9:10" x14ac:dyDescent="0.35">
      <c r="I9946" s="63"/>
      <c r="J9946" s="63"/>
    </row>
    <row r="9947" spans="9:10" x14ac:dyDescent="0.35">
      <c r="I9947" s="63"/>
      <c r="J9947" s="63"/>
    </row>
    <row r="9948" spans="9:10" x14ac:dyDescent="0.35">
      <c r="I9948" s="63"/>
      <c r="J9948" s="63"/>
    </row>
    <row r="9949" spans="9:10" x14ac:dyDescent="0.35">
      <c r="I9949" s="63"/>
      <c r="J9949" s="63"/>
    </row>
    <row r="9950" spans="9:10" x14ac:dyDescent="0.35">
      <c r="I9950" s="63"/>
      <c r="J9950" s="63"/>
    </row>
    <row r="9951" spans="9:10" x14ac:dyDescent="0.35">
      <c r="I9951" s="63"/>
      <c r="J9951" s="63"/>
    </row>
    <row r="9952" spans="9:10" x14ac:dyDescent="0.35">
      <c r="I9952" s="63"/>
      <c r="J9952" s="63"/>
    </row>
    <row r="9953" spans="9:10" x14ac:dyDescent="0.35">
      <c r="I9953" s="63"/>
      <c r="J9953" s="63"/>
    </row>
    <row r="9954" spans="9:10" x14ac:dyDescent="0.35">
      <c r="I9954" s="63"/>
      <c r="J9954" s="63"/>
    </row>
    <row r="9955" spans="9:10" x14ac:dyDescent="0.35">
      <c r="I9955" s="63"/>
      <c r="J9955" s="63"/>
    </row>
    <row r="9956" spans="9:10" x14ac:dyDescent="0.35">
      <c r="I9956" s="63"/>
      <c r="J9956" s="63"/>
    </row>
    <row r="9957" spans="9:10" x14ac:dyDescent="0.35">
      <c r="I9957" s="63"/>
      <c r="J9957" s="63"/>
    </row>
    <row r="9958" spans="9:10" x14ac:dyDescent="0.35">
      <c r="I9958" s="63"/>
      <c r="J9958" s="63"/>
    </row>
    <row r="9959" spans="9:10" x14ac:dyDescent="0.35">
      <c r="I9959" s="63"/>
      <c r="J9959" s="63"/>
    </row>
    <row r="9960" spans="9:10" x14ac:dyDescent="0.35">
      <c r="I9960" s="63"/>
      <c r="J9960" s="63"/>
    </row>
    <row r="9961" spans="9:10" x14ac:dyDescent="0.35">
      <c r="I9961" s="63"/>
      <c r="J9961" s="63"/>
    </row>
    <row r="9962" spans="9:10" x14ac:dyDescent="0.35">
      <c r="I9962" s="63"/>
      <c r="J9962" s="63"/>
    </row>
    <row r="9963" spans="9:10" x14ac:dyDescent="0.35">
      <c r="I9963" s="63"/>
      <c r="J9963" s="63"/>
    </row>
    <row r="9964" spans="9:10" x14ac:dyDescent="0.35">
      <c r="I9964" s="63"/>
      <c r="J9964" s="63"/>
    </row>
    <row r="9965" spans="9:10" x14ac:dyDescent="0.35">
      <c r="I9965" s="63"/>
      <c r="J9965" s="63"/>
    </row>
    <row r="9966" spans="9:10" x14ac:dyDescent="0.35">
      <c r="I9966" s="63"/>
      <c r="J9966" s="63"/>
    </row>
    <row r="9967" spans="9:10" x14ac:dyDescent="0.35">
      <c r="I9967" s="63"/>
      <c r="J9967" s="63"/>
    </row>
    <row r="9968" spans="9:10" x14ac:dyDescent="0.35">
      <c r="I9968" s="63"/>
      <c r="J9968" s="63"/>
    </row>
    <row r="9969" spans="9:10" x14ac:dyDescent="0.35">
      <c r="I9969" s="63"/>
      <c r="J9969" s="63"/>
    </row>
    <row r="9970" spans="9:10" x14ac:dyDescent="0.35">
      <c r="I9970" s="63"/>
      <c r="J9970" s="63"/>
    </row>
    <row r="9971" spans="9:10" x14ac:dyDescent="0.35">
      <c r="I9971" s="63"/>
      <c r="J9971" s="63"/>
    </row>
    <row r="9972" spans="9:10" x14ac:dyDescent="0.35">
      <c r="I9972" s="63"/>
      <c r="J9972" s="63"/>
    </row>
    <row r="9973" spans="9:10" x14ac:dyDescent="0.35">
      <c r="I9973" s="63"/>
      <c r="J9973" s="63"/>
    </row>
    <row r="9974" spans="9:10" x14ac:dyDescent="0.35">
      <c r="I9974" s="63"/>
      <c r="J9974" s="63"/>
    </row>
    <row r="9975" spans="9:10" x14ac:dyDescent="0.35">
      <c r="I9975" s="63"/>
      <c r="J9975" s="63"/>
    </row>
    <row r="9976" spans="9:10" x14ac:dyDescent="0.35">
      <c r="I9976" s="63"/>
      <c r="J9976" s="63"/>
    </row>
    <row r="9977" spans="9:10" x14ac:dyDescent="0.35">
      <c r="I9977" s="63"/>
      <c r="J9977" s="63"/>
    </row>
    <row r="9978" spans="9:10" x14ac:dyDescent="0.35">
      <c r="I9978" s="63"/>
      <c r="J9978" s="63"/>
    </row>
    <row r="9979" spans="9:10" x14ac:dyDescent="0.35">
      <c r="I9979" s="63"/>
      <c r="J9979" s="63"/>
    </row>
    <row r="9980" spans="9:10" x14ac:dyDescent="0.35">
      <c r="I9980" s="63"/>
      <c r="J9980" s="63"/>
    </row>
    <row r="9981" spans="9:10" x14ac:dyDescent="0.35">
      <c r="I9981" s="63"/>
      <c r="J9981" s="63"/>
    </row>
    <row r="9982" spans="9:10" x14ac:dyDescent="0.35">
      <c r="I9982" s="63"/>
      <c r="J9982" s="63"/>
    </row>
    <row r="9983" spans="9:10" x14ac:dyDescent="0.35">
      <c r="I9983" s="63"/>
      <c r="J9983" s="63"/>
    </row>
    <row r="9984" spans="9:10" x14ac:dyDescent="0.35">
      <c r="I9984" s="63"/>
      <c r="J9984" s="63"/>
    </row>
    <row r="9985" spans="9:10" x14ac:dyDescent="0.35">
      <c r="I9985" s="63"/>
      <c r="J9985" s="63"/>
    </row>
    <row r="9986" spans="9:10" x14ac:dyDescent="0.35">
      <c r="I9986" s="63"/>
      <c r="J9986" s="63"/>
    </row>
    <row r="9987" spans="9:10" x14ac:dyDescent="0.35">
      <c r="I9987" s="63"/>
      <c r="J9987" s="63"/>
    </row>
    <row r="9988" spans="9:10" x14ac:dyDescent="0.35">
      <c r="I9988" s="63"/>
      <c r="J9988" s="63"/>
    </row>
    <row r="9989" spans="9:10" x14ac:dyDescent="0.35">
      <c r="I9989" s="63"/>
      <c r="J9989" s="63"/>
    </row>
    <row r="9990" spans="9:10" x14ac:dyDescent="0.35">
      <c r="I9990" s="63"/>
      <c r="J9990" s="63"/>
    </row>
    <row r="9991" spans="9:10" x14ac:dyDescent="0.35">
      <c r="I9991" s="63"/>
      <c r="J9991" s="63"/>
    </row>
    <row r="9992" spans="9:10" x14ac:dyDescent="0.35">
      <c r="I9992" s="63"/>
      <c r="J9992" s="63"/>
    </row>
    <row r="9993" spans="9:10" x14ac:dyDescent="0.35">
      <c r="I9993" s="63"/>
      <c r="J9993" s="63"/>
    </row>
    <row r="9994" spans="9:10" x14ac:dyDescent="0.35">
      <c r="I9994" s="63"/>
      <c r="J9994" s="63"/>
    </row>
    <row r="9995" spans="9:10" x14ac:dyDescent="0.35">
      <c r="I9995" s="63"/>
      <c r="J9995" s="63"/>
    </row>
    <row r="9996" spans="9:10" x14ac:dyDescent="0.35">
      <c r="I9996" s="63"/>
      <c r="J9996" s="63"/>
    </row>
    <row r="9997" spans="9:10" x14ac:dyDescent="0.35">
      <c r="I9997" s="63"/>
      <c r="J9997" s="63"/>
    </row>
    <row r="9998" spans="9:10" x14ac:dyDescent="0.35">
      <c r="I9998" s="63"/>
      <c r="J9998" s="63"/>
    </row>
    <row r="9999" spans="9:10" x14ac:dyDescent="0.35">
      <c r="I9999" s="63"/>
      <c r="J9999" s="63"/>
    </row>
    <row r="10000" spans="9:10" x14ac:dyDescent="0.35">
      <c r="I10000" s="63"/>
      <c r="J10000" s="63"/>
    </row>
    <row r="10001" spans="9:10" x14ac:dyDescent="0.35">
      <c r="I10001" s="63"/>
      <c r="J10001" s="63"/>
    </row>
    <row r="10002" spans="9:10" x14ac:dyDescent="0.35">
      <c r="I10002" s="63"/>
      <c r="J10002" s="63"/>
    </row>
    <row r="10003" spans="9:10" x14ac:dyDescent="0.35">
      <c r="I10003" s="63"/>
      <c r="J10003" s="63"/>
    </row>
    <row r="10004" spans="9:10" x14ac:dyDescent="0.35">
      <c r="I10004" s="63"/>
      <c r="J10004" s="63"/>
    </row>
    <row r="10005" spans="9:10" x14ac:dyDescent="0.35">
      <c r="I10005" s="63"/>
      <c r="J10005" s="63"/>
    </row>
    <row r="10006" spans="9:10" x14ac:dyDescent="0.35">
      <c r="I10006" s="63"/>
      <c r="J10006" s="63"/>
    </row>
    <row r="10007" spans="9:10" x14ac:dyDescent="0.35">
      <c r="I10007" s="63"/>
      <c r="J10007" s="63"/>
    </row>
    <row r="10008" spans="9:10" x14ac:dyDescent="0.35">
      <c r="I10008" s="63"/>
      <c r="J10008" s="63"/>
    </row>
    <row r="10009" spans="9:10" x14ac:dyDescent="0.35">
      <c r="I10009" s="63"/>
      <c r="J10009" s="63"/>
    </row>
    <row r="10010" spans="9:10" x14ac:dyDescent="0.35">
      <c r="I10010" s="63"/>
      <c r="J10010" s="63"/>
    </row>
    <row r="10011" spans="9:10" x14ac:dyDescent="0.35">
      <c r="I10011" s="63"/>
      <c r="J10011" s="63"/>
    </row>
    <row r="10012" spans="9:10" x14ac:dyDescent="0.35">
      <c r="I10012" s="63"/>
      <c r="J10012" s="63"/>
    </row>
    <row r="10013" spans="9:10" x14ac:dyDescent="0.35">
      <c r="I10013" s="63"/>
      <c r="J10013" s="63"/>
    </row>
    <row r="10014" spans="9:10" x14ac:dyDescent="0.35">
      <c r="I10014" s="63"/>
      <c r="J10014" s="63"/>
    </row>
    <row r="10015" spans="9:10" x14ac:dyDescent="0.35">
      <c r="I10015" s="63"/>
      <c r="J10015" s="63"/>
    </row>
    <row r="10016" spans="9:10" x14ac:dyDescent="0.35">
      <c r="I10016" s="63"/>
      <c r="J10016" s="63"/>
    </row>
    <row r="10017" spans="9:10" x14ac:dyDescent="0.35">
      <c r="I10017" s="63"/>
      <c r="J10017" s="63"/>
    </row>
    <row r="10018" spans="9:10" x14ac:dyDescent="0.35">
      <c r="I10018" s="63"/>
      <c r="J10018" s="63"/>
    </row>
    <row r="10019" spans="9:10" x14ac:dyDescent="0.35">
      <c r="I10019" s="63"/>
      <c r="J10019" s="63"/>
    </row>
    <row r="10020" spans="9:10" x14ac:dyDescent="0.35">
      <c r="I10020" s="63"/>
      <c r="J10020" s="63"/>
    </row>
    <row r="10021" spans="9:10" x14ac:dyDescent="0.35">
      <c r="I10021" s="63"/>
      <c r="J10021" s="63"/>
    </row>
    <row r="10022" spans="9:10" x14ac:dyDescent="0.35">
      <c r="I10022" s="63"/>
      <c r="J10022" s="63"/>
    </row>
    <row r="10023" spans="9:10" x14ac:dyDescent="0.35">
      <c r="I10023" s="63"/>
      <c r="J10023" s="63"/>
    </row>
    <row r="10024" spans="9:10" x14ac:dyDescent="0.35">
      <c r="I10024" s="63"/>
      <c r="J10024" s="63"/>
    </row>
    <row r="10025" spans="9:10" x14ac:dyDescent="0.35">
      <c r="I10025" s="63"/>
      <c r="J10025" s="63"/>
    </row>
    <row r="10026" spans="9:10" x14ac:dyDescent="0.35">
      <c r="I10026" s="63"/>
      <c r="J10026" s="63"/>
    </row>
    <row r="10027" spans="9:10" x14ac:dyDescent="0.35">
      <c r="I10027" s="63"/>
      <c r="J10027" s="63"/>
    </row>
    <row r="10028" spans="9:10" x14ac:dyDescent="0.35">
      <c r="I10028" s="63"/>
      <c r="J10028" s="63"/>
    </row>
    <row r="10029" spans="9:10" x14ac:dyDescent="0.35">
      <c r="I10029" s="63"/>
      <c r="J10029" s="63"/>
    </row>
    <row r="10030" spans="9:10" x14ac:dyDescent="0.35">
      <c r="I10030" s="63"/>
      <c r="J10030" s="63"/>
    </row>
    <row r="10031" spans="9:10" x14ac:dyDescent="0.35">
      <c r="I10031" s="63"/>
      <c r="J10031" s="63"/>
    </row>
    <row r="10032" spans="9:10" x14ac:dyDescent="0.35">
      <c r="I10032" s="63"/>
      <c r="J10032" s="63"/>
    </row>
    <row r="10033" spans="9:10" x14ac:dyDescent="0.35">
      <c r="I10033" s="63"/>
      <c r="J10033" s="63"/>
    </row>
    <row r="10034" spans="9:10" x14ac:dyDescent="0.35">
      <c r="I10034" s="63"/>
      <c r="J10034" s="63"/>
    </row>
    <row r="10035" spans="9:10" x14ac:dyDescent="0.35">
      <c r="I10035" s="63"/>
      <c r="J10035" s="63"/>
    </row>
    <row r="10036" spans="9:10" x14ac:dyDescent="0.35">
      <c r="I10036" s="63"/>
      <c r="J10036" s="63"/>
    </row>
    <row r="10037" spans="9:10" x14ac:dyDescent="0.35">
      <c r="I10037" s="63"/>
      <c r="J10037" s="63"/>
    </row>
    <row r="10038" spans="9:10" x14ac:dyDescent="0.35">
      <c r="I10038" s="63"/>
      <c r="J10038" s="63"/>
    </row>
    <row r="10039" spans="9:10" x14ac:dyDescent="0.35">
      <c r="I10039" s="63"/>
      <c r="J10039" s="63"/>
    </row>
    <row r="10040" spans="9:10" x14ac:dyDescent="0.35">
      <c r="I10040" s="63"/>
      <c r="J10040" s="63"/>
    </row>
    <row r="10041" spans="9:10" x14ac:dyDescent="0.35">
      <c r="I10041" s="63"/>
      <c r="J10041" s="63"/>
    </row>
    <row r="10042" spans="9:10" x14ac:dyDescent="0.35">
      <c r="I10042" s="63"/>
      <c r="J10042" s="63"/>
    </row>
    <row r="10043" spans="9:10" x14ac:dyDescent="0.35">
      <c r="I10043" s="63"/>
      <c r="J10043" s="63"/>
    </row>
    <row r="10044" spans="9:10" x14ac:dyDescent="0.35">
      <c r="I10044" s="63"/>
      <c r="J10044" s="63"/>
    </row>
    <row r="10045" spans="9:10" x14ac:dyDescent="0.35">
      <c r="I10045" s="63"/>
      <c r="J10045" s="63"/>
    </row>
    <row r="10046" spans="9:10" x14ac:dyDescent="0.35">
      <c r="I10046" s="63"/>
      <c r="J10046" s="63"/>
    </row>
    <row r="10047" spans="9:10" x14ac:dyDescent="0.35">
      <c r="I10047" s="63"/>
      <c r="J10047" s="63"/>
    </row>
    <row r="10048" spans="9:10" x14ac:dyDescent="0.35">
      <c r="I10048" s="63"/>
      <c r="J10048" s="63"/>
    </row>
    <row r="10049" spans="9:10" x14ac:dyDescent="0.35">
      <c r="I10049" s="63"/>
      <c r="J10049" s="63"/>
    </row>
    <row r="10050" spans="9:10" x14ac:dyDescent="0.35">
      <c r="I10050" s="63"/>
      <c r="J10050" s="63"/>
    </row>
    <row r="10051" spans="9:10" x14ac:dyDescent="0.35">
      <c r="I10051" s="63"/>
      <c r="J10051" s="63"/>
    </row>
    <row r="10052" spans="9:10" x14ac:dyDescent="0.35">
      <c r="I10052" s="63"/>
      <c r="J10052" s="63"/>
    </row>
    <row r="10053" spans="9:10" x14ac:dyDescent="0.35">
      <c r="I10053" s="63"/>
      <c r="J10053" s="63"/>
    </row>
    <row r="10054" spans="9:10" x14ac:dyDescent="0.35">
      <c r="I10054" s="63"/>
      <c r="J10054" s="63"/>
    </row>
    <row r="10055" spans="9:10" x14ac:dyDescent="0.35">
      <c r="I10055" s="63"/>
      <c r="J10055" s="63"/>
    </row>
    <row r="10056" spans="9:10" x14ac:dyDescent="0.35">
      <c r="I10056" s="63"/>
      <c r="J10056" s="63"/>
    </row>
    <row r="10057" spans="9:10" x14ac:dyDescent="0.35">
      <c r="I10057" s="63"/>
      <c r="J10057" s="63"/>
    </row>
    <row r="10058" spans="9:10" x14ac:dyDescent="0.35">
      <c r="I10058" s="63"/>
      <c r="J10058" s="63"/>
    </row>
    <row r="10059" spans="9:10" x14ac:dyDescent="0.35">
      <c r="I10059" s="63"/>
      <c r="J10059" s="63"/>
    </row>
    <row r="10060" spans="9:10" x14ac:dyDescent="0.35">
      <c r="I10060" s="63"/>
      <c r="J10060" s="63"/>
    </row>
    <row r="10061" spans="9:10" x14ac:dyDescent="0.35">
      <c r="I10061" s="63"/>
      <c r="J10061" s="63"/>
    </row>
    <row r="10062" spans="9:10" x14ac:dyDescent="0.35">
      <c r="I10062" s="63"/>
      <c r="J10062" s="63"/>
    </row>
    <row r="10063" spans="9:10" x14ac:dyDescent="0.35">
      <c r="I10063" s="63"/>
      <c r="J10063" s="63"/>
    </row>
    <row r="10064" spans="9:10" x14ac:dyDescent="0.35">
      <c r="I10064" s="63"/>
      <c r="J10064" s="63"/>
    </row>
    <row r="10065" spans="9:10" x14ac:dyDescent="0.35">
      <c r="I10065" s="63"/>
      <c r="J10065" s="63"/>
    </row>
    <row r="10066" spans="9:10" x14ac:dyDescent="0.35">
      <c r="I10066" s="63"/>
      <c r="J10066" s="63"/>
    </row>
    <row r="10067" spans="9:10" x14ac:dyDescent="0.35">
      <c r="I10067" s="63"/>
      <c r="J10067" s="63"/>
    </row>
    <row r="10068" spans="9:10" x14ac:dyDescent="0.35">
      <c r="I10068" s="63"/>
      <c r="J10068" s="63"/>
    </row>
    <row r="10069" spans="9:10" x14ac:dyDescent="0.35">
      <c r="I10069" s="63"/>
      <c r="J10069" s="63"/>
    </row>
    <row r="10070" spans="9:10" x14ac:dyDescent="0.35">
      <c r="I10070" s="63"/>
      <c r="J10070" s="63"/>
    </row>
    <row r="10071" spans="9:10" x14ac:dyDescent="0.35">
      <c r="I10071" s="63"/>
      <c r="J10071" s="63"/>
    </row>
    <row r="10072" spans="9:10" x14ac:dyDescent="0.35">
      <c r="I10072" s="63"/>
      <c r="J10072" s="63"/>
    </row>
    <row r="10073" spans="9:10" x14ac:dyDescent="0.35">
      <c r="I10073" s="63"/>
      <c r="J10073" s="63"/>
    </row>
    <row r="10074" spans="9:10" x14ac:dyDescent="0.35">
      <c r="I10074" s="63"/>
      <c r="J10074" s="63"/>
    </row>
    <row r="10075" spans="9:10" x14ac:dyDescent="0.35">
      <c r="I10075" s="63"/>
      <c r="J10075" s="63"/>
    </row>
    <row r="10076" spans="9:10" x14ac:dyDescent="0.35">
      <c r="I10076" s="63"/>
      <c r="J10076" s="63"/>
    </row>
    <row r="10077" spans="9:10" x14ac:dyDescent="0.35">
      <c r="I10077" s="63"/>
      <c r="J10077" s="63"/>
    </row>
    <row r="10078" spans="9:10" x14ac:dyDescent="0.35">
      <c r="I10078" s="63"/>
      <c r="J10078" s="63"/>
    </row>
    <row r="10079" spans="9:10" x14ac:dyDescent="0.35">
      <c r="I10079" s="63"/>
      <c r="J10079" s="63"/>
    </row>
    <row r="10080" spans="9:10" x14ac:dyDescent="0.35">
      <c r="I10080" s="63"/>
      <c r="J10080" s="63"/>
    </row>
    <row r="10081" spans="9:10" x14ac:dyDescent="0.35">
      <c r="I10081" s="63"/>
      <c r="J10081" s="63"/>
    </row>
    <row r="10082" spans="9:10" x14ac:dyDescent="0.35">
      <c r="I10082" s="63"/>
      <c r="J10082" s="63"/>
    </row>
    <row r="10083" spans="9:10" x14ac:dyDescent="0.35">
      <c r="I10083" s="63"/>
      <c r="J10083" s="63"/>
    </row>
    <row r="10084" spans="9:10" x14ac:dyDescent="0.35">
      <c r="I10084" s="63"/>
      <c r="J10084" s="63"/>
    </row>
    <row r="10085" spans="9:10" x14ac:dyDescent="0.35">
      <c r="I10085" s="63"/>
      <c r="J10085" s="63"/>
    </row>
    <row r="10086" spans="9:10" x14ac:dyDescent="0.35">
      <c r="I10086" s="63"/>
      <c r="J10086" s="63"/>
    </row>
    <row r="10087" spans="9:10" x14ac:dyDescent="0.35">
      <c r="I10087" s="63"/>
      <c r="J10087" s="63"/>
    </row>
    <row r="10088" spans="9:10" x14ac:dyDescent="0.35">
      <c r="I10088" s="63"/>
      <c r="J10088" s="63"/>
    </row>
    <row r="10089" spans="9:10" x14ac:dyDescent="0.35">
      <c r="I10089" s="63"/>
      <c r="J10089" s="63"/>
    </row>
    <row r="10090" spans="9:10" x14ac:dyDescent="0.35">
      <c r="I10090" s="63"/>
      <c r="J10090" s="63"/>
    </row>
    <row r="10091" spans="9:10" x14ac:dyDescent="0.35">
      <c r="I10091" s="63"/>
      <c r="J10091" s="63"/>
    </row>
    <row r="10092" spans="9:10" x14ac:dyDescent="0.35">
      <c r="I10092" s="63"/>
      <c r="J10092" s="63"/>
    </row>
    <row r="10093" spans="9:10" x14ac:dyDescent="0.35">
      <c r="I10093" s="63"/>
      <c r="J10093" s="63"/>
    </row>
    <row r="10094" spans="9:10" x14ac:dyDescent="0.35">
      <c r="I10094" s="63"/>
      <c r="J10094" s="63"/>
    </row>
    <row r="10095" spans="9:10" x14ac:dyDescent="0.35">
      <c r="I10095" s="63"/>
      <c r="J10095" s="63"/>
    </row>
    <row r="10096" spans="9:10" x14ac:dyDescent="0.35">
      <c r="I10096" s="63"/>
      <c r="J10096" s="63"/>
    </row>
    <row r="10097" spans="9:10" x14ac:dyDescent="0.35">
      <c r="I10097" s="63"/>
      <c r="J10097" s="63"/>
    </row>
    <row r="10098" spans="9:10" x14ac:dyDescent="0.35">
      <c r="I10098" s="63"/>
      <c r="J10098" s="63"/>
    </row>
    <row r="10099" spans="9:10" x14ac:dyDescent="0.35">
      <c r="I10099" s="63"/>
      <c r="J10099" s="63"/>
    </row>
    <row r="10100" spans="9:10" x14ac:dyDescent="0.35">
      <c r="I10100" s="63"/>
      <c r="J10100" s="63"/>
    </row>
    <row r="10101" spans="9:10" x14ac:dyDescent="0.35">
      <c r="I10101" s="63"/>
      <c r="J10101" s="63"/>
    </row>
    <row r="10102" spans="9:10" x14ac:dyDescent="0.35">
      <c r="I10102" s="63"/>
      <c r="J10102" s="63"/>
    </row>
    <row r="10103" spans="9:10" x14ac:dyDescent="0.35">
      <c r="I10103" s="63"/>
      <c r="J10103" s="63"/>
    </row>
    <row r="10104" spans="9:10" x14ac:dyDescent="0.35">
      <c r="I10104" s="63"/>
      <c r="J10104" s="63"/>
    </row>
    <row r="10105" spans="9:10" x14ac:dyDescent="0.35">
      <c r="I10105" s="63"/>
      <c r="J10105" s="63"/>
    </row>
    <row r="10106" spans="9:10" x14ac:dyDescent="0.35">
      <c r="I10106" s="63"/>
      <c r="J10106" s="63"/>
    </row>
    <row r="10107" spans="9:10" x14ac:dyDescent="0.35">
      <c r="I10107" s="63"/>
      <c r="J10107" s="63"/>
    </row>
    <row r="10108" spans="9:10" x14ac:dyDescent="0.35">
      <c r="I10108" s="63"/>
      <c r="J10108" s="63"/>
    </row>
    <row r="10109" spans="9:10" x14ac:dyDescent="0.35">
      <c r="I10109" s="63"/>
      <c r="J10109" s="63"/>
    </row>
    <row r="10110" spans="9:10" x14ac:dyDescent="0.35">
      <c r="I10110" s="63"/>
      <c r="J10110" s="63"/>
    </row>
    <row r="10111" spans="9:10" x14ac:dyDescent="0.35">
      <c r="I10111" s="63"/>
      <c r="J10111" s="63"/>
    </row>
    <row r="10112" spans="9:10" x14ac:dyDescent="0.35">
      <c r="I10112" s="63"/>
      <c r="J10112" s="63"/>
    </row>
    <row r="10113" spans="9:10" x14ac:dyDescent="0.35">
      <c r="I10113" s="63"/>
      <c r="J10113" s="63"/>
    </row>
    <row r="10114" spans="9:10" x14ac:dyDescent="0.35">
      <c r="I10114" s="63"/>
      <c r="J10114" s="63"/>
    </row>
    <row r="10115" spans="9:10" x14ac:dyDescent="0.35">
      <c r="I10115" s="63"/>
      <c r="J10115" s="63"/>
    </row>
    <row r="10116" spans="9:10" x14ac:dyDescent="0.35">
      <c r="I10116" s="63"/>
      <c r="J10116" s="63"/>
    </row>
    <row r="10117" spans="9:10" x14ac:dyDescent="0.35">
      <c r="I10117" s="63"/>
      <c r="J10117" s="63"/>
    </row>
    <row r="10118" spans="9:10" x14ac:dyDescent="0.35">
      <c r="I10118" s="63"/>
      <c r="J10118" s="63"/>
    </row>
    <row r="10119" spans="9:10" x14ac:dyDescent="0.35">
      <c r="I10119" s="63"/>
      <c r="J10119" s="63"/>
    </row>
    <row r="10120" spans="9:10" x14ac:dyDescent="0.35">
      <c r="I10120" s="63"/>
      <c r="J10120" s="63"/>
    </row>
    <row r="10121" spans="9:10" x14ac:dyDescent="0.35">
      <c r="I10121" s="63"/>
      <c r="J10121" s="63"/>
    </row>
    <row r="10122" spans="9:10" x14ac:dyDescent="0.35">
      <c r="I10122" s="63"/>
      <c r="J10122" s="63"/>
    </row>
    <row r="10123" spans="9:10" x14ac:dyDescent="0.35">
      <c r="I10123" s="63"/>
      <c r="J10123" s="63"/>
    </row>
    <row r="10124" spans="9:10" x14ac:dyDescent="0.35">
      <c r="I10124" s="63"/>
      <c r="J10124" s="63"/>
    </row>
    <row r="10125" spans="9:10" x14ac:dyDescent="0.35">
      <c r="I10125" s="63"/>
      <c r="J10125" s="63"/>
    </row>
    <row r="10126" spans="9:10" x14ac:dyDescent="0.35">
      <c r="I10126" s="63"/>
      <c r="J10126" s="63"/>
    </row>
    <row r="10127" spans="9:10" x14ac:dyDescent="0.35">
      <c r="I10127" s="63"/>
      <c r="J10127" s="63"/>
    </row>
    <row r="10128" spans="9:10" x14ac:dyDescent="0.35">
      <c r="I10128" s="63"/>
      <c r="J10128" s="63"/>
    </row>
    <row r="10129" spans="9:10" x14ac:dyDescent="0.35">
      <c r="I10129" s="63"/>
      <c r="J10129" s="63"/>
    </row>
    <row r="10130" spans="9:10" x14ac:dyDescent="0.35">
      <c r="I10130" s="63"/>
      <c r="J10130" s="63"/>
    </row>
    <row r="10131" spans="9:10" x14ac:dyDescent="0.35">
      <c r="I10131" s="63"/>
      <c r="J10131" s="63"/>
    </row>
    <row r="10132" spans="9:10" x14ac:dyDescent="0.35">
      <c r="I10132" s="63"/>
      <c r="J10132" s="63"/>
    </row>
    <row r="10133" spans="9:10" x14ac:dyDescent="0.35">
      <c r="I10133" s="63"/>
      <c r="J10133" s="63"/>
    </row>
    <row r="10134" spans="9:10" x14ac:dyDescent="0.35">
      <c r="I10134" s="63"/>
      <c r="J10134" s="63"/>
    </row>
    <row r="10135" spans="9:10" x14ac:dyDescent="0.35">
      <c r="I10135" s="63"/>
      <c r="J10135" s="63"/>
    </row>
    <row r="10136" spans="9:10" x14ac:dyDescent="0.35">
      <c r="I10136" s="63"/>
      <c r="J10136" s="63"/>
    </row>
    <row r="10137" spans="9:10" x14ac:dyDescent="0.35">
      <c r="I10137" s="63"/>
      <c r="J10137" s="63"/>
    </row>
    <row r="10138" spans="9:10" x14ac:dyDescent="0.35">
      <c r="I10138" s="63"/>
      <c r="J10138" s="63"/>
    </row>
    <row r="10139" spans="9:10" x14ac:dyDescent="0.35">
      <c r="I10139" s="63"/>
      <c r="J10139" s="63"/>
    </row>
    <row r="10140" spans="9:10" x14ac:dyDescent="0.35">
      <c r="I10140" s="63"/>
      <c r="J10140" s="63"/>
    </row>
    <row r="10141" spans="9:10" x14ac:dyDescent="0.35">
      <c r="I10141" s="63"/>
      <c r="J10141" s="63"/>
    </row>
    <row r="10142" spans="9:10" x14ac:dyDescent="0.35">
      <c r="I10142" s="63"/>
      <c r="J10142" s="63"/>
    </row>
    <row r="10143" spans="9:10" x14ac:dyDescent="0.35">
      <c r="I10143" s="63"/>
      <c r="J10143" s="63"/>
    </row>
    <row r="10144" spans="9:10" x14ac:dyDescent="0.35">
      <c r="I10144" s="63"/>
      <c r="J10144" s="63"/>
    </row>
    <row r="10145" spans="9:10" x14ac:dyDescent="0.35">
      <c r="I10145" s="63"/>
      <c r="J10145" s="63"/>
    </row>
    <row r="10146" spans="9:10" x14ac:dyDescent="0.35">
      <c r="I10146" s="63"/>
      <c r="J10146" s="63"/>
    </row>
    <row r="10147" spans="9:10" x14ac:dyDescent="0.35">
      <c r="I10147" s="63"/>
      <c r="J10147" s="63"/>
    </row>
    <row r="10148" spans="9:10" x14ac:dyDescent="0.35">
      <c r="I10148" s="63"/>
      <c r="J10148" s="63"/>
    </row>
    <row r="10149" spans="9:10" x14ac:dyDescent="0.35">
      <c r="I10149" s="63"/>
      <c r="J10149" s="63"/>
    </row>
    <row r="10150" spans="9:10" x14ac:dyDescent="0.35">
      <c r="I10150" s="63"/>
      <c r="J10150" s="63"/>
    </row>
    <row r="10151" spans="9:10" x14ac:dyDescent="0.35">
      <c r="I10151" s="63"/>
      <c r="J10151" s="63"/>
    </row>
    <row r="10152" spans="9:10" x14ac:dyDescent="0.35">
      <c r="I10152" s="63"/>
      <c r="J10152" s="63"/>
    </row>
    <row r="10153" spans="9:10" x14ac:dyDescent="0.35">
      <c r="I10153" s="63"/>
      <c r="J10153" s="63"/>
    </row>
    <row r="10154" spans="9:10" x14ac:dyDescent="0.35">
      <c r="I10154" s="63"/>
      <c r="J10154" s="63"/>
    </row>
    <row r="10155" spans="9:10" x14ac:dyDescent="0.35">
      <c r="I10155" s="63"/>
      <c r="J10155" s="63"/>
    </row>
    <row r="10156" spans="9:10" x14ac:dyDescent="0.35">
      <c r="I10156" s="63"/>
      <c r="J10156" s="63"/>
    </row>
    <row r="10157" spans="9:10" x14ac:dyDescent="0.35">
      <c r="I10157" s="63"/>
      <c r="J10157" s="63"/>
    </row>
    <row r="10158" spans="9:10" x14ac:dyDescent="0.35">
      <c r="I10158" s="63"/>
      <c r="J10158" s="63"/>
    </row>
    <row r="10159" spans="9:10" x14ac:dyDescent="0.35">
      <c r="I10159" s="63"/>
      <c r="J10159" s="63"/>
    </row>
    <row r="10160" spans="9:10" x14ac:dyDescent="0.35">
      <c r="I10160" s="63"/>
      <c r="J10160" s="63"/>
    </row>
    <row r="10161" spans="9:10" x14ac:dyDescent="0.35">
      <c r="I10161" s="63"/>
      <c r="J10161" s="63"/>
    </row>
    <row r="10162" spans="9:10" x14ac:dyDescent="0.35">
      <c r="I10162" s="63"/>
      <c r="J10162" s="63"/>
    </row>
    <row r="10163" spans="9:10" x14ac:dyDescent="0.35">
      <c r="I10163" s="63"/>
      <c r="J10163" s="63"/>
    </row>
    <row r="10164" spans="9:10" x14ac:dyDescent="0.35">
      <c r="I10164" s="63"/>
      <c r="J10164" s="63"/>
    </row>
    <row r="10165" spans="9:10" x14ac:dyDescent="0.35">
      <c r="I10165" s="63"/>
      <c r="J10165" s="63"/>
    </row>
    <row r="10166" spans="9:10" x14ac:dyDescent="0.35">
      <c r="I10166" s="63"/>
      <c r="J10166" s="63"/>
    </row>
    <row r="10167" spans="9:10" x14ac:dyDescent="0.35">
      <c r="I10167" s="63"/>
      <c r="J10167" s="63"/>
    </row>
    <row r="10168" spans="9:10" x14ac:dyDescent="0.35">
      <c r="I10168" s="63"/>
      <c r="J10168" s="63"/>
    </row>
    <row r="10169" spans="9:10" x14ac:dyDescent="0.35">
      <c r="I10169" s="63"/>
      <c r="J10169" s="63"/>
    </row>
    <row r="10170" spans="9:10" x14ac:dyDescent="0.35">
      <c r="I10170" s="63"/>
      <c r="J10170" s="63"/>
    </row>
    <row r="10171" spans="9:10" x14ac:dyDescent="0.35">
      <c r="I10171" s="63"/>
      <c r="J10171" s="63"/>
    </row>
    <row r="10172" spans="9:10" x14ac:dyDescent="0.35">
      <c r="I10172" s="63"/>
      <c r="J10172" s="63"/>
    </row>
    <row r="10173" spans="9:10" x14ac:dyDescent="0.35">
      <c r="I10173" s="63"/>
      <c r="J10173" s="63"/>
    </row>
    <row r="10174" spans="9:10" x14ac:dyDescent="0.35">
      <c r="I10174" s="63"/>
      <c r="J10174" s="63"/>
    </row>
    <row r="10175" spans="9:10" x14ac:dyDescent="0.35">
      <c r="I10175" s="63"/>
      <c r="J10175" s="63"/>
    </row>
    <row r="10176" spans="9:10" x14ac:dyDescent="0.35">
      <c r="I10176" s="63"/>
      <c r="J10176" s="63"/>
    </row>
    <row r="10177" spans="9:10" x14ac:dyDescent="0.35">
      <c r="I10177" s="63"/>
      <c r="J10177" s="63"/>
    </row>
    <row r="10178" spans="9:10" x14ac:dyDescent="0.35">
      <c r="I10178" s="63"/>
      <c r="J10178" s="63"/>
    </row>
    <row r="10179" spans="9:10" x14ac:dyDescent="0.35">
      <c r="I10179" s="63"/>
      <c r="J10179" s="63"/>
    </row>
    <row r="10180" spans="9:10" x14ac:dyDescent="0.35">
      <c r="I10180" s="63"/>
      <c r="J10180" s="63"/>
    </row>
    <row r="10181" spans="9:10" x14ac:dyDescent="0.35">
      <c r="I10181" s="63"/>
      <c r="J10181" s="63"/>
    </row>
    <row r="10182" spans="9:10" x14ac:dyDescent="0.35">
      <c r="I10182" s="63"/>
      <c r="J10182" s="63"/>
    </row>
    <row r="10183" spans="9:10" x14ac:dyDescent="0.35">
      <c r="I10183" s="63"/>
      <c r="J10183" s="63"/>
    </row>
    <row r="10184" spans="9:10" x14ac:dyDescent="0.35">
      <c r="I10184" s="63"/>
      <c r="J10184" s="63"/>
    </row>
    <row r="10185" spans="9:10" x14ac:dyDescent="0.35">
      <c r="I10185" s="63"/>
      <c r="J10185" s="63"/>
    </row>
    <row r="10186" spans="9:10" x14ac:dyDescent="0.35">
      <c r="I10186" s="63"/>
      <c r="J10186" s="63"/>
    </row>
    <row r="10187" spans="9:10" x14ac:dyDescent="0.35">
      <c r="I10187" s="63"/>
      <c r="J10187" s="63"/>
    </row>
    <row r="10188" spans="9:10" x14ac:dyDescent="0.35">
      <c r="I10188" s="63"/>
      <c r="J10188" s="63"/>
    </row>
    <row r="10189" spans="9:10" x14ac:dyDescent="0.35">
      <c r="I10189" s="63"/>
      <c r="J10189" s="63"/>
    </row>
    <row r="10190" spans="9:10" x14ac:dyDescent="0.35">
      <c r="I10190" s="63"/>
      <c r="J10190" s="63"/>
    </row>
    <row r="10191" spans="9:10" x14ac:dyDescent="0.35">
      <c r="I10191" s="63"/>
      <c r="J10191" s="63"/>
    </row>
    <row r="10192" spans="9:10" x14ac:dyDescent="0.35">
      <c r="I10192" s="63"/>
      <c r="J10192" s="63"/>
    </row>
    <row r="10193" spans="9:10" x14ac:dyDescent="0.35">
      <c r="I10193" s="63"/>
      <c r="J10193" s="63"/>
    </row>
    <row r="10194" spans="9:10" x14ac:dyDescent="0.35">
      <c r="I10194" s="63"/>
      <c r="J10194" s="63"/>
    </row>
    <row r="10195" spans="9:10" x14ac:dyDescent="0.35">
      <c r="I10195" s="63"/>
      <c r="J10195" s="63"/>
    </row>
    <row r="10196" spans="9:10" x14ac:dyDescent="0.35">
      <c r="I10196" s="63"/>
      <c r="J10196" s="63"/>
    </row>
    <row r="10197" spans="9:10" x14ac:dyDescent="0.35">
      <c r="I10197" s="63"/>
      <c r="J10197" s="63"/>
    </row>
    <row r="10198" spans="9:10" x14ac:dyDescent="0.35">
      <c r="I10198" s="63"/>
      <c r="J10198" s="63"/>
    </row>
    <row r="10199" spans="9:10" x14ac:dyDescent="0.35">
      <c r="I10199" s="63"/>
      <c r="J10199" s="63"/>
    </row>
    <row r="10200" spans="9:10" x14ac:dyDescent="0.35">
      <c r="I10200" s="63"/>
      <c r="J10200" s="63"/>
    </row>
    <row r="10201" spans="9:10" x14ac:dyDescent="0.35">
      <c r="I10201" s="63"/>
      <c r="J10201" s="63"/>
    </row>
    <row r="10202" spans="9:10" x14ac:dyDescent="0.35">
      <c r="I10202" s="63"/>
      <c r="J10202" s="63"/>
    </row>
    <row r="10203" spans="9:10" x14ac:dyDescent="0.35">
      <c r="I10203" s="63"/>
      <c r="J10203" s="63"/>
    </row>
    <row r="10204" spans="9:10" x14ac:dyDescent="0.35">
      <c r="I10204" s="63"/>
      <c r="J10204" s="63"/>
    </row>
    <row r="10205" spans="9:10" x14ac:dyDescent="0.35">
      <c r="I10205" s="63"/>
      <c r="J10205" s="63"/>
    </row>
    <row r="10206" spans="9:10" x14ac:dyDescent="0.35">
      <c r="I10206" s="63"/>
      <c r="J10206" s="63"/>
    </row>
    <row r="10207" spans="9:10" x14ac:dyDescent="0.35">
      <c r="I10207" s="63"/>
      <c r="J10207" s="63"/>
    </row>
    <row r="10208" spans="9:10" x14ac:dyDescent="0.35">
      <c r="I10208" s="63"/>
      <c r="J10208" s="63"/>
    </row>
    <row r="10209" spans="9:10" x14ac:dyDescent="0.35">
      <c r="I10209" s="63"/>
      <c r="J10209" s="63"/>
    </row>
    <row r="10210" spans="9:10" x14ac:dyDescent="0.35">
      <c r="I10210" s="63"/>
      <c r="J10210" s="63"/>
    </row>
    <row r="10211" spans="9:10" x14ac:dyDescent="0.35">
      <c r="I10211" s="63"/>
      <c r="J10211" s="63"/>
    </row>
    <row r="10212" spans="9:10" x14ac:dyDescent="0.35">
      <c r="I10212" s="63"/>
      <c r="J10212" s="63"/>
    </row>
    <row r="10213" spans="9:10" x14ac:dyDescent="0.35">
      <c r="I10213" s="63"/>
      <c r="J10213" s="63"/>
    </row>
    <row r="10214" spans="9:10" x14ac:dyDescent="0.35">
      <c r="I10214" s="63"/>
      <c r="J10214" s="63"/>
    </row>
    <row r="10215" spans="9:10" x14ac:dyDescent="0.35">
      <c r="I10215" s="63"/>
      <c r="J10215" s="63"/>
    </row>
    <row r="10216" spans="9:10" x14ac:dyDescent="0.35">
      <c r="I10216" s="63"/>
      <c r="J10216" s="63"/>
    </row>
    <row r="10217" spans="9:10" x14ac:dyDescent="0.35">
      <c r="I10217" s="63"/>
      <c r="J10217" s="63"/>
    </row>
    <row r="10218" spans="9:10" x14ac:dyDescent="0.35">
      <c r="I10218" s="63"/>
      <c r="J10218" s="63"/>
    </row>
    <row r="10219" spans="9:10" x14ac:dyDescent="0.35">
      <c r="I10219" s="63"/>
      <c r="J10219" s="63"/>
    </row>
    <row r="10220" spans="9:10" x14ac:dyDescent="0.35">
      <c r="I10220" s="63"/>
      <c r="J10220" s="63"/>
    </row>
    <row r="10221" spans="9:10" x14ac:dyDescent="0.35">
      <c r="I10221" s="63"/>
      <c r="J10221" s="63"/>
    </row>
    <row r="10222" spans="9:10" x14ac:dyDescent="0.35">
      <c r="I10222" s="63"/>
      <c r="J10222" s="63"/>
    </row>
    <row r="10223" spans="9:10" x14ac:dyDescent="0.35">
      <c r="I10223" s="63"/>
      <c r="J10223" s="63"/>
    </row>
    <row r="10224" spans="9:10" x14ac:dyDescent="0.35">
      <c r="I10224" s="63"/>
      <c r="J10224" s="63"/>
    </row>
    <row r="10225" spans="9:10" x14ac:dyDescent="0.35">
      <c r="I10225" s="63"/>
      <c r="J10225" s="63"/>
    </row>
    <row r="10226" spans="9:10" x14ac:dyDescent="0.35">
      <c r="I10226" s="63"/>
      <c r="J10226" s="63"/>
    </row>
    <row r="10227" spans="9:10" x14ac:dyDescent="0.35">
      <c r="I10227" s="63"/>
      <c r="J10227" s="63"/>
    </row>
    <row r="10228" spans="9:10" x14ac:dyDescent="0.35">
      <c r="I10228" s="63"/>
      <c r="J10228" s="63"/>
    </row>
    <row r="10229" spans="9:10" x14ac:dyDescent="0.35">
      <c r="I10229" s="63"/>
      <c r="J10229" s="63"/>
    </row>
    <row r="10230" spans="9:10" x14ac:dyDescent="0.35">
      <c r="I10230" s="63"/>
      <c r="J10230" s="63"/>
    </row>
    <row r="10231" spans="9:10" x14ac:dyDescent="0.35">
      <c r="I10231" s="63"/>
      <c r="J10231" s="63"/>
    </row>
    <row r="10232" spans="9:10" x14ac:dyDescent="0.35">
      <c r="I10232" s="63"/>
      <c r="J10232" s="63"/>
    </row>
    <row r="10233" spans="9:10" x14ac:dyDescent="0.35">
      <c r="I10233" s="63"/>
      <c r="J10233" s="63"/>
    </row>
    <row r="10234" spans="9:10" x14ac:dyDescent="0.35">
      <c r="I10234" s="63"/>
      <c r="J10234" s="63"/>
    </row>
    <row r="10235" spans="9:10" x14ac:dyDescent="0.35">
      <c r="I10235" s="63"/>
      <c r="J10235" s="63"/>
    </row>
    <row r="10236" spans="9:10" x14ac:dyDescent="0.35">
      <c r="I10236" s="63"/>
      <c r="J10236" s="63"/>
    </row>
    <row r="10237" spans="9:10" x14ac:dyDescent="0.35">
      <c r="I10237" s="63"/>
      <c r="J10237" s="63"/>
    </row>
    <row r="10238" spans="9:10" x14ac:dyDescent="0.35">
      <c r="I10238" s="63"/>
      <c r="J10238" s="63"/>
    </row>
    <row r="10239" spans="9:10" x14ac:dyDescent="0.35">
      <c r="I10239" s="63"/>
      <c r="J10239" s="63"/>
    </row>
    <row r="10240" spans="9:10" x14ac:dyDescent="0.35">
      <c r="I10240" s="63"/>
      <c r="J10240" s="63"/>
    </row>
    <row r="10241" spans="9:10" x14ac:dyDescent="0.35">
      <c r="I10241" s="63"/>
      <c r="J10241" s="63"/>
    </row>
    <row r="10242" spans="9:10" x14ac:dyDescent="0.35">
      <c r="I10242" s="63"/>
      <c r="J10242" s="63"/>
    </row>
    <row r="10243" spans="9:10" x14ac:dyDescent="0.35">
      <c r="I10243" s="63"/>
      <c r="J10243" s="63"/>
    </row>
    <row r="10244" spans="9:10" x14ac:dyDescent="0.35">
      <c r="I10244" s="63"/>
      <c r="J10244" s="63"/>
    </row>
    <row r="10245" spans="9:10" x14ac:dyDescent="0.35">
      <c r="I10245" s="63"/>
      <c r="J10245" s="63"/>
    </row>
    <row r="10246" spans="9:10" x14ac:dyDescent="0.35">
      <c r="I10246" s="63"/>
      <c r="J10246" s="63"/>
    </row>
    <row r="10247" spans="9:10" x14ac:dyDescent="0.35">
      <c r="I10247" s="63"/>
      <c r="J10247" s="63"/>
    </row>
    <row r="10248" spans="9:10" x14ac:dyDescent="0.35">
      <c r="I10248" s="63"/>
      <c r="J10248" s="63"/>
    </row>
    <row r="10249" spans="9:10" x14ac:dyDescent="0.35">
      <c r="I10249" s="63"/>
      <c r="J10249" s="63"/>
    </row>
    <row r="10250" spans="9:10" x14ac:dyDescent="0.35">
      <c r="I10250" s="63"/>
      <c r="J10250" s="63"/>
    </row>
    <row r="10251" spans="9:10" x14ac:dyDescent="0.35">
      <c r="I10251" s="63"/>
      <c r="J10251" s="63"/>
    </row>
    <row r="10252" spans="9:10" x14ac:dyDescent="0.35">
      <c r="I10252" s="63"/>
      <c r="J10252" s="63"/>
    </row>
    <row r="10253" spans="9:10" x14ac:dyDescent="0.35">
      <c r="I10253" s="63"/>
      <c r="J10253" s="63"/>
    </row>
    <row r="10254" spans="9:10" x14ac:dyDescent="0.35">
      <c r="I10254" s="63"/>
      <c r="J10254" s="63"/>
    </row>
    <row r="10255" spans="9:10" x14ac:dyDescent="0.35">
      <c r="I10255" s="63"/>
      <c r="J10255" s="63"/>
    </row>
    <row r="10256" spans="9:10" x14ac:dyDescent="0.35">
      <c r="I10256" s="63"/>
      <c r="J10256" s="63"/>
    </row>
    <row r="10257" spans="9:10" x14ac:dyDescent="0.35">
      <c r="I10257" s="63"/>
      <c r="J10257" s="63"/>
    </row>
    <row r="10258" spans="9:10" x14ac:dyDescent="0.35">
      <c r="I10258" s="63"/>
      <c r="J10258" s="63"/>
    </row>
    <row r="10259" spans="9:10" x14ac:dyDescent="0.35">
      <c r="I10259" s="63"/>
      <c r="J10259" s="63"/>
    </row>
    <row r="10260" spans="9:10" x14ac:dyDescent="0.35">
      <c r="I10260" s="63"/>
      <c r="J10260" s="63"/>
    </row>
    <row r="10261" spans="9:10" x14ac:dyDescent="0.35">
      <c r="I10261" s="63"/>
      <c r="J10261" s="63"/>
    </row>
    <row r="10262" spans="9:10" x14ac:dyDescent="0.35">
      <c r="I10262" s="63"/>
      <c r="J10262" s="63"/>
    </row>
    <row r="10263" spans="9:10" x14ac:dyDescent="0.35">
      <c r="I10263" s="63"/>
      <c r="J10263" s="63"/>
    </row>
    <row r="10264" spans="9:10" x14ac:dyDescent="0.35">
      <c r="I10264" s="63"/>
      <c r="J10264" s="63"/>
    </row>
    <row r="10265" spans="9:10" x14ac:dyDescent="0.35">
      <c r="I10265" s="63"/>
      <c r="J10265" s="63"/>
    </row>
    <row r="10266" spans="9:10" x14ac:dyDescent="0.35">
      <c r="I10266" s="63"/>
      <c r="J10266" s="63"/>
    </row>
    <row r="10267" spans="9:10" x14ac:dyDescent="0.35">
      <c r="I10267" s="63"/>
      <c r="J10267" s="63"/>
    </row>
    <row r="10268" spans="9:10" x14ac:dyDescent="0.35">
      <c r="I10268" s="63"/>
      <c r="J10268" s="63"/>
    </row>
    <row r="10269" spans="9:10" x14ac:dyDescent="0.35">
      <c r="I10269" s="63"/>
      <c r="J10269" s="63"/>
    </row>
    <row r="10270" spans="9:10" x14ac:dyDescent="0.35">
      <c r="I10270" s="63"/>
      <c r="J10270" s="63"/>
    </row>
    <row r="10271" spans="9:10" x14ac:dyDescent="0.35">
      <c r="I10271" s="63"/>
      <c r="J10271" s="63"/>
    </row>
    <row r="10272" spans="9:10" x14ac:dyDescent="0.35">
      <c r="I10272" s="63"/>
      <c r="J10272" s="63"/>
    </row>
    <row r="10273" spans="9:10" x14ac:dyDescent="0.35">
      <c r="I10273" s="63"/>
      <c r="J10273" s="63"/>
    </row>
    <row r="10274" spans="9:10" x14ac:dyDescent="0.35">
      <c r="I10274" s="63"/>
      <c r="J10274" s="63"/>
    </row>
    <row r="10275" spans="9:10" x14ac:dyDescent="0.35">
      <c r="I10275" s="63"/>
      <c r="J10275" s="63"/>
    </row>
    <row r="10276" spans="9:10" x14ac:dyDescent="0.35">
      <c r="I10276" s="63"/>
      <c r="J10276" s="63"/>
    </row>
    <row r="10277" spans="9:10" x14ac:dyDescent="0.35">
      <c r="I10277" s="63"/>
      <c r="J10277" s="63"/>
    </row>
    <row r="10278" spans="9:10" x14ac:dyDescent="0.35">
      <c r="I10278" s="63"/>
      <c r="J10278" s="63"/>
    </row>
    <row r="10279" spans="9:10" x14ac:dyDescent="0.35">
      <c r="I10279" s="63"/>
      <c r="J10279" s="63"/>
    </row>
    <row r="10280" spans="9:10" x14ac:dyDescent="0.35">
      <c r="I10280" s="63"/>
      <c r="J10280" s="63"/>
    </row>
    <row r="10281" spans="9:10" x14ac:dyDescent="0.35">
      <c r="I10281" s="63"/>
      <c r="J10281" s="63"/>
    </row>
    <row r="10282" spans="9:10" x14ac:dyDescent="0.35">
      <c r="I10282" s="63"/>
      <c r="J10282" s="63"/>
    </row>
    <row r="10283" spans="9:10" x14ac:dyDescent="0.35">
      <c r="I10283" s="63"/>
      <c r="J10283" s="63"/>
    </row>
    <row r="10284" spans="9:10" x14ac:dyDescent="0.35">
      <c r="I10284" s="63"/>
      <c r="J10284" s="63"/>
    </row>
    <row r="10285" spans="9:10" x14ac:dyDescent="0.35">
      <c r="I10285" s="63"/>
      <c r="J10285" s="63"/>
    </row>
    <row r="10286" spans="9:10" x14ac:dyDescent="0.35">
      <c r="I10286" s="63"/>
      <c r="J10286" s="63"/>
    </row>
    <row r="10287" spans="9:10" x14ac:dyDescent="0.35">
      <c r="I10287" s="63"/>
      <c r="J10287" s="63"/>
    </row>
    <row r="10288" spans="9:10" x14ac:dyDescent="0.35">
      <c r="I10288" s="63"/>
      <c r="J10288" s="63"/>
    </row>
    <row r="10289" spans="9:10" x14ac:dyDescent="0.35">
      <c r="I10289" s="63"/>
      <c r="J10289" s="63"/>
    </row>
    <row r="10290" spans="9:10" x14ac:dyDescent="0.35">
      <c r="I10290" s="63"/>
      <c r="J10290" s="63"/>
    </row>
    <row r="10291" spans="9:10" x14ac:dyDescent="0.35">
      <c r="I10291" s="63"/>
      <c r="J10291" s="63"/>
    </row>
    <row r="10292" spans="9:10" x14ac:dyDescent="0.35">
      <c r="I10292" s="63"/>
      <c r="J10292" s="63"/>
    </row>
    <row r="10293" spans="9:10" x14ac:dyDescent="0.35">
      <c r="I10293" s="63"/>
      <c r="J10293" s="63"/>
    </row>
    <row r="10294" spans="9:10" x14ac:dyDescent="0.35">
      <c r="I10294" s="63"/>
      <c r="J10294" s="63"/>
    </row>
    <row r="10295" spans="9:10" x14ac:dyDescent="0.35">
      <c r="I10295" s="63"/>
      <c r="J10295" s="63"/>
    </row>
    <row r="10296" spans="9:10" x14ac:dyDescent="0.35">
      <c r="I10296" s="63"/>
      <c r="J10296" s="63"/>
    </row>
    <row r="10297" spans="9:10" x14ac:dyDescent="0.35">
      <c r="I10297" s="63"/>
      <c r="J10297" s="63"/>
    </row>
    <row r="10298" spans="9:10" x14ac:dyDescent="0.35">
      <c r="I10298" s="63"/>
      <c r="J10298" s="63"/>
    </row>
    <row r="10299" spans="9:10" x14ac:dyDescent="0.35">
      <c r="I10299" s="63"/>
      <c r="J10299" s="63"/>
    </row>
    <row r="10300" spans="9:10" x14ac:dyDescent="0.35">
      <c r="I10300" s="63"/>
      <c r="J10300" s="63"/>
    </row>
    <row r="10301" spans="9:10" x14ac:dyDescent="0.35">
      <c r="I10301" s="63"/>
      <c r="J10301" s="63"/>
    </row>
    <row r="10302" spans="9:10" x14ac:dyDescent="0.35">
      <c r="I10302" s="63"/>
      <c r="J10302" s="63"/>
    </row>
    <row r="10303" spans="9:10" x14ac:dyDescent="0.35">
      <c r="I10303" s="63"/>
      <c r="J10303" s="63"/>
    </row>
    <row r="10304" spans="9:10" x14ac:dyDescent="0.35">
      <c r="I10304" s="63"/>
      <c r="J10304" s="63"/>
    </row>
    <row r="10305" spans="9:10" x14ac:dyDescent="0.35">
      <c r="I10305" s="63"/>
      <c r="J10305" s="63"/>
    </row>
    <row r="10306" spans="9:10" x14ac:dyDescent="0.35">
      <c r="I10306" s="63"/>
      <c r="J10306" s="63"/>
    </row>
    <row r="10307" spans="9:10" x14ac:dyDescent="0.35">
      <c r="I10307" s="63"/>
      <c r="J10307" s="63"/>
    </row>
    <row r="10308" spans="9:10" x14ac:dyDescent="0.35">
      <c r="I10308" s="63"/>
      <c r="J10308" s="63"/>
    </row>
    <row r="10309" spans="9:10" x14ac:dyDescent="0.35">
      <c r="I10309" s="63"/>
      <c r="J10309" s="63"/>
    </row>
    <row r="10310" spans="9:10" x14ac:dyDescent="0.35">
      <c r="I10310" s="63"/>
      <c r="J10310" s="63"/>
    </row>
    <row r="10311" spans="9:10" x14ac:dyDescent="0.35">
      <c r="I10311" s="63"/>
      <c r="J10311" s="63"/>
    </row>
    <row r="10312" spans="9:10" x14ac:dyDescent="0.35">
      <c r="I10312" s="63"/>
      <c r="J10312" s="63"/>
    </row>
    <row r="10313" spans="9:10" x14ac:dyDescent="0.35">
      <c r="I10313" s="63"/>
      <c r="J10313" s="63"/>
    </row>
    <row r="10314" spans="9:10" x14ac:dyDescent="0.35">
      <c r="I10314" s="63"/>
      <c r="J10314" s="63"/>
    </row>
    <row r="10315" spans="9:10" x14ac:dyDescent="0.35">
      <c r="I10315" s="63"/>
      <c r="J10315" s="63"/>
    </row>
    <row r="10316" spans="9:10" x14ac:dyDescent="0.35">
      <c r="I10316" s="63"/>
      <c r="J10316" s="63"/>
    </row>
    <row r="10317" spans="9:10" x14ac:dyDescent="0.35">
      <c r="I10317" s="63"/>
      <c r="J10317" s="63"/>
    </row>
    <row r="10318" spans="9:10" x14ac:dyDescent="0.35">
      <c r="I10318" s="63"/>
      <c r="J10318" s="63"/>
    </row>
    <row r="10319" spans="9:10" x14ac:dyDescent="0.35">
      <c r="I10319" s="63"/>
      <c r="J10319" s="63"/>
    </row>
    <row r="10320" spans="9:10" x14ac:dyDescent="0.35">
      <c r="I10320" s="63"/>
      <c r="J10320" s="63"/>
    </row>
    <row r="10321" spans="9:10" x14ac:dyDescent="0.35">
      <c r="I10321" s="63"/>
      <c r="J10321" s="63"/>
    </row>
    <row r="10322" spans="9:10" x14ac:dyDescent="0.35">
      <c r="I10322" s="63"/>
      <c r="J10322" s="63"/>
    </row>
    <row r="10323" spans="9:10" x14ac:dyDescent="0.35">
      <c r="I10323" s="63"/>
      <c r="J10323" s="63"/>
    </row>
    <row r="10324" spans="9:10" x14ac:dyDescent="0.35">
      <c r="I10324" s="63"/>
      <c r="J10324" s="63"/>
    </row>
    <row r="10325" spans="9:10" x14ac:dyDescent="0.35">
      <c r="I10325" s="63"/>
      <c r="J10325" s="63"/>
    </row>
    <row r="10326" spans="9:10" x14ac:dyDescent="0.35">
      <c r="I10326" s="63"/>
      <c r="J10326" s="63"/>
    </row>
    <row r="10327" spans="9:10" x14ac:dyDescent="0.35">
      <c r="I10327" s="63"/>
      <c r="J10327" s="63"/>
    </row>
    <row r="10328" spans="9:10" x14ac:dyDescent="0.35">
      <c r="I10328" s="63"/>
      <c r="J10328" s="63"/>
    </row>
    <row r="10329" spans="9:10" x14ac:dyDescent="0.35">
      <c r="I10329" s="63"/>
      <c r="J10329" s="63"/>
    </row>
    <row r="10330" spans="9:10" x14ac:dyDescent="0.35">
      <c r="I10330" s="63"/>
      <c r="J10330" s="63"/>
    </row>
    <row r="10331" spans="9:10" x14ac:dyDescent="0.35">
      <c r="I10331" s="63"/>
      <c r="J10331" s="63"/>
    </row>
    <row r="10332" spans="9:10" x14ac:dyDescent="0.35">
      <c r="I10332" s="63"/>
      <c r="J10332" s="63"/>
    </row>
    <row r="10333" spans="9:10" x14ac:dyDescent="0.35">
      <c r="I10333" s="63"/>
      <c r="J10333" s="63"/>
    </row>
    <row r="10334" spans="9:10" x14ac:dyDescent="0.35">
      <c r="I10334" s="63"/>
      <c r="J10334" s="63"/>
    </row>
    <row r="10335" spans="9:10" x14ac:dyDescent="0.35">
      <c r="I10335" s="63"/>
      <c r="J10335" s="63"/>
    </row>
    <row r="10336" spans="9:10" x14ac:dyDescent="0.35">
      <c r="I10336" s="63"/>
      <c r="J10336" s="63"/>
    </row>
    <row r="10337" spans="9:10" x14ac:dyDescent="0.35">
      <c r="I10337" s="63"/>
      <c r="J10337" s="63"/>
    </row>
    <row r="10338" spans="9:10" x14ac:dyDescent="0.35">
      <c r="I10338" s="63"/>
      <c r="J10338" s="63"/>
    </row>
    <row r="10339" spans="9:10" x14ac:dyDescent="0.35">
      <c r="I10339" s="63"/>
      <c r="J10339" s="63"/>
    </row>
    <row r="10340" spans="9:10" x14ac:dyDescent="0.35">
      <c r="I10340" s="63"/>
      <c r="J10340" s="63"/>
    </row>
    <row r="10341" spans="9:10" x14ac:dyDescent="0.35">
      <c r="I10341" s="63"/>
      <c r="J10341" s="63"/>
    </row>
    <row r="10342" spans="9:10" x14ac:dyDescent="0.35">
      <c r="I10342" s="63"/>
      <c r="J10342" s="63"/>
    </row>
    <row r="10343" spans="9:10" x14ac:dyDescent="0.35">
      <c r="I10343" s="63"/>
      <c r="J10343" s="63"/>
    </row>
    <row r="10344" spans="9:10" x14ac:dyDescent="0.35">
      <c r="I10344" s="63"/>
      <c r="J10344" s="63"/>
    </row>
    <row r="10345" spans="9:10" x14ac:dyDescent="0.35">
      <c r="I10345" s="63"/>
      <c r="J10345" s="63"/>
    </row>
    <row r="10346" spans="9:10" x14ac:dyDescent="0.35">
      <c r="I10346" s="63"/>
      <c r="J10346" s="63"/>
    </row>
    <row r="10347" spans="9:10" x14ac:dyDescent="0.35">
      <c r="I10347" s="63"/>
      <c r="J10347" s="63"/>
    </row>
    <row r="10348" spans="9:10" x14ac:dyDescent="0.35">
      <c r="I10348" s="63"/>
      <c r="J10348" s="63"/>
    </row>
    <row r="10349" spans="9:10" x14ac:dyDescent="0.35">
      <c r="I10349" s="63"/>
      <c r="J10349" s="63"/>
    </row>
    <row r="10350" spans="9:10" x14ac:dyDescent="0.35">
      <c r="I10350" s="63"/>
      <c r="J10350" s="63"/>
    </row>
    <row r="10351" spans="9:10" x14ac:dyDescent="0.35">
      <c r="I10351" s="63"/>
      <c r="J10351" s="63"/>
    </row>
    <row r="10352" spans="9:10" x14ac:dyDescent="0.35">
      <c r="I10352" s="63"/>
      <c r="J10352" s="63"/>
    </row>
    <row r="10353" spans="9:10" x14ac:dyDescent="0.35">
      <c r="I10353" s="63"/>
      <c r="J10353" s="63"/>
    </row>
    <row r="10354" spans="9:10" x14ac:dyDescent="0.35">
      <c r="I10354" s="63"/>
      <c r="J10354" s="63"/>
    </row>
    <row r="10355" spans="9:10" x14ac:dyDescent="0.35">
      <c r="I10355" s="63"/>
      <c r="J10355" s="63"/>
    </row>
    <row r="10356" spans="9:10" x14ac:dyDescent="0.35">
      <c r="I10356" s="63"/>
      <c r="J10356" s="63"/>
    </row>
    <row r="10357" spans="9:10" x14ac:dyDescent="0.35">
      <c r="I10357" s="63"/>
      <c r="J10357" s="63"/>
    </row>
    <row r="10358" spans="9:10" x14ac:dyDescent="0.35">
      <c r="I10358" s="63"/>
      <c r="J10358" s="63"/>
    </row>
    <row r="10359" spans="9:10" x14ac:dyDescent="0.35">
      <c r="I10359" s="63"/>
      <c r="J10359" s="63"/>
    </row>
    <row r="10360" spans="9:10" x14ac:dyDescent="0.35">
      <c r="I10360" s="63"/>
      <c r="J10360" s="63"/>
    </row>
    <row r="10361" spans="9:10" x14ac:dyDescent="0.35">
      <c r="I10361" s="63"/>
      <c r="J10361" s="63"/>
    </row>
    <row r="10362" spans="9:10" x14ac:dyDescent="0.35">
      <c r="I10362" s="63"/>
      <c r="J10362" s="63"/>
    </row>
    <row r="10363" spans="9:10" x14ac:dyDescent="0.35">
      <c r="I10363" s="63"/>
      <c r="J10363" s="63"/>
    </row>
    <row r="10364" spans="9:10" x14ac:dyDescent="0.35">
      <c r="I10364" s="63"/>
      <c r="J10364" s="63"/>
    </row>
    <row r="10365" spans="9:10" x14ac:dyDescent="0.35">
      <c r="I10365" s="63"/>
      <c r="J10365" s="63"/>
    </row>
    <row r="10366" spans="9:10" x14ac:dyDescent="0.35">
      <c r="I10366" s="63"/>
      <c r="J10366" s="63"/>
    </row>
    <row r="10367" spans="9:10" x14ac:dyDescent="0.35">
      <c r="I10367" s="63"/>
      <c r="J10367" s="63"/>
    </row>
    <row r="10368" spans="9:10" x14ac:dyDescent="0.35">
      <c r="I10368" s="63"/>
      <c r="J10368" s="63"/>
    </row>
    <row r="10369" spans="9:10" x14ac:dyDescent="0.35">
      <c r="I10369" s="63"/>
      <c r="J10369" s="63"/>
    </row>
    <row r="10370" spans="9:10" x14ac:dyDescent="0.35">
      <c r="I10370" s="63"/>
      <c r="J10370" s="63"/>
    </row>
    <row r="10371" spans="9:10" x14ac:dyDescent="0.35">
      <c r="I10371" s="63"/>
      <c r="J10371" s="63"/>
    </row>
    <row r="10372" spans="9:10" x14ac:dyDescent="0.35">
      <c r="I10372" s="63"/>
      <c r="J10372" s="63"/>
    </row>
    <row r="10373" spans="9:10" x14ac:dyDescent="0.35">
      <c r="I10373" s="63"/>
      <c r="J10373" s="63"/>
    </row>
    <row r="10374" spans="9:10" x14ac:dyDescent="0.35">
      <c r="I10374" s="63"/>
      <c r="J10374" s="63"/>
    </row>
    <row r="10375" spans="9:10" x14ac:dyDescent="0.35">
      <c r="I10375" s="63"/>
      <c r="J10375" s="63"/>
    </row>
    <row r="10376" spans="9:10" x14ac:dyDescent="0.35">
      <c r="I10376" s="63"/>
      <c r="J10376" s="63"/>
    </row>
    <row r="10377" spans="9:10" x14ac:dyDescent="0.35">
      <c r="I10377" s="63"/>
      <c r="J10377" s="63"/>
    </row>
    <row r="10378" spans="9:10" x14ac:dyDescent="0.35">
      <c r="I10378" s="63"/>
      <c r="J10378" s="63"/>
    </row>
    <row r="10379" spans="9:10" x14ac:dyDescent="0.35">
      <c r="I10379" s="63"/>
      <c r="J10379" s="63"/>
    </row>
    <row r="10380" spans="9:10" x14ac:dyDescent="0.35">
      <c r="I10380" s="63"/>
      <c r="J10380" s="63"/>
    </row>
    <row r="10381" spans="9:10" x14ac:dyDescent="0.35">
      <c r="I10381" s="63"/>
      <c r="J10381" s="63"/>
    </row>
    <row r="10382" spans="9:10" x14ac:dyDescent="0.35">
      <c r="I10382" s="63"/>
      <c r="J10382" s="63"/>
    </row>
    <row r="10383" spans="9:10" x14ac:dyDescent="0.35">
      <c r="I10383" s="63"/>
      <c r="J10383" s="63"/>
    </row>
    <row r="10384" spans="9:10" x14ac:dyDescent="0.35">
      <c r="I10384" s="63"/>
      <c r="J10384" s="63"/>
    </row>
    <row r="10385" spans="9:10" x14ac:dyDescent="0.35">
      <c r="I10385" s="63"/>
      <c r="J10385" s="63"/>
    </row>
    <row r="10386" spans="9:10" x14ac:dyDescent="0.35">
      <c r="I10386" s="63"/>
      <c r="J10386" s="63"/>
    </row>
    <row r="10387" spans="9:10" x14ac:dyDescent="0.35">
      <c r="I10387" s="63"/>
      <c r="J10387" s="63"/>
    </row>
    <row r="10388" spans="9:10" x14ac:dyDescent="0.35">
      <c r="I10388" s="63"/>
      <c r="J10388" s="63"/>
    </row>
    <row r="10389" spans="9:10" x14ac:dyDescent="0.35">
      <c r="I10389" s="63"/>
      <c r="J10389" s="63"/>
    </row>
    <row r="10390" spans="9:10" x14ac:dyDescent="0.35">
      <c r="I10390" s="63"/>
      <c r="J10390" s="63"/>
    </row>
    <row r="10391" spans="9:10" x14ac:dyDescent="0.35">
      <c r="I10391" s="63"/>
      <c r="J10391" s="63"/>
    </row>
    <row r="10392" spans="9:10" x14ac:dyDescent="0.35">
      <c r="I10392" s="63"/>
      <c r="J10392" s="63"/>
    </row>
    <row r="10393" spans="9:10" x14ac:dyDescent="0.35">
      <c r="I10393" s="63"/>
      <c r="J10393" s="63"/>
    </row>
    <row r="10394" spans="9:10" x14ac:dyDescent="0.35">
      <c r="I10394" s="63"/>
      <c r="J10394" s="63"/>
    </row>
    <row r="10395" spans="9:10" x14ac:dyDescent="0.35">
      <c r="I10395" s="63"/>
      <c r="J10395" s="63"/>
    </row>
    <row r="10396" spans="9:10" x14ac:dyDescent="0.35">
      <c r="I10396" s="63"/>
      <c r="J10396" s="63"/>
    </row>
    <row r="10397" spans="9:10" x14ac:dyDescent="0.35">
      <c r="I10397" s="63"/>
      <c r="J10397" s="63"/>
    </row>
    <row r="10398" spans="9:10" x14ac:dyDescent="0.35">
      <c r="I10398" s="63"/>
      <c r="J10398" s="63"/>
    </row>
    <row r="10399" spans="9:10" x14ac:dyDescent="0.35">
      <c r="I10399" s="63"/>
      <c r="J10399" s="63"/>
    </row>
    <row r="10400" spans="9:10" x14ac:dyDescent="0.35">
      <c r="I10400" s="63"/>
      <c r="J10400" s="63"/>
    </row>
    <row r="10401" spans="9:10" x14ac:dyDescent="0.35">
      <c r="I10401" s="63"/>
      <c r="J10401" s="63"/>
    </row>
    <row r="10402" spans="9:10" x14ac:dyDescent="0.35">
      <c r="I10402" s="63"/>
      <c r="J10402" s="63"/>
    </row>
    <row r="10403" spans="9:10" x14ac:dyDescent="0.35">
      <c r="I10403" s="63"/>
      <c r="J10403" s="63"/>
    </row>
    <row r="10404" spans="9:10" x14ac:dyDescent="0.35">
      <c r="I10404" s="63"/>
      <c r="J10404" s="63"/>
    </row>
    <row r="10405" spans="9:10" x14ac:dyDescent="0.35">
      <c r="I10405" s="63"/>
      <c r="J10405" s="63"/>
    </row>
    <row r="10406" spans="9:10" x14ac:dyDescent="0.35">
      <c r="I10406" s="63"/>
      <c r="J10406" s="63"/>
    </row>
    <row r="10407" spans="9:10" x14ac:dyDescent="0.35">
      <c r="I10407" s="63"/>
      <c r="J10407" s="63"/>
    </row>
    <row r="10408" spans="9:10" x14ac:dyDescent="0.35">
      <c r="I10408" s="63"/>
      <c r="J10408" s="63"/>
    </row>
    <row r="10409" spans="9:10" x14ac:dyDescent="0.35">
      <c r="I10409" s="63"/>
      <c r="J10409" s="63"/>
    </row>
    <row r="10410" spans="9:10" x14ac:dyDescent="0.35">
      <c r="I10410" s="63"/>
      <c r="J10410" s="63"/>
    </row>
    <row r="10411" spans="9:10" x14ac:dyDescent="0.35">
      <c r="I10411" s="63"/>
      <c r="J10411" s="63"/>
    </row>
    <row r="10412" spans="9:10" x14ac:dyDescent="0.35">
      <c r="I10412" s="63"/>
      <c r="J10412" s="63"/>
    </row>
    <row r="10413" spans="9:10" x14ac:dyDescent="0.35">
      <c r="I10413" s="63"/>
      <c r="J10413" s="63"/>
    </row>
    <row r="10414" spans="9:10" x14ac:dyDescent="0.35">
      <c r="I10414" s="63"/>
      <c r="J10414" s="63"/>
    </row>
    <row r="10415" spans="9:10" x14ac:dyDescent="0.35">
      <c r="I10415" s="63"/>
      <c r="J10415" s="63"/>
    </row>
    <row r="10416" spans="9:10" x14ac:dyDescent="0.35">
      <c r="I10416" s="63"/>
      <c r="J10416" s="63"/>
    </row>
    <row r="10417" spans="9:10" x14ac:dyDescent="0.35">
      <c r="I10417" s="63"/>
      <c r="J10417" s="63"/>
    </row>
    <row r="10418" spans="9:10" x14ac:dyDescent="0.35">
      <c r="I10418" s="63"/>
      <c r="J10418" s="63"/>
    </row>
    <row r="10419" spans="9:10" x14ac:dyDescent="0.35">
      <c r="I10419" s="63"/>
      <c r="J10419" s="63"/>
    </row>
    <row r="10420" spans="9:10" x14ac:dyDescent="0.35">
      <c r="I10420" s="63"/>
      <c r="J10420" s="63"/>
    </row>
    <row r="10421" spans="9:10" x14ac:dyDescent="0.35">
      <c r="I10421" s="63"/>
      <c r="J10421" s="63"/>
    </row>
    <row r="10422" spans="9:10" x14ac:dyDescent="0.35">
      <c r="I10422" s="63"/>
      <c r="J10422" s="63"/>
    </row>
    <row r="10423" spans="9:10" x14ac:dyDescent="0.35">
      <c r="I10423" s="63"/>
      <c r="J10423" s="63"/>
    </row>
    <row r="10424" spans="9:10" x14ac:dyDescent="0.35">
      <c r="I10424" s="63"/>
      <c r="J10424" s="63"/>
    </row>
    <row r="10425" spans="9:10" x14ac:dyDescent="0.35">
      <c r="I10425" s="63"/>
      <c r="J10425" s="63"/>
    </row>
    <row r="10426" spans="9:10" x14ac:dyDescent="0.35">
      <c r="I10426" s="63"/>
      <c r="J10426" s="63"/>
    </row>
    <row r="10427" spans="9:10" x14ac:dyDescent="0.35">
      <c r="I10427" s="63"/>
      <c r="J10427" s="63"/>
    </row>
    <row r="10428" spans="9:10" x14ac:dyDescent="0.35">
      <c r="I10428" s="63"/>
      <c r="J10428" s="63"/>
    </row>
    <row r="10429" spans="9:10" x14ac:dyDescent="0.35">
      <c r="I10429" s="63"/>
      <c r="J10429" s="63"/>
    </row>
    <row r="10430" spans="9:10" x14ac:dyDescent="0.35">
      <c r="I10430" s="63"/>
      <c r="J10430" s="63"/>
    </row>
    <row r="10431" spans="9:10" x14ac:dyDescent="0.35">
      <c r="I10431" s="63"/>
      <c r="J10431" s="63"/>
    </row>
    <row r="10432" spans="9:10" x14ac:dyDescent="0.35">
      <c r="I10432" s="63"/>
      <c r="J10432" s="63"/>
    </row>
    <row r="10433" spans="9:10" x14ac:dyDescent="0.35">
      <c r="I10433" s="63"/>
      <c r="J10433" s="63"/>
    </row>
    <row r="10434" spans="9:10" x14ac:dyDescent="0.35">
      <c r="I10434" s="63"/>
      <c r="J10434" s="63"/>
    </row>
    <row r="10435" spans="9:10" x14ac:dyDescent="0.35">
      <c r="I10435" s="63"/>
      <c r="J10435" s="63"/>
    </row>
    <row r="10436" spans="9:10" x14ac:dyDescent="0.35">
      <c r="I10436" s="63"/>
      <c r="J10436" s="63"/>
    </row>
    <row r="10437" spans="9:10" x14ac:dyDescent="0.35">
      <c r="I10437" s="63"/>
      <c r="J10437" s="63"/>
    </row>
    <row r="10438" spans="9:10" x14ac:dyDescent="0.35">
      <c r="I10438" s="63"/>
      <c r="J10438" s="63"/>
    </row>
    <row r="10439" spans="9:10" x14ac:dyDescent="0.35">
      <c r="I10439" s="63"/>
      <c r="J10439" s="63"/>
    </row>
    <row r="10440" spans="9:10" x14ac:dyDescent="0.35">
      <c r="I10440" s="63"/>
      <c r="J10440" s="63"/>
    </row>
    <row r="10441" spans="9:10" x14ac:dyDescent="0.35">
      <c r="I10441" s="63"/>
      <c r="J10441" s="63"/>
    </row>
    <row r="10442" spans="9:10" x14ac:dyDescent="0.35">
      <c r="I10442" s="63"/>
      <c r="J10442" s="63"/>
    </row>
    <row r="10443" spans="9:10" x14ac:dyDescent="0.35">
      <c r="I10443" s="63"/>
      <c r="J10443" s="63"/>
    </row>
    <row r="10444" spans="9:10" x14ac:dyDescent="0.35">
      <c r="I10444" s="63"/>
      <c r="J10444" s="63"/>
    </row>
    <row r="10445" spans="9:10" x14ac:dyDescent="0.35">
      <c r="I10445" s="63"/>
      <c r="J10445" s="63"/>
    </row>
    <row r="10446" spans="9:10" x14ac:dyDescent="0.35">
      <c r="I10446" s="63"/>
      <c r="J10446" s="63"/>
    </row>
    <row r="10447" spans="9:10" x14ac:dyDescent="0.35">
      <c r="I10447" s="63"/>
      <c r="J10447" s="63"/>
    </row>
    <row r="10448" spans="9:10" x14ac:dyDescent="0.35">
      <c r="I10448" s="63"/>
      <c r="J10448" s="63"/>
    </row>
    <row r="10449" spans="9:10" x14ac:dyDescent="0.35">
      <c r="I10449" s="63"/>
      <c r="J10449" s="63"/>
    </row>
    <row r="10450" spans="9:10" x14ac:dyDescent="0.35">
      <c r="I10450" s="63"/>
      <c r="J10450" s="63"/>
    </row>
    <row r="10451" spans="9:10" x14ac:dyDescent="0.35">
      <c r="I10451" s="63"/>
      <c r="J10451" s="63"/>
    </row>
    <row r="10452" spans="9:10" x14ac:dyDescent="0.35">
      <c r="I10452" s="63"/>
      <c r="J10452" s="63"/>
    </row>
    <row r="10453" spans="9:10" x14ac:dyDescent="0.35">
      <c r="I10453" s="63"/>
      <c r="J10453" s="63"/>
    </row>
    <row r="10454" spans="9:10" x14ac:dyDescent="0.35">
      <c r="I10454" s="63"/>
      <c r="J10454" s="63"/>
    </row>
    <row r="10455" spans="9:10" x14ac:dyDescent="0.35">
      <c r="I10455" s="63"/>
      <c r="J10455" s="63"/>
    </row>
    <row r="10456" spans="9:10" x14ac:dyDescent="0.35">
      <c r="I10456" s="63"/>
      <c r="J10456" s="63"/>
    </row>
    <row r="10457" spans="9:10" x14ac:dyDescent="0.35">
      <c r="I10457" s="63"/>
      <c r="J10457" s="63"/>
    </row>
    <row r="10458" spans="9:10" x14ac:dyDescent="0.35">
      <c r="I10458" s="63"/>
      <c r="J10458" s="63"/>
    </row>
    <row r="10459" spans="9:10" x14ac:dyDescent="0.35">
      <c r="I10459" s="63"/>
      <c r="J10459" s="63"/>
    </row>
    <row r="10460" spans="9:10" x14ac:dyDescent="0.35">
      <c r="I10460" s="63"/>
      <c r="J10460" s="63"/>
    </row>
    <row r="10461" spans="9:10" x14ac:dyDescent="0.35">
      <c r="I10461" s="63"/>
      <c r="J10461" s="63"/>
    </row>
    <row r="10462" spans="9:10" x14ac:dyDescent="0.35">
      <c r="I10462" s="63"/>
      <c r="J10462" s="63"/>
    </row>
    <row r="10463" spans="9:10" x14ac:dyDescent="0.35">
      <c r="I10463" s="63"/>
      <c r="J10463" s="63"/>
    </row>
    <row r="10464" spans="9:10" x14ac:dyDescent="0.35">
      <c r="I10464" s="63"/>
      <c r="J10464" s="63"/>
    </row>
    <row r="10465" spans="9:10" x14ac:dyDescent="0.35">
      <c r="I10465" s="63"/>
      <c r="J10465" s="63"/>
    </row>
    <row r="10466" spans="9:10" x14ac:dyDescent="0.35">
      <c r="I10466" s="63"/>
      <c r="J10466" s="63"/>
    </row>
    <row r="10467" spans="9:10" x14ac:dyDescent="0.35">
      <c r="I10467" s="63"/>
      <c r="J10467" s="63"/>
    </row>
    <row r="10468" spans="9:10" x14ac:dyDescent="0.35">
      <c r="I10468" s="63"/>
      <c r="J10468" s="63"/>
    </row>
    <row r="10469" spans="9:10" x14ac:dyDescent="0.35">
      <c r="I10469" s="63"/>
      <c r="J10469" s="63"/>
    </row>
    <row r="10470" spans="9:10" x14ac:dyDescent="0.35">
      <c r="I10470" s="63"/>
      <c r="J10470" s="63"/>
    </row>
    <row r="10471" spans="9:10" x14ac:dyDescent="0.35">
      <c r="I10471" s="63"/>
      <c r="J10471" s="63"/>
    </row>
    <row r="10472" spans="9:10" x14ac:dyDescent="0.35">
      <c r="I10472" s="63"/>
      <c r="J10472" s="63"/>
    </row>
    <row r="10473" spans="9:10" x14ac:dyDescent="0.35">
      <c r="I10473" s="63"/>
      <c r="J10473" s="63"/>
    </row>
    <row r="10474" spans="9:10" x14ac:dyDescent="0.35">
      <c r="I10474" s="63"/>
      <c r="J10474" s="63"/>
    </row>
    <row r="10475" spans="9:10" x14ac:dyDescent="0.35">
      <c r="I10475" s="63"/>
      <c r="J10475" s="63"/>
    </row>
    <row r="10476" spans="9:10" x14ac:dyDescent="0.35">
      <c r="I10476" s="63"/>
      <c r="J10476" s="63"/>
    </row>
    <row r="10477" spans="9:10" x14ac:dyDescent="0.35">
      <c r="I10477" s="63"/>
      <c r="J10477" s="63"/>
    </row>
    <row r="10478" spans="9:10" x14ac:dyDescent="0.35">
      <c r="I10478" s="63"/>
      <c r="J10478" s="63"/>
    </row>
    <row r="10479" spans="9:10" x14ac:dyDescent="0.35">
      <c r="I10479" s="63"/>
      <c r="J10479" s="63"/>
    </row>
    <row r="10480" spans="9:10" x14ac:dyDescent="0.35">
      <c r="I10480" s="63"/>
      <c r="J10480" s="63"/>
    </row>
    <row r="10481" spans="9:10" x14ac:dyDescent="0.35">
      <c r="I10481" s="63"/>
      <c r="J10481" s="63"/>
    </row>
    <row r="10482" spans="9:10" x14ac:dyDescent="0.35">
      <c r="I10482" s="63"/>
      <c r="J10482" s="63"/>
    </row>
    <row r="10483" spans="9:10" x14ac:dyDescent="0.35">
      <c r="I10483" s="63"/>
      <c r="J10483" s="63"/>
    </row>
    <row r="10484" spans="9:10" x14ac:dyDescent="0.35">
      <c r="I10484" s="63"/>
      <c r="J10484" s="63"/>
    </row>
    <row r="10485" spans="9:10" x14ac:dyDescent="0.35">
      <c r="I10485" s="63"/>
      <c r="J10485" s="63"/>
    </row>
    <row r="10486" spans="9:10" x14ac:dyDescent="0.35">
      <c r="I10486" s="63"/>
      <c r="J10486" s="63"/>
    </row>
    <row r="10487" spans="9:10" x14ac:dyDescent="0.35">
      <c r="I10487" s="63"/>
      <c r="J10487" s="63"/>
    </row>
    <row r="10488" spans="9:10" x14ac:dyDescent="0.35">
      <c r="I10488" s="63"/>
      <c r="J10488" s="63"/>
    </row>
    <row r="10489" spans="9:10" x14ac:dyDescent="0.35">
      <c r="I10489" s="63"/>
      <c r="J10489" s="63"/>
    </row>
    <row r="10490" spans="9:10" x14ac:dyDescent="0.35">
      <c r="I10490" s="63"/>
      <c r="J10490" s="63"/>
    </row>
    <row r="10491" spans="9:10" x14ac:dyDescent="0.35">
      <c r="I10491" s="63"/>
      <c r="J10491" s="63"/>
    </row>
    <row r="10492" spans="9:10" x14ac:dyDescent="0.35">
      <c r="I10492" s="63"/>
      <c r="J10492" s="63"/>
    </row>
    <row r="10493" spans="9:10" x14ac:dyDescent="0.35">
      <c r="I10493" s="63"/>
      <c r="J10493" s="63"/>
    </row>
    <row r="10494" spans="9:10" x14ac:dyDescent="0.35">
      <c r="I10494" s="63"/>
      <c r="J10494" s="63"/>
    </row>
    <row r="10495" spans="9:10" x14ac:dyDescent="0.35">
      <c r="I10495" s="63"/>
      <c r="J10495" s="63"/>
    </row>
    <row r="10496" spans="9:10" x14ac:dyDescent="0.35">
      <c r="I10496" s="63"/>
      <c r="J10496" s="63"/>
    </row>
    <row r="10497" spans="9:10" x14ac:dyDescent="0.35">
      <c r="I10497" s="63"/>
      <c r="J10497" s="63"/>
    </row>
    <row r="10498" spans="9:10" x14ac:dyDescent="0.35">
      <c r="I10498" s="63"/>
      <c r="J10498" s="63"/>
    </row>
    <row r="10499" spans="9:10" x14ac:dyDescent="0.35">
      <c r="I10499" s="63"/>
      <c r="J10499" s="63"/>
    </row>
    <row r="10500" spans="9:10" x14ac:dyDescent="0.35">
      <c r="I10500" s="63"/>
      <c r="J10500" s="63"/>
    </row>
    <row r="10501" spans="9:10" x14ac:dyDescent="0.35">
      <c r="I10501" s="63"/>
      <c r="J10501" s="63"/>
    </row>
    <row r="10502" spans="9:10" x14ac:dyDescent="0.35">
      <c r="I10502" s="63"/>
      <c r="J10502" s="63"/>
    </row>
    <row r="10503" spans="9:10" x14ac:dyDescent="0.35">
      <c r="I10503" s="63"/>
      <c r="J10503" s="63"/>
    </row>
    <row r="10504" spans="9:10" x14ac:dyDescent="0.35">
      <c r="I10504" s="63"/>
      <c r="J10504" s="63"/>
    </row>
    <row r="10505" spans="9:10" x14ac:dyDescent="0.35">
      <c r="I10505" s="63"/>
      <c r="J10505" s="63"/>
    </row>
    <row r="10506" spans="9:10" x14ac:dyDescent="0.35">
      <c r="I10506" s="63"/>
      <c r="J10506" s="63"/>
    </row>
    <row r="10507" spans="9:10" x14ac:dyDescent="0.35">
      <c r="I10507" s="63"/>
      <c r="J10507" s="63"/>
    </row>
    <row r="10508" spans="9:10" x14ac:dyDescent="0.35">
      <c r="I10508" s="63"/>
      <c r="J10508" s="63"/>
    </row>
    <row r="10509" spans="9:10" x14ac:dyDescent="0.35">
      <c r="I10509" s="63"/>
      <c r="J10509" s="63"/>
    </row>
    <row r="10510" spans="9:10" x14ac:dyDescent="0.35">
      <c r="I10510" s="63"/>
      <c r="J10510" s="63"/>
    </row>
    <row r="10511" spans="9:10" x14ac:dyDescent="0.35">
      <c r="I10511" s="63"/>
      <c r="J10511" s="63"/>
    </row>
    <row r="10512" spans="9:10" x14ac:dyDescent="0.35">
      <c r="I10512" s="63"/>
      <c r="J10512" s="63"/>
    </row>
    <row r="10513" spans="9:10" x14ac:dyDescent="0.35">
      <c r="I10513" s="63"/>
      <c r="J10513" s="63"/>
    </row>
    <row r="10514" spans="9:10" x14ac:dyDescent="0.35">
      <c r="I10514" s="63"/>
      <c r="J10514" s="63"/>
    </row>
    <row r="10515" spans="9:10" x14ac:dyDescent="0.35">
      <c r="I10515" s="63"/>
      <c r="J10515" s="63"/>
    </row>
    <row r="10516" spans="9:10" x14ac:dyDescent="0.35">
      <c r="I10516" s="63"/>
      <c r="J10516" s="63"/>
    </row>
    <row r="10517" spans="9:10" x14ac:dyDescent="0.35">
      <c r="I10517" s="63"/>
      <c r="J10517" s="63"/>
    </row>
    <row r="10518" spans="9:10" x14ac:dyDescent="0.35">
      <c r="I10518" s="63"/>
      <c r="J10518" s="63"/>
    </row>
    <row r="10519" spans="9:10" x14ac:dyDescent="0.35">
      <c r="I10519" s="63"/>
      <c r="J10519" s="63"/>
    </row>
    <row r="10520" spans="9:10" x14ac:dyDescent="0.35">
      <c r="I10520" s="63"/>
      <c r="J10520" s="63"/>
    </row>
    <row r="10521" spans="9:10" x14ac:dyDescent="0.35">
      <c r="I10521" s="63"/>
      <c r="J10521" s="63"/>
    </row>
    <row r="10522" spans="9:10" x14ac:dyDescent="0.35">
      <c r="I10522" s="63"/>
      <c r="J10522" s="63"/>
    </row>
    <row r="10523" spans="9:10" x14ac:dyDescent="0.35">
      <c r="I10523" s="63"/>
      <c r="J10523" s="63"/>
    </row>
    <row r="10524" spans="9:10" x14ac:dyDescent="0.35">
      <c r="I10524" s="63"/>
      <c r="J10524" s="63"/>
    </row>
    <row r="10525" spans="9:10" x14ac:dyDescent="0.35">
      <c r="I10525" s="63"/>
      <c r="J10525" s="63"/>
    </row>
    <row r="10526" spans="9:10" x14ac:dyDescent="0.35">
      <c r="I10526" s="63"/>
      <c r="J10526" s="63"/>
    </row>
    <row r="10527" spans="9:10" x14ac:dyDescent="0.35">
      <c r="I10527" s="63"/>
      <c r="J10527" s="63"/>
    </row>
    <row r="10528" spans="9:10" x14ac:dyDescent="0.35">
      <c r="I10528" s="63"/>
      <c r="J10528" s="63"/>
    </row>
    <row r="10529" spans="9:10" x14ac:dyDescent="0.35">
      <c r="I10529" s="63"/>
      <c r="J10529" s="63"/>
    </row>
    <row r="10530" spans="9:10" x14ac:dyDescent="0.35">
      <c r="I10530" s="63"/>
      <c r="J10530" s="63"/>
    </row>
    <row r="10531" spans="9:10" x14ac:dyDescent="0.35">
      <c r="I10531" s="63"/>
      <c r="J10531" s="63"/>
    </row>
    <row r="10532" spans="9:10" x14ac:dyDescent="0.35">
      <c r="I10532" s="63"/>
      <c r="J10532" s="63"/>
    </row>
    <row r="10533" spans="9:10" x14ac:dyDescent="0.35">
      <c r="I10533" s="63"/>
      <c r="J10533" s="63"/>
    </row>
    <row r="10534" spans="9:10" x14ac:dyDescent="0.35">
      <c r="I10534" s="63"/>
      <c r="J10534" s="63"/>
    </row>
    <row r="10535" spans="9:10" x14ac:dyDescent="0.35">
      <c r="I10535" s="63"/>
      <c r="J10535" s="63"/>
    </row>
    <row r="10536" spans="9:10" x14ac:dyDescent="0.35">
      <c r="I10536" s="63"/>
      <c r="J10536" s="63"/>
    </row>
    <row r="10537" spans="9:10" x14ac:dyDescent="0.35">
      <c r="I10537" s="63"/>
      <c r="J10537" s="63"/>
    </row>
    <row r="10538" spans="9:10" x14ac:dyDescent="0.35">
      <c r="I10538" s="63"/>
      <c r="J10538" s="63"/>
    </row>
    <row r="10539" spans="9:10" x14ac:dyDescent="0.35">
      <c r="I10539" s="63"/>
      <c r="J10539" s="63"/>
    </row>
    <row r="10540" spans="9:10" x14ac:dyDescent="0.35">
      <c r="I10540" s="63"/>
      <c r="J10540" s="63"/>
    </row>
    <row r="10541" spans="9:10" x14ac:dyDescent="0.35">
      <c r="I10541" s="63"/>
      <c r="J10541" s="63"/>
    </row>
    <row r="10542" spans="9:10" x14ac:dyDescent="0.35">
      <c r="I10542" s="63"/>
      <c r="J10542" s="63"/>
    </row>
    <row r="10543" spans="9:10" x14ac:dyDescent="0.35">
      <c r="I10543" s="63"/>
      <c r="J10543" s="63"/>
    </row>
    <row r="10544" spans="9:10" x14ac:dyDescent="0.35">
      <c r="I10544" s="63"/>
      <c r="J10544" s="63"/>
    </row>
    <row r="10545" spans="9:10" x14ac:dyDescent="0.35">
      <c r="I10545" s="63"/>
      <c r="J10545" s="63"/>
    </row>
    <row r="10546" spans="9:10" x14ac:dyDescent="0.35">
      <c r="I10546" s="63"/>
      <c r="J10546" s="63"/>
    </row>
    <row r="10547" spans="9:10" x14ac:dyDescent="0.35">
      <c r="I10547" s="63"/>
      <c r="J10547" s="63"/>
    </row>
    <row r="10548" spans="9:10" x14ac:dyDescent="0.35">
      <c r="I10548" s="63"/>
      <c r="J10548" s="63"/>
    </row>
    <row r="10549" spans="9:10" x14ac:dyDescent="0.35">
      <c r="I10549" s="63"/>
      <c r="J10549" s="63"/>
    </row>
    <row r="10550" spans="9:10" x14ac:dyDescent="0.35">
      <c r="I10550" s="63"/>
      <c r="J10550" s="63"/>
    </row>
    <row r="10551" spans="9:10" x14ac:dyDescent="0.35">
      <c r="I10551" s="63"/>
      <c r="J10551" s="63"/>
    </row>
    <row r="10552" spans="9:10" x14ac:dyDescent="0.35">
      <c r="I10552" s="63"/>
      <c r="J10552" s="63"/>
    </row>
    <row r="10553" spans="9:10" x14ac:dyDescent="0.35">
      <c r="I10553" s="63"/>
      <c r="J10553" s="63"/>
    </row>
    <row r="10554" spans="9:10" x14ac:dyDescent="0.35">
      <c r="I10554" s="63"/>
      <c r="J10554" s="63"/>
    </row>
    <row r="10555" spans="9:10" x14ac:dyDescent="0.35">
      <c r="I10555" s="63"/>
      <c r="J10555" s="63"/>
    </row>
    <row r="10556" spans="9:10" x14ac:dyDescent="0.35">
      <c r="I10556" s="63"/>
      <c r="J10556" s="63"/>
    </row>
    <row r="10557" spans="9:10" x14ac:dyDescent="0.35">
      <c r="I10557" s="63"/>
      <c r="J10557" s="63"/>
    </row>
    <row r="10558" spans="9:10" x14ac:dyDescent="0.35">
      <c r="I10558" s="63"/>
      <c r="J10558" s="63"/>
    </row>
    <row r="10559" spans="9:10" x14ac:dyDescent="0.35">
      <c r="I10559" s="63"/>
      <c r="J10559" s="63"/>
    </row>
    <row r="10560" spans="9:10" x14ac:dyDescent="0.35">
      <c r="I10560" s="63"/>
      <c r="J10560" s="63"/>
    </row>
    <row r="10561" spans="9:10" x14ac:dyDescent="0.35">
      <c r="I10561" s="63"/>
      <c r="J10561" s="63"/>
    </row>
    <row r="10562" spans="9:10" x14ac:dyDescent="0.35">
      <c r="I10562" s="63"/>
      <c r="J10562" s="63"/>
    </row>
    <row r="10563" spans="9:10" x14ac:dyDescent="0.35">
      <c r="I10563" s="63"/>
      <c r="J10563" s="63"/>
    </row>
    <row r="10564" spans="9:10" x14ac:dyDescent="0.35">
      <c r="I10564" s="63"/>
      <c r="J10564" s="63"/>
    </row>
    <row r="10565" spans="9:10" x14ac:dyDescent="0.35">
      <c r="I10565" s="63"/>
      <c r="J10565" s="63"/>
    </row>
    <row r="10566" spans="9:10" x14ac:dyDescent="0.35">
      <c r="I10566" s="63"/>
      <c r="J10566" s="63"/>
    </row>
    <row r="10567" spans="9:10" x14ac:dyDescent="0.35">
      <c r="I10567" s="63"/>
      <c r="J10567" s="63"/>
    </row>
    <row r="10568" spans="9:10" x14ac:dyDescent="0.35">
      <c r="I10568" s="63"/>
      <c r="J10568" s="63"/>
    </row>
    <row r="10569" spans="9:10" x14ac:dyDescent="0.35">
      <c r="I10569" s="63"/>
      <c r="J10569" s="63"/>
    </row>
    <row r="10570" spans="9:10" x14ac:dyDescent="0.35">
      <c r="I10570" s="63"/>
      <c r="J10570" s="63"/>
    </row>
    <row r="10571" spans="9:10" x14ac:dyDescent="0.35">
      <c r="I10571" s="63"/>
      <c r="J10571" s="63"/>
    </row>
    <row r="10572" spans="9:10" x14ac:dyDescent="0.35">
      <c r="I10572" s="63"/>
      <c r="J10572" s="63"/>
    </row>
    <row r="10573" spans="9:10" x14ac:dyDescent="0.35">
      <c r="I10573" s="63"/>
      <c r="J10573" s="63"/>
    </row>
    <row r="10574" spans="9:10" x14ac:dyDescent="0.35">
      <c r="I10574" s="63"/>
      <c r="J10574" s="63"/>
    </row>
    <row r="10575" spans="9:10" x14ac:dyDescent="0.35">
      <c r="I10575" s="63"/>
      <c r="J10575" s="63"/>
    </row>
    <row r="10576" spans="9:10" x14ac:dyDescent="0.35">
      <c r="I10576" s="63"/>
      <c r="J10576" s="63"/>
    </row>
    <row r="10577" spans="9:10" x14ac:dyDescent="0.35">
      <c r="I10577" s="63"/>
      <c r="J10577" s="63"/>
    </row>
    <row r="10578" spans="9:10" x14ac:dyDescent="0.35">
      <c r="I10578" s="63"/>
      <c r="J10578" s="63"/>
    </row>
    <row r="10579" spans="9:10" x14ac:dyDescent="0.35">
      <c r="I10579" s="63"/>
      <c r="J10579" s="63"/>
    </row>
    <row r="10580" spans="9:10" x14ac:dyDescent="0.35">
      <c r="I10580" s="63"/>
      <c r="J10580" s="63"/>
    </row>
    <row r="10581" spans="9:10" x14ac:dyDescent="0.35">
      <c r="I10581" s="63"/>
      <c r="J10581" s="63"/>
    </row>
    <row r="10582" spans="9:10" x14ac:dyDescent="0.35">
      <c r="I10582" s="63"/>
      <c r="J10582" s="63"/>
    </row>
    <row r="10583" spans="9:10" x14ac:dyDescent="0.35">
      <c r="I10583" s="63"/>
      <c r="J10583" s="63"/>
    </row>
    <row r="10584" spans="9:10" x14ac:dyDescent="0.35">
      <c r="I10584" s="63"/>
      <c r="J10584" s="63"/>
    </row>
    <row r="10585" spans="9:10" x14ac:dyDescent="0.35">
      <c r="I10585" s="63"/>
      <c r="J10585" s="63"/>
    </row>
    <row r="10586" spans="9:10" x14ac:dyDescent="0.35">
      <c r="I10586" s="63"/>
      <c r="J10586" s="63"/>
    </row>
    <row r="10587" spans="9:10" x14ac:dyDescent="0.35">
      <c r="I10587" s="63"/>
      <c r="J10587" s="63"/>
    </row>
    <row r="10588" spans="9:10" x14ac:dyDescent="0.35">
      <c r="I10588" s="63"/>
      <c r="J10588" s="63"/>
    </row>
    <row r="10589" spans="9:10" x14ac:dyDescent="0.35">
      <c r="I10589" s="63"/>
      <c r="J10589" s="63"/>
    </row>
    <row r="10590" spans="9:10" x14ac:dyDescent="0.35">
      <c r="I10590" s="63"/>
      <c r="J10590" s="63"/>
    </row>
    <row r="10591" spans="9:10" x14ac:dyDescent="0.35">
      <c r="I10591" s="63"/>
      <c r="J10591" s="63"/>
    </row>
    <row r="10592" spans="9:10" x14ac:dyDescent="0.35">
      <c r="I10592" s="63"/>
      <c r="J10592" s="63"/>
    </row>
    <row r="10593" spans="9:10" x14ac:dyDescent="0.35">
      <c r="I10593" s="63"/>
      <c r="J10593" s="63"/>
    </row>
    <row r="10594" spans="9:10" x14ac:dyDescent="0.35">
      <c r="I10594" s="63"/>
      <c r="J10594" s="63"/>
    </row>
    <row r="10595" spans="9:10" x14ac:dyDescent="0.35">
      <c r="I10595" s="63"/>
      <c r="J10595" s="63"/>
    </row>
    <row r="10596" spans="9:10" x14ac:dyDescent="0.35">
      <c r="I10596" s="63"/>
      <c r="J10596" s="63"/>
    </row>
    <row r="10597" spans="9:10" x14ac:dyDescent="0.35">
      <c r="I10597" s="63"/>
      <c r="J10597" s="63"/>
    </row>
    <row r="10598" spans="9:10" x14ac:dyDescent="0.35">
      <c r="I10598" s="63"/>
      <c r="J10598" s="63"/>
    </row>
    <row r="10599" spans="9:10" x14ac:dyDescent="0.35">
      <c r="I10599" s="63"/>
      <c r="J10599" s="63"/>
    </row>
    <row r="10600" spans="9:10" x14ac:dyDescent="0.35">
      <c r="I10600" s="63"/>
      <c r="J10600" s="63"/>
    </row>
    <row r="10601" spans="9:10" x14ac:dyDescent="0.35">
      <c r="I10601" s="63"/>
      <c r="J10601" s="63"/>
    </row>
    <row r="10602" spans="9:10" x14ac:dyDescent="0.35">
      <c r="I10602" s="63"/>
      <c r="J10602" s="63"/>
    </row>
    <row r="10603" spans="9:10" x14ac:dyDescent="0.35">
      <c r="I10603" s="63"/>
      <c r="J10603" s="63"/>
    </row>
    <row r="10604" spans="9:10" x14ac:dyDescent="0.35">
      <c r="I10604" s="63"/>
      <c r="J10604" s="63"/>
    </row>
    <row r="10605" spans="9:10" x14ac:dyDescent="0.35">
      <c r="I10605" s="63"/>
      <c r="J10605" s="63"/>
    </row>
    <row r="10606" spans="9:10" x14ac:dyDescent="0.35">
      <c r="I10606" s="63"/>
      <c r="J10606" s="63"/>
    </row>
    <row r="10607" spans="9:10" x14ac:dyDescent="0.35">
      <c r="I10607" s="63"/>
      <c r="J10607" s="63"/>
    </row>
    <row r="10608" spans="9:10" x14ac:dyDescent="0.35">
      <c r="I10608" s="63"/>
      <c r="J10608" s="63"/>
    </row>
    <row r="10609" spans="9:10" x14ac:dyDescent="0.35">
      <c r="I10609" s="63"/>
      <c r="J10609" s="63"/>
    </row>
    <row r="10610" spans="9:10" x14ac:dyDescent="0.35">
      <c r="I10610" s="63"/>
      <c r="J10610" s="63"/>
    </row>
    <row r="10611" spans="9:10" x14ac:dyDescent="0.35">
      <c r="I10611" s="63"/>
      <c r="J10611" s="63"/>
    </row>
    <row r="10612" spans="9:10" x14ac:dyDescent="0.35">
      <c r="I10612" s="63"/>
      <c r="J10612" s="63"/>
    </row>
    <row r="10613" spans="9:10" x14ac:dyDescent="0.35">
      <c r="I10613" s="63"/>
      <c r="J10613" s="63"/>
    </row>
    <row r="10614" spans="9:10" x14ac:dyDescent="0.35">
      <c r="I10614" s="63"/>
      <c r="J10614" s="63"/>
    </row>
    <row r="10615" spans="9:10" x14ac:dyDescent="0.35">
      <c r="I10615" s="63"/>
      <c r="J10615" s="63"/>
    </row>
    <row r="10616" spans="9:10" x14ac:dyDescent="0.35">
      <c r="I10616" s="63"/>
      <c r="J10616" s="63"/>
    </row>
    <row r="10617" spans="9:10" x14ac:dyDescent="0.35">
      <c r="I10617" s="63"/>
      <c r="J10617" s="63"/>
    </row>
    <row r="10618" spans="9:10" x14ac:dyDescent="0.35">
      <c r="I10618" s="63"/>
      <c r="J10618" s="63"/>
    </row>
    <row r="10619" spans="9:10" x14ac:dyDescent="0.35">
      <c r="I10619" s="63"/>
      <c r="J10619" s="63"/>
    </row>
    <row r="10620" spans="9:10" x14ac:dyDescent="0.35">
      <c r="I10620" s="63"/>
      <c r="J10620" s="63"/>
    </row>
    <row r="10621" spans="9:10" x14ac:dyDescent="0.35">
      <c r="I10621" s="63"/>
      <c r="J10621" s="63"/>
    </row>
    <row r="10622" spans="9:10" x14ac:dyDescent="0.35">
      <c r="I10622" s="63"/>
      <c r="J10622" s="63"/>
    </row>
    <row r="10623" spans="9:10" x14ac:dyDescent="0.35">
      <c r="I10623" s="63"/>
      <c r="J10623" s="63"/>
    </row>
    <row r="10624" spans="9:10" x14ac:dyDescent="0.35">
      <c r="I10624" s="63"/>
      <c r="J10624" s="63"/>
    </row>
    <row r="10625" spans="9:10" x14ac:dyDescent="0.35">
      <c r="I10625" s="63"/>
      <c r="J10625" s="63"/>
    </row>
    <row r="10626" spans="9:10" x14ac:dyDescent="0.35">
      <c r="I10626" s="63"/>
      <c r="J10626" s="63"/>
    </row>
    <row r="10627" spans="9:10" x14ac:dyDescent="0.35">
      <c r="I10627" s="63"/>
      <c r="J10627" s="63"/>
    </row>
    <row r="10628" spans="9:10" x14ac:dyDescent="0.35">
      <c r="I10628" s="63"/>
      <c r="J10628" s="63"/>
    </row>
    <row r="10629" spans="9:10" x14ac:dyDescent="0.35">
      <c r="I10629" s="63"/>
      <c r="J10629" s="63"/>
    </row>
    <row r="10630" spans="9:10" x14ac:dyDescent="0.35">
      <c r="I10630" s="63"/>
      <c r="J10630" s="63"/>
    </row>
    <row r="10631" spans="9:10" x14ac:dyDescent="0.35">
      <c r="I10631" s="63"/>
      <c r="J10631" s="63"/>
    </row>
    <row r="10632" spans="9:10" x14ac:dyDescent="0.35">
      <c r="I10632" s="63"/>
      <c r="J10632" s="63"/>
    </row>
    <row r="10633" spans="9:10" x14ac:dyDescent="0.35">
      <c r="I10633" s="63"/>
      <c r="J10633" s="63"/>
    </row>
    <row r="10634" spans="9:10" x14ac:dyDescent="0.35">
      <c r="I10634" s="63"/>
      <c r="J10634" s="63"/>
    </row>
    <row r="10635" spans="9:10" x14ac:dyDescent="0.35">
      <c r="I10635" s="63"/>
      <c r="J10635" s="63"/>
    </row>
    <row r="10636" spans="9:10" x14ac:dyDescent="0.35">
      <c r="I10636" s="63"/>
      <c r="J10636" s="63"/>
    </row>
    <row r="10637" spans="9:10" x14ac:dyDescent="0.35">
      <c r="I10637" s="63"/>
      <c r="J10637" s="63"/>
    </row>
    <row r="10638" spans="9:10" x14ac:dyDescent="0.35">
      <c r="I10638" s="63"/>
      <c r="J10638" s="63"/>
    </row>
    <row r="10639" spans="9:10" x14ac:dyDescent="0.35">
      <c r="I10639" s="63"/>
      <c r="J10639" s="63"/>
    </row>
    <row r="10640" spans="9:10" x14ac:dyDescent="0.35">
      <c r="I10640" s="63"/>
      <c r="J10640" s="63"/>
    </row>
    <row r="10641" spans="9:10" x14ac:dyDescent="0.35">
      <c r="I10641" s="63"/>
      <c r="J10641" s="63"/>
    </row>
    <row r="10642" spans="9:10" x14ac:dyDescent="0.35">
      <c r="I10642" s="63"/>
      <c r="J10642" s="63"/>
    </row>
    <row r="10643" spans="9:10" x14ac:dyDescent="0.35">
      <c r="I10643" s="63"/>
      <c r="J10643" s="63"/>
    </row>
    <row r="10644" spans="9:10" x14ac:dyDescent="0.35">
      <c r="I10644" s="63"/>
      <c r="J10644" s="63"/>
    </row>
    <row r="10645" spans="9:10" x14ac:dyDescent="0.35">
      <c r="I10645" s="63"/>
      <c r="J10645" s="63"/>
    </row>
    <row r="10646" spans="9:10" x14ac:dyDescent="0.35">
      <c r="I10646" s="63"/>
      <c r="J10646" s="63"/>
    </row>
    <row r="10647" spans="9:10" x14ac:dyDescent="0.35">
      <c r="I10647" s="63"/>
      <c r="J10647" s="63"/>
    </row>
    <row r="10648" spans="9:10" x14ac:dyDescent="0.35">
      <c r="I10648" s="63"/>
      <c r="J10648" s="63"/>
    </row>
    <row r="10649" spans="9:10" x14ac:dyDescent="0.35">
      <c r="I10649" s="63"/>
      <c r="J10649" s="63"/>
    </row>
    <row r="10650" spans="9:10" x14ac:dyDescent="0.35">
      <c r="I10650" s="63"/>
      <c r="J10650" s="63"/>
    </row>
    <row r="10651" spans="9:10" x14ac:dyDescent="0.35">
      <c r="I10651" s="63"/>
      <c r="J10651" s="63"/>
    </row>
    <row r="10652" spans="9:10" x14ac:dyDescent="0.35">
      <c r="I10652" s="63"/>
      <c r="J10652" s="63"/>
    </row>
    <row r="10653" spans="9:10" x14ac:dyDescent="0.35">
      <c r="I10653" s="63"/>
      <c r="J10653" s="63"/>
    </row>
    <row r="10654" spans="9:10" x14ac:dyDescent="0.35">
      <c r="I10654" s="63"/>
      <c r="J10654" s="63"/>
    </row>
    <row r="10655" spans="9:10" x14ac:dyDescent="0.35">
      <c r="I10655" s="63"/>
      <c r="J10655" s="63"/>
    </row>
    <row r="10656" spans="9:10" x14ac:dyDescent="0.35">
      <c r="I10656" s="63"/>
      <c r="J10656" s="63"/>
    </row>
    <row r="10657" spans="9:10" x14ac:dyDescent="0.35">
      <c r="I10657" s="63"/>
      <c r="J10657" s="63"/>
    </row>
    <row r="10658" spans="9:10" x14ac:dyDescent="0.35">
      <c r="I10658" s="63"/>
      <c r="J10658" s="63"/>
    </row>
    <row r="10659" spans="9:10" x14ac:dyDescent="0.35">
      <c r="I10659" s="63"/>
      <c r="J10659" s="63"/>
    </row>
    <row r="10660" spans="9:10" x14ac:dyDescent="0.35">
      <c r="I10660" s="63"/>
      <c r="J10660" s="63"/>
    </row>
    <row r="10661" spans="9:10" x14ac:dyDescent="0.35">
      <c r="I10661" s="63"/>
      <c r="J10661" s="63"/>
    </row>
    <row r="10662" spans="9:10" x14ac:dyDescent="0.35">
      <c r="I10662" s="63"/>
      <c r="J10662" s="63"/>
    </row>
    <row r="10663" spans="9:10" x14ac:dyDescent="0.35">
      <c r="I10663" s="63"/>
      <c r="J10663" s="63"/>
    </row>
    <row r="10664" spans="9:10" x14ac:dyDescent="0.35">
      <c r="I10664" s="63"/>
      <c r="J10664" s="63"/>
    </row>
    <row r="10665" spans="9:10" x14ac:dyDescent="0.35">
      <c r="I10665" s="63"/>
      <c r="J10665" s="63"/>
    </row>
    <row r="10666" spans="9:10" x14ac:dyDescent="0.35">
      <c r="I10666" s="63"/>
      <c r="J10666" s="63"/>
    </row>
    <row r="10667" spans="9:10" x14ac:dyDescent="0.35">
      <c r="I10667" s="63"/>
      <c r="J10667" s="63"/>
    </row>
    <row r="10668" spans="9:10" x14ac:dyDescent="0.35">
      <c r="I10668" s="63"/>
      <c r="J10668" s="63"/>
    </row>
    <row r="10669" spans="9:10" x14ac:dyDescent="0.35">
      <c r="I10669" s="63"/>
      <c r="J10669" s="63"/>
    </row>
    <row r="10670" spans="9:10" x14ac:dyDescent="0.35">
      <c r="I10670" s="63"/>
      <c r="J10670" s="63"/>
    </row>
    <row r="10671" spans="9:10" x14ac:dyDescent="0.35">
      <c r="I10671" s="63"/>
      <c r="J10671" s="63"/>
    </row>
    <row r="10672" spans="9:10" x14ac:dyDescent="0.35">
      <c r="I10672" s="63"/>
      <c r="J10672" s="63"/>
    </row>
    <row r="10673" spans="9:10" x14ac:dyDescent="0.35">
      <c r="I10673" s="63"/>
      <c r="J10673" s="63"/>
    </row>
    <row r="10674" spans="9:10" x14ac:dyDescent="0.35">
      <c r="I10674" s="63"/>
      <c r="J10674" s="63"/>
    </row>
    <row r="10675" spans="9:10" x14ac:dyDescent="0.35">
      <c r="I10675" s="63"/>
      <c r="J10675" s="63"/>
    </row>
    <row r="10676" spans="9:10" x14ac:dyDescent="0.35">
      <c r="I10676" s="63"/>
      <c r="J10676" s="63"/>
    </row>
    <row r="10677" spans="9:10" x14ac:dyDescent="0.35">
      <c r="I10677" s="63"/>
      <c r="J10677" s="63"/>
    </row>
    <row r="10678" spans="9:10" x14ac:dyDescent="0.35">
      <c r="I10678" s="63"/>
      <c r="J10678" s="63"/>
    </row>
    <row r="10679" spans="9:10" x14ac:dyDescent="0.35">
      <c r="I10679" s="63"/>
      <c r="J10679" s="63"/>
    </row>
    <row r="10680" spans="9:10" x14ac:dyDescent="0.35">
      <c r="I10680" s="63"/>
      <c r="J10680" s="63"/>
    </row>
    <row r="10681" spans="9:10" x14ac:dyDescent="0.35">
      <c r="I10681" s="63"/>
      <c r="J10681" s="63"/>
    </row>
    <row r="10682" spans="9:10" x14ac:dyDescent="0.35">
      <c r="I10682" s="63"/>
      <c r="J10682" s="63"/>
    </row>
    <row r="10683" spans="9:10" x14ac:dyDescent="0.35">
      <c r="I10683" s="63"/>
      <c r="J10683" s="63"/>
    </row>
    <row r="10684" spans="9:10" x14ac:dyDescent="0.35">
      <c r="I10684" s="63"/>
      <c r="J10684" s="63"/>
    </row>
    <row r="10685" spans="9:10" x14ac:dyDescent="0.35">
      <c r="I10685" s="63"/>
      <c r="J10685" s="63"/>
    </row>
    <row r="10686" spans="9:10" x14ac:dyDescent="0.35">
      <c r="I10686" s="63"/>
      <c r="J10686" s="63"/>
    </row>
    <row r="10687" spans="9:10" x14ac:dyDescent="0.35">
      <c r="I10687" s="63"/>
      <c r="J10687" s="63"/>
    </row>
    <row r="10688" spans="9:10" x14ac:dyDescent="0.35">
      <c r="I10688" s="63"/>
      <c r="J10688" s="63"/>
    </row>
    <row r="10689" spans="9:10" x14ac:dyDescent="0.35">
      <c r="I10689" s="63"/>
      <c r="J10689" s="63"/>
    </row>
    <row r="10690" spans="9:10" x14ac:dyDescent="0.35">
      <c r="I10690" s="63"/>
      <c r="J10690" s="63"/>
    </row>
    <row r="10691" spans="9:10" x14ac:dyDescent="0.35">
      <c r="I10691" s="63"/>
      <c r="J10691" s="63"/>
    </row>
    <row r="10692" spans="9:10" x14ac:dyDescent="0.35">
      <c r="I10692" s="63"/>
      <c r="J10692" s="63"/>
    </row>
    <row r="10693" spans="9:10" x14ac:dyDescent="0.35">
      <c r="I10693" s="63"/>
      <c r="J10693" s="63"/>
    </row>
    <row r="10694" spans="9:10" x14ac:dyDescent="0.35">
      <c r="I10694" s="63"/>
      <c r="J10694" s="63"/>
    </row>
    <row r="10695" spans="9:10" x14ac:dyDescent="0.35">
      <c r="I10695" s="63"/>
      <c r="J10695" s="63"/>
    </row>
    <row r="10696" spans="9:10" x14ac:dyDescent="0.35">
      <c r="I10696" s="63"/>
      <c r="J10696" s="63"/>
    </row>
    <row r="10697" spans="9:10" x14ac:dyDescent="0.35">
      <c r="I10697" s="63"/>
      <c r="J10697" s="63"/>
    </row>
    <row r="10698" spans="9:10" x14ac:dyDescent="0.35">
      <c r="I10698" s="63"/>
      <c r="J10698" s="63"/>
    </row>
    <row r="10699" spans="9:10" x14ac:dyDescent="0.35">
      <c r="I10699" s="63"/>
      <c r="J10699" s="63"/>
    </row>
    <row r="10700" spans="9:10" x14ac:dyDescent="0.35">
      <c r="I10700" s="63"/>
      <c r="J10700" s="63"/>
    </row>
    <row r="10701" spans="9:10" x14ac:dyDescent="0.35">
      <c r="I10701" s="63"/>
      <c r="J10701" s="63"/>
    </row>
    <row r="10702" spans="9:10" x14ac:dyDescent="0.35">
      <c r="I10702" s="63"/>
      <c r="J10702" s="63"/>
    </row>
    <row r="10703" spans="9:10" x14ac:dyDescent="0.35">
      <c r="I10703" s="63"/>
      <c r="J10703" s="63"/>
    </row>
    <row r="10704" spans="9:10" x14ac:dyDescent="0.35">
      <c r="I10704" s="63"/>
      <c r="J10704" s="63"/>
    </row>
    <row r="10705" spans="9:10" x14ac:dyDescent="0.35">
      <c r="I10705" s="63"/>
      <c r="J10705" s="63"/>
    </row>
    <row r="10706" spans="9:10" x14ac:dyDescent="0.35">
      <c r="I10706" s="63"/>
      <c r="J10706" s="63"/>
    </row>
    <row r="10707" spans="9:10" x14ac:dyDescent="0.35">
      <c r="I10707" s="63"/>
      <c r="J10707" s="63"/>
    </row>
    <row r="10708" spans="9:10" x14ac:dyDescent="0.35">
      <c r="I10708" s="63"/>
      <c r="J10708" s="63"/>
    </row>
    <row r="10709" spans="9:10" x14ac:dyDescent="0.35">
      <c r="I10709" s="63"/>
      <c r="J10709" s="63"/>
    </row>
    <row r="10710" spans="9:10" x14ac:dyDescent="0.35">
      <c r="I10710" s="63"/>
      <c r="J10710" s="63"/>
    </row>
    <row r="10711" spans="9:10" x14ac:dyDescent="0.35">
      <c r="I10711" s="63"/>
      <c r="J10711" s="63"/>
    </row>
    <row r="10712" spans="9:10" x14ac:dyDescent="0.35">
      <c r="I10712" s="63"/>
      <c r="J10712" s="63"/>
    </row>
    <row r="10713" spans="9:10" x14ac:dyDescent="0.35">
      <c r="I10713" s="63"/>
      <c r="J10713" s="63"/>
    </row>
    <row r="10714" spans="9:10" x14ac:dyDescent="0.35">
      <c r="I10714" s="63"/>
      <c r="J10714" s="63"/>
    </row>
    <row r="10715" spans="9:10" x14ac:dyDescent="0.35">
      <c r="I10715" s="63"/>
      <c r="J10715" s="63"/>
    </row>
    <row r="10716" spans="9:10" x14ac:dyDescent="0.35">
      <c r="I10716" s="63"/>
      <c r="J10716" s="63"/>
    </row>
    <row r="10717" spans="9:10" x14ac:dyDescent="0.35">
      <c r="I10717" s="63"/>
      <c r="J10717" s="63"/>
    </row>
    <row r="10718" spans="9:10" x14ac:dyDescent="0.35">
      <c r="I10718" s="63"/>
      <c r="J10718" s="63"/>
    </row>
    <row r="10719" spans="9:10" x14ac:dyDescent="0.35">
      <c r="I10719" s="63"/>
      <c r="J10719" s="63"/>
    </row>
    <row r="10720" spans="9:10" x14ac:dyDescent="0.35">
      <c r="I10720" s="63"/>
      <c r="J10720" s="63"/>
    </row>
    <row r="10721" spans="9:10" x14ac:dyDescent="0.35">
      <c r="I10721" s="63"/>
      <c r="J10721" s="63"/>
    </row>
    <row r="10722" spans="9:10" x14ac:dyDescent="0.35">
      <c r="I10722" s="63"/>
      <c r="J10722" s="63"/>
    </row>
    <row r="10723" spans="9:10" x14ac:dyDescent="0.35">
      <c r="I10723" s="63"/>
      <c r="J10723" s="63"/>
    </row>
    <row r="10724" spans="9:10" x14ac:dyDescent="0.35">
      <c r="I10724" s="63"/>
      <c r="J10724" s="63"/>
    </row>
    <row r="10725" spans="9:10" x14ac:dyDescent="0.35">
      <c r="I10725" s="63"/>
      <c r="J10725" s="63"/>
    </row>
    <row r="10726" spans="9:10" x14ac:dyDescent="0.35">
      <c r="I10726" s="63"/>
      <c r="J10726" s="63"/>
    </row>
    <row r="10727" spans="9:10" x14ac:dyDescent="0.35">
      <c r="I10727" s="63"/>
      <c r="J10727" s="63"/>
    </row>
    <row r="10728" spans="9:10" x14ac:dyDescent="0.35">
      <c r="I10728" s="63"/>
      <c r="J10728" s="63"/>
    </row>
    <row r="10729" spans="9:10" x14ac:dyDescent="0.35">
      <c r="I10729" s="63"/>
      <c r="J10729" s="63"/>
    </row>
    <row r="10730" spans="9:10" x14ac:dyDescent="0.35">
      <c r="I10730" s="63"/>
      <c r="J10730" s="63"/>
    </row>
    <row r="10731" spans="9:10" x14ac:dyDescent="0.35">
      <c r="I10731" s="63"/>
      <c r="J10731" s="63"/>
    </row>
    <row r="10732" spans="9:10" x14ac:dyDescent="0.35">
      <c r="I10732" s="63"/>
      <c r="J10732" s="63"/>
    </row>
    <row r="10733" spans="9:10" x14ac:dyDescent="0.35">
      <c r="I10733" s="63"/>
      <c r="J10733" s="63"/>
    </row>
    <row r="10734" spans="9:10" x14ac:dyDescent="0.35">
      <c r="I10734" s="63"/>
      <c r="J10734" s="63"/>
    </row>
    <row r="10735" spans="9:10" x14ac:dyDescent="0.35">
      <c r="I10735" s="63"/>
      <c r="J10735" s="63"/>
    </row>
    <row r="10736" spans="9:10" x14ac:dyDescent="0.35">
      <c r="I10736" s="63"/>
      <c r="J10736" s="63"/>
    </row>
    <row r="10737" spans="9:10" x14ac:dyDescent="0.35">
      <c r="I10737" s="63"/>
      <c r="J10737" s="63"/>
    </row>
    <row r="10738" spans="9:10" x14ac:dyDescent="0.35">
      <c r="I10738" s="63"/>
      <c r="J10738" s="63"/>
    </row>
    <row r="10739" spans="9:10" x14ac:dyDescent="0.35">
      <c r="I10739" s="63"/>
      <c r="J10739" s="63"/>
    </row>
    <row r="10740" spans="9:10" x14ac:dyDescent="0.35">
      <c r="I10740" s="63"/>
      <c r="J10740" s="63"/>
    </row>
    <row r="10741" spans="9:10" x14ac:dyDescent="0.35">
      <c r="I10741" s="63"/>
      <c r="J10741" s="63"/>
    </row>
    <row r="10742" spans="9:10" x14ac:dyDescent="0.35">
      <c r="I10742" s="63"/>
      <c r="J10742" s="63"/>
    </row>
    <row r="10743" spans="9:10" x14ac:dyDescent="0.35">
      <c r="I10743" s="63"/>
      <c r="J10743" s="63"/>
    </row>
    <row r="10744" spans="9:10" x14ac:dyDescent="0.35">
      <c r="I10744" s="63"/>
      <c r="J10744" s="63"/>
    </row>
    <row r="10745" spans="9:10" x14ac:dyDescent="0.35">
      <c r="I10745" s="63"/>
      <c r="J10745" s="63"/>
    </row>
    <row r="10746" spans="9:10" x14ac:dyDescent="0.35">
      <c r="I10746" s="63"/>
      <c r="J10746" s="63"/>
    </row>
    <row r="10747" spans="9:10" x14ac:dyDescent="0.35">
      <c r="I10747" s="63"/>
      <c r="J10747" s="63"/>
    </row>
    <row r="10748" spans="9:10" x14ac:dyDescent="0.35">
      <c r="I10748" s="63"/>
      <c r="J10748" s="63"/>
    </row>
    <row r="10749" spans="9:10" x14ac:dyDescent="0.35">
      <c r="I10749" s="63"/>
      <c r="J10749" s="63"/>
    </row>
    <row r="10750" spans="9:10" x14ac:dyDescent="0.35">
      <c r="I10750" s="63"/>
      <c r="J10750" s="63"/>
    </row>
    <row r="10751" spans="9:10" x14ac:dyDescent="0.35">
      <c r="I10751" s="63"/>
      <c r="J10751" s="63"/>
    </row>
    <row r="10752" spans="9:10" x14ac:dyDescent="0.35">
      <c r="I10752" s="63"/>
      <c r="J10752" s="63"/>
    </row>
    <row r="10753" spans="9:10" x14ac:dyDescent="0.35">
      <c r="I10753" s="63"/>
      <c r="J10753" s="63"/>
    </row>
    <row r="10754" spans="9:10" x14ac:dyDescent="0.35">
      <c r="I10754" s="63"/>
      <c r="J10754" s="63"/>
    </row>
    <row r="10755" spans="9:10" x14ac:dyDescent="0.35">
      <c r="I10755" s="63"/>
      <c r="J10755" s="63"/>
    </row>
    <row r="10756" spans="9:10" x14ac:dyDescent="0.35">
      <c r="I10756" s="63"/>
      <c r="J10756" s="63"/>
    </row>
    <row r="10757" spans="9:10" x14ac:dyDescent="0.35">
      <c r="I10757" s="63"/>
      <c r="J10757" s="63"/>
    </row>
    <row r="10758" spans="9:10" x14ac:dyDescent="0.35">
      <c r="I10758" s="63"/>
      <c r="J10758" s="63"/>
    </row>
    <row r="10759" spans="9:10" x14ac:dyDescent="0.35">
      <c r="I10759" s="63"/>
      <c r="J10759" s="63"/>
    </row>
    <row r="10760" spans="9:10" x14ac:dyDescent="0.35">
      <c r="I10760" s="63"/>
      <c r="J10760" s="63"/>
    </row>
    <row r="10761" spans="9:10" x14ac:dyDescent="0.35">
      <c r="I10761" s="63"/>
      <c r="J10761" s="63"/>
    </row>
    <row r="10762" spans="9:10" x14ac:dyDescent="0.35">
      <c r="I10762" s="63"/>
      <c r="J10762" s="63"/>
    </row>
    <row r="10763" spans="9:10" x14ac:dyDescent="0.35">
      <c r="I10763" s="63"/>
      <c r="J10763" s="63"/>
    </row>
    <row r="10764" spans="9:10" x14ac:dyDescent="0.35">
      <c r="I10764" s="63"/>
      <c r="J10764" s="63"/>
    </row>
    <row r="10765" spans="9:10" x14ac:dyDescent="0.35">
      <c r="I10765" s="63"/>
      <c r="J10765" s="63"/>
    </row>
    <row r="10766" spans="9:10" x14ac:dyDescent="0.35">
      <c r="I10766" s="63"/>
      <c r="J10766" s="63"/>
    </row>
    <row r="10767" spans="9:10" x14ac:dyDescent="0.35">
      <c r="I10767" s="63"/>
      <c r="J10767" s="63"/>
    </row>
    <row r="10768" spans="9:10" x14ac:dyDescent="0.35">
      <c r="I10768" s="63"/>
      <c r="J10768" s="63"/>
    </row>
    <row r="10769" spans="9:10" x14ac:dyDescent="0.35">
      <c r="I10769" s="63"/>
      <c r="J10769" s="63"/>
    </row>
    <row r="10770" spans="9:10" x14ac:dyDescent="0.35">
      <c r="I10770" s="63"/>
      <c r="J10770" s="63"/>
    </row>
    <row r="10771" spans="9:10" x14ac:dyDescent="0.35">
      <c r="I10771" s="63"/>
      <c r="J10771" s="63"/>
    </row>
    <row r="10772" spans="9:10" x14ac:dyDescent="0.35">
      <c r="I10772" s="63"/>
      <c r="J10772" s="63"/>
    </row>
    <row r="10773" spans="9:10" x14ac:dyDescent="0.35">
      <c r="I10773" s="63"/>
      <c r="J10773" s="63"/>
    </row>
    <row r="10774" spans="9:10" x14ac:dyDescent="0.35">
      <c r="I10774" s="63"/>
      <c r="J10774" s="63"/>
    </row>
    <row r="10775" spans="9:10" x14ac:dyDescent="0.35">
      <c r="I10775" s="63"/>
      <c r="J10775" s="63"/>
    </row>
    <row r="10776" spans="9:10" x14ac:dyDescent="0.35">
      <c r="I10776" s="63"/>
      <c r="J10776" s="63"/>
    </row>
    <row r="10777" spans="9:10" x14ac:dyDescent="0.35">
      <c r="I10777" s="63"/>
      <c r="J10777" s="63"/>
    </row>
    <row r="10778" spans="9:10" x14ac:dyDescent="0.35">
      <c r="I10778" s="63"/>
      <c r="J10778" s="63"/>
    </row>
    <row r="10779" spans="9:10" x14ac:dyDescent="0.35">
      <c r="I10779" s="63"/>
      <c r="J10779" s="63"/>
    </row>
    <row r="10780" spans="9:10" x14ac:dyDescent="0.35">
      <c r="I10780" s="63"/>
      <c r="J10780" s="63"/>
    </row>
    <row r="10781" spans="9:10" x14ac:dyDescent="0.35">
      <c r="I10781" s="63"/>
      <c r="J10781" s="63"/>
    </row>
    <row r="10782" spans="9:10" x14ac:dyDescent="0.35">
      <c r="I10782" s="63"/>
      <c r="J10782" s="63"/>
    </row>
    <row r="10783" spans="9:10" x14ac:dyDescent="0.35">
      <c r="I10783" s="63"/>
      <c r="J10783" s="63"/>
    </row>
    <row r="10784" spans="9:10" x14ac:dyDescent="0.35">
      <c r="I10784" s="63"/>
      <c r="J10784" s="63"/>
    </row>
    <row r="10785" spans="9:10" x14ac:dyDescent="0.35">
      <c r="I10785" s="63"/>
      <c r="J10785" s="63"/>
    </row>
    <row r="10786" spans="9:10" x14ac:dyDescent="0.35">
      <c r="I10786" s="63"/>
      <c r="J10786" s="63"/>
    </row>
    <row r="10787" spans="9:10" x14ac:dyDescent="0.35">
      <c r="I10787" s="63"/>
      <c r="J10787" s="63"/>
    </row>
    <row r="10788" spans="9:10" x14ac:dyDescent="0.35">
      <c r="I10788" s="63"/>
      <c r="J10788" s="63"/>
    </row>
    <row r="10789" spans="9:10" x14ac:dyDescent="0.35">
      <c r="I10789" s="63"/>
      <c r="J10789" s="63"/>
    </row>
    <row r="10790" spans="9:10" x14ac:dyDescent="0.35">
      <c r="I10790" s="63"/>
      <c r="J10790" s="63"/>
    </row>
    <row r="10791" spans="9:10" x14ac:dyDescent="0.35">
      <c r="I10791" s="63"/>
      <c r="J10791" s="63"/>
    </row>
    <row r="10792" spans="9:10" x14ac:dyDescent="0.35">
      <c r="I10792" s="63"/>
      <c r="J10792" s="63"/>
    </row>
    <row r="10793" spans="9:10" x14ac:dyDescent="0.35">
      <c r="I10793" s="63"/>
      <c r="J10793" s="63"/>
    </row>
    <row r="10794" spans="9:10" x14ac:dyDescent="0.35">
      <c r="I10794" s="63"/>
      <c r="J10794" s="63"/>
    </row>
    <row r="10795" spans="9:10" x14ac:dyDescent="0.35">
      <c r="I10795" s="63"/>
      <c r="J10795" s="63"/>
    </row>
    <row r="10796" spans="9:10" x14ac:dyDescent="0.35">
      <c r="I10796" s="63"/>
      <c r="J10796" s="63"/>
    </row>
    <row r="10797" spans="9:10" x14ac:dyDescent="0.35">
      <c r="I10797" s="63"/>
      <c r="J10797" s="63"/>
    </row>
    <row r="10798" spans="9:10" x14ac:dyDescent="0.35">
      <c r="I10798" s="63"/>
      <c r="J10798" s="63"/>
    </row>
    <row r="10799" spans="9:10" x14ac:dyDescent="0.35">
      <c r="I10799" s="63"/>
      <c r="J10799" s="63"/>
    </row>
    <row r="10800" spans="9:10" x14ac:dyDescent="0.35">
      <c r="I10800" s="63"/>
      <c r="J10800" s="63"/>
    </row>
    <row r="10801" spans="9:10" x14ac:dyDescent="0.35">
      <c r="I10801" s="63"/>
      <c r="J10801" s="63"/>
    </row>
    <row r="10802" spans="9:10" x14ac:dyDescent="0.35">
      <c r="I10802" s="63"/>
      <c r="J10802" s="63"/>
    </row>
    <row r="10803" spans="9:10" x14ac:dyDescent="0.35">
      <c r="I10803" s="63"/>
      <c r="J10803" s="63"/>
    </row>
    <row r="10804" spans="9:10" x14ac:dyDescent="0.35">
      <c r="I10804" s="63"/>
      <c r="J10804" s="63"/>
    </row>
    <row r="10805" spans="9:10" x14ac:dyDescent="0.35">
      <c r="I10805" s="63"/>
      <c r="J10805" s="63"/>
    </row>
    <row r="10806" spans="9:10" x14ac:dyDescent="0.35">
      <c r="I10806" s="63"/>
      <c r="J10806" s="63"/>
    </row>
    <row r="10807" spans="9:10" x14ac:dyDescent="0.35">
      <c r="I10807" s="63"/>
      <c r="J10807" s="63"/>
    </row>
    <row r="10808" spans="9:10" x14ac:dyDescent="0.35">
      <c r="I10808" s="63"/>
      <c r="J10808" s="63"/>
    </row>
    <row r="10809" spans="9:10" x14ac:dyDescent="0.35">
      <c r="I10809" s="63"/>
      <c r="J10809" s="63"/>
    </row>
    <row r="10810" spans="9:10" x14ac:dyDescent="0.35">
      <c r="I10810" s="63"/>
      <c r="J10810" s="63"/>
    </row>
    <row r="10811" spans="9:10" x14ac:dyDescent="0.35">
      <c r="I10811" s="63"/>
      <c r="J10811" s="63"/>
    </row>
    <row r="10812" spans="9:10" x14ac:dyDescent="0.35">
      <c r="I10812" s="63"/>
      <c r="J10812" s="63"/>
    </row>
    <row r="10813" spans="9:10" x14ac:dyDescent="0.35">
      <c r="I10813" s="63"/>
      <c r="J10813" s="63"/>
    </row>
    <row r="10814" spans="9:10" x14ac:dyDescent="0.35">
      <c r="I10814" s="63"/>
      <c r="J10814" s="63"/>
    </row>
    <row r="10815" spans="9:10" x14ac:dyDescent="0.35">
      <c r="I10815" s="63"/>
      <c r="J10815" s="63"/>
    </row>
    <row r="10816" spans="9:10" x14ac:dyDescent="0.35">
      <c r="I10816" s="63"/>
      <c r="J10816" s="63"/>
    </row>
    <row r="10817" spans="9:10" x14ac:dyDescent="0.35">
      <c r="I10817" s="63"/>
      <c r="J10817" s="63"/>
    </row>
    <row r="10818" spans="9:10" x14ac:dyDescent="0.35">
      <c r="I10818" s="63"/>
      <c r="J10818" s="63"/>
    </row>
    <row r="10819" spans="9:10" x14ac:dyDescent="0.35">
      <c r="I10819" s="63"/>
      <c r="J10819" s="63"/>
    </row>
    <row r="10820" spans="9:10" x14ac:dyDescent="0.35">
      <c r="I10820" s="63"/>
      <c r="J10820" s="63"/>
    </row>
    <row r="10821" spans="9:10" x14ac:dyDescent="0.35">
      <c r="I10821" s="63"/>
      <c r="J10821" s="63"/>
    </row>
    <row r="10822" spans="9:10" x14ac:dyDescent="0.35">
      <c r="I10822" s="63"/>
      <c r="J10822" s="63"/>
    </row>
    <row r="10823" spans="9:10" x14ac:dyDescent="0.35">
      <c r="I10823" s="63"/>
      <c r="J10823" s="63"/>
    </row>
    <row r="10824" spans="9:10" x14ac:dyDescent="0.35">
      <c r="I10824" s="63"/>
      <c r="J10824" s="63"/>
    </row>
    <row r="10825" spans="9:10" x14ac:dyDescent="0.35">
      <c r="I10825" s="63"/>
      <c r="J10825" s="63"/>
    </row>
    <row r="10826" spans="9:10" x14ac:dyDescent="0.35">
      <c r="I10826" s="63"/>
      <c r="J10826" s="63"/>
    </row>
    <row r="10827" spans="9:10" x14ac:dyDescent="0.35">
      <c r="I10827" s="63"/>
      <c r="J10827" s="63"/>
    </row>
    <row r="10828" spans="9:10" x14ac:dyDescent="0.35">
      <c r="I10828" s="63"/>
      <c r="J10828" s="63"/>
    </row>
    <row r="10829" spans="9:10" x14ac:dyDescent="0.35">
      <c r="I10829" s="63"/>
      <c r="J10829" s="63"/>
    </row>
    <row r="10830" spans="9:10" x14ac:dyDescent="0.35">
      <c r="I10830" s="63"/>
      <c r="J10830" s="63"/>
    </row>
    <row r="10831" spans="9:10" x14ac:dyDescent="0.35">
      <c r="I10831" s="63"/>
      <c r="J10831" s="63"/>
    </row>
    <row r="10832" spans="9:10" x14ac:dyDescent="0.35">
      <c r="I10832" s="63"/>
      <c r="J10832" s="63"/>
    </row>
    <row r="10833" spans="9:10" x14ac:dyDescent="0.35">
      <c r="I10833" s="63"/>
      <c r="J10833" s="63"/>
    </row>
    <row r="10834" spans="9:10" x14ac:dyDescent="0.35">
      <c r="I10834" s="63"/>
      <c r="J10834" s="63"/>
    </row>
    <row r="10835" spans="9:10" x14ac:dyDescent="0.35">
      <c r="I10835" s="63"/>
      <c r="J10835" s="63"/>
    </row>
    <row r="10836" spans="9:10" x14ac:dyDescent="0.35">
      <c r="I10836" s="63"/>
      <c r="J10836" s="63"/>
    </row>
    <row r="10837" spans="9:10" x14ac:dyDescent="0.35">
      <c r="I10837" s="63"/>
      <c r="J10837" s="63"/>
    </row>
    <row r="10838" spans="9:10" x14ac:dyDescent="0.35">
      <c r="I10838" s="63"/>
      <c r="J10838" s="63"/>
    </row>
    <row r="10839" spans="9:10" x14ac:dyDescent="0.35">
      <c r="I10839" s="63"/>
      <c r="J10839" s="63"/>
    </row>
    <row r="10840" spans="9:10" x14ac:dyDescent="0.35">
      <c r="I10840" s="63"/>
      <c r="J10840" s="63"/>
    </row>
    <row r="10841" spans="9:10" x14ac:dyDescent="0.35">
      <c r="I10841" s="63"/>
      <c r="J10841" s="63"/>
    </row>
    <row r="10842" spans="9:10" x14ac:dyDescent="0.35">
      <c r="I10842" s="63"/>
      <c r="J10842" s="63"/>
    </row>
    <row r="10843" spans="9:10" x14ac:dyDescent="0.35">
      <c r="I10843" s="63"/>
      <c r="J10843" s="63"/>
    </row>
    <row r="10844" spans="9:10" x14ac:dyDescent="0.35">
      <c r="I10844" s="63"/>
      <c r="J10844" s="63"/>
    </row>
    <row r="10845" spans="9:10" x14ac:dyDescent="0.35">
      <c r="I10845" s="63"/>
      <c r="J10845" s="63"/>
    </row>
    <row r="10846" spans="9:10" x14ac:dyDescent="0.35">
      <c r="I10846" s="63"/>
      <c r="J10846" s="63"/>
    </row>
    <row r="10847" spans="9:10" x14ac:dyDescent="0.35">
      <c r="I10847" s="63"/>
      <c r="J10847" s="63"/>
    </row>
    <row r="10848" spans="9:10" x14ac:dyDescent="0.35">
      <c r="I10848" s="63"/>
      <c r="J10848" s="63"/>
    </row>
    <row r="10849" spans="9:10" x14ac:dyDescent="0.35">
      <c r="I10849" s="63"/>
      <c r="J10849" s="63"/>
    </row>
    <row r="10850" spans="9:10" x14ac:dyDescent="0.35">
      <c r="I10850" s="63"/>
      <c r="J10850" s="63"/>
    </row>
    <row r="10851" spans="9:10" x14ac:dyDescent="0.35">
      <c r="I10851" s="63"/>
      <c r="J10851" s="63"/>
    </row>
    <row r="10852" spans="9:10" x14ac:dyDescent="0.35">
      <c r="I10852" s="63"/>
      <c r="J10852" s="63"/>
    </row>
    <row r="10853" spans="9:10" x14ac:dyDescent="0.35">
      <c r="I10853" s="63"/>
      <c r="J10853" s="63"/>
    </row>
    <row r="10854" spans="9:10" x14ac:dyDescent="0.35">
      <c r="I10854" s="63"/>
      <c r="J10854" s="63"/>
    </row>
    <row r="10855" spans="9:10" x14ac:dyDescent="0.35">
      <c r="I10855" s="63"/>
      <c r="J10855" s="63"/>
    </row>
    <row r="10856" spans="9:10" x14ac:dyDescent="0.35">
      <c r="I10856" s="63"/>
      <c r="J10856" s="63"/>
    </row>
    <row r="10857" spans="9:10" x14ac:dyDescent="0.35">
      <c r="I10857" s="63"/>
      <c r="J10857" s="63"/>
    </row>
    <row r="10858" spans="9:10" x14ac:dyDescent="0.35">
      <c r="I10858" s="63"/>
      <c r="J10858" s="63"/>
    </row>
    <row r="10859" spans="9:10" x14ac:dyDescent="0.35">
      <c r="I10859" s="63"/>
      <c r="J10859" s="63"/>
    </row>
    <row r="10860" spans="9:10" x14ac:dyDescent="0.35">
      <c r="I10860" s="63"/>
      <c r="J10860" s="63"/>
    </row>
    <row r="10861" spans="9:10" x14ac:dyDescent="0.35">
      <c r="I10861" s="63"/>
      <c r="J10861" s="63"/>
    </row>
    <row r="10862" spans="9:10" x14ac:dyDescent="0.35">
      <c r="I10862" s="63"/>
      <c r="J10862" s="63"/>
    </row>
    <row r="10863" spans="9:10" x14ac:dyDescent="0.35">
      <c r="I10863" s="63"/>
      <c r="J10863" s="63"/>
    </row>
    <row r="10864" spans="9:10" x14ac:dyDescent="0.35">
      <c r="I10864" s="63"/>
      <c r="J10864" s="63"/>
    </row>
    <row r="10865" spans="9:10" x14ac:dyDescent="0.35">
      <c r="I10865" s="63"/>
      <c r="J10865" s="63"/>
    </row>
    <row r="10866" spans="9:10" x14ac:dyDescent="0.35">
      <c r="I10866" s="63"/>
      <c r="J10866" s="63"/>
    </row>
    <row r="10867" spans="9:10" x14ac:dyDescent="0.35">
      <c r="I10867" s="63"/>
      <c r="J10867" s="63"/>
    </row>
    <row r="10868" spans="9:10" x14ac:dyDescent="0.35">
      <c r="I10868" s="63"/>
      <c r="J10868" s="63"/>
    </row>
    <row r="10869" spans="9:10" x14ac:dyDescent="0.35">
      <c r="I10869" s="63"/>
      <c r="J10869" s="63"/>
    </row>
    <row r="10870" spans="9:10" x14ac:dyDescent="0.35">
      <c r="I10870" s="63"/>
      <c r="J10870" s="63"/>
    </row>
    <row r="10871" spans="9:10" x14ac:dyDescent="0.35">
      <c r="I10871" s="63"/>
      <c r="J10871" s="63"/>
    </row>
    <row r="10872" spans="9:10" x14ac:dyDescent="0.35">
      <c r="I10872" s="63"/>
      <c r="J10872" s="63"/>
    </row>
    <row r="10873" spans="9:10" x14ac:dyDescent="0.35">
      <c r="I10873" s="63"/>
      <c r="J10873" s="63"/>
    </row>
    <row r="10874" spans="9:10" x14ac:dyDescent="0.35">
      <c r="I10874" s="63"/>
      <c r="J10874" s="63"/>
    </row>
    <row r="10875" spans="9:10" x14ac:dyDescent="0.35">
      <c r="I10875" s="63"/>
      <c r="J10875" s="63"/>
    </row>
    <row r="10876" spans="9:10" x14ac:dyDescent="0.35">
      <c r="I10876" s="63"/>
      <c r="J10876" s="63"/>
    </row>
    <row r="10877" spans="9:10" x14ac:dyDescent="0.35">
      <c r="I10877" s="63"/>
      <c r="J10877" s="63"/>
    </row>
    <row r="10878" spans="9:10" x14ac:dyDescent="0.35">
      <c r="I10878" s="63"/>
      <c r="J10878" s="63"/>
    </row>
    <row r="10879" spans="9:10" x14ac:dyDescent="0.35">
      <c r="I10879" s="63"/>
      <c r="J10879" s="63"/>
    </row>
    <row r="10880" spans="9:10" x14ac:dyDescent="0.35">
      <c r="I10880" s="63"/>
      <c r="J10880" s="63"/>
    </row>
    <row r="10881" spans="9:10" x14ac:dyDescent="0.35">
      <c r="I10881" s="63"/>
      <c r="J10881" s="63"/>
    </row>
    <row r="10882" spans="9:10" x14ac:dyDescent="0.35">
      <c r="I10882" s="63"/>
      <c r="J10882" s="63"/>
    </row>
    <row r="10883" spans="9:10" x14ac:dyDescent="0.35">
      <c r="I10883" s="63"/>
      <c r="J10883" s="63"/>
    </row>
    <row r="10884" spans="9:10" x14ac:dyDescent="0.35">
      <c r="I10884" s="63"/>
      <c r="J10884" s="63"/>
    </row>
    <row r="10885" spans="9:10" x14ac:dyDescent="0.35">
      <c r="I10885" s="63"/>
      <c r="J10885" s="63"/>
    </row>
    <row r="10886" spans="9:10" x14ac:dyDescent="0.35">
      <c r="I10886" s="63"/>
      <c r="J10886" s="63"/>
    </row>
    <row r="10887" spans="9:10" x14ac:dyDescent="0.35">
      <c r="I10887" s="63"/>
      <c r="J10887" s="63"/>
    </row>
    <row r="10888" spans="9:10" x14ac:dyDescent="0.35">
      <c r="I10888" s="63"/>
      <c r="J10888" s="63"/>
    </row>
    <row r="10889" spans="9:10" x14ac:dyDescent="0.35">
      <c r="I10889" s="63"/>
      <c r="J10889" s="63"/>
    </row>
    <row r="10890" spans="9:10" x14ac:dyDescent="0.35">
      <c r="I10890" s="63"/>
      <c r="J10890" s="63"/>
    </row>
    <row r="10891" spans="9:10" x14ac:dyDescent="0.35">
      <c r="I10891" s="63"/>
      <c r="J10891" s="63"/>
    </row>
    <row r="10892" spans="9:10" x14ac:dyDescent="0.35">
      <c r="I10892" s="63"/>
      <c r="J10892" s="63"/>
    </row>
    <row r="10893" spans="9:10" x14ac:dyDescent="0.35">
      <c r="I10893" s="63"/>
      <c r="J10893" s="63"/>
    </row>
    <row r="10894" spans="9:10" x14ac:dyDescent="0.35">
      <c r="I10894" s="63"/>
      <c r="J10894" s="63"/>
    </row>
    <row r="10895" spans="9:10" x14ac:dyDescent="0.35">
      <c r="I10895" s="63"/>
      <c r="J10895" s="63"/>
    </row>
    <row r="10896" spans="9:10" x14ac:dyDescent="0.35">
      <c r="I10896" s="63"/>
      <c r="J10896" s="63"/>
    </row>
    <row r="10897" spans="9:10" x14ac:dyDescent="0.35">
      <c r="I10897" s="63"/>
      <c r="J10897" s="63"/>
    </row>
    <row r="10898" spans="9:10" x14ac:dyDescent="0.35">
      <c r="I10898" s="63"/>
      <c r="J10898" s="63"/>
    </row>
    <row r="10899" spans="9:10" x14ac:dyDescent="0.35">
      <c r="I10899" s="63"/>
      <c r="J10899" s="63"/>
    </row>
    <row r="10900" spans="9:10" x14ac:dyDescent="0.35">
      <c r="I10900" s="63"/>
      <c r="J10900" s="63"/>
    </row>
    <row r="10901" spans="9:10" x14ac:dyDescent="0.35">
      <c r="I10901" s="63"/>
      <c r="J10901" s="63"/>
    </row>
    <row r="10902" spans="9:10" x14ac:dyDescent="0.35">
      <c r="I10902" s="63"/>
      <c r="J10902" s="63"/>
    </row>
    <row r="10903" spans="9:10" x14ac:dyDescent="0.35">
      <c r="I10903" s="63"/>
      <c r="J10903" s="63"/>
    </row>
    <row r="10904" spans="9:10" x14ac:dyDescent="0.35">
      <c r="I10904" s="63"/>
      <c r="J10904" s="63"/>
    </row>
    <row r="10905" spans="9:10" x14ac:dyDescent="0.35">
      <c r="I10905" s="63"/>
      <c r="J10905" s="63"/>
    </row>
    <row r="10906" spans="9:10" x14ac:dyDescent="0.35">
      <c r="I10906" s="63"/>
      <c r="J10906" s="63"/>
    </row>
    <row r="10907" spans="9:10" x14ac:dyDescent="0.35">
      <c r="I10907" s="63"/>
      <c r="J10907" s="63"/>
    </row>
    <row r="10908" spans="9:10" x14ac:dyDescent="0.35">
      <c r="I10908" s="63"/>
      <c r="J10908" s="63"/>
    </row>
    <row r="10909" spans="9:10" x14ac:dyDescent="0.35">
      <c r="I10909" s="63"/>
      <c r="J10909" s="63"/>
    </row>
    <row r="10910" spans="9:10" x14ac:dyDescent="0.35">
      <c r="I10910" s="63"/>
      <c r="J10910" s="63"/>
    </row>
    <row r="10911" spans="9:10" x14ac:dyDescent="0.35">
      <c r="I10911" s="63"/>
      <c r="J10911" s="63"/>
    </row>
    <row r="10912" spans="9:10" x14ac:dyDescent="0.35">
      <c r="I10912" s="63"/>
      <c r="J10912" s="63"/>
    </row>
    <row r="10913" spans="9:10" x14ac:dyDescent="0.35">
      <c r="I10913" s="63"/>
      <c r="J10913" s="63"/>
    </row>
    <row r="10914" spans="9:10" x14ac:dyDescent="0.35">
      <c r="I10914" s="63"/>
      <c r="J10914" s="63"/>
    </row>
    <row r="10915" spans="9:10" x14ac:dyDescent="0.35">
      <c r="I10915" s="63"/>
      <c r="J10915" s="63"/>
    </row>
    <row r="10916" spans="9:10" x14ac:dyDescent="0.35">
      <c r="I10916" s="63"/>
      <c r="J10916" s="63"/>
    </row>
    <row r="10917" spans="9:10" x14ac:dyDescent="0.35">
      <c r="I10917" s="63"/>
      <c r="J10917" s="63"/>
    </row>
    <row r="10918" spans="9:10" x14ac:dyDescent="0.35">
      <c r="I10918" s="63"/>
      <c r="J10918" s="63"/>
    </row>
    <row r="10919" spans="9:10" x14ac:dyDescent="0.35">
      <c r="I10919" s="63"/>
      <c r="J10919" s="63"/>
    </row>
    <row r="10920" spans="9:10" x14ac:dyDescent="0.35">
      <c r="I10920" s="63"/>
      <c r="J10920" s="63"/>
    </row>
    <row r="10921" spans="9:10" x14ac:dyDescent="0.35">
      <c r="I10921" s="63"/>
      <c r="J10921" s="63"/>
    </row>
    <row r="10922" spans="9:10" x14ac:dyDescent="0.35">
      <c r="I10922" s="63"/>
      <c r="J10922" s="63"/>
    </row>
    <row r="10923" spans="9:10" x14ac:dyDescent="0.35">
      <c r="I10923" s="63"/>
      <c r="J10923" s="63"/>
    </row>
    <row r="10924" spans="9:10" x14ac:dyDescent="0.35">
      <c r="I10924" s="63"/>
      <c r="J10924" s="63"/>
    </row>
    <row r="10925" spans="9:10" x14ac:dyDescent="0.35">
      <c r="I10925" s="63"/>
      <c r="J10925" s="63"/>
    </row>
    <row r="10926" spans="9:10" x14ac:dyDescent="0.35">
      <c r="I10926" s="63"/>
      <c r="J10926" s="63"/>
    </row>
    <row r="10927" spans="9:10" x14ac:dyDescent="0.35">
      <c r="I10927" s="63"/>
      <c r="J10927" s="63"/>
    </row>
    <row r="10928" spans="9:10" x14ac:dyDescent="0.35">
      <c r="I10928" s="63"/>
      <c r="J10928" s="63"/>
    </row>
    <row r="10929" spans="9:10" x14ac:dyDescent="0.35">
      <c r="I10929" s="63"/>
      <c r="J10929" s="63"/>
    </row>
    <row r="10930" spans="9:10" x14ac:dyDescent="0.35">
      <c r="I10930" s="63"/>
      <c r="J10930" s="63"/>
    </row>
    <row r="10931" spans="9:10" x14ac:dyDescent="0.35">
      <c r="I10931" s="63"/>
      <c r="J10931" s="63"/>
    </row>
    <row r="10932" spans="9:10" x14ac:dyDescent="0.35">
      <c r="I10932" s="63"/>
      <c r="J10932" s="63"/>
    </row>
    <row r="10933" spans="9:10" x14ac:dyDescent="0.35">
      <c r="I10933" s="63"/>
      <c r="J10933" s="63"/>
    </row>
    <row r="10934" spans="9:10" x14ac:dyDescent="0.35">
      <c r="I10934" s="63"/>
      <c r="J10934" s="63"/>
    </row>
    <row r="10935" spans="9:10" x14ac:dyDescent="0.35">
      <c r="I10935" s="63"/>
      <c r="J10935" s="63"/>
    </row>
    <row r="10936" spans="9:10" x14ac:dyDescent="0.35">
      <c r="I10936" s="63"/>
      <c r="J10936" s="63"/>
    </row>
    <row r="10937" spans="9:10" x14ac:dyDescent="0.35">
      <c r="I10937" s="63"/>
      <c r="J10937" s="63"/>
    </row>
    <row r="10938" spans="9:10" x14ac:dyDescent="0.35">
      <c r="I10938" s="63"/>
      <c r="J10938" s="63"/>
    </row>
    <row r="10939" spans="9:10" x14ac:dyDescent="0.35">
      <c r="I10939" s="63"/>
      <c r="J10939" s="63"/>
    </row>
    <row r="10940" spans="9:10" x14ac:dyDescent="0.35">
      <c r="I10940" s="63"/>
      <c r="J10940" s="63"/>
    </row>
    <row r="10941" spans="9:10" x14ac:dyDescent="0.35">
      <c r="I10941" s="63"/>
      <c r="J10941" s="63"/>
    </row>
    <row r="10942" spans="9:10" x14ac:dyDescent="0.35">
      <c r="I10942" s="63"/>
      <c r="J10942" s="63"/>
    </row>
    <row r="10943" spans="9:10" x14ac:dyDescent="0.35">
      <c r="I10943" s="63"/>
      <c r="J10943" s="63"/>
    </row>
    <row r="10944" spans="9:10" x14ac:dyDescent="0.35">
      <c r="I10944" s="63"/>
      <c r="J10944" s="63"/>
    </row>
    <row r="10945" spans="9:10" x14ac:dyDescent="0.35">
      <c r="I10945" s="63"/>
      <c r="J10945" s="63"/>
    </row>
    <row r="10946" spans="9:10" x14ac:dyDescent="0.35">
      <c r="I10946" s="63"/>
      <c r="J10946" s="63"/>
    </row>
    <row r="10947" spans="9:10" x14ac:dyDescent="0.35">
      <c r="I10947" s="63"/>
      <c r="J10947" s="63"/>
    </row>
    <row r="10948" spans="9:10" x14ac:dyDescent="0.35">
      <c r="I10948" s="63"/>
      <c r="J10948" s="63"/>
    </row>
    <row r="10949" spans="9:10" x14ac:dyDescent="0.35">
      <c r="I10949" s="63"/>
      <c r="J10949" s="63"/>
    </row>
    <row r="10950" spans="9:10" x14ac:dyDescent="0.35">
      <c r="I10950" s="63"/>
      <c r="J10950" s="63"/>
    </row>
    <row r="10951" spans="9:10" x14ac:dyDescent="0.35">
      <c r="I10951" s="63"/>
      <c r="J10951" s="63"/>
    </row>
    <row r="10952" spans="9:10" x14ac:dyDescent="0.35">
      <c r="I10952" s="63"/>
      <c r="J10952" s="63"/>
    </row>
    <row r="10953" spans="9:10" x14ac:dyDescent="0.35">
      <c r="I10953" s="63"/>
      <c r="J10953" s="63"/>
    </row>
    <row r="10954" spans="9:10" x14ac:dyDescent="0.35">
      <c r="I10954" s="63"/>
      <c r="J10954" s="63"/>
    </row>
    <row r="10955" spans="9:10" x14ac:dyDescent="0.35">
      <c r="I10955" s="63"/>
      <c r="J10955" s="63"/>
    </row>
    <row r="10956" spans="9:10" x14ac:dyDescent="0.35">
      <c r="I10956" s="63"/>
      <c r="J10956" s="63"/>
    </row>
    <row r="10957" spans="9:10" x14ac:dyDescent="0.35">
      <c r="I10957" s="63"/>
      <c r="J10957" s="63"/>
    </row>
    <row r="10958" spans="9:10" x14ac:dyDescent="0.35">
      <c r="I10958" s="63"/>
      <c r="J10958" s="63"/>
    </row>
    <row r="10959" spans="9:10" x14ac:dyDescent="0.35">
      <c r="I10959" s="63"/>
      <c r="J10959" s="63"/>
    </row>
    <row r="10960" spans="9:10" x14ac:dyDescent="0.35">
      <c r="I10960" s="63"/>
      <c r="J10960" s="63"/>
    </row>
    <row r="10961" spans="9:10" x14ac:dyDescent="0.35">
      <c r="I10961" s="63"/>
      <c r="J10961" s="63"/>
    </row>
    <row r="10962" spans="9:10" x14ac:dyDescent="0.35">
      <c r="I10962" s="63"/>
      <c r="J10962" s="63"/>
    </row>
    <row r="10963" spans="9:10" x14ac:dyDescent="0.35">
      <c r="I10963" s="63"/>
      <c r="J10963" s="63"/>
    </row>
    <row r="10964" spans="9:10" x14ac:dyDescent="0.35">
      <c r="I10964" s="63"/>
      <c r="J10964" s="63"/>
    </row>
    <row r="10965" spans="9:10" x14ac:dyDescent="0.35">
      <c r="I10965" s="63"/>
      <c r="J10965" s="63"/>
    </row>
    <row r="10966" spans="9:10" x14ac:dyDescent="0.35">
      <c r="I10966" s="63"/>
      <c r="J10966" s="63"/>
    </row>
    <row r="10967" spans="9:10" x14ac:dyDescent="0.35">
      <c r="I10967" s="63"/>
      <c r="J10967" s="63"/>
    </row>
    <row r="10968" spans="9:10" x14ac:dyDescent="0.35">
      <c r="I10968" s="63"/>
      <c r="J10968" s="63"/>
    </row>
    <row r="10969" spans="9:10" x14ac:dyDescent="0.35">
      <c r="I10969" s="63"/>
      <c r="J10969" s="63"/>
    </row>
    <row r="10970" spans="9:10" x14ac:dyDescent="0.35">
      <c r="I10970" s="63"/>
      <c r="J10970" s="63"/>
    </row>
    <row r="10971" spans="9:10" x14ac:dyDescent="0.35">
      <c r="I10971" s="63"/>
      <c r="J10971" s="63"/>
    </row>
    <row r="10972" spans="9:10" x14ac:dyDescent="0.35">
      <c r="I10972" s="63"/>
      <c r="J10972" s="63"/>
    </row>
    <row r="10973" spans="9:10" x14ac:dyDescent="0.35">
      <c r="I10973" s="63"/>
      <c r="J10973" s="63"/>
    </row>
    <row r="10974" spans="9:10" x14ac:dyDescent="0.35">
      <c r="I10974" s="63"/>
      <c r="J10974" s="63"/>
    </row>
    <row r="10975" spans="9:10" x14ac:dyDescent="0.35">
      <c r="I10975" s="63"/>
      <c r="J10975" s="63"/>
    </row>
    <row r="10976" spans="9:10" x14ac:dyDescent="0.35">
      <c r="I10976" s="63"/>
      <c r="J10976" s="63"/>
    </row>
    <row r="10977" spans="9:10" x14ac:dyDescent="0.35">
      <c r="I10977" s="63"/>
      <c r="J10977" s="63"/>
    </row>
    <row r="10978" spans="9:10" x14ac:dyDescent="0.35">
      <c r="I10978" s="63"/>
      <c r="J10978" s="63"/>
    </row>
    <row r="10979" spans="9:10" x14ac:dyDescent="0.35">
      <c r="I10979" s="63"/>
      <c r="J10979" s="63"/>
    </row>
    <row r="10980" spans="9:10" x14ac:dyDescent="0.35">
      <c r="I10980" s="63"/>
      <c r="J10980" s="63"/>
    </row>
    <row r="10981" spans="9:10" x14ac:dyDescent="0.35">
      <c r="I10981" s="63"/>
      <c r="J10981" s="63"/>
    </row>
    <row r="10982" spans="9:10" x14ac:dyDescent="0.35">
      <c r="I10982" s="63"/>
      <c r="J10982" s="63"/>
    </row>
    <row r="10983" spans="9:10" x14ac:dyDescent="0.35">
      <c r="I10983" s="63"/>
      <c r="J10983" s="63"/>
    </row>
    <row r="10984" spans="9:10" x14ac:dyDescent="0.35">
      <c r="I10984" s="63"/>
      <c r="J10984" s="63"/>
    </row>
    <row r="10985" spans="9:10" x14ac:dyDescent="0.35">
      <c r="I10985" s="63"/>
      <c r="J10985" s="63"/>
    </row>
    <row r="10986" spans="9:10" x14ac:dyDescent="0.35">
      <c r="I10986" s="63"/>
      <c r="J10986" s="63"/>
    </row>
    <row r="10987" spans="9:10" x14ac:dyDescent="0.35">
      <c r="I10987" s="63"/>
      <c r="J10987" s="63"/>
    </row>
    <row r="10988" spans="9:10" x14ac:dyDescent="0.35">
      <c r="I10988" s="63"/>
      <c r="J10988" s="63"/>
    </row>
    <row r="10989" spans="9:10" x14ac:dyDescent="0.35">
      <c r="I10989" s="63"/>
      <c r="J10989" s="63"/>
    </row>
    <row r="10990" spans="9:10" x14ac:dyDescent="0.35">
      <c r="I10990" s="63"/>
      <c r="J10990" s="63"/>
    </row>
    <row r="10991" spans="9:10" x14ac:dyDescent="0.35">
      <c r="I10991" s="63"/>
      <c r="J10991" s="63"/>
    </row>
    <row r="10992" spans="9:10" x14ac:dyDescent="0.35">
      <c r="I10992" s="63"/>
      <c r="J10992" s="63"/>
    </row>
    <row r="10993" spans="9:10" x14ac:dyDescent="0.35">
      <c r="I10993" s="63"/>
      <c r="J10993" s="63"/>
    </row>
    <row r="10994" spans="9:10" x14ac:dyDescent="0.35">
      <c r="I10994" s="63"/>
      <c r="J10994" s="63"/>
    </row>
    <row r="10995" spans="9:10" x14ac:dyDescent="0.35">
      <c r="I10995" s="63"/>
      <c r="J10995" s="63"/>
    </row>
    <row r="10996" spans="9:10" x14ac:dyDescent="0.35">
      <c r="I10996" s="63"/>
      <c r="J10996" s="63"/>
    </row>
    <row r="10997" spans="9:10" x14ac:dyDescent="0.35">
      <c r="I10997" s="63"/>
      <c r="J10997" s="63"/>
    </row>
    <row r="10998" spans="9:10" x14ac:dyDescent="0.35">
      <c r="I10998" s="63"/>
      <c r="J10998" s="63"/>
    </row>
    <row r="10999" spans="9:10" x14ac:dyDescent="0.35">
      <c r="I10999" s="63"/>
      <c r="J10999" s="63"/>
    </row>
    <row r="11000" spans="9:10" x14ac:dyDescent="0.35">
      <c r="I11000" s="63"/>
      <c r="J11000" s="63"/>
    </row>
    <row r="11001" spans="9:10" x14ac:dyDescent="0.35">
      <c r="I11001" s="63"/>
      <c r="J11001" s="63"/>
    </row>
    <row r="11002" spans="9:10" x14ac:dyDescent="0.35">
      <c r="I11002" s="63"/>
      <c r="J11002" s="63"/>
    </row>
    <row r="11003" spans="9:10" x14ac:dyDescent="0.35">
      <c r="I11003" s="63"/>
      <c r="J11003" s="63"/>
    </row>
    <row r="11004" spans="9:10" x14ac:dyDescent="0.35">
      <c r="I11004" s="63"/>
      <c r="J11004" s="63"/>
    </row>
    <row r="11005" spans="9:10" x14ac:dyDescent="0.35">
      <c r="I11005" s="63"/>
      <c r="J11005" s="63"/>
    </row>
    <row r="11006" spans="9:10" x14ac:dyDescent="0.35">
      <c r="I11006" s="63"/>
      <c r="J11006" s="63"/>
    </row>
    <row r="11007" spans="9:10" x14ac:dyDescent="0.35">
      <c r="I11007" s="63"/>
      <c r="J11007" s="63"/>
    </row>
    <row r="11008" spans="9:10" x14ac:dyDescent="0.35">
      <c r="I11008" s="63"/>
      <c r="J11008" s="63"/>
    </row>
    <row r="11009" spans="9:10" x14ac:dyDescent="0.35">
      <c r="I11009" s="63"/>
      <c r="J11009" s="63"/>
    </row>
    <row r="11010" spans="9:10" x14ac:dyDescent="0.35">
      <c r="I11010" s="63"/>
      <c r="J11010" s="63"/>
    </row>
    <row r="11011" spans="9:10" x14ac:dyDescent="0.35">
      <c r="I11011" s="63"/>
      <c r="J11011" s="63"/>
    </row>
    <row r="11012" spans="9:10" x14ac:dyDescent="0.35">
      <c r="I11012" s="63"/>
      <c r="J11012" s="63"/>
    </row>
    <row r="11013" spans="9:10" x14ac:dyDescent="0.35">
      <c r="I11013" s="63"/>
      <c r="J11013" s="63"/>
    </row>
    <row r="11014" spans="9:10" x14ac:dyDescent="0.35">
      <c r="I11014" s="63"/>
      <c r="J11014" s="63"/>
    </row>
    <row r="11015" spans="9:10" x14ac:dyDescent="0.35">
      <c r="I11015" s="63"/>
      <c r="J11015" s="63"/>
    </row>
    <row r="11016" spans="9:10" x14ac:dyDescent="0.35">
      <c r="I11016" s="63"/>
      <c r="J11016" s="63"/>
    </row>
    <row r="11017" spans="9:10" x14ac:dyDescent="0.35">
      <c r="I11017" s="63"/>
      <c r="J11017" s="63"/>
    </row>
    <row r="11018" spans="9:10" x14ac:dyDescent="0.35">
      <c r="I11018" s="63"/>
      <c r="J11018" s="63"/>
    </row>
    <row r="11019" spans="9:10" x14ac:dyDescent="0.35">
      <c r="I11019" s="63"/>
      <c r="J11019" s="63"/>
    </row>
    <row r="11020" spans="9:10" x14ac:dyDescent="0.35">
      <c r="I11020" s="63"/>
      <c r="J11020" s="63"/>
    </row>
    <row r="11021" spans="9:10" x14ac:dyDescent="0.35">
      <c r="I11021" s="63"/>
      <c r="J11021" s="63"/>
    </row>
    <row r="11022" spans="9:10" x14ac:dyDescent="0.35">
      <c r="I11022" s="63"/>
      <c r="J11022" s="63"/>
    </row>
    <row r="11023" spans="9:10" x14ac:dyDescent="0.35">
      <c r="I11023" s="63"/>
      <c r="J11023" s="63"/>
    </row>
    <row r="11024" spans="9:10" x14ac:dyDescent="0.35">
      <c r="I11024" s="63"/>
      <c r="J11024" s="63"/>
    </row>
    <row r="11025" spans="9:10" x14ac:dyDescent="0.35">
      <c r="I11025" s="63"/>
      <c r="J11025" s="63"/>
    </row>
    <row r="11026" spans="9:10" x14ac:dyDescent="0.35">
      <c r="I11026" s="63"/>
      <c r="J11026" s="63"/>
    </row>
    <row r="11027" spans="9:10" x14ac:dyDescent="0.35">
      <c r="I11027" s="63"/>
      <c r="J11027" s="63"/>
    </row>
    <row r="11028" spans="9:10" x14ac:dyDescent="0.35">
      <c r="I11028" s="63"/>
      <c r="J11028" s="63"/>
    </row>
    <row r="11029" spans="9:10" x14ac:dyDescent="0.35">
      <c r="I11029" s="63"/>
      <c r="J11029" s="63"/>
    </row>
    <row r="11030" spans="9:10" x14ac:dyDescent="0.35">
      <c r="I11030" s="63"/>
      <c r="J11030" s="63"/>
    </row>
    <row r="11031" spans="9:10" x14ac:dyDescent="0.35">
      <c r="I11031" s="63"/>
      <c r="J11031" s="63"/>
    </row>
    <row r="11032" spans="9:10" x14ac:dyDescent="0.35">
      <c r="I11032" s="63"/>
      <c r="J11032" s="63"/>
    </row>
    <row r="11033" spans="9:10" x14ac:dyDescent="0.35">
      <c r="I11033" s="63"/>
      <c r="J11033" s="63"/>
    </row>
    <row r="11034" spans="9:10" x14ac:dyDescent="0.35">
      <c r="I11034" s="63"/>
      <c r="J11034" s="63"/>
    </row>
    <row r="11035" spans="9:10" x14ac:dyDescent="0.35">
      <c r="I11035" s="63"/>
      <c r="J11035" s="63"/>
    </row>
    <row r="11036" spans="9:10" x14ac:dyDescent="0.35">
      <c r="I11036" s="63"/>
      <c r="J11036" s="63"/>
    </row>
    <row r="11037" spans="9:10" x14ac:dyDescent="0.35">
      <c r="I11037" s="63"/>
      <c r="J11037" s="63"/>
    </row>
    <row r="11038" spans="9:10" x14ac:dyDescent="0.35">
      <c r="I11038" s="63"/>
      <c r="J11038" s="63"/>
    </row>
    <row r="11039" spans="9:10" x14ac:dyDescent="0.35">
      <c r="I11039" s="63"/>
      <c r="J11039" s="63"/>
    </row>
    <row r="11040" spans="9:10" x14ac:dyDescent="0.35">
      <c r="I11040" s="63"/>
      <c r="J11040" s="63"/>
    </row>
    <row r="11041" spans="9:10" x14ac:dyDescent="0.35">
      <c r="I11041" s="63"/>
      <c r="J11041" s="63"/>
    </row>
    <row r="11042" spans="9:10" x14ac:dyDescent="0.35">
      <c r="I11042" s="63"/>
      <c r="J11042" s="63"/>
    </row>
    <row r="11043" spans="9:10" x14ac:dyDescent="0.35">
      <c r="I11043" s="63"/>
      <c r="J11043" s="63"/>
    </row>
    <row r="11044" spans="9:10" x14ac:dyDescent="0.35">
      <c r="I11044" s="63"/>
      <c r="J11044" s="63"/>
    </row>
    <row r="11045" spans="9:10" x14ac:dyDescent="0.35">
      <c r="I11045" s="63"/>
      <c r="J11045" s="63"/>
    </row>
    <row r="11046" spans="9:10" x14ac:dyDescent="0.35">
      <c r="I11046" s="63"/>
      <c r="J11046" s="63"/>
    </row>
    <row r="11047" spans="9:10" x14ac:dyDescent="0.35">
      <c r="I11047" s="63"/>
      <c r="J11047" s="63"/>
    </row>
    <row r="11048" spans="9:10" x14ac:dyDescent="0.35">
      <c r="I11048" s="63"/>
      <c r="J11048" s="63"/>
    </row>
    <row r="11049" spans="9:10" x14ac:dyDescent="0.35">
      <c r="I11049" s="63"/>
      <c r="J11049" s="63"/>
    </row>
    <row r="11050" spans="9:10" x14ac:dyDescent="0.35">
      <c r="I11050" s="63"/>
      <c r="J11050" s="63"/>
    </row>
    <row r="11051" spans="9:10" x14ac:dyDescent="0.35">
      <c r="I11051" s="63"/>
      <c r="J11051" s="63"/>
    </row>
    <row r="11052" spans="9:10" x14ac:dyDescent="0.35">
      <c r="I11052" s="63"/>
      <c r="J11052" s="63"/>
    </row>
    <row r="11053" spans="9:10" x14ac:dyDescent="0.35">
      <c r="I11053" s="63"/>
      <c r="J11053" s="63"/>
    </row>
    <row r="11054" spans="9:10" x14ac:dyDescent="0.35">
      <c r="I11054" s="63"/>
      <c r="J11054" s="63"/>
    </row>
    <row r="11055" spans="9:10" x14ac:dyDescent="0.35">
      <c r="I11055" s="63"/>
      <c r="J11055" s="63"/>
    </row>
    <row r="11056" spans="9:10" x14ac:dyDescent="0.35">
      <c r="I11056" s="63"/>
      <c r="J11056" s="63"/>
    </row>
    <row r="11057" spans="9:10" x14ac:dyDescent="0.35">
      <c r="I11057" s="63"/>
      <c r="J11057" s="63"/>
    </row>
    <row r="11058" spans="9:10" x14ac:dyDescent="0.35">
      <c r="I11058" s="63"/>
      <c r="J11058" s="63"/>
    </row>
    <row r="11059" spans="9:10" x14ac:dyDescent="0.35">
      <c r="I11059" s="63"/>
      <c r="J11059" s="63"/>
    </row>
    <row r="11060" spans="9:10" x14ac:dyDescent="0.35">
      <c r="I11060" s="63"/>
      <c r="J11060" s="63"/>
    </row>
    <row r="11061" spans="9:10" x14ac:dyDescent="0.35">
      <c r="I11061" s="63"/>
      <c r="J11061" s="63"/>
    </row>
    <row r="11062" spans="9:10" x14ac:dyDescent="0.35">
      <c r="I11062" s="63"/>
      <c r="J11062" s="63"/>
    </row>
    <row r="11063" spans="9:10" x14ac:dyDescent="0.35">
      <c r="I11063" s="63"/>
      <c r="J11063" s="63"/>
    </row>
    <row r="11064" spans="9:10" x14ac:dyDescent="0.35">
      <c r="I11064" s="63"/>
      <c r="J11064" s="63"/>
    </row>
    <row r="11065" spans="9:10" x14ac:dyDescent="0.35">
      <c r="I11065" s="63"/>
      <c r="J11065" s="63"/>
    </row>
    <row r="11066" spans="9:10" x14ac:dyDescent="0.35">
      <c r="I11066" s="63"/>
      <c r="J11066" s="63"/>
    </row>
    <row r="11067" spans="9:10" x14ac:dyDescent="0.35">
      <c r="I11067" s="63"/>
      <c r="J11067" s="63"/>
    </row>
    <row r="11068" spans="9:10" x14ac:dyDescent="0.35">
      <c r="I11068" s="63"/>
      <c r="J11068" s="63"/>
    </row>
    <row r="11069" spans="9:10" x14ac:dyDescent="0.35">
      <c r="I11069" s="63"/>
      <c r="J11069" s="63"/>
    </row>
    <row r="11070" spans="9:10" x14ac:dyDescent="0.35">
      <c r="I11070" s="63"/>
      <c r="J11070" s="63"/>
    </row>
    <row r="11071" spans="9:10" x14ac:dyDescent="0.35">
      <c r="I11071" s="63"/>
      <c r="J11071" s="63"/>
    </row>
    <row r="11072" spans="9:10" x14ac:dyDescent="0.35">
      <c r="I11072" s="63"/>
      <c r="J11072" s="63"/>
    </row>
    <row r="11073" spans="9:10" x14ac:dyDescent="0.35">
      <c r="I11073" s="63"/>
      <c r="J11073" s="63"/>
    </row>
    <row r="11074" spans="9:10" x14ac:dyDescent="0.35">
      <c r="I11074" s="63"/>
      <c r="J11074" s="63"/>
    </row>
    <row r="11075" spans="9:10" x14ac:dyDescent="0.35">
      <c r="I11075" s="63"/>
      <c r="J11075" s="63"/>
    </row>
    <row r="11076" spans="9:10" x14ac:dyDescent="0.35">
      <c r="I11076" s="63"/>
      <c r="J11076" s="63"/>
    </row>
    <row r="11077" spans="9:10" x14ac:dyDescent="0.35">
      <c r="I11077" s="63"/>
      <c r="J11077" s="63"/>
    </row>
    <row r="11078" spans="9:10" x14ac:dyDescent="0.35">
      <c r="I11078" s="63"/>
      <c r="J11078" s="63"/>
    </row>
    <row r="11079" spans="9:10" x14ac:dyDescent="0.35">
      <c r="I11079" s="63"/>
      <c r="J11079" s="63"/>
    </row>
    <row r="11080" spans="9:10" x14ac:dyDescent="0.35">
      <c r="I11080" s="63"/>
      <c r="J11080" s="63"/>
    </row>
    <row r="11081" spans="9:10" x14ac:dyDescent="0.35">
      <c r="I11081" s="63"/>
      <c r="J11081" s="63"/>
    </row>
    <row r="11082" spans="9:10" x14ac:dyDescent="0.35">
      <c r="I11082" s="63"/>
      <c r="J11082" s="63"/>
    </row>
    <row r="11083" spans="9:10" x14ac:dyDescent="0.35">
      <c r="I11083" s="63"/>
      <c r="J11083" s="63"/>
    </row>
    <row r="11084" spans="9:10" x14ac:dyDescent="0.35">
      <c r="I11084" s="63"/>
      <c r="J11084" s="63"/>
    </row>
    <row r="11085" spans="9:10" x14ac:dyDescent="0.35">
      <c r="I11085" s="63"/>
      <c r="J11085" s="63"/>
    </row>
    <row r="11086" spans="9:10" x14ac:dyDescent="0.35">
      <c r="I11086" s="63"/>
      <c r="J11086" s="63"/>
    </row>
    <row r="11087" spans="9:10" x14ac:dyDescent="0.35">
      <c r="I11087" s="63"/>
      <c r="J11087" s="63"/>
    </row>
    <row r="11088" spans="9:10" x14ac:dyDescent="0.35">
      <c r="I11088" s="63"/>
      <c r="J11088" s="63"/>
    </row>
    <row r="11089" spans="9:10" x14ac:dyDescent="0.35">
      <c r="I11089" s="63"/>
      <c r="J11089" s="63"/>
    </row>
    <row r="11090" spans="9:10" x14ac:dyDescent="0.35">
      <c r="I11090" s="63"/>
      <c r="J11090" s="63"/>
    </row>
    <row r="11091" spans="9:10" x14ac:dyDescent="0.35">
      <c r="I11091" s="63"/>
      <c r="J11091" s="63"/>
    </row>
    <row r="11092" spans="9:10" x14ac:dyDescent="0.35">
      <c r="I11092" s="63"/>
      <c r="J11092" s="63"/>
    </row>
    <row r="11093" spans="9:10" x14ac:dyDescent="0.35">
      <c r="I11093" s="63"/>
      <c r="J11093" s="63"/>
    </row>
    <row r="11094" spans="9:10" x14ac:dyDescent="0.35">
      <c r="I11094" s="63"/>
      <c r="J11094" s="63"/>
    </row>
    <row r="11095" spans="9:10" x14ac:dyDescent="0.35">
      <c r="I11095" s="63"/>
      <c r="J11095" s="63"/>
    </row>
    <row r="11096" spans="9:10" x14ac:dyDescent="0.35">
      <c r="I11096" s="63"/>
      <c r="J11096" s="63"/>
    </row>
    <row r="11097" spans="9:10" x14ac:dyDescent="0.35">
      <c r="I11097" s="63"/>
      <c r="J11097" s="63"/>
    </row>
    <row r="11098" spans="9:10" x14ac:dyDescent="0.35">
      <c r="I11098" s="63"/>
      <c r="J11098" s="63"/>
    </row>
    <row r="11099" spans="9:10" x14ac:dyDescent="0.35">
      <c r="I11099" s="63"/>
      <c r="J11099" s="63"/>
    </row>
    <row r="11100" spans="9:10" x14ac:dyDescent="0.35">
      <c r="I11100" s="63"/>
      <c r="J11100" s="63"/>
    </row>
    <row r="11101" spans="9:10" x14ac:dyDescent="0.35">
      <c r="I11101" s="63"/>
      <c r="J11101" s="63"/>
    </row>
    <row r="11102" spans="9:10" x14ac:dyDescent="0.35">
      <c r="I11102" s="63"/>
      <c r="J11102" s="63"/>
    </row>
    <row r="11103" spans="9:10" x14ac:dyDescent="0.35">
      <c r="I11103" s="63"/>
      <c r="J11103" s="63"/>
    </row>
    <row r="11104" spans="9:10" x14ac:dyDescent="0.35">
      <c r="I11104" s="63"/>
      <c r="J11104" s="63"/>
    </row>
    <row r="11105" spans="9:10" x14ac:dyDescent="0.35">
      <c r="I11105" s="63"/>
      <c r="J11105" s="63"/>
    </row>
    <row r="11106" spans="9:10" x14ac:dyDescent="0.35">
      <c r="I11106" s="63"/>
      <c r="J11106" s="63"/>
    </row>
    <row r="11107" spans="9:10" x14ac:dyDescent="0.35">
      <c r="I11107" s="63"/>
      <c r="J11107" s="63"/>
    </row>
    <row r="11108" spans="9:10" x14ac:dyDescent="0.35">
      <c r="I11108" s="63"/>
      <c r="J11108" s="63"/>
    </row>
    <row r="11109" spans="9:10" x14ac:dyDescent="0.35">
      <c r="I11109" s="63"/>
      <c r="J11109" s="63"/>
    </row>
    <row r="11110" spans="9:10" x14ac:dyDescent="0.35">
      <c r="I11110" s="63"/>
      <c r="J11110" s="63"/>
    </row>
    <row r="11111" spans="9:10" x14ac:dyDescent="0.35">
      <c r="I11111" s="63"/>
      <c r="J11111" s="63"/>
    </row>
    <row r="11112" spans="9:10" x14ac:dyDescent="0.35">
      <c r="I11112" s="63"/>
      <c r="J11112" s="63"/>
    </row>
    <row r="11113" spans="9:10" x14ac:dyDescent="0.35">
      <c r="I11113" s="63"/>
      <c r="J11113" s="63"/>
    </row>
    <row r="11114" spans="9:10" x14ac:dyDescent="0.35">
      <c r="I11114" s="63"/>
      <c r="J11114" s="63"/>
    </row>
    <row r="11115" spans="9:10" x14ac:dyDescent="0.35">
      <c r="I11115" s="63"/>
      <c r="J11115" s="63"/>
    </row>
    <row r="11116" spans="9:10" x14ac:dyDescent="0.35">
      <c r="I11116" s="63"/>
      <c r="J11116" s="63"/>
    </row>
    <row r="11117" spans="9:10" x14ac:dyDescent="0.35">
      <c r="I11117" s="63"/>
      <c r="J11117" s="63"/>
    </row>
    <row r="11118" spans="9:10" x14ac:dyDescent="0.35">
      <c r="I11118" s="63"/>
      <c r="J11118" s="63"/>
    </row>
    <row r="11119" spans="9:10" x14ac:dyDescent="0.35">
      <c r="I11119" s="63"/>
      <c r="J11119" s="63"/>
    </row>
    <row r="11120" spans="9:10" x14ac:dyDescent="0.35">
      <c r="I11120" s="63"/>
      <c r="J11120" s="63"/>
    </row>
    <row r="11121" spans="9:10" x14ac:dyDescent="0.35">
      <c r="I11121" s="63"/>
      <c r="J11121" s="63"/>
    </row>
    <row r="11122" spans="9:10" x14ac:dyDescent="0.35">
      <c r="I11122" s="63"/>
      <c r="J11122" s="63"/>
    </row>
    <row r="11123" spans="9:10" x14ac:dyDescent="0.35">
      <c r="I11123" s="63"/>
      <c r="J11123" s="63"/>
    </row>
    <row r="11124" spans="9:10" x14ac:dyDescent="0.35">
      <c r="I11124" s="63"/>
      <c r="J11124" s="63"/>
    </row>
    <row r="11125" spans="9:10" x14ac:dyDescent="0.35">
      <c r="I11125" s="63"/>
      <c r="J11125" s="63"/>
    </row>
    <row r="11126" spans="9:10" x14ac:dyDescent="0.35">
      <c r="I11126" s="63"/>
      <c r="J11126" s="63"/>
    </row>
    <row r="11127" spans="9:10" x14ac:dyDescent="0.35">
      <c r="I11127" s="63"/>
      <c r="J11127" s="63"/>
    </row>
    <row r="11128" spans="9:10" x14ac:dyDescent="0.35">
      <c r="I11128" s="63"/>
      <c r="J11128" s="63"/>
    </row>
    <row r="11129" spans="9:10" x14ac:dyDescent="0.35">
      <c r="I11129" s="63"/>
      <c r="J11129" s="63"/>
    </row>
    <row r="11130" spans="9:10" x14ac:dyDescent="0.35">
      <c r="I11130" s="63"/>
      <c r="J11130" s="63"/>
    </row>
    <row r="11131" spans="9:10" x14ac:dyDescent="0.35">
      <c r="I11131" s="63"/>
      <c r="J11131" s="63"/>
    </row>
    <row r="11132" spans="9:10" x14ac:dyDescent="0.35">
      <c r="I11132" s="63"/>
      <c r="J11132" s="63"/>
    </row>
    <row r="11133" spans="9:10" x14ac:dyDescent="0.35">
      <c r="I11133" s="63"/>
      <c r="J11133" s="63"/>
    </row>
    <row r="11134" spans="9:10" x14ac:dyDescent="0.35">
      <c r="I11134" s="63"/>
      <c r="J11134" s="63"/>
    </row>
    <row r="11135" spans="9:10" x14ac:dyDescent="0.35">
      <c r="I11135" s="63"/>
      <c r="J11135" s="63"/>
    </row>
    <row r="11136" spans="9:10" x14ac:dyDescent="0.35">
      <c r="I11136" s="63"/>
      <c r="J11136" s="63"/>
    </row>
    <row r="11137" spans="9:10" x14ac:dyDescent="0.35">
      <c r="I11137" s="63"/>
      <c r="J11137" s="63"/>
    </row>
    <row r="11138" spans="9:10" x14ac:dyDescent="0.35">
      <c r="I11138" s="63"/>
      <c r="J11138" s="63"/>
    </row>
    <row r="11139" spans="9:10" x14ac:dyDescent="0.35">
      <c r="I11139" s="63"/>
      <c r="J11139" s="63"/>
    </row>
    <row r="11140" spans="9:10" x14ac:dyDescent="0.35">
      <c r="I11140" s="63"/>
      <c r="J11140" s="63"/>
    </row>
    <row r="11141" spans="9:10" x14ac:dyDescent="0.35">
      <c r="I11141" s="63"/>
      <c r="J11141" s="63"/>
    </row>
    <row r="11142" spans="9:10" x14ac:dyDescent="0.35">
      <c r="I11142" s="63"/>
      <c r="J11142" s="63"/>
    </row>
    <row r="11143" spans="9:10" x14ac:dyDescent="0.35">
      <c r="I11143" s="63"/>
      <c r="J11143" s="63"/>
    </row>
    <row r="11144" spans="9:10" x14ac:dyDescent="0.35">
      <c r="I11144" s="63"/>
      <c r="J11144" s="63"/>
    </row>
    <row r="11145" spans="9:10" x14ac:dyDescent="0.35">
      <c r="I11145" s="63"/>
      <c r="J11145" s="63"/>
    </row>
    <row r="11146" spans="9:10" x14ac:dyDescent="0.35">
      <c r="I11146" s="63"/>
      <c r="J11146" s="63"/>
    </row>
    <row r="11147" spans="9:10" x14ac:dyDescent="0.35">
      <c r="I11147" s="63"/>
      <c r="J11147" s="63"/>
    </row>
    <row r="11148" spans="9:10" x14ac:dyDescent="0.35">
      <c r="I11148" s="63"/>
      <c r="J11148" s="63"/>
    </row>
    <row r="11149" spans="9:10" x14ac:dyDescent="0.35">
      <c r="I11149" s="63"/>
      <c r="J11149" s="63"/>
    </row>
    <row r="11150" spans="9:10" x14ac:dyDescent="0.35">
      <c r="I11150" s="63"/>
      <c r="J11150" s="63"/>
    </row>
    <row r="11151" spans="9:10" x14ac:dyDescent="0.35">
      <c r="I11151" s="63"/>
      <c r="J11151" s="63"/>
    </row>
    <row r="11152" spans="9:10" x14ac:dyDescent="0.35">
      <c r="I11152" s="63"/>
      <c r="J11152" s="63"/>
    </row>
    <row r="11153" spans="9:10" x14ac:dyDescent="0.35">
      <c r="I11153" s="63"/>
      <c r="J11153" s="63"/>
    </row>
    <row r="11154" spans="9:10" x14ac:dyDescent="0.35">
      <c r="I11154" s="63"/>
      <c r="J11154" s="63"/>
    </row>
    <row r="11155" spans="9:10" x14ac:dyDescent="0.35">
      <c r="I11155" s="63"/>
      <c r="J11155" s="63"/>
    </row>
    <row r="11156" spans="9:10" x14ac:dyDescent="0.35">
      <c r="I11156" s="63"/>
      <c r="J11156" s="63"/>
    </row>
    <row r="11157" spans="9:10" x14ac:dyDescent="0.35">
      <c r="I11157" s="63"/>
      <c r="J11157" s="63"/>
    </row>
    <row r="11158" spans="9:10" x14ac:dyDescent="0.35">
      <c r="I11158" s="63"/>
      <c r="J11158" s="63"/>
    </row>
    <row r="11159" spans="9:10" x14ac:dyDescent="0.35">
      <c r="I11159" s="63"/>
      <c r="J11159" s="63"/>
    </row>
    <row r="11160" spans="9:10" x14ac:dyDescent="0.35">
      <c r="I11160" s="63"/>
      <c r="J11160" s="63"/>
    </row>
    <row r="11161" spans="9:10" x14ac:dyDescent="0.35">
      <c r="I11161" s="63"/>
      <c r="J11161" s="63"/>
    </row>
    <row r="11162" spans="9:10" x14ac:dyDescent="0.35">
      <c r="I11162" s="63"/>
      <c r="J11162" s="63"/>
    </row>
    <row r="11163" spans="9:10" x14ac:dyDescent="0.35">
      <c r="I11163" s="63"/>
      <c r="J11163" s="63"/>
    </row>
    <row r="11164" spans="9:10" x14ac:dyDescent="0.35">
      <c r="I11164" s="63"/>
      <c r="J11164" s="63"/>
    </row>
    <row r="11165" spans="9:10" x14ac:dyDescent="0.35">
      <c r="I11165" s="63"/>
      <c r="J11165" s="63"/>
    </row>
    <row r="11166" spans="9:10" x14ac:dyDescent="0.35">
      <c r="I11166" s="63"/>
      <c r="J11166" s="63"/>
    </row>
    <row r="11167" spans="9:10" x14ac:dyDescent="0.35">
      <c r="I11167" s="63"/>
      <c r="J11167" s="63"/>
    </row>
    <row r="11168" spans="9:10" x14ac:dyDescent="0.35">
      <c r="I11168" s="63"/>
      <c r="J11168" s="63"/>
    </row>
    <row r="11169" spans="9:10" x14ac:dyDescent="0.35">
      <c r="I11169" s="63"/>
      <c r="J11169" s="63"/>
    </row>
    <row r="11170" spans="9:10" x14ac:dyDescent="0.35">
      <c r="I11170" s="63"/>
      <c r="J11170" s="63"/>
    </row>
    <row r="11171" spans="9:10" x14ac:dyDescent="0.35">
      <c r="I11171" s="63"/>
      <c r="J11171" s="63"/>
    </row>
    <row r="11172" spans="9:10" x14ac:dyDescent="0.35">
      <c r="I11172" s="63"/>
      <c r="J11172" s="63"/>
    </row>
    <row r="11173" spans="9:10" x14ac:dyDescent="0.35">
      <c r="I11173" s="63"/>
      <c r="J11173" s="63"/>
    </row>
    <row r="11174" spans="9:10" x14ac:dyDescent="0.35">
      <c r="I11174" s="63"/>
      <c r="J11174" s="63"/>
    </row>
    <row r="11175" spans="9:10" x14ac:dyDescent="0.35">
      <c r="I11175" s="63"/>
      <c r="J11175" s="63"/>
    </row>
    <row r="11176" spans="9:10" x14ac:dyDescent="0.35">
      <c r="I11176" s="63"/>
      <c r="J11176" s="63"/>
    </row>
    <row r="11177" spans="9:10" x14ac:dyDescent="0.35">
      <c r="I11177" s="63"/>
      <c r="J11177" s="63"/>
    </row>
    <row r="11178" spans="9:10" x14ac:dyDescent="0.35">
      <c r="I11178" s="63"/>
      <c r="J11178" s="63"/>
    </row>
    <row r="11179" spans="9:10" x14ac:dyDescent="0.35">
      <c r="I11179" s="63"/>
      <c r="J11179" s="63"/>
    </row>
    <row r="11180" spans="9:10" x14ac:dyDescent="0.35">
      <c r="I11180" s="63"/>
      <c r="J11180" s="63"/>
    </row>
    <row r="11181" spans="9:10" x14ac:dyDescent="0.35">
      <c r="I11181" s="63"/>
      <c r="J11181" s="63"/>
    </row>
    <row r="11182" spans="9:10" x14ac:dyDescent="0.35">
      <c r="I11182" s="63"/>
      <c r="J11182" s="63"/>
    </row>
    <row r="11183" spans="9:10" x14ac:dyDescent="0.35">
      <c r="I11183" s="63"/>
      <c r="J11183" s="63"/>
    </row>
    <row r="11184" spans="9:10" x14ac:dyDescent="0.35">
      <c r="I11184" s="63"/>
      <c r="J11184" s="63"/>
    </row>
    <row r="11185" spans="9:10" x14ac:dyDescent="0.35">
      <c r="I11185" s="63"/>
      <c r="J11185" s="63"/>
    </row>
    <row r="11186" spans="9:10" x14ac:dyDescent="0.35">
      <c r="I11186" s="63"/>
      <c r="J11186" s="63"/>
    </row>
    <row r="11187" spans="9:10" x14ac:dyDescent="0.35">
      <c r="I11187" s="63"/>
      <c r="J11187" s="63"/>
    </row>
    <row r="11188" spans="9:10" x14ac:dyDescent="0.35">
      <c r="I11188" s="63"/>
      <c r="J11188" s="63"/>
    </row>
    <row r="11189" spans="9:10" x14ac:dyDescent="0.35">
      <c r="I11189" s="63"/>
      <c r="J11189" s="63"/>
    </row>
    <row r="11190" spans="9:10" x14ac:dyDescent="0.35">
      <c r="I11190" s="63"/>
      <c r="J11190" s="63"/>
    </row>
    <row r="11191" spans="9:10" x14ac:dyDescent="0.35">
      <c r="I11191" s="63"/>
      <c r="J11191" s="63"/>
    </row>
    <row r="11192" spans="9:10" x14ac:dyDescent="0.35">
      <c r="I11192" s="63"/>
      <c r="J11192" s="63"/>
    </row>
    <row r="11193" spans="9:10" x14ac:dyDescent="0.35">
      <c r="I11193" s="63"/>
      <c r="J11193" s="63"/>
    </row>
    <row r="11194" spans="9:10" x14ac:dyDescent="0.35">
      <c r="I11194" s="63"/>
      <c r="J11194" s="63"/>
    </row>
    <row r="11195" spans="9:10" x14ac:dyDescent="0.35">
      <c r="I11195" s="63"/>
      <c r="J11195" s="63"/>
    </row>
    <row r="11196" spans="9:10" x14ac:dyDescent="0.35">
      <c r="I11196" s="63"/>
      <c r="J11196" s="63"/>
    </row>
    <row r="11197" spans="9:10" x14ac:dyDescent="0.35">
      <c r="I11197" s="63"/>
      <c r="J11197" s="63"/>
    </row>
    <row r="11198" spans="9:10" x14ac:dyDescent="0.35">
      <c r="I11198" s="63"/>
      <c r="J11198" s="63"/>
    </row>
    <row r="11199" spans="9:10" x14ac:dyDescent="0.35">
      <c r="I11199" s="63"/>
      <c r="J11199" s="63"/>
    </row>
    <row r="11200" spans="9:10" x14ac:dyDescent="0.35">
      <c r="I11200" s="63"/>
      <c r="J11200" s="63"/>
    </row>
    <row r="11201" spans="9:10" x14ac:dyDescent="0.35">
      <c r="I11201" s="63"/>
      <c r="J11201" s="63"/>
    </row>
    <row r="11202" spans="9:10" x14ac:dyDescent="0.35">
      <c r="I11202" s="63"/>
      <c r="J11202" s="63"/>
    </row>
    <row r="11203" spans="9:10" x14ac:dyDescent="0.35">
      <c r="I11203" s="63"/>
      <c r="J11203" s="63"/>
    </row>
    <row r="11204" spans="9:10" x14ac:dyDescent="0.35">
      <c r="I11204" s="63"/>
      <c r="J11204" s="63"/>
    </row>
    <row r="11205" spans="9:10" x14ac:dyDescent="0.35">
      <c r="I11205" s="63"/>
      <c r="J11205" s="63"/>
    </row>
    <row r="11206" spans="9:10" x14ac:dyDescent="0.35">
      <c r="I11206" s="63"/>
      <c r="J11206" s="63"/>
    </row>
    <row r="11207" spans="9:10" x14ac:dyDescent="0.35">
      <c r="I11207" s="63"/>
      <c r="J11207" s="63"/>
    </row>
    <row r="11208" spans="9:10" x14ac:dyDescent="0.35">
      <c r="I11208" s="63"/>
      <c r="J11208" s="63"/>
    </row>
    <row r="11209" spans="9:10" x14ac:dyDescent="0.35">
      <c r="I11209" s="63"/>
      <c r="J11209" s="63"/>
    </row>
    <row r="11210" spans="9:10" x14ac:dyDescent="0.35">
      <c r="I11210" s="63"/>
      <c r="J11210" s="63"/>
    </row>
    <row r="11211" spans="9:10" x14ac:dyDescent="0.35">
      <c r="I11211" s="63"/>
      <c r="J11211" s="63"/>
    </row>
    <row r="11212" spans="9:10" x14ac:dyDescent="0.35">
      <c r="I11212" s="63"/>
      <c r="J11212" s="63"/>
    </row>
    <row r="11213" spans="9:10" x14ac:dyDescent="0.35">
      <c r="I11213" s="63"/>
      <c r="J11213" s="63"/>
    </row>
    <row r="11214" spans="9:10" x14ac:dyDescent="0.35">
      <c r="I11214" s="63"/>
      <c r="J11214" s="63"/>
    </row>
    <row r="11215" spans="9:10" x14ac:dyDescent="0.35">
      <c r="I11215" s="63"/>
      <c r="J11215" s="63"/>
    </row>
    <row r="11216" spans="9:10" x14ac:dyDescent="0.35">
      <c r="I11216" s="63"/>
      <c r="J11216" s="63"/>
    </row>
    <row r="11217" spans="9:10" x14ac:dyDescent="0.35">
      <c r="I11217" s="63"/>
      <c r="J11217" s="63"/>
    </row>
    <row r="11218" spans="9:10" x14ac:dyDescent="0.35">
      <c r="I11218" s="63"/>
      <c r="J11218" s="63"/>
    </row>
    <row r="11219" spans="9:10" x14ac:dyDescent="0.35">
      <c r="I11219" s="63"/>
      <c r="J11219" s="63"/>
    </row>
    <row r="11220" spans="9:10" x14ac:dyDescent="0.35">
      <c r="I11220" s="63"/>
      <c r="J11220" s="63"/>
    </row>
    <row r="11221" spans="9:10" x14ac:dyDescent="0.35">
      <c r="I11221" s="63"/>
      <c r="J11221" s="63"/>
    </row>
    <row r="11222" spans="9:10" x14ac:dyDescent="0.35">
      <c r="I11222" s="63"/>
      <c r="J11222" s="63"/>
    </row>
    <row r="11223" spans="9:10" x14ac:dyDescent="0.35">
      <c r="I11223" s="63"/>
      <c r="J11223" s="63"/>
    </row>
    <row r="11224" spans="9:10" x14ac:dyDescent="0.35">
      <c r="I11224" s="63"/>
      <c r="J11224" s="63"/>
    </row>
    <row r="11225" spans="9:10" x14ac:dyDescent="0.35">
      <c r="I11225" s="63"/>
      <c r="J11225" s="63"/>
    </row>
    <row r="11226" spans="9:10" x14ac:dyDescent="0.35">
      <c r="I11226" s="63"/>
      <c r="J11226" s="63"/>
    </row>
    <row r="11227" spans="9:10" x14ac:dyDescent="0.35">
      <c r="I11227" s="63"/>
      <c r="J11227" s="63"/>
    </row>
    <row r="11228" spans="9:10" x14ac:dyDescent="0.35">
      <c r="I11228" s="63"/>
      <c r="J11228" s="63"/>
    </row>
    <row r="11229" spans="9:10" x14ac:dyDescent="0.35">
      <c r="I11229" s="63"/>
      <c r="J11229" s="63"/>
    </row>
    <row r="11230" spans="9:10" x14ac:dyDescent="0.35">
      <c r="I11230" s="63"/>
      <c r="J11230" s="63"/>
    </row>
    <row r="11231" spans="9:10" x14ac:dyDescent="0.35">
      <c r="I11231" s="63"/>
      <c r="J11231" s="63"/>
    </row>
    <row r="11232" spans="9:10" x14ac:dyDescent="0.35">
      <c r="I11232" s="63"/>
      <c r="J11232" s="63"/>
    </row>
    <row r="11233" spans="9:10" x14ac:dyDescent="0.35">
      <c r="I11233" s="63"/>
      <c r="J11233" s="63"/>
    </row>
    <row r="11234" spans="9:10" x14ac:dyDescent="0.35">
      <c r="I11234" s="63"/>
      <c r="J11234" s="63"/>
    </row>
    <row r="11235" spans="9:10" x14ac:dyDescent="0.35">
      <c r="I11235" s="63"/>
      <c r="J11235" s="63"/>
    </row>
    <row r="11236" spans="9:10" x14ac:dyDescent="0.35">
      <c r="I11236" s="63"/>
      <c r="J11236" s="63"/>
    </row>
    <row r="11237" spans="9:10" x14ac:dyDescent="0.35">
      <c r="I11237" s="63"/>
      <c r="J11237" s="63"/>
    </row>
    <row r="11238" spans="9:10" x14ac:dyDescent="0.35">
      <c r="I11238" s="63"/>
      <c r="J11238" s="63"/>
    </row>
    <row r="11239" spans="9:10" x14ac:dyDescent="0.35">
      <c r="I11239" s="63"/>
      <c r="J11239" s="63"/>
    </row>
    <row r="11240" spans="9:10" x14ac:dyDescent="0.35">
      <c r="I11240" s="63"/>
      <c r="J11240" s="63"/>
    </row>
    <row r="11241" spans="9:10" x14ac:dyDescent="0.35">
      <c r="I11241" s="63"/>
      <c r="J11241" s="63"/>
    </row>
    <row r="11242" spans="9:10" x14ac:dyDescent="0.35">
      <c r="I11242" s="63"/>
      <c r="J11242" s="63"/>
    </row>
    <row r="11243" spans="9:10" x14ac:dyDescent="0.35">
      <c r="I11243" s="63"/>
      <c r="J11243" s="63"/>
    </row>
    <row r="11244" spans="9:10" x14ac:dyDescent="0.35">
      <c r="I11244" s="63"/>
      <c r="J11244" s="63"/>
    </row>
    <row r="11245" spans="9:10" x14ac:dyDescent="0.35">
      <c r="I11245" s="63"/>
      <c r="J11245" s="63"/>
    </row>
    <row r="11246" spans="9:10" x14ac:dyDescent="0.35">
      <c r="I11246" s="63"/>
      <c r="J11246" s="63"/>
    </row>
    <row r="11247" spans="9:10" x14ac:dyDescent="0.35">
      <c r="I11247" s="63"/>
      <c r="J11247" s="63"/>
    </row>
    <row r="11248" spans="9:10" x14ac:dyDescent="0.35">
      <c r="I11248" s="63"/>
      <c r="J11248" s="63"/>
    </row>
    <row r="11249" spans="9:10" x14ac:dyDescent="0.35">
      <c r="I11249" s="63"/>
      <c r="J11249" s="63"/>
    </row>
    <row r="11250" spans="9:10" x14ac:dyDescent="0.35">
      <c r="I11250" s="63"/>
      <c r="J11250" s="63"/>
    </row>
    <row r="11251" spans="9:10" x14ac:dyDescent="0.35">
      <c r="I11251" s="63"/>
      <c r="J11251" s="63"/>
    </row>
    <row r="11252" spans="9:10" x14ac:dyDescent="0.35">
      <c r="I11252" s="63"/>
      <c r="J11252" s="63"/>
    </row>
    <row r="11253" spans="9:10" x14ac:dyDescent="0.35">
      <c r="I11253" s="63"/>
      <c r="J11253" s="63"/>
    </row>
    <row r="11254" spans="9:10" x14ac:dyDescent="0.35">
      <c r="I11254" s="63"/>
      <c r="J11254" s="63"/>
    </row>
    <row r="11255" spans="9:10" x14ac:dyDescent="0.35">
      <c r="I11255" s="63"/>
      <c r="J11255" s="63"/>
    </row>
    <row r="11256" spans="9:10" x14ac:dyDescent="0.35">
      <c r="I11256" s="63"/>
      <c r="J11256" s="63"/>
    </row>
    <row r="11257" spans="9:10" x14ac:dyDescent="0.35">
      <c r="I11257" s="63"/>
      <c r="J11257" s="63"/>
    </row>
    <row r="11258" spans="9:10" x14ac:dyDescent="0.35">
      <c r="I11258" s="63"/>
      <c r="J11258" s="63"/>
    </row>
    <row r="11259" spans="9:10" x14ac:dyDescent="0.35">
      <c r="I11259" s="63"/>
      <c r="J11259" s="63"/>
    </row>
    <row r="11260" spans="9:10" x14ac:dyDescent="0.35">
      <c r="I11260" s="63"/>
      <c r="J11260" s="63"/>
    </row>
    <row r="11261" spans="9:10" x14ac:dyDescent="0.35">
      <c r="I11261" s="63"/>
      <c r="J11261" s="63"/>
    </row>
    <row r="11262" spans="9:10" x14ac:dyDescent="0.35">
      <c r="I11262" s="63"/>
      <c r="J11262" s="63"/>
    </row>
    <row r="11263" spans="9:10" x14ac:dyDescent="0.35">
      <c r="I11263" s="63"/>
      <c r="J11263" s="63"/>
    </row>
    <row r="11264" spans="9:10" x14ac:dyDescent="0.35">
      <c r="I11264" s="63"/>
      <c r="J11264" s="63"/>
    </row>
    <row r="11265" spans="9:10" x14ac:dyDescent="0.35">
      <c r="I11265" s="63"/>
      <c r="J11265" s="63"/>
    </row>
    <row r="11266" spans="9:10" x14ac:dyDescent="0.35">
      <c r="I11266" s="63"/>
      <c r="J11266" s="63"/>
    </row>
    <row r="11267" spans="9:10" x14ac:dyDescent="0.35">
      <c r="I11267" s="63"/>
      <c r="J11267" s="63"/>
    </row>
    <row r="11268" spans="9:10" x14ac:dyDescent="0.35">
      <c r="I11268" s="63"/>
      <c r="J11268" s="63"/>
    </row>
    <row r="11269" spans="9:10" x14ac:dyDescent="0.35">
      <c r="I11269" s="63"/>
      <c r="J11269" s="63"/>
    </row>
    <row r="11270" spans="9:10" x14ac:dyDescent="0.35">
      <c r="I11270" s="63"/>
      <c r="J11270" s="63"/>
    </row>
    <row r="11271" spans="9:10" x14ac:dyDescent="0.35">
      <c r="I11271" s="63"/>
      <c r="J11271" s="63"/>
    </row>
    <row r="11272" spans="9:10" x14ac:dyDescent="0.35">
      <c r="I11272" s="63"/>
      <c r="J11272" s="63"/>
    </row>
    <row r="11273" spans="9:10" x14ac:dyDescent="0.35">
      <c r="I11273" s="63"/>
      <c r="J11273" s="63"/>
    </row>
    <row r="11274" spans="9:10" x14ac:dyDescent="0.35">
      <c r="I11274" s="63"/>
      <c r="J11274" s="63"/>
    </row>
    <row r="11275" spans="9:10" x14ac:dyDescent="0.35">
      <c r="I11275" s="63"/>
      <c r="J11275" s="63"/>
    </row>
    <row r="11276" spans="9:10" x14ac:dyDescent="0.35">
      <c r="I11276" s="63"/>
      <c r="J11276" s="63"/>
    </row>
    <row r="11277" spans="9:10" x14ac:dyDescent="0.35">
      <c r="I11277" s="63"/>
      <c r="J11277" s="63"/>
    </row>
    <row r="11278" spans="9:10" x14ac:dyDescent="0.35">
      <c r="I11278" s="63"/>
      <c r="J11278" s="63"/>
    </row>
    <row r="11279" spans="9:10" x14ac:dyDescent="0.35">
      <c r="I11279" s="63"/>
      <c r="J11279" s="63"/>
    </row>
    <row r="11280" spans="9:10" x14ac:dyDescent="0.35">
      <c r="I11280" s="63"/>
      <c r="J11280" s="63"/>
    </row>
    <row r="11281" spans="9:10" x14ac:dyDescent="0.35">
      <c r="I11281" s="63"/>
      <c r="J11281" s="63"/>
    </row>
    <row r="11282" spans="9:10" x14ac:dyDescent="0.35">
      <c r="I11282" s="63"/>
      <c r="J11282" s="63"/>
    </row>
    <row r="11283" spans="9:10" x14ac:dyDescent="0.35">
      <c r="I11283" s="63"/>
      <c r="J11283" s="63"/>
    </row>
    <row r="11284" spans="9:10" x14ac:dyDescent="0.35">
      <c r="I11284" s="63"/>
      <c r="J11284" s="63"/>
    </row>
    <row r="11285" spans="9:10" x14ac:dyDescent="0.35">
      <c r="I11285" s="63"/>
      <c r="J11285" s="63"/>
    </row>
    <row r="11286" spans="9:10" x14ac:dyDescent="0.35">
      <c r="I11286" s="63"/>
      <c r="J11286" s="63"/>
    </row>
    <row r="11287" spans="9:10" x14ac:dyDescent="0.35">
      <c r="I11287" s="63"/>
      <c r="J11287" s="63"/>
    </row>
    <row r="11288" spans="9:10" x14ac:dyDescent="0.35">
      <c r="I11288" s="63"/>
      <c r="J11288" s="63"/>
    </row>
    <row r="11289" spans="9:10" x14ac:dyDescent="0.35">
      <c r="I11289" s="63"/>
      <c r="J11289" s="63"/>
    </row>
    <row r="11290" spans="9:10" x14ac:dyDescent="0.35">
      <c r="I11290" s="63"/>
      <c r="J11290" s="63"/>
    </row>
    <row r="11291" spans="9:10" x14ac:dyDescent="0.35">
      <c r="I11291" s="63"/>
      <c r="J11291" s="63"/>
    </row>
    <row r="11292" spans="9:10" x14ac:dyDescent="0.35">
      <c r="I11292" s="63"/>
      <c r="J11292" s="63"/>
    </row>
    <row r="11293" spans="9:10" x14ac:dyDescent="0.35">
      <c r="I11293" s="63"/>
      <c r="J11293" s="63"/>
    </row>
    <row r="11294" spans="9:10" x14ac:dyDescent="0.35">
      <c r="I11294" s="63"/>
      <c r="J11294" s="63"/>
    </row>
    <row r="11295" spans="9:10" x14ac:dyDescent="0.35">
      <c r="I11295" s="63"/>
      <c r="J11295" s="63"/>
    </row>
    <row r="11296" spans="9:10" x14ac:dyDescent="0.35">
      <c r="I11296" s="63"/>
      <c r="J11296" s="63"/>
    </row>
    <row r="11297" spans="9:10" x14ac:dyDescent="0.35">
      <c r="I11297" s="63"/>
      <c r="J11297" s="63"/>
    </row>
    <row r="11298" spans="9:10" x14ac:dyDescent="0.35">
      <c r="I11298" s="63"/>
      <c r="J11298" s="63"/>
    </row>
    <row r="11299" spans="9:10" x14ac:dyDescent="0.35">
      <c r="I11299" s="63"/>
      <c r="J11299" s="63"/>
    </row>
    <row r="11300" spans="9:10" x14ac:dyDescent="0.35">
      <c r="I11300" s="63"/>
      <c r="J11300" s="63"/>
    </row>
    <row r="11301" spans="9:10" x14ac:dyDescent="0.35">
      <c r="I11301" s="63"/>
      <c r="J11301" s="63"/>
    </row>
    <row r="11302" spans="9:10" x14ac:dyDescent="0.35">
      <c r="I11302" s="63"/>
      <c r="J11302" s="63"/>
    </row>
    <row r="11303" spans="9:10" x14ac:dyDescent="0.35">
      <c r="I11303" s="63"/>
      <c r="J11303" s="63"/>
    </row>
    <row r="11304" spans="9:10" x14ac:dyDescent="0.35">
      <c r="I11304" s="63"/>
      <c r="J11304" s="63"/>
    </row>
    <row r="11305" spans="9:10" x14ac:dyDescent="0.35">
      <c r="I11305" s="63"/>
      <c r="J11305" s="63"/>
    </row>
    <row r="11306" spans="9:10" x14ac:dyDescent="0.35">
      <c r="I11306" s="63"/>
      <c r="J11306" s="63"/>
    </row>
    <row r="11307" spans="9:10" x14ac:dyDescent="0.35">
      <c r="I11307" s="63"/>
      <c r="J11307" s="63"/>
    </row>
    <row r="11308" spans="9:10" x14ac:dyDescent="0.35">
      <c r="I11308" s="63"/>
      <c r="J11308" s="63"/>
    </row>
    <row r="11309" spans="9:10" x14ac:dyDescent="0.35">
      <c r="I11309" s="63"/>
      <c r="J11309" s="63"/>
    </row>
    <row r="11310" spans="9:10" x14ac:dyDescent="0.35">
      <c r="I11310" s="63"/>
      <c r="J11310" s="63"/>
    </row>
    <row r="11311" spans="9:10" x14ac:dyDescent="0.35">
      <c r="I11311" s="63"/>
      <c r="J11311" s="63"/>
    </row>
    <row r="11312" spans="9:10" x14ac:dyDescent="0.35">
      <c r="I11312" s="63"/>
      <c r="J11312" s="63"/>
    </row>
    <row r="11313" spans="9:10" x14ac:dyDescent="0.35">
      <c r="I11313" s="63"/>
      <c r="J11313" s="63"/>
    </row>
    <row r="11314" spans="9:10" x14ac:dyDescent="0.35">
      <c r="I11314" s="63"/>
      <c r="J11314" s="63"/>
    </row>
    <row r="11315" spans="9:10" x14ac:dyDescent="0.35">
      <c r="I11315" s="63"/>
      <c r="J11315" s="63"/>
    </row>
    <row r="11316" spans="9:10" x14ac:dyDescent="0.35">
      <c r="I11316" s="63"/>
      <c r="J11316" s="63"/>
    </row>
    <row r="11317" spans="9:10" x14ac:dyDescent="0.35">
      <c r="I11317" s="63"/>
      <c r="J11317" s="63"/>
    </row>
    <row r="11318" spans="9:10" x14ac:dyDescent="0.35">
      <c r="I11318" s="63"/>
      <c r="J11318" s="63"/>
    </row>
    <row r="11319" spans="9:10" x14ac:dyDescent="0.35">
      <c r="I11319" s="63"/>
      <c r="J11319" s="63"/>
    </row>
    <row r="11320" spans="9:10" x14ac:dyDescent="0.35">
      <c r="I11320" s="63"/>
      <c r="J11320" s="63"/>
    </row>
    <row r="11321" spans="9:10" x14ac:dyDescent="0.35">
      <c r="I11321" s="63"/>
      <c r="J11321" s="63"/>
    </row>
    <row r="11322" spans="9:10" x14ac:dyDescent="0.35">
      <c r="I11322" s="63"/>
      <c r="J11322" s="63"/>
    </row>
    <row r="11323" spans="9:10" x14ac:dyDescent="0.35">
      <c r="I11323" s="63"/>
      <c r="J11323" s="63"/>
    </row>
    <row r="11324" spans="9:10" x14ac:dyDescent="0.35">
      <c r="I11324" s="63"/>
      <c r="J11324" s="63"/>
    </row>
    <row r="11325" spans="9:10" x14ac:dyDescent="0.35">
      <c r="I11325" s="63"/>
      <c r="J11325" s="63"/>
    </row>
    <row r="11326" spans="9:10" x14ac:dyDescent="0.35">
      <c r="I11326" s="63"/>
      <c r="J11326" s="63"/>
    </row>
    <row r="11327" spans="9:10" x14ac:dyDescent="0.35">
      <c r="I11327" s="63"/>
      <c r="J11327" s="63"/>
    </row>
    <row r="11328" spans="9:10" x14ac:dyDescent="0.35">
      <c r="I11328" s="63"/>
      <c r="J11328" s="63"/>
    </row>
    <row r="11329" spans="9:10" x14ac:dyDescent="0.35">
      <c r="I11329" s="63"/>
      <c r="J11329" s="63"/>
    </row>
    <row r="11330" spans="9:10" x14ac:dyDescent="0.35">
      <c r="I11330" s="63"/>
      <c r="J11330" s="63"/>
    </row>
    <row r="11331" spans="9:10" x14ac:dyDescent="0.35">
      <c r="I11331" s="63"/>
      <c r="J11331" s="63"/>
    </row>
    <row r="11332" spans="9:10" x14ac:dyDescent="0.35">
      <c r="I11332" s="63"/>
      <c r="J11332" s="63"/>
    </row>
    <row r="11333" spans="9:10" x14ac:dyDescent="0.35">
      <c r="I11333" s="63"/>
      <c r="J11333" s="63"/>
    </row>
    <row r="11334" spans="9:10" x14ac:dyDescent="0.35">
      <c r="I11334" s="63"/>
      <c r="J11334" s="63"/>
    </row>
    <row r="11335" spans="9:10" x14ac:dyDescent="0.35">
      <c r="I11335" s="63"/>
      <c r="J11335" s="63"/>
    </row>
    <row r="11336" spans="9:10" x14ac:dyDescent="0.35">
      <c r="I11336" s="63"/>
      <c r="J11336" s="63"/>
    </row>
    <row r="11337" spans="9:10" x14ac:dyDescent="0.35">
      <c r="I11337" s="63"/>
      <c r="J11337" s="63"/>
    </row>
    <row r="11338" spans="9:10" x14ac:dyDescent="0.35">
      <c r="I11338" s="63"/>
      <c r="J11338" s="63"/>
    </row>
    <row r="11339" spans="9:10" x14ac:dyDescent="0.35">
      <c r="I11339" s="63"/>
      <c r="J11339" s="63"/>
    </row>
    <row r="11340" spans="9:10" x14ac:dyDescent="0.35">
      <c r="I11340" s="63"/>
      <c r="J11340" s="63"/>
    </row>
    <row r="11341" spans="9:10" x14ac:dyDescent="0.35">
      <c r="I11341" s="63"/>
      <c r="J11341" s="63"/>
    </row>
    <row r="11342" spans="9:10" x14ac:dyDescent="0.35">
      <c r="I11342" s="63"/>
      <c r="J11342" s="63"/>
    </row>
    <row r="11343" spans="9:10" x14ac:dyDescent="0.35">
      <c r="I11343" s="63"/>
      <c r="J11343" s="63"/>
    </row>
    <row r="11344" spans="9:10" x14ac:dyDescent="0.35">
      <c r="I11344" s="63"/>
      <c r="J11344" s="63"/>
    </row>
    <row r="11345" spans="9:10" x14ac:dyDescent="0.35">
      <c r="I11345" s="63"/>
      <c r="J11345" s="63"/>
    </row>
    <row r="11346" spans="9:10" x14ac:dyDescent="0.35">
      <c r="I11346" s="63"/>
      <c r="J11346" s="63"/>
    </row>
    <row r="11347" spans="9:10" x14ac:dyDescent="0.35">
      <c r="I11347" s="63"/>
      <c r="J11347" s="63"/>
    </row>
    <row r="11348" spans="9:10" x14ac:dyDescent="0.35">
      <c r="I11348" s="63"/>
      <c r="J11348" s="63"/>
    </row>
    <row r="11349" spans="9:10" x14ac:dyDescent="0.35">
      <c r="I11349" s="63"/>
      <c r="J11349" s="63"/>
    </row>
    <row r="11350" spans="9:10" x14ac:dyDescent="0.35">
      <c r="I11350" s="63"/>
      <c r="J11350" s="63"/>
    </row>
    <row r="11351" spans="9:10" x14ac:dyDescent="0.35">
      <c r="I11351" s="63"/>
      <c r="J11351" s="63"/>
    </row>
    <row r="11352" spans="9:10" x14ac:dyDescent="0.35">
      <c r="I11352" s="63"/>
      <c r="J11352" s="63"/>
    </row>
    <row r="11353" spans="9:10" x14ac:dyDescent="0.35">
      <c r="I11353" s="63"/>
      <c r="J11353" s="63"/>
    </row>
    <row r="11354" spans="9:10" x14ac:dyDescent="0.35">
      <c r="I11354" s="63"/>
      <c r="J11354" s="63"/>
    </row>
    <row r="11355" spans="9:10" x14ac:dyDescent="0.35">
      <c r="I11355" s="63"/>
      <c r="J11355" s="63"/>
    </row>
    <row r="11356" spans="9:10" x14ac:dyDescent="0.35">
      <c r="I11356" s="63"/>
      <c r="J11356" s="63"/>
    </row>
    <row r="11357" spans="9:10" x14ac:dyDescent="0.35">
      <c r="I11357" s="63"/>
      <c r="J11357" s="63"/>
    </row>
    <row r="11358" spans="9:10" x14ac:dyDescent="0.35">
      <c r="I11358" s="63"/>
      <c r="J11358" s="63"/>
    </row>
    <row r="11359" spans="9:10" x14ac:dyDescent="0.35">
      <c r="I11359" s="63"/>
      <c r="J11359" s="63"/>
    </row>
    <row r="11360" spans="9:10" x14ac:dyDescent="0.35">
      <c r="I11360" s="63"/>
      <c r="J11360" s="63"/>
    </row>
    <row r="11361" spans="9:10" x14ac:dyDescent="0.35">
      <c r="I11361" s="63"/>
      <c r="J11361" s="63"/>
    </row>
    <row r="11362" spans="9:10" x14ac:dyDescent="0.35">
      <c r="I11362" s="63"/>
      <c r="J11362" s="63"/>
    </row>
    <row r="11363" spans="9:10" x14ac:dyDescent="0.35">
      <c r="I11363" s="63"/>
      <c r="J11363" s="63"/>
    </row>
    <row r="11364" spans="9:10" x14ac:dyDescent="0.35">
      <c r="I11364" s="63"/>
      <c r="J11364" s="63"/>
    </row>
    <row r="11365" spans="9:10" x14ac:dyDescent="0.35">
      <c r="I11365" s="63"/>
      <c r="J11365" s="63"/>
    </row>
    <row r="11366" spans="9:10" x14ac:dyDescent="0.35">
      <c r="I11366" s="63"/>
      <c r="J11366" s="63"/>
    </row>
    <row r="11367" spans="9:10" x14ac:dyDescent="0.35">
      <c r="I11367" s="63"/>
      <c r="J11367" s="63"/>
    </row>
    <row r="11368" spans="9:10" x14ac:dyDescent="0.35">
      <c r="I11368" s="63"/>
      <c r="J11368" s="63"/>
    </row>
    <row r="11369" spans="9:10" x14ac:dyDescent="0.35">
      <c r="I11369" s="63"/>
      <c r="J11369" s="63"/>
    </row>
    <row r="11370" spans="9:10" x14ac:dyDescent="0.35">
      <c r="I11370" s="63"/>
      <c r="J11370" s="63"/>
    </row>
    <row r="11371" spans="9:10" x14ac:dyDescent="0.35">
      <c r="I11371" s="63"/>
      <c r="J11371" s="63"/>
    </row>
    <row r="11372" spans="9:10" x14ac:dyDescent="0.35">
      <c r="I11372" s="63"/>
      <c r="J11372" s="63"/>
    </row>
    <row r="11373" spans="9:10" x14ac:dyDescent="0.35">
      <c r="I11373" s="63"/>
      <c r="J11373" s="63"/>
    </row>
    <row r="11374" spans="9:10" x14ac:dyDescent="0.35">
      <c r="I11374" s="63"/>
      <c r="J11374" s="63"/>
    </row>
    <row r="11375" spans="9:10" x14ac:dyDescent="0.35">
      <c r="I11375" s="63"/>
      <c r="J11375" s="63"/>
    </row>
    <row r="11376" spans="9:10" x14ac:dyDescent="0.35">
      <c r="I11376" s="63"/>
      <c r="J11376" s="63"/>
    </row>
    <row r="11377" spans="9:10" x14ac:dyDescent="0.35">
      <c r="I11377" s="63"/>
      <c r="J11377" s="63"/>
    </row>
    <row r="11378" spans="9:10" x14ac:dyDescent="0.35">
      <c r="I11378" s="63"/>
      <c r="J11378" s="63"/>
    </row>
    <row r="11379" spans="9:10" x14ac:dyDescent="0.35">
      <c r="I11379" s="63"/>
      <c r="J11379" s="63"/>
    </row>
    <row r="11380" spans="9:10" x14ac:dyDescent="0.35">
      <c r="I11380" s="63"/>
      <c r="J11380" s="63"/>
    </row>
    <row r="11381" spans="9:10" x14ac:dyDescent="0.35">
      <c r="I11381" s="63"/>
      <c r="J11381" s="63"/>
    </row>
    <row r="11382" spans="9:10" x14ac:dyDescent="0.35">
      <c r="I11382" s="63"/>
      <c r="J11382" s="63"/>
    </row>
    <row r="11383" spans="9:10" x14ac:dyDescent="0.35">
      <c r="I11383" s="63"/>
      <c r="J11383" s="63"/>
    </row>
    <row r="11384" spans="9:10" x14ac:dyDescent="0.35">
      <c r="I11384" s="63"/>
      <c r="J11384" s="63"/>
    </row>
    <row r="11385" spans="9:10" x14ac:dyDescent="0.35">
      <c r="I11385" s="63"/>
      <c r="J11385" s="63"/>
    </row>
    <row r="11386" spans="9:10" x14ac:dyDescent="0.35">
      <c r="I11386" s="63"/>
      <c r="J11386" s="63"/>
    </row>
    <row r="11387" spans="9:10" x14ac:dyDescent="0.35">
      <c r="I11387" s="63"/>
      <c r="J11387" s="63"/>
    </row>
    <row r="11388" spans="9:10" x14ac:dyDescent="0.35">
      <c r="I11388" s="63"/>
      <c r="J11388" s="63"/>
    </row>
    <row r="11389" spans="9:10" x14ac:dyDescent="0.35">
      <c r="I11389" s="63"/>
      <c r="J11389" s="63"/>
    </row>
    <row r="11390" spans="9:10" x14ac:dyDescent="0.35">
      <c r="I11390" s="63"/>
      <c r="J11390" s="63"/>
    </row>
    <row r="11391" spans="9:10" x14ac:dyDescent="0.35">
      <c r="I11391" s="63"/>
      <c r="J11391" s="63"/>
    </row>
    <row r="11392" spans="9:10" x14ac:dyDescent="0.35">
      <c r="I11392" s="63"/>
      <c r="J11392" s="63"/>
    </row>
    <row r="11393" spans="9:10" x14ac:dyDescent="0.35">
      <c r="I11393" s="63"/>
      <c r="J11393" s="63"/>
    </row>
    <row r="11394" spans="9:10" x14ac:dyDescent="0.35">
      <c r="I11394" s="63"/>
      <c r="J11394" s="63"/>
    </row>
    <row r="11395" spans="9:10" x14ac:dyDescent="0.35">
      <c r="I11395" s="63"/>
      <c r="J11395" s="63"/>
    </row>
    <row r="11396" spans="9:10" x14ac:dyDescent="0.35">
      <c r="I11396" s="63"/>
      <c r="J11396" s="63"/>
    </row>
    <row r="11397" spans="9:10" x14ac:dyDescent="0.35">
      <c r="I11397" s="63"/>
      <c r="J11397" s="63"/>
    </row>
    <row r="11398" spans="9:10" x14ac:dyDescent="0.35">
      <c r="I11398" s="63"/>
      <c r="J11398" s="63"/>
    </row>
    <row r="11399" spans="9:10" x14ac:dyDescent="0.35">
      <c r="I11399" s="63"/>
      <c r="J11399" s="63"/>
    </row>
    <row r="11400" spans="9:10" x14ac:dyDescent="0.35">
      <c r="I11400" s="63"/>
      <c r="J11400" s="63"/>
    </row>
    <row r="11401" spans="9:10" x14ac:dyDescent="0.35">
      <c r="I11401" s="63"/>
      <c r="J11401" s="63"/>
    </row>
    <row r="11402" spans="9:10" x14ac:dyDescent="0.35">
      <c r="I11402" s="63"/>
      <c r="J11402" s="63"/>
    </row>
    <row r="11403" spans="9:10" x14ac:dyDescent="0.35">
      <c r="I11403" s="63"/>
      <c r="J11403" s="63"/>
    </row>
    <row r="11404" spans="9:10" x14ac:dyDescent="0.35">
      <c r="I11404" s="63"/>
      <c r="J11404" s="63"/>
    </row>
    <row r="11405" spans="9:10" x14ac:dyDescent="0.35">
      <c r="I11405" s="63"/>
      <c r="J11405" s="63"/>
    </row>
    <row r="11406" spans="9:10" x14ac:dyDescent="0.35">
      <c r="I11406" s="63"/>
      <c r="J11406" s="63"/>
    </row>
    <row r="11407" spans="9:10" x14ac:dyDescent="0.35">
      <c r="I11407" s="63"/>
      <c r="J11407" s="63"/>
    </row>
    <row r="11408" spans="9:10" x14ac:dyDescent="0.35">
      <c r="I11408" s="63"/>
      <c r="J11408" s="63"/>
    </row>
    <row r="11409" spans="9:10" x14ac:dyDescent="0.35">
      <c r="I11409" s="63"/>
      <c r="J11409" s="63"/>
    </row>
    <row r="11410" spans="9:10" x14ac:dyDescent="0.35">
      <c r="I11410" s="63"/>
      <c r="J11410" s="63"/>
    </row>
    <row r="11411" spans="9:10" x14ac:dyDescent="0.35">
      <c r="I11411" s="63"/>
      <c r="J11411" s="63"/>
    </row>
    <row r="11412" spans="9:10" x14ac:dyDescent="0.35">
      <c r="I11412" s="63"/>
      <c r="J11412" s="63"/>
    </row>
    <row r="11413" spans="9:10" x14ac:dyDescent="0.35">
      <c r="I11413" s="63"/>
      <c r="J11413" s="63"/>
    </row>
    <row r="11414" spans="9:10" x14ac:dyDescent="0.35">
      <c r="I11414" s="63"/>
      <c r="J11414" s="63"/>
    </row>
    <row r="11415" spans="9:10" x14ac:dyDescent="0.35">
      <c r="I11415" s="63"/>
      <c r="J11415" s="63"/>
    </row>
    <row r="11416" spans="9:10" x14ac:dyDescent="0.35">
      <c r="I11416" s="63"/>
      <c r="J11416" s="63"/>
    </row>
    <row r="11417" spans="9:10" x14ac:dyDescent="0.35">
      <c r="I11417" s="63"/>
      <c r="J11417" s="63"/>
    </row>
    <row r="11418" spans="9:10" x14ac:dyDescent="0.35">
      <c r="I11418" s="63"/>
      <c r="J11418" s="63"/>
    </row>
    <row r="11419" spans="9:10" x14ac:dyDescent="0.35">
      <c r="I11419" s="63"/>
      <c r="J11419" s="63"/>
    </row>
    <row r="11420" spans="9:10" x14ac:dyDescent="0.35">
      <c r="I11420" s="63"/>
      <c r="J11420" s="63"/>
    </row>
    <row r="11421" spans="9:10" x14ac:dyDescent="0.35">
      <c r="I11421" s="63"/>
      <c r="J11421" s="63"/>
    </row>
    <row r="11422" spans="9:10" x14ac:dyDescent="0.35">
      <c r="I11422" s="63"/>
      <c r="J11422" s="63"/>
    </row>
    <row r="11423" spans="9:10" x14ac:dyDescent="0.35">
      <c r="I11423" s="63"/>
      <c r="J11423" s="63"/>
    </row>
    <row r="11424" spans="9:10" x14ac:dyDescent="0.35">
      <c r="I11424" s="63"/>
      <c r="J11424" s="63"/>
    </row>
    <row r="11425" spans="9:10" x14ac:dyDescent="0.35">
      <c r="I11425" s="63"/>
      <c r="J11425" s="63"/>
    </row>
    <row r="11426" spans="9:10" x14ac:dyDescent="0.35">
      <c r="I11426" s="63"/>
      <c r="J11426" s="63"/>
    </row>
    <row r="11427" spans="9:10" x14ac:dyDescent="0.35">
      <c r="I11427" s="63"/>
      <c r="J11427" s="63"/>
    </row>
    <row r="11428" spans="9:10" x14ac:dyDescent="0.35">
      <c r="I11428" s="63"/>
      <c r="J11428" s="63"/>
    </row>
    <row r="11429" spans="9:10" x14ac:dyDescent="0.35">
      <c r="I11429" s="63"/>
      <c r="J11429" s="63"/>
    </row>
    <row r="11430" spans="9:10" x14ac:dyDescent="0.35">
      <c r="I11430" s="63"/>
      <c r="J11430" s="63"/>
    </row>
    <row r="11431" spans="9:10" x14ac:dyDescent="0.35">
      <c r="I11431" s="63"/>
      <c r="J11431" s="63"/>
    </row>
    <row r="11432" spans="9:10" x14ac:dyDescent="0.35">
      <c r="I11432" s="63"/>
      <c r="J11432" s="63"/>
    </row>
    <row r="11433" spans="9:10" x14ac:dyDescent="0.35">
      <c r="I11433" s="63"/>
      <c r="J11433" s="63"/>
    </row>
    <row r="11434" spans="9:10" x14ac:dyDescent="0.35">
      <c r="I11434" s="63"/>
      <c r="J11434" s="63"/>
    </row>
    <row r="11435" spans="9:10" x14ac:dyDescent="0.35">
      <c r="I11435" s="63"/>
      <c r="J11435" s="63"/>
    </row>
    <row r="11436" spans="9:10" x14ac:dyDescent="0.35">
      <c r="I11436" s="63"/>
      <c r="J11436" s="63"/>
    </row>
    <row r="11437" spans="9:10" x14ac:dyDescent="0.35">
      <c r="I11437" s="63"/>
      <c r="J11437" s="63"/>
    </row>
    <row r="11438" spans="9:10" x14ac:dyDescent="0.35">
      <c r="I11438" s="63"/>
      <c r="J11438" s="63"/>
    </row>
    <row r="11439" spans="9:10" x14ac:dyDescent="0.35">
      <c r="I11439" s="63"/>
      <c r="J11439" s="63"/>
    </row>
    <row r="11440" spans="9:10" x14ac:dyDescent="0.35">
      <c r="I11440" s="63"/>
      <c r="J11440" s="63"/>
    </row>
    <row r="11441" spans="9:10" x14ac:dyDescent="0.35">
      <c r="I11441" s="63"/>
      <c r="J11441" s="63"/>
    </row>
    <row r="11442" spans="9:10" x14ac:dyDescent="0.35">
      <c r="I11442" s="63"/>
      <c r="J11442" s="63"/>
    </row>
    <row r="11443" spans="9:10" x14ac:dyDescent="0.35">
      <c r="I11443" s="63"/>
      <c r="J11443" s="63"/>
    </row>
    <row r="11444" spans="9:10" x14ac:dyDescent="0.35">
      <c r="I11444" s="63"/>
      <c r="J11444" s="63"/>
    </row>
    <row r="11445" spans="9:10" x14ac:dyDescent="0.35">
      <c r="I11445" s="63"/>
      <c r="J11445" s="63"/>
    </row>
    <row r="11446" spans="9:10" x14ac:dyDescent="0.35">
      <c r="I11446" s="63"/>
      <c r="J11446" s="63"/>
    </row>
    <row r="11447" spans="9:10" x14ac:dyDescent="0.35">
      <c r="I11447" s="63"/>
      <c r="J11447" s="63"/>
    </row>
    <row r="11448" spans="9:10" x14ac:dyDescent="0.35">
      <c r="I11448" s="63"/>
      <c r="J11448" s="63"/>
    </row>
    <row r="11449" spans="9:10" x14ac:dyDescent="0.35">
      <c r="I11449" s="63"/>
      <c r="J11449" s="63"/>
    </row>
    <row r="11450" spans="9:10" x14ac:dyDescent="0.35">
      <c r="I11450" s="63"/>
      <c r="J11450" s="63"/>
    </row>
    <row r="11451" spans="9:10" x14ac:dyDescent="0.35">
      <c r="I11451" s="63"/>
      <c r="J11451" s="63"/>
    </row>
    <row r="11452" spans="9:10" x14ac:dyDescent="0.35">
      <c r="I11452" s="63"/>
      <c r="J11452" s="63"/>
    </row>
    <row r="11453" spans="9:10" x14ac:dyDescent="0.35">
      <c r="I11453" s="63"/>
      <c r="J11453" s="63"/>
    </row>
    <row r="11454" spans="9:10" x14ac:dyDescent="0.35">
      <c r="I11454" s="63"/>
      <c r="J11454" s="63"/>
    </row>
    <row r="11455" spans="9:10" x14ac:dyDescent="0.35">
      <c r="I11455" s="63"/>
      <c r="J11455" s="63"/>
    </row>
    <row r="11456" spans="9:10" x14ac:dyDescent="0.35">
      <c r="I11456" s="63"/>
      <c r="J11456" s="63"/>
    </row>
    <row r="11457" spans="9:10" x14ac:dyDescent="0.35">
      <c r="I11457" s="63"/>
      <c r="J11457" s="63"/>
    </row>
    <row r="11458" spans="9:10" x14ac:dyDescent="0.35">
      <c r="I11458" s="63"/>
      <c r="J11458" s="63"/>
    </row>
    <row r="11459" spans="9:10" x14ac:dyDescent="0.35">
      <c r="I11459" s="63"/>
      <c r="J11459" s="63"/>
    </row>
    <row r="11460" spans="9:10" x14ac:dyDescent="0.35">
      <c r="I11460" s="63"/>
      <c r="J11460" s="63"/>
    </row>
    <row r="11461" spans="9:10" x14ac:dyDescent="0.35">
      <c r="I11461" s="63"/>
      <c r="J11461" s="63"/>
    </row>
    <row r="11462" spans="9:10" x14ac:dyDescent="0.35">
      <c r="I11462" s="63"/>
      <c r="J11462" s="63"/>
    </row>
    <row r="11463" spans="9:10" x14ac:dyDescent="0.35">
      <c r="I11463" s="63"/>
      <c r="J11463" s="63"/>
    </row>
    <row r="11464" spans="9:10" x14ac:dyDescent="0.35">
      <c r="I11464" s="63"/>
      <c r="J11464" s="63"/>
    </row>
    <row r="11465" spans="9:10" x14ac:dyDescent="0.35">
      <c r="I11465" s="63"/>
      <c r="J11465" s="63"/>
    </row>
    <row r="11466" spans="9:10" x14ac:dyDescent="0.35">
      <c r="I11466" s="63"/>
      <c r="J11466" s="63"/>
    </row>
    <row r="11467" spans="9:10" x14ac:dyDescent="0.35">
      <c r="I11467" s="63"/>
      <c r="J11467" s="63"/>
    </row>
    <row r="11468" spans="9:10" x14ac:dyDescent="0.35">
      <c r="I11468" s="63"/>
      <c r="J11468" s="63"/>
    </row>
    <row r="11469" spans="9:10" x14ac:dyDescent="0.35">
      <c r="I11469" s="63"/>
      <c r="J11469" s="63"/>
    </row>
    <row r="11470" spans="9:10" x14ac:dyDescent="0.35">
      <c r="I11470" s="63"/>
      <c r="J11470" s="63"/>
    </row>
    <row r="11471" spans="9:10" x14ac:dyDescent="0.35">
      <c r="I11471" s="63"/>
      <c r="J11471" s="63"/>
    </row>
    <row r="11472" spans="9:10" x14ac:dyDescent="0.35">
      <c r="I11472" s="63"/>
      <c r="J11472" s="63"/>
    </row>
    <row r="11473" spans="9:10" x14ac:dyDescent="0.35">
      <c r="I11473" s="63"/>
      <c r="J11473" s="63"/>
    </row>
    <row r="11474" spans="9:10" x14ac:dyDescent="0.35">
      <c r="I11474" s="63"/>
      <c r="J11474" s="63"/>
    </row>
    <row r="11475" spans="9:10" x14ac:dyDescent="0.35">
      <c r="I11475" s="63"/>
      <c r="J11475" s="63"/>
    </row>
    <row r="11476" spans="9:10" x14ac:dyDescent="0.35">
      <c r="I11476" s="63"/>
      <c r="J11476" s="63"/>
    </row>
    <row r="11477" spans="9:10" x14ac:dyDescent="0.35">
      <c r="I11477" s="63"/>
      <c r="J11477" s="63"/>
    </row>
    <row r="11478" spans="9:10" x14ac:dyDescent="0.35">
      <c r="I11478" s="63"/>
      <c r="J11478" s="63"/>
    </row>
    <row r="11479" spans="9:10" x14ac:dyDescent="0.35">
      <c r="I11479" s="63"/>
      <c r="J11479" s="63"/>
    </row>
    <row r="11480" spans="9:10" x14ac:dyDescent="0.35">
      <c r="I11480" s="63"/>
      <c r="J11480" s="63"/>
    </row>
    <row r="11481" spans="9:10" x14ac:dyDescent="0.35">
      <c r="I11481" s="63"/>
      <c r="J11481" s="63"/>
    </row>
    <row r="11482" spans="9:10" x14ac:dyDescent="0.35">
      <c r="I11482" s="63"/>
      <c r="J11482" s="63"/>
    </row>
    <row r="11483" spans="9:10" x14ac:dyDescent="0.35">
      <c r="I11483" s="63"/>
      <c r="J11483" s="63"/>
    </row>
    <row r="11484" spans="9:10" x14ac:dyDescent="0.35">
      <c r="I11484" s="63"/>
      <c r="J11484" s="63"/>
    </row>
    <row r="11485" spans="9:10" x14ac:dyDescent="0.35">
      <c r="I11485" s="63"/>
      <c r="J11485" s="63"/>
    </row>
    <row r="11486" spans="9:10" x14ac:dyDescent="0.35">
      <c r="I11486" s="63"/>
      <c r="J11486" s="63"/>
    </row>
    <row r="11487" spans="9:10" x14ac:dyDescent="0.35">
      <c r="I11487" s="63"/>
      <c r="J11487" s="63"/>
    </row>
    <row r="11488" spans="9:10" x14ac:dyDescent="0.35">
      <c r="I11488" s="63"/>
      <c r="J11488" s="63"/>
    </row>
    <row r="11489" spans="9:10" x14ac:dyDescent="0.35">
      <c r="I11489" s="63"/>
      <c r="J11489" s="63"/>
    </row>
    <row r="11490" spans="9:10" x14ac:dyDescent="0.35">
      <c r="I11490" s="63"/>
      <c r="J11490" s="63"/>
    </row>
    <row r="11491" spans="9:10" x14ac:dyDescent="0.35">
      <c r="I11491" s="63"/>
      <c r="J11491" s="63"/>
    </row>
    <row r="11492" spans="9:10" x14ac:dyDescent="0.35">
      <c r="I11492" s="63"/>
      <c r="J11492" s="63"/>
    </row>
    <row r="11493" spans="9:10" x14ac:dyDescent="0.35">
      <c r="I11493" s="63"/>
      <c r="J11493" s="63"/>
    </row>
    <row r="11494" spans="9:10" x14ac:dyDescent="0.35">
      <c r="I11494" s="63"/>
      <c r="J11494" s="63"/>
    </row>
    <row r="11495" spans="9:10" x14ac:dyDescent="0.35">
      <c r="I11495" s="63"/>
      <c r="J11495" s="63"/>
    </row>
    <row r="11496" spans="9:10" x14ac:dyDescent="0.35">
      <c r="I11496" s="63"/>
      <c r="J11496" s="63"/>
    </row>
    <row r="11497" spans="9:10" x14ac:dyDescent="0.35">
      <c r="I11497" s="63"/>
      <c r="J11497" s="63"/>
    </row>
    <row r="11498" spans="9:10" x14ac:dyDescent="0.35">
      <c r="I11498" s="63"/>
      <c r="J11498" s="63"/>
    </row>
    <row r="11499" spans="9:10" x14ac:dyDescent="0.35">
      <c r="I11499" s="63"/>
      <c r="J11499" s="63"/>
    </row>
    <row r="11500" spans="9:10" x14ac:dyDescent="0.35">
      <c r="I11500" s="63"/>
      <c r="J11500" s="63"/>
    </row>
    <row r="11501" spans="9:10" x14ac:dyDescent="0.35">
      <c r="I11501" s="63"/>
      <c r="J11501" s="63"/>
    </row>
    <row r="11502" spans="9:10" x14ac:dyDescent="0.35">
      <c r="I11502" s="63"/>
      <c r="J11502" s="63"/>
    </row>
    <row r="11503" spans="9:10" x14ac:dyDescent="0.35">
      <c r="I11503" s="63"/>
      <c r="J11503" s="63"/>
    </row>
    <row r="11504" spans="9:10" x14ac:dyDescent="0.35">
      <c r="I11504" s="63"/>
      <c r="J11504" s="63"/>
    </row>
    <row r="11505" spans="9:10" x14ac:dyDescent="0.35">
      <c r="I11505" s="63"/>
      <c r="J11505" s="63"/>
    </row>
    <row r="11506" spans="9:10" x14ac:dyDescent="0.35">
      <c r="I11506" s="63"/>
      <c r="J11506" s="63"/>
    </row>
    <row r="11507" spans="9:10" x14ac:dyDescent="0.35">
      <c r="I11507" s="63"/>
      <c r="J11507" s="63"/>
    </row>
    <row r="11508" spans="9:10" x14ac:dyDescent="0.35">
      <c r="I11508" s="63"/>
      <c r="J11508" s="63"/>
    </row>
    <row r="11509" spans="9:10" x14ac:dyDescent="0.35">
      <c r="I11509" s="63"/>
      <c r="J11509" s="63"/>
    </row>
    <row r="11510" spans="9:10" x14ac:dyDescent="0.35">
      <c r="I11510" s="63"/>
      <c r="J11510" s="63"/>
    </row>
    <row r="11511" spans="9:10" x14ac:dyDescent="0.35">
      <c r="I11511" s="63"/>
      <c r="J11511" s="63"/>
    </row>
    <row r="11512" spans="9:10" x14ac:dyDescent="0.35">
      <c r="I11512" s="63"/>
      <c r="J11512" s="63"/>
    </row>
    <row r="11513" spans="9:10" x14ac:dyDescent="0.35">
      <c r="I11513" s="63"/>
      <c r="J11513" s="63"/>
    </row>
    <row r="11514" spans="9:10" x14ac:dyDescent="0.35">
      <c r="I11514" s="63"/>
      <c r="J11514" s="63"/>
    </row>
    <row r="11515" spans="9:10" x14ac:dyDescent="0.35">
      <c r="I11515" s="63"/>
      <c r="J11515" s="63"/>
    </row>
    <row r="11516" spans="9:10" x14ac:dyDescent="0.35">
      <c r="I11516" s="63"/>
      <c r="J11516" s="63"/>
    </row>
    <row r="11517" spans="9:10" x14ac:dyDescent="0.35">
      <c r="I11517" s="63"/>
      <c r="J11517" s="63"/>
    </row>
    <row r="11518" spans="9:10" x14ac:dyDescent="0.35">
      <c r="I11518" s="63"/>
      <c r="J11518" s="63"/>
    </row>
    <row r="11519" spans="9:10" x14ac:dyDescent="0.35">
      <c r="I11519" s="63"/>
      <c r="J11519" s="63"/>
    </row>
    <row r="11520" spans="9:10" x14ac:dyDescent="0.35">
      <c r="I11520" s="63"/>
      <c r="J11520" s="63"/>
    </row>
    <row r="11521" spans="9:10" x14ac:dyDescent="0.35">
      <c r="I11521" s="63"/>
      <c r="J11521" s="63"/>
    </row>
    <row r="11522" spans="9:10" x14ac:dyDescent="0.35">
      <c r="I11522" s="63"/>
      <c r="J11522" s="63"/>
    </row>
    <row r="11523" spans="9:10" x14ac:dyDescent="0.35">
      <c r="I11523" s="63"/>
      <c r="J11523" s="63"/>
    </row>
    <row r="11524" spans="9:10" x14ac:dyDescent="0.35">
      <c r="I11524" s="63"/>
      <c r="J11524" s="63"/>
    </row>
    <row r="11525" spans="9:10" x14ac:dyDescent="0.35">
      <c r="I11525" s="63"/>
      <c r="J11525" s="63"/>
    </row>
    <row r="11526" spans="9:10" x14ac:dyDescent="0.35">
      <c r="I11526" s="63"/>
      <c r="J11526" s="63"/>
    </row>
    <row r="11527" spans="9:10" x14ac:dyDescent="0.35">
      <c r="I11527" s="63"/>
      <c r="J11527" s="63"/>
    </row>
    <row r="11528" spans="9:10" x14ac:dyDescent="0.35">
      <c r="I11528" s="63"/>
      <c r="J11528" s="63"/>
    </row>
    <row r="11529" spans="9:10" x14ac:dyDescent="0.35">
      <c r="I11529" s="63"/>
      <c r="J11529" s="63"/>
    </row>
    <row r="11530" spans="9:10" x14ac:dyDescent="0.35">
      <c r="I11530" s="63"/>
      <c r="J11530" s="63"/>
    </row>
    <row r="11531" spans="9:10" x14ac:dyDescent="0.35">
      <c r="I11531" s="63"/>
      <c r="J11531" s="63"/>
    </row>
    <row r="11532" spans="9:10" x14ac:dyDescent="0.35">
      <c r="I11532" s="63"/>
      <c r="J11532" s="63"/>
    </row>
    <row r="11533" spans="9:10" x14ac:dyDescent="0.35">
      <c r="I11533" s="63"/>
      <c r="J11533" s="63"/>
    </row>
    <row r="11534" spans="9:10" x14ac:dyDescent="0.35">
      <c r="I11534" s="63"/>
      <c r="J11534" s="63"/>
    </row>
    <row r="11535" spans="9:10" x14ac:dyDescent="0.35">
      <c r="I11535" s="63"/>
      <c r="J11535" s="63"/>
    </row>
    <row r="11536" spans="9:10" x14ac:dyDescent="0.35">
      <c r="I11536" s="63"/>
      <c r="J11536" s="63"/>
    </row>
    <row r="11537" spans="9:10" x14ac:dyDescent="0.35">
      <c r="I11537" s="63"/>
      <c r="J11537" s="63"/>
    </row>
    <row r="11538" spans="9:10" x14ac:dyDescent="0.35">
      <c r="I11538" s="63"/>
      <c r="J11538" s="63"/>
    </row>
    <row r="11539" spans="9:10" x14ac:dyDescent="0.35">
      <c r="I11539" s="63"/>
      <c r="J11539" s="63"/>
    </row>
    <row r="11540" spans="9:10" x14ac:dyDescent="0.35">
      <c r="I11540" s="63"/>
      <c r="J11540" s="63"/>
    </row>
    <row r="11541" spans="9:10" x14ac:dyDescent="0.35">
      <c r="I11541" s="63"/>
      <c r="J11541" s="63"/>
    </row>
    <row r="11542" spans="9:10" x14ac:dyDescent="0.35">
      <c r="I11542" s="63"/>
      <c r="J11542" s="63"/>
    </row>
    <row r="11543" spans="9:10" x14ac:dyDescent="0.35">
      <c r="I11543" s="63"/>
      <c r="J11543" s="63"/>
    </row>
    <row r="11544" spans="9:10" x14ac:dyDescent="0.35">
      <c r="I11544" s="63"/>
      <c r="J11544" s="63"/>
    </row>
    <row r="11545" spans="9:10" x14ac:dyDescent="0.35">
      <c r="I11545" s="63"/>
      <c r="J11545" s="63"/>
    </row>
    <row r="11546" spans="9:10" x14ac:dyDescent="0.35">
      <c r="I11546" s="63"/>
      <c r="J11546" s="63"/>
    </row>
    <row r="11547" spans="9:10" x14ac:dyDescent="0.35">
      <c r="I11547" s="63"/>
      <c r="J11547" s="63"/>
    </row>
    <row r="11548" spans="9:10" x14ac:dyDescent="0.35">
      <c r="I11548" s="63"/>
      <c r="J11548" s="63"/>
    </row>
    <row r="11549" spans="9:10" x14ac:dyDescent="0.35">
      <c r="I11549" s="63"/>
      <c r="J11549" s="63"/>
    </row>
    <row r="11550" spans="9:10" x14ac:dyDescent="0.35">
      <c r="I11550" s="63"/>
      <c r="J11550" s="63"/>
    </row>
    <row r="11551" spans="9:10" x14ac:dyDescent="0.35">
      <c r="I11551" s="63"/>
      <c r="J11551" s="63"/>
    </row>
    <row r="11552" spans="9:10" x14ac:dyDescent="0.35">
      <c r="I11552" s="63"/>
      <c r="J11552" s="63"/>
    </row>
    <row r="11553" spans="9:10" x14ac:dyDescent="0.35">
      <c r="I11553" s="63"/>
      <c r="J11553" s="63"/>
    </row>
    <row r="11554" spans="9:10" x14ac:dyDescent="0.35">
      <c r="I11554" s="63"/>
      <c r="J11554" s="63"/>
    </row>
    <row r="11555" spans="9:10" x14ac:dyDescent="0.35">
      <c r="I11555" s="63"/>
      <c r="J11555" s="63"/>
    </row>
    <row r="11556" spans="9:10" x14ac:dyDescent="0.35">
      <c r="I11556" s="63"/>
      <c r="J11556" s="63"/>
    </row>
    <row r="11557" spans="9:10" x14ac:dyDescent="0.35">
      <c r="I11557" s="63"/>
      <c r="J11557" s="63"/>
    </row>
    <row r="11558" spans="9:10" x14ac:dyDescent="0.35">
      <c r="I11558" s="63"/>
      <c r="J11558" s="63"/>
    </row>
    <row r="11559" spans="9:10" x14ac:dyDescent="0.35">
      <c r="I11559" s="63"/>
      <c r="J11559" s="63"/>
    </row>
    <row r="11560" spans="9:10" x14ac:dyDescent="0.35">
      <c r="I11560" s="63"/>
      <c r="J11560" s="63"/>
    </row>
    <row r="11561" spans="9:10" x14ac:dyDescent="0.35">
      <c r="I11561" s="63"/>
      <c r="J11561" s="63"/>
    </row>
    <row r="11562" spans="9:10" x14ac:dyDescent="0.35">
      <c r="I11562" s="63"/>
      <c r="J11562" s="63"/>
    </row>
    <row r="11563" spans="9:10" x14ac:dyDescent="0.35">
      <c r="I11563" s="63"/>
      <c r="J11563" s="63"/>
    </row>
    <row r="11564" spans="9:10" x14ac:dyDescent="0.35">
      <c r="I11564" s="63"/>
      <c r="J11564" s="63"/>
    </row>
    <row r="11565" spans="9:10" x14ac:dyDescent="0.35">
      <c r="I11565" s="63"/>
      <c r="J11565" s="63"/>
    </row>
    <row r="11566" spans="9:10" x14ac:dyDescent="0.35">
      <c r="I11566" s="63"/>
      <c r="J11566" s="63"/>
    </row>
    <row r="11567" spans="9:10" x14ac:dyDescent="0.35">
      <c r="I11567" s="63"/>
      <c r="J11567" s="63"/>
    </row>
    <row r="11568" spans="9:10" x14ac:dyDescent="0.35">
      <c r="I11568" s="63"/>
      <c r="J11568" s="63"/>
    </row>
    <row r="11569" spans="9:10" x14ac:dyDescent="0.35">
      <c r="I11569" s="63"/>
      <c r="J11569" s="63"/>
    </row>
    <row r="11570" spans="9:10" x14ac:dyDescent="0.35">
      <c r="I11570" s="63"/>
      <c r="J11570" s="63"/>
    </row>
    <row r="11571" spans="9:10" x14ac:dyDescent="0.35">
      <c r="I11571" s="63"/>
      <c r="J11571" s="63"/>
    </row>
    <row r="11572" spans="9:10" x14ac:dyDescent="0.35">
      <c r="I11572" s="63"/>
      <c r="J11572" s="63"/>
    </row>
    <row r="11573" spans="9:10" x14ac:dyDescent="0.35">
      <c r="I11573" s="63"/>
      <c r="J11573" s="63"/>
    </row>
    <row r="11574" spans="9:10" x14ac:dyDescent="0.35">
      <c r="I11574" s="63"/>
      <c r="J11574" s="63"/>
    </row>
    <row r="11575" spans="9:10" x14ac:dyDescent="0.35">
      <c r="I11575" s="63"/>
      <c r="J11575" s="63"/>
    </row>
    <row r="11576" spans="9:10" x14ac:dyDescent="0.35">
      <c r="I11576" s="63"/>
      <c r="J11576" s="63"/>
    </row>
    <row r="11577" spans="9:10" x14ac:dyDescent="0.35">
      <c r="I11577" s="63"/>
      <c r="J11577" s="63"/>
    </row>
    <row r="11578" spans="9:10" x14ac:dyDescent="0.35">
      <c r="I11578" s="63"/>
      <c r="J11578" s="63"/>
    </row>
    <row r="11579" spans="9:10" x14ac:dyDescent="0.35">
      <c r="I11579" s="63"/>
      <c r="J11579" s="63"/>
    </row>
    <row r="11580" spans="9:10" x14ac:dyDescent="0.35">
      <c r="I11580" s="63"/>
      <c r="J11580" s="63"/>
    </row>
    <row r="11581" spans="9:10" x14ac:dyDescent="0.35">
      <c r="I11581" s="63"/>
      <c r="J11581" s="63"/>
    </row>
    <row r="11582" spans="9:10" x14ac:dyDescent="0.35">
      <c r="I11582" s="63"/>
      <c r="J11582" s="63"/>
    </row>
    <row r="11583" spans="9:10" x14ac:dyDescent="0.35">
      <c r="I11583" s="63"/>
      <c r="J11583" s="63"/>
    </row>
    <row r="11584" spans="9:10" x14ac:dyDescent="0.35">
      <c r="I11584" s="63"/>
      <c r="J11584" s="63"/>
    </row>
    <row r="11585" spans="9:10" x14ac:dyDescent="0.35">
      <c r="I11585" s="63"/>
      <c r="J11585" s="63"/>
    </row>
    <row r="11586" spans="9:10" x14ac:dyDescent="0.35">
      <c r="I11586" s="63"/>
      <c r="J11586" s="63"/>
    </row>
    <row r="11587" spans="9:10" x14ac:dyDescent="0.35">
      <c r="I11587" s="63"/>
      <c r="J11587" s="63"/>
    </row>
    <row r="11588" spans="9:10" x14ac:dyDescent="0.35">
      <c r="I11588" s="63"/>
      <c r="J11588" s="63"/>
    </row>
    <row r="11589" spans="9:10" x14ac:dyDescent="0.35">
      <c r="I11589" s="63"/>
      <c r="J11589" s="63"/>
    </row>
    <row r="11590" spans="9:10" x14ac:dyDescent="0.35">
      <c r="I11590" s="63"/>
      <c r="J11590" s="63"/>
    </row>
    <row r="11591" spans="9:10" x14ac:dyDescent="0.35">
      <c r="I11591" s="63"/>
      <c r="J11591" s="63"/>
    </row>
    <row r="11592" spans="9:10" x14ac:dyDescent="0.35">
      <c r="I11592" s="63"/>
      <c r="J11592" s="63"/>
    </row>
    <row r="11593" spans="9:10" x14ac:dyDescent="0.35">
      <c r="I11593" s="63"/>
      <c r="J11593" s="63"/>
    </row>
    <row r="11594" spans="9:10" x14ac:dyDescent="0.35">
      <c r="I11594" s="63"/>
      <c r="J11594" s="63"/>
    </row>
    <row r="11595" spans="9:10" x14ac:dyDescent="0.35">
      <c r="I11595" s="63"/>
      <c r="J11595" s="63"/>
    </row>
    <row r="11596" spans="9:10" x14ac:dyDescent="0.35">
      <c r="I11596" s="63"/>
      <c r="J11596" s="63"/>
    </row>
    <row r="11597" spans="9:10" x14ac:dyDescent="0.35">
      <c r="I11597" s="63"/>
      <c r="J11597" s="63"/>
    </row>
    <row r="11598" spans="9:10" x14ac:dyDescent="0.35">
      <c r="I11598" s="63"/>
      <c r="J11598" s="63"/>
    </row>
    <row r="11599" spans="9:10" x14ac:dyDescent="0.35">
      <c r="I11599" s="63"/>
      <c r="J11599" s="63"/>
    </row>
    <row r="11600" spans="9:10" x14ac:dyDescent="0.35">
      <c r="I11600" s="63"/>
      <c r="J11600" s="63"/>
    </row>
    <row r="11601" spans="9:10" x14ac:dyDescent="0.35">
      <c r="I11601" s="63"/>
      <c r="J11601" s="63"/>
    </row>
    <row r="11602" spans="9:10" x14ac:dyDescent="0.35">
      <c r="I11602" s="63"/>
      <c r="J11602" s="63"/>
    </row>
    <row r="11603" spans="9:10" x14ac:dyDescent="0.35">
      <c r="I11603" s="63"/>
      <c r="J11603" s="63"/>
    </row>
    <row r="11604" spans="9:10" x14ac:dyDescent="0.35">
      <c r="I11604" s="63"/>
      <c r="J11604" s="63"/>
    </row>
    <row r="11605" spans="9:10" x14ac:dyDescent="0.35">
      <c r="I11605" s="63"/>
      <c r="J11605" s="63"/>
    </row>
    <row r="11606" spans="9:10" x14ac:dyDescent="0.35">
      <c r="I11606" s="63"/>
      <c r="J11606" s="63"/>
    </row>
    <row r="11607" spans="9:10" x14ac:dyDescent="0.35">
      <c r="I11607" s="63"/>
      <c r="J11607" s="63"/>
    </row>
    <row r="11608" spans="9:10" x14ac:dyDescent="0.35">
      <c r="I11608" s="63"/>
      <c r="J11608" s="63"/>
    </row>
    <row r="11609" spans="9:10" x14ac:dyDescent="0.35">
      <c r="I11609" s="63"/>
      <c r="J11609" s="63"/>
    </row>
    <row r="11610" spans="9:10" x14ac:dyDescent="0.35">
      <c r="I11610" s="63"/>
      <c r="J11610" s="63"/>
    </row>
    <row r="11611" spans="9:10" x14ac:dyDescent="0.35">
      <c r="I11611" s="63"/>
      <c r="J11611" s="63"/>
    </row>
    <row r="11612" spans="9:10" x14ac:dyDescent="0.35">
      <c r="I11612" s="63"/>
      <c r="J11612" s="63"/>
    </row>
    <row r="11613" spans="9:10" x14ac:dyDescent="0.35">
      <c r="I11613" s="63"/>
      <c r="J11613" s="63"/>
    </row>
    <row r="11614" spans="9:10" x14ac:dyDescent="0.35">
      <c r="I11614" s="63"/>
      <c r="J11614" s="63"/>
    </row>
    <row r="11615" spans="9:10" x14ac:dyDescent="0.35">
      <c r="I11615" s="63"/>
      <c r="J11615" s="63"/>
    </row>
    <row r="11616" spans="9:10" x14ac:dyDescent="0.35">
      <c r="I11616" s="63"/>
      <c r="J11616" s="63"/>
    </row>
    <row r="11617" spans="9:10" x14ac:dyDescent="0.35">
      <c r="I11617" s="63"/>
      <c r="J11617" s="63"/>
    </row>
    <row r="11618" spans="9:10" x14ac:dyDescent="0.35">
      <c r="I11618" s="63"/>
      <c r="J11618" s="63"/>
    </row>
    <row r="11619" spans="9:10" x14ac:dyDescent="0.35">
      <c r="I11619" s="63"/>
      <c r="J11619" s="63"/>
    </row>
    <row r="11620" spans="9:10" x14ac:dyDescent="0.35">
      <c r="I11620" s="63"/>
      <c r="J11620" s="63"/>
    </row>
    <row r="11621" spans="9:10" x14ac:dyDescent="0.35">
      <c r="I11621" s="63"/>
      <c r="J11621" s="63"/>
    </row>
    <row r="11622" spans="9:10" x14ac:dyDescent="0.35">
      <c r="I11622" s="63"/>
      <c r="J11622" s="63"/>
    </row>
    <row r="11623" spans="9:10" x14ac:dyDescent="0.35">
      <c r="I11623" s="63"/>
      <c r="J11623" s="63"/>
    </row>
    <row r="11624" spans="9:10" x14ac:dyDescent="0.35">
      <c r="I11624" s="63"/>
      <c r="J11624" s="63"/>
    </row>
    <row r="11625" spans="9:10" x14ac:dyDescent="0.35">
      <c r="I11625" s="63"/>
      <c r="J11625" s="63"/>
    </row>
    <row r="11626" spans="9:10" x14ac:dyDescent="0.35">
      <c r="I11626" s="63"/>
      <c r="J11626" s="63"/>
    </row>
    <row r="11627" spans="9:10" x14ac:dyDescent="0.35">
      <c r="I11627" s="63"/>
      <c r="J11627" s="63"/>
    </row>
    <row r="11628" spans="9:10" x14ac:dyDescent="0.35">
      <c r="I11628" s="63"/>
      <c r="J11628" s="63"/>
    </row>
    <row r="11629" spans="9:10" x14ac:dyDescent="0.35">
      <c r="I11629" s="63"/>
      <c r="J11629" s="63"/>
    </row>
    <row r="11630" spans="9:10" x14ac:dyDescent="0.35">
      <c r="I11630" s="63"/>
      <c r="J11630" s="63"/>
    </row>
    <row r="11631" spans="9:10" x14ac:dyDescent="0.35">
      <c r="I11631" s="63"/>
      <c r="J11631" s="63"/>
    </row>
    <row r="11632" spans="9:10" x14ac:dyDescent="0.35">
      <c r="I11632" s="63"/>
      <c r="J11632" s="63"/>
    </row>
    <row r="11633" spans="9:10" x14ac:dyDescent="0.35">
      <c r="I11633" s="63"/>
      <c r="J11633" s="63"/>
    </row>
    <row r="11634" spans="9:10" x14ac:dyDescent="0.35">
      <c r="I11634" s="63"/>
      <c r="J11634" s="63"/>
    </row>
    <row r="11635" spans="9:10" x14ac:dyDescent="0.35">
      <c r="I11635" s="63"/>
      <c r="J11635" s="63"/>
    </row>
    <row r="11636" spans="9:10" x14ac:dyDescent="0.35">
      <c r="I11636" s="63"/>
      <c r="J11636" s="63"/>
    </row>
    <row r="11637" spans="9:10" x14ac:dyDescent="0.35">
      <c r="I11637" s="63"/>
      <c r="J11637" s="63"/>
    </row>
    <row r="11638" spans="9:10" x14ac:dyDescent="0.35">
      <c r="I11638" s="63"/>
      <c r="J11638" s="63"/>
    </row>
    <row r="11639" spans="9:10" x14ac:dyDescent="0.35">
      <c r="I11639" s="63"/>
      <c r="J11639" s="63"/>
    </row>
    <row r="11640" spans="9:10" x14ac:dyDescent="0.35">
      <c r="I11640" s="63"/>
      <c r="J11640" s="63"/>
    </row>
    <row r="11641" spans="9:10" x14ac:dyDescent="0.35">
      <c r="I11641" s="63"/>
      <c r="J11641" s="63"/>
    </row>
    <row r="11642" spans="9:10" x14ac:dyDescent="0.35">
      <c r="I11642" s="63"/>
      <c r="J11642" s="63"/>
    </row>
    <row r="11643" spans="9:10" x14ac:dyDescent="0.35">
      <c r="I11643" s="63"/>
      <c r="J11643" s="63"/>
    </row>
    <row r="11644" spans="9:10" x14ac:dyDescent="0.35">
      <c r="I11644" s="63"/>
      <c r="J11644" s="63"/>
    </row>
    <row r="11645" spans="9:10" x14ac:dyDescent="0.35">
      <c r="I11645" s="63"/>
      <c r="J11645" s="63"/>
    </row>
    <row r="11646" spans="9:10" x14ac:dyDescent="0.35">
      <c r="I11646" s="63"/>
      <c r="J11646" s="63"/>
    </row>
    <row r="11647" spans="9:10" x14ac:dyDescent="0.35">
      <c r="I11647" s="63"/>
      <c r="J11647" s="63"/>
    </row>
    <row r="11648" spans="9:10" x14ac:dyDescent="0.35">
      <c r="I11648" s="63"/>
      <c r="J11648" s="63"/>
    </row>
    <row r="11649" spans="9:10" x14ac:dyDescent="0.35">
      <c r="I11649" s="63"/>
      <c r="J11649" s="63"/>
    </row>
    <row r="11650" spans="9:10" x14ac:dyDescent="0.35">
      <c r="I11650" s="63"/>
      <c r="J11650" s="63"/>
    </row>
    <row r="11651" spans="9:10" x14ac:dyDescent="0.35">
      <c r="I11651" s="63"/>
      <c r="J11651" s="63"/>
    </row>
    <row r="11652" spans="9:10" x14ac:dyDescent="0.35">
      <c r="I11652" s="63"/>
      <c r="J11652" s="63"/>
    </row>
    <row r="11653" spans="9:10" x14ac:dyDescent="0.35">
      <c r="I11653" s="63"/>
      <c r="J11653" s="63"/>
    </row>
    <row r="11654" spans="9:10" x14ac:dyDescent="0.35">
      <c r="I11654" s="63"/>
      <c r="J11654" s="63"/>
    </row>
    <row r="11655" spans="9:10" x14ac:dyDescent="0.35">
      <c r="I11655" s="63"/>
      <c r="J11655" s="63"/>
    </row>
    <row r="11656" spans="9:10" x14ac:dyDescent="0.35">
      <c r="I11656" s="63"/>
      <c r="J11656" s="63"/>
    </row>
    <row r="11657" spans="9:10" x14ac:dyDescent="0.35">
      <c r="I11657" s="63"/>
      <c r="J11657" s="63"/>
    </row>
    <row r="11658" spans="9:10" x14ac:dyDescent="0.35">
      <c r="I11658" s="63"/>
      <c r="J11658" s="63"/>
    </row>
    <row r="11659" spans="9:10" x14ac:dyDescent="0.35">
      <c r="I11659" s="63"/>
      <c r="J11659" s="63"/>
    </row>
    <row r="11660" spans="9:10" x14ac:dyDescent="0.35">
      <c r="I11660" s="63"/>
      <c r="J11660" s="63"/>
    </row>
    <row r="11661" spans="9:10" x14ac:dyDescent="0.35">
      <c r="I11661" s="63"/>
      <c r="J11661" s="63"/>
    </row>
    <row r="11662" spans="9:10" x14ac:dyDescent="0.35">
      <c r="I11662" s="63"/>
      <c r="J11662" s="63"/>
    </row>
    <row r="11663" spans="9:10" x14ac:dyDescent="0.35">
      <c r="I11663" s="63"/>
      <c r="J11663" s="63"/>
    </row>
    <row r="11664" spans="9:10" x14ac:dyDescent="0.35">
      <c r="I11664" s="63"/>
      <c r="J11664" s="63"/>
    </row>
    <row r="11665" spans="9:10" x14ac:dyDescent="0.35">
      <c r="I11665" s="63"/>
      <c r="J11665" s="63"/>
    </row>
    <row r="11666" spans="9:10" x14ac:dyDescent="0.35">
      <c r="I11666" s="63"/>
      <c r="J11666" s="63"/>
    </row>
    <row r="11667" spans="9:10" x14ac:dyDescent="0.35">
      <c r="I11667" s="63"/>
      <c r="J11667" s="63"/>
    </row>
    <row r="11668" spans="9:10" x14ac:dyDescent="0.35">
      <c r="I11668" s="63"/>
      <c r="J11668" s="63"/>
    </row>
    <row r="11669" spans="9:10" x14ac:dyDescent="0.35">
      <c r="I11669" s="63"/>
      <c r="J11669" s="63"/>
    </row>
    <row r="11670" spans="9:10" x14ac:dyDescent="0.35">
      <c r="I11670" s="63"/>
      <c r="J11670" s="63"/>
    </row>
    <row r="11671" spans="9:10" x14ac:dyDescent="0.35">
      <c r="I11671" s="63"/>
      <c r="J11671" s="63"/>
    </row>
    <row r="11672" spans="9:10" x14ac:dyDescent="0.35">
      <c r="I11672" s="63"/>
      <c r="J11672" s="63"/>
    </row>
    <row r="11673" spans="9:10" x14ac:dyDescent="0.35">
      <c r="I11673" s="63"/>
      <c r="J11673" s="63"/>
    </row>
    <row r="11674" spans="9:10" x14ac:dyDescent="0.35">
      <c r="I11674" s="63"/>
      <c r="J11674" s="63"/>
    </row>
    <row r="11675" spans="9:10" x14ac:dyDescent="0.35">
      <c r="I11675" s="63"/>
      <c r="J11675" s="63"/>
    </row>
    <row r="11676" spans="9:10" x14ac:dyDescent="0.35">
      <c r="I11676" s="63"/>
      <c r="J11676" s="63"/>
    </row>
    <row r="11677" spans="9:10" x14ac:dyDescent="0.35">
      <c r="I11677" s="63"/>
      <c r="J11677" s="63"/>
    </row>
    <row r="11678" spans="9:10" x14ac:dyDescent="0.35">
      <c r="I11678" s="63"/>
      <c r="J11678" s="63"/>
    </row>
    <row r="11679" spans="9:10" x14ac:dyDescent="0.35">
      <c r="I11679" s="63"/>
      <c r="J11679" s="63"/>
    </row>
    <row r="11680" spans="9:10" x14ac:dyDescent="0.35">
      <c r="I11680" s="63"/>
      <c r="J11680" s="63"/>
    </row>
    <row r="11681" spans="9:10" x14ac:dyDescent="0.35">
      <c r="I11681" s="63"/>
      <c r="J11681" s="63"/>
    </row>
    <row r="11682" spans="9:10" x14ac:dyDescent="0.35">
      <c r="I11682" s="63"/>
      <c r="J11682" s="63"/>
    </row>
    <row r="11683" spans="9:10" x14ac:dyDescent="0.35">
      <c r="I11683" s="63"/>
      <c r="J11683" s="63"/>
    </row>
    <row r="11684" spans="9:10" x14ac:dyDescent="0.35">
      <c r="I11684" s="63"/>
      <c r="J11684" s="63"/>
    </row>
    <row r="11685" spans="9:10" x14ac:dyDescent="0.35">
      <c r="I11685" s="63"/>
      <c r="J11685" s="63"/>
    </row>
    <row r="11686" spans="9:10" x14ac:dyDescent="0.35">
      <c r="I11686" s="63"/>
      <c r="J11686" s="63"/>
    </row>
    <row r="11687" spans="9:10" x14ac:dyDescent="0.35">
      <c r="I11687" s="63"/>
      <c r="J11687" s="63"/>
    </row>
    <row r="11688" spans="9:10" x14ac:dyDescent="0.35">
      <c r="I11688" s="63"/>
      <c r="J11688" s="63"/>
    </row>
    <row r="11689" spans="9:10" x14ac:dyDescent="0.35">
      <c r="I11689" s="63"/>
      <c r="J11689" s="63"/>
    </row>
    <row r="11690" spans="9:10" x14ac:dyDescent="0.35">
      <c r="I11690" s="63"/>
      <c r="J11690" s="63"/>
    </row>
    <row r="11691" spans="9:10" x14ac:dyDescent="0.35">
      <c r="I11691" s="63"/>
      <c r="J11691" s="63"/>
    </row>
    <row r="11692" spans="9:10" x14ac:dyDescent="0.35">
      <c r="I11692" s="63"/>
      <c r="J11692" s="63"/>
    </row>
    <row r="11693" spans="9:10" x14ac:dyDescent="0.35">
      <c r="I11693" s="63"/>
      <c r="J11693" s="63"/>
    </row>
    <row r="11694" spans="9:10" x14ac:dyDescent="0.35">
      <c r="I11694" s="63"/>
      <c r="J11694" s="63"/>
    </row>
    <row r="11695" spans="9:10" x14ac:dyDescent="0.35">
      <c r="I11695" s="63"/>
      <c r="J11695" s="63"/>
    </row>
    <row r="11696" spans="9:10" x14ac:dyDescent="0.35">
      <c r="I11696" s="63"/>
      <c r="J11696" s="63"/>
    </row>
    <row r="11697" spans="9:10" x14ac:dyDescent="0.35">
      <c r="I11697" s="63"/>
      <c r="J11697" s="63"/>
    </row>
    <row r="11698" spans="9:10" x14ac:dyDescent="0.35">
      <c r="I11698" s="63"/>
      <c r="J11698" s="63"/>
    </row>
    <row r="11699" spans="9:10" x14ac:dyDescent="0.35">
      <c r="I11699" s="63"/>
      <c r="J11699" s="63"/>
    </row>
    <row r="11700" spans="9:10" x14ac:dyDescent="0.35">
      <c r="I11700" s="63"/>
      <c r="J11700" s="63"/>
    </row>
    <row r="11701" spans="9:10" x14ac:dyDescent="0.35">
      <c r="I11701" s="63"/>
      <c r="J11701" s="63"/>
    </row>
    <row r="11702" spans="9:10" x14ac:dyDescent="0.35">
      <c r="I11702" s="63"/>
      <c r="J11702" s="63"/>
    </row>
    <row r="11703" spans="9:10" x14ac:dyDescent="0.35">
      <c r="I11703" s="63"/>
      <c r="J11703" s="63"/>
    </row>
    <row r="11704" spans="9:10" x14ac:dyDescent="0.35">
      <c r="I11704" s="63"/>
      <c r="J11704" s="63"/>
    </row>
    <row r="11705" spans="9:10" x14ac:dyDescent="0.35">
      <c r="I11705" s="63"/>
      <c r="J11705" s="63"/>
    </row>
    <row r="11706" spans="9:10" x14ac:dyDescent="0.35">
      <c r="I11706" s="63"/>
      <c r="J11706" s="63"/>
    </row>
    <row r="11707" spans="9:10" x14ac:dyDescent="0.35">
      <c r="I11707" s="63"/>
      <c r="J11707" s="63"/>
    </row>
    <row r="11708" spans="9:10" x14ac:dyDescent="0.35">
      <c r="I11708" s="63"/>
      <c r="J11708" s="63"/>
    </row>
    <row r="11709" spans="9:10" x14ac:dyDescent="0.35">
      <c r="I11709" s="63"/>
      <c r="J11709" s="63"/>
    </row>
    <row r="11710" spans="9:10" x14ac:dyDescent="0.35">
      <c r="I11710" s="63"/>
      <c r="J11710" s="63"/>
    </row>
    <row r="11711" spans="9:10" x14ac:dyDescent="0.35">
      <c r="I11711" s="63"/>
      <c r="J11711" s="63"/>
    </row>
    <row r="11712" spans="9:10" x14ac:dyDescent="0.35">
      <c r="I11712" s="63"/>
      <c r="J11712" s="63"/>
    </row>
    <row r="11713" spans="9:10" x14ac:dyDescent="0.35">
      <c r="I11713" s="63"/>
      <c r="J11713" s="63"/>
    </row>
    <row r="11714" spans="9:10" x14ac:dyDescent="0.35">
      <c r="I11714" s="63"/>
      <c r="J11714" s="63"/>
    </row>
    <row r="11715" spans="9:10" x14ac:dyDescent="0.35">
      <c r="I11715" s="63"/>
      <c r="J11715" s="63"/>
    </row>
    <row r="11716" spans="9:10" x14ac:dyDescent="0.35">
      <c r="I11716" s="63"/>
      <c r="J11716" s="63"/>
    </row>
    <row r="11717" spans="9:10" x14ac:dyDescent="0.35">
      <c r="I11717" s="63"/>
      <c r="J11717" s="63"/>
    </row>
    <row r="11718" spans="9:10" x14ac:dyDescent="0.35">
      <c r="I11718" s="63"/>
      <c r="J11718" s="63"/>
    </row>
    <row r="11719" spans="9:10" x14ac:dyDescent="0.35">
      <c r="I11719" s="63"/>
      <c r="J11719" s="63"/>
    </row>
    <row r="11720" spans="9:10" x14ac:dyDescent="0.35">
      <c r="I11720" s="63"/>
      <c r="J11720" s="63"/>
    </row>
    <row r="11721" spans="9:10" x14ac:dyDescent="0.35">
      <c r="I11721" s="63"/>
      <c r="J11721" s="63"/>
    </row>
    <row r="11722" spans="9:10" x14ac:dyDescent="0.35">
      <c r="I11722" s="63"/>
      <c r="J11722" s="63"/>
    </row>
    <row r="11723" spans="9:10" x14ac:dyDescent="0.35">
      <c r="I11723" s="63"/>
      <c r="J11723" s="63"/>
    </row>
    <row r="11724" spans="9:10" x14ac:dyDescent="0.35">
      <c r="I11724" s="63"/>
      <c r="J11724" s="63"/>
    </row>
    <row r="11725" spans="9:10" x14ac:dyDescent="0.35">
      <c r="I11725" s="63"/>
      <c r="J11725" s="63"/>
    </row>
    <row r="11726" spans="9:10" x14ac:dyDescent="0.35">
      <c r="I11726" s="63"/>
      <c r="J11726" s="63"/>
    </row>
    <row r="11727" spans="9:10" x14ac:dyDescent="0.35">
      <c r="I11727" s="63"/>
      <c r="J11727" s="63"/>
    </row>
    <row r="11728" spans="9:10" x14ac:dyDescent="0.35">
      <c r="I11728" s="63"/>
      <c r="J11728" s="63"/>
    </row>
    <row r="11729" spans="9:10" x14ac:dyDescent="0.35">
      <c r="I11729" s="63"/>
      <c r="J11729" s="63"/>
    </row>
    <row r="11730" spans="9:10" x14ac:dyDescent="0.35">
      <c r="I11730" s="63"/>
      <c r="J11730" s="63"/>
    </row>
    <row r="11731" spans="9:10" x14ac:dyDescent="0.35">
      <c r="I11731" s="63"/>
      <c r="J11731" s="63"/>
    </row>
    <row r="11732" spans="9:10" x14ac:dyDescent="0.35">
      <c r="I11732" s="63"/>
      <c r="J11732" s="63"/>
    </row>
    <row r="11733" spans="9:10" x14ac:dyDescent="0.35">
      <c r="I11733" s="63"/>
      <c r="J11733" s="63"/>
    </row>
    <row r="11734" spans="9:10" x14ac:dyDescent="0.35">
      <c r="I11734" s="63"/>
      <c r="J11734" s="63"/>
    </row>
    <row r="11735" spans="9:10" x14ac:dyDescent="0.35">
      <c r="I11735" s="63"/>
      <c r="J11735" s="63"/>
    </row>
    <row r="11736" spans="9:10" x14ac:dyDescent="0.35">
      <c r="I11736" s="63"/>
      <c r="J11736" s="63"/>
    </row>
    <row r="11737" spans="9:10" x14ac:dyDescent="0.35">
      <c r="I11737" s="63"/>
      <c r="J11737" s="63"/>
    </row>
    <row r="11738" spans="9:10" x14ac:dyDescent="0.35">
      <c r="I11738" s="63"/>
      <c r="J11738" s="63"/>
    </row>
    <row r="11739" spans="9:10" x14ac:dyDescent="0.35">
      <c r="I11739" s="63"/>
      <c r="J11739" s="63"/>
    </row>
    <row r="11740" spans="9:10" x14ac:dyDescent="0.35">
      <c r="I11740" s="63"/>
      <c r="J11740" s="63"/>
    </row>
    <row r="11741" spans="9:10" x14ac:dyDescent="0.35">
      <c r="I11741" s="63"/>
      <c r="J11741" s="63"/>
    </row>
    <row r="11742" spans="9:10" x14ac:dyDescent="0.35">
      <c r="I11742" s="63"/>
      <c r="J11742" s="63"/>
    </row>
    <row r="11743" spans="9:10" x14ac:dyDescent="0.35">
      <c r="I11743" s="63"/>
      <c r="J11743" s="63"/>
    </row>
    <row r="11744" spans="9:10" x14ac:dyDescent="0.35">
      <c r="I11744" s="63"/>
      <c r="J11744" s="63"/>
    </row>
    <row r="11745" spans="9:10" x14ac:dyDescent="0.35">
      <c r="I11745" s="63"/>
      <c r="J11745" s="63"/>
    </row>
    <row r="11746" spans="9:10" x14ac:dyDescent="0.35">
      <c r="I11746" s="63"/>
      <c r="J11746" s="63"/>
    </row>
    <row r="11747" spans="9:10" x14ac:dyDescent="0.35">
      <c r="I11747" s="63"/>
      <c r="J11747" s="63"/>
    </row>
    <row r="11748" spans="9:10" x14ac:dyDescent="0.35">
      <c r="I11748" s="63"/>
      <c r="J11748" s="63"/>
    </row>
    <row r="11749" spans="9:10" x14ac:dyDescent="0.35">
      <c r="I11749" s="63"/>
      <c r="J11749" s="63"/>
    </row>
    <row r="11750" spans="9:10" x14ac:dyDescent="0.35">
      <c r="I11750" s="63"/>
      <c r="J11750" s="63"/>
    </row>
    <row r="11751" spans="9:10" x14ac:dyDescent="0.35">
      <c r="I11751" s="63"/>
      <c r="J11751" s="63"/>
    </row>
    <row r="11752" spans="9:10" x14ac:dyDescent="0.35">
      <c r="I11752" s="63"/>
      <c r="J11752" s="63"/>
    </row>
    <row r="11753" spans="9:10" x14ac:dyDescent="0.35">
      <c r="I11753" s="63"/>
      <c r="J11753" s="63"/>
    </row>
    <row r="11754" spans="9:10" x14ac:dyDescent="0.35">
      <c r="I11754" s="63"/>
      <c r="J11754" s="63"/>
    </row>
    <row r="11755" spans="9:10" x14ac:dyDescent="0.35">
      <c r="I11755" s="63"/>
      <c r="J11755" s="63"/>
    </row>
    <row r="11756" spans="9:10" x14ac:dyDescent="0.35">
      <c r="I11756" s="63"/>
      <c r="J11756" s="63"/>
    </row>
    <row r="11757" spans="9:10" x14ac:dyDescent="0.35">
      <c r="I11757" s="63"/>
      <c r="J11757" s="63"/>
    </row>
    <row r="11758" spans="9:10" x14ac:dyDescent="0.35">
      <c r="I11758" s="63"/>
      <c r="J11758" s="63"/>
    </row>
    <row r="11759" spans="9:10" x14ac:dyDescent="0.35">
      <c r="I11759" s="63"/>
      <c r="J11759" s="63"/>
    </row>
    <row r="11760" spans="9:10" x14ac:dyDescent="0.35">
      <c r="I11760" s="63"/>
      <c r="J11760" s="63"/>
    </row>
    <row r="11761" spans="9:10" x14ac:dyDescent="0.35">
      <c r="I11761" s="63"/>
      <c r="J11761" s="63"/>
    </row>
    <row r="11762" spans="9:10" x14ac:dyDescent="0.35">
      <c r="I11762" s="63"/>
      <c r="J11762" s="63"/>
    </row>
    <row r="11763" spans="9:10" x14ac:dyDescent="0.35">
      <c r="I11763" s="63"/>
      <c r="J11763" s="63"/>
    </row>
    <row r="11764" spans="9:10" x14ac:dyDescent="0.35">
      <c r="I11764" s="63"/>
      <c r="J11764" s="63"/>
    </row>
    <row r="11765" spans="9:10" x14ac:dyDescent="0.35">
      <c r="I11765" s="63"/>
      <c r="J11765" s="63"/>
    </row>
    <row r="11766" spans="9:10" x14ac:dyDescent="0.35">
      <c r="I11766" s="63"/>
      <c r="J11766" s="63"/>
    </row>
    <row r="11767" spans="9:10" x14ac:dyDescent="0.35">
      <c r="I11767" s="63"/>
      <c r="J11767" s="63"/>
    </row>
    <row r="11768" spans="9:10" x14ac:dyDescent="0.35">
      <c r="I11768" s="63"/>
      <c r="J11768" s="63"/>
    </row>
    <row r="11769" spans="9:10" x14ac:dyDescent="0.35">
      <c r="I11769" s="63"/>
      <c r="J11769" s="63"/>
    </row>
    <row r="11770" spans="9:10" x14ac:dyDescent="0.35">
      <c r="I11770" s="63"/>
      <c r="J11770" s="63"/>
    </row>
    <row r="11771" spans="9:10" x14ac:dyDescent="0.35">
      <c r="I11771" s="63"/>
      <c r="J11771" s="63"/>
    </row>
    <row r="11772" spans="9:10" x14ac:dyDescent="0.35">
      <c r="I11772" s="63"/>
      <c r="J11772" s="63"/>
    </row>
    <row r="11773" spans="9:10" x14ac:dyDescent="0.35">
      <c r="I11773" s="63"/>
      <c r="J11773" s="63"/>
    </row>
    <row r="11774" spans="9:10" x14ac:dyDescent="0.35">
      <c r="I11774" s="63"/>
      <c r="J11774" s="63"/>
    </row>
    <row r="11775" spans="9:10" x14ac:dyDescent="0.35">
      <c r="I11775" s="63"/>
      <c r="J11775" s="63"/>
    </row>
    <row r="11776" spans="9:10" x14ac:dyDescent="0.35">
      <c r="I11776" s="63"/>
      <c r="J11776" s="63"/>
    </row>
    <row r="11777" spans="9:10" x14ac:dyDescent="0.35">
      <c r="I11777" s="63"/>
      <c r="J11777" s="63"/>
    </row>
    <row r="11778" spans="9:10" x14ac:dyDescent="0.35">
      <c r="I11778" s="63"/>
      <c r="J11778" s="63"/>
    </row>
    <row r="11779" spans="9:10" x14ac:dyDescent="0.35">
      <c r="I11779" s="63"/>
      <c r="J11779" s="63"/>
    </row>
    <row r="11780" spans="9:10" x14ac:dyDescent="0.35">
      <c r="I11780" s="63"/>
      <c r="J11780" s="63"/>
    </row>
    <row r="11781" spans="9:10" x14ac:dyDescent="0.35">
      <c r="I11781" s="63"/>
      <c r="J11781" s="63"/>
    </row>
    <row r="11782" spans="9:10" x14ac:dyDescent="0.35">
      <c r="I11782" s="63"/>
      <c r="J11782" s="63"/>
    </row>
    <row r="11783" spans="9:10" x14ac:dyDescent="0.35">
      <c r="I11783" s="63"/>
      <c r="J11783" s="63"/>
    </row>
    <row r="11784" spans="9:10" x14ac:dyDescent="0.35">
      <c r="I11784" s="63"/>
      <c r="J11784" s="63"/>
    </row>
    <row r="11785" spans="9:10" x14ac:dyDescent="0.35">
      <c r="I11785" s="63"/>
      <c r="J11785" s="63"/>
    </row>
    <row r="11786" spans="9:10" x14ac:dyDescent="0.35">
      <c r="I11786" s="63"/>
      <c r="J11786" s="63"/>
    </row>
    <row r="11787" spans="9:10" x14ac:dyDescent="0.35">
      <c r="I11787" s="63"/>
      <c r="J11787" s="63"/>
    </row>
    <row r="11788" spans="9:10" x14ac:dyDescent="0.35">
      <c r="I11788" s="63"/>
      <c r="J11788" s="63"/>
    </row>
    <row r="11789" spans="9:10" x14ac:dyDescent="0.35">
      <c r="I11789" s="63"/>
      <c r="J11789" s="63"/>
    </row>
    <row r="11790" spans="9:10" x14ac:dyDescent="0.35">
      <c r="I11790" s="63"/>
      <c r="J11790" s="63"/>
    </row>
    <row r="11791" spans="9:10" x14ac:dyDescent="0.35">
      <c r="I11791" s="63"/>
      <c r="J11791" s="63"/>
    </row>
    <row r="11792" spans="9:10" x14ac:dyDescent="0.35">
      <c r="I11792" s="63"/>
      <c r="J11792" s="63"/>
    </row>
    <row r="11793" spans="9:10" x14ac:dyDescent="0.35">
      <c r="I11793" s="63"/>
      <c r="J11793" s="63"/>
    </row>
    <row r="11794" spans="9:10" x14ac:dyDescent="0.35">
      <c r="I11794" s="63"/>
      <c r="J11794" s="63"/>
    </row>
    <row r="11795" spans="9:10" x14ac:dyDescent="0.35">
      <c r="I11795" s="63"/>
      <c r="J11795" s="63"/>
    </row>
    <row r="11796" spans="9:10" x14ac:dyDescent="0.35">
      <c r="I11796" s="63"/>
      <c r="J11796" s="63"/>
    </row>
    <row r="11797" spans="9:10" x14ac:dyDescent="0.35">
      <c r="I11797" s="63"/>
      <c r="J11797" s="63"/>
    </row>
    <row r="11798" spans="9:10" x14ac:dyDescent="0.35">
      <c r="I11798" s="63"/>
      <c r="J11798" s="63"/>
    </row>
    <row r="11799" spans="9:10" x14ac:dyDescent="0.35">
      <c r="I11799" s="63"/>
      <c r="J11799" s="63"/>
    </row>
    <row r="11800" spans="9:10" x14ac:dyDescent="0.35">
      <c r="I11800" s="63"/>
      <c r="J11800" s="63"/>
    </row>
    <row r="11801" spans="9:10" x14ac:dyDescent="0.35">
      <c r="I11801" s="63"/>
      <c r="J11801" s="63"/>
    </row>
    <row r="11802" spans="9:10" x14ac:dyDescent="0.35">
      <c r="I11802" s="63"/>
      <c r="J11802" s="63"/>
    </row>
    <row r="11803" spans="9:10" x14ac:dyDescent="0.35">
      <c r="I11803" s="63"/>
      <c r="J11803" s="63"/>
    </row>
    <row r="11804" spans="9:10" x14ac:dyDescent="0.35">
      <c r="I11804" s="63"/>
      <c r="J11804" s="63"/>
    </row>
    <row r="11805" spans="9:10" x14ac:dyDescent="0.35">
      <c r="I11805" s="63"/>
      <c r="J11805" s="63"/>
    </row>
    <row r="11806" spans="9:10" x14ac:dyDescent="0.35">
      <c r="I11806" s="63"/>
      <c r="J11806" s="63"/>
    </row>
    <row r="11807" spans="9:10" x14ac:dyDescent="0.35">
      <c r="I11807" s="63"/>
      <c r="J11807" s="63"/>
    </row>
    <row r="11808" spans="9:10" x14ac:dyDescent="0.35">
      <c r="I11808" s="63"/>
      <c r="J11808" s="63"/>
    </row>
    <row r="11809" spans="9:10" x14ac:dyDescent="0.35">
      <c r="I11809" s="63"/>
      <c r="J11809" s="63"/>
    </row>
    <row r="11810" spans="9:10" x14ac:dyDescent="0.35">
      <c r="I11810" s="63"/>
      <c r="J11810" s="63"/>
    </row>
    <row r="11811" spans="9:10" x14ac:dyDescent="0.35">
      <c r="I11811" s="63"/>
      <c r="J11811" s="63"/>
    </row>
    <row r="11812" spans="9:10" x14ac:dyDescent="0.35">
      <c r="I11812" s="63"/>
      <c r="J11812" s="63"/>
    </row>
    <row r="11813" spans="9:10" x14ac:dyDescent="0.35">
      <c r="I11813" s="63"/>
      <c r="J11813" s="63"/>
    </row>
    <row r="11814" spans="9:10" x14ac:dyDescent="0.35">
      <c r="I11814" s="63"/>
      <c r="J11814" s="63"/>
    </row>
    <row r="11815" spans="9:10" x14ac:dyDescent="0.35">
      <c r="I11815" s="63"/>
      <c r="J11815" s="63"/>
    </row>
    <row r="11816" spans="9:10" x14ac:dyDescent="0.35">
      <c r="I11816" s="63"/>
      <c r="J11816" s="63"/>
    </row>
    <row r="11817" spans="9:10" x14ac:dyDescent="0.35">
      <c r="I11817" s="63"/>
      <c r="J11817" s="63"/>
    </row>
    <row r="11818" spans="9:10" x14ac:dyDescent="0.35">
      <c r="I11818" s="63"/>
      <c r="J11818" s="63"/>
    </row>
    <row r="11819" spans="9:10" x14ac:dyDescent="0.35">
      <c r="I11819" s="63"/>
      <c r="J11819" s="63"/>
    </row>
    <row r="11820" spans="9:10" x14ac:dyDescent="0.35">
      <c r="I11820" s="63"/>
      <c r="J11820" s="63"/>
    </row>
    <row r="11821" spans="9:10" x14ac:dyDescent="0.35">
      <c r="I11821" s="63"/>
      <c r="J11821" s="63"/>
    </row>
    <row r="11822" spans="9:10" x14ac:dyDescent="0.35">
      <c r="I11822" s="63"/>
      <c r="J11822" s="63"/>
    </row>
    <row r="11823" spans="9:10" x14ac:dyDescent="0.35">
      <c r="I11823" s="63"/>
      <c r="J11823" s="63"/>
    </row>
    <row r="11824" spans="9:10" x14ac:dyDescent="0.35">
      <c r="I11824" s="63"/>
      <c r="J11824" s="63"/>
    </row>
    <row r="11825" spans="9:10" x14ac:dyDescent="0.35">
      <c r="I11825" s="63"/>
      <c r="J11825" s="63"/>
    </row>
    <row r="11826" spans="9:10" x14ac:dyDescent="0.35">
      <c r="I11826" s="63"/>
      <c r="J11826" s="63"/>
    </row>
    <row r="11827" spans="9:10" x14ac:dyDescent="0.35">
      <c r="I11827" s="63"/>
      <c r="J11827" s="63"/>
    </row>
    <row r="11828" spans="9:10" x14ac:dyDescent="0.35">
      <c r="I11828" s="63"/>
      <c r="J11828" s="63"/>
    </row>
    <row r="11829" spans="9:10" x14ac:dyDescent="0.35">
      <c r="I11829" s="63"/>
      <c r="J11829" s="63"/>
    </row>
    <row r="11830" spans="9:10" x14ac:dyDescent="0.35">
      <c r="I11830" s="63"/>
      <c r="J11830" s="63"/>
    </row>
    <row r="11831" spans="9:10" x14ac:dyDescent="0.35">
      <c r="I11831" s="63"/>
      <c r="J11831" s="63"/>
    </row>
    <row r="11832" spans="9:10" x14ac:dyDescent="0.35">
      <c r="I11832" s="63"/>
      <c r="J11832" s="63"/>
    </row>
    <row r="11833" spans="9:10" x14ac:dyDescent="0.35">
      <c r="I11833" s="63"/>
      <c r="J11833" s="63"/>
    </row>
    <row r="11834" spans="9:10" x14ac:dyDescent="0.35">
      <c r="I11834" s="63"/>
      <c r="J11834" s="63"/>
    </row>
    <row r="11835" spans="9:10" x14ac:dyDescent="0.35">
      <c r="I11835" s="63"/>
      <c r="J11835" s="63"/>
    </row>
    <row r="11836" spans="9:10" x14ac:dyDescent="0.35">
      <c r="I11836" s="63"/>
      <c r="J11836" s="63"/>
    </row>
    <row r="11837" spans="9:10" x14ac:dyDescent="0.35">
      <c r="I11837" s="63"/>
      <c r="J11837" s="63"/>
    </row>
    <row r="11838" spans="9:10" x14ac:dyDescent="0.35">
      <c r="I11838" s="63"/>
      <c r="J11838" s="63"/>
    </row>
    <row r="11839" spans="9:10" x14ac:dyDescent="0.35">
      <c r="I11839" s="63"/>
      <c r="J11839" s="63"/>
    </row>
    <row r="11840" spans="9:10" x14ac:dyDescent="0.35">
      <c r="I11840" s="63"/>
      <c r="J11840" s="63"/>
    </row>
    <row r="11841" spans="9:10" x14ac:dyDescent="0.35">
      <c r="I11841" s="63"/>
      <c r="J11841" s="63"/>
    </row>
    <row r="11842" spans="9:10" x14ac:dyDescent="0.35">
      <c r="I11842" s="63"/>
      <c r="J11842" s="63"/>
    </row>
    <row r="11843" spans="9:10" x14ac:dyDescent="0.35">
      <c r="I11843" s="63"/>
      <c r="J11843" s="63"/>
    </row>
    <row r="11844" spans="9:10" x14ac:dyDescent="0.35">
      <c r="I11844" s="63"/>
      <c r="J11844" s="63"/>
    </row>
    <row r="11845" spans="9:10" x14ac:dyDescent="0.35">
      <c r="I11845" s="63"/>
      <c r="J11845" s="63"/>
    </row>
    <row r="11846" spans="9:10" x14ac:dyDescent="0.35">
      <c r="I11846" s="63"/>
      <c r="J11846" s="63"/>
    </row>
    <row r="11847" spans="9:10" x14ac:dyDescent="0.35">
      <c r="I11847" s="63"/>
      <c r="J11847" s="63"/>
    </row>
    <row r="11848" spans="9:10" x14ac:dyDescent="0.35">
      <c r="I11848" s="63"/>
      <c r="J11848" s="63"/>
    </row>
    <row r="11849" spans="9:10" x14ac:dyDescent="0.35">
      <c r="I11849" s="63"/>
      <c r="J11849" s="63"/>
    </row>
    <row r="11850" spans="9:10" x14ac:dyDescent="0.35">
      <c r="I11850" s="63"/>
      <c r="J11850" s="63"/>
    </row>
    <row r="11851" spans="9:10" x14ac:dyDescent="0.35">
      <c r="I11851" s="63"/>
      <c r="J11851" s="63"/>
    </row>
    <row r="11852" spans="9:10" x14ac:dyDescent="0.35">
      <c r="I11852" s="63"/>
      <c r="J11852" s="63"/>
    </row>
    <row r="11853" spans="9:10" x14ac:dyDescent="0.35">
      <c r="I11853" s="63"/>
      <c r="J11853" s="63"/>
    </row>
    <row r="11854" spans="9:10" x14ac:dyDescent="0.35">
      <c r="I11854" s="63"/>
      <c r="J11854" s="63"/>
    </row>
    <row r="11855" spans="9:10" x14ac:dyDescent="0.35">
      <c r="I11855" s="63"/>
      <c r="J11855" s="63"/>
    </row>
    <row r="11856" spans="9:10" x14ac:dyDescent="0.35">
      <c r="I11856" s="63"/>
      <c r="J11856" s="63"/>
    </row>
    <row r="11857" spans="9:10" x14ac:dyDescent="0.35">
      <c r="I11857" s="63"/>
      <c r="J11857" s="63"/>
    </row>
    <row r="11858" spans="9:10" x14ac:dyDescent="0.35">
      <c r="I11858" s="63"/>
      <c r="J11858" s="63"/>
    </row>
    <row r="11859" spans="9:10" x14ac:dyDescent="0.35">
      <c r="I11859" s="63"/>
      <c r="J11859" s="63"/>
    </row>
    <row r="11860" spans="9:10" x14ac:dyDescent="0.35">
      <c r="I11860" s="63"/>
      <c r="J11860" s="63"/>
    </row>
    <row r="11861" spans="9:10" x14ac:dyDescent="0.35">
      <c r="I11861" s="63"/>
      <c r="J11861" s="63"/>
    </row>
    <row r="11862" spans="9:10" x14ac:dyDescent="0.35">
      <c r="I11862" s="63"/>
      <c r="J11862" s="63"/>
    </row>
    <row r="11863" spans="9:10" x14ac:dyDescent="0.35">
      <c r="I11863" s="63"/>
      <c r="J11863" s="63"/>
    </row>
    <row r="11864" spans="9:10" x14ac:dyDescent="0.35">
      <c r="I11864" s="63"/>
      <c r="J11864" s="63"/>
    </row>
    <row r="11865" spans="9:10" x14ac:dyDescent="0.35">
      <c r="I11865" s="63"/>
      <c r="J11865" s="63"/>
    </row>
    <row r="11866" spans="9:10" x14ac:dyDescent="0.35">
      <c r="I11866" s="63"/>
      <c r="J11866" s="63"/>
    </row>
    <row r="11867" spans="9:10" x14ac:dyDescent="0.35">
      <c r="I11867" s="63"/>
      <c r="J11867" s="63"/>
    </row>
    <row r="11868" spans="9:10" x14ac:dyDescent="0.35">
      <c r="I11868" s="63"/>
      <c r="J11868" s="63"/>
    </row>
    <row r="11869" spans="9:10" x14ac:dyDescent="0.35">
      <c r="I11869" s="63"/>
      <c r="J11869" s="63"/>
    </row>
    <row r="11870" spans="9:10" x14ac:dyDescent="0.35">
      <c r="I11870" s="63"/>
      <c r="J11870" s="63"/>
    </row>
    <row r="11871" spans="9:10" x14ac:dyDescent="0.35">
      <c r="I11871" s="63"/>
      <c r="J11871" s="63"/>
    </row>
    <row r="11872" spans="9:10" x14ac:dyDescent="0.35">
      <c r="I11872" s="63"/>
      <c r="J11872" s="63"/>
    </row>
    <row r="11873" spans="9:10" x14ac:dyDescent="0.35">
      <c r="I11873" s="63"/>
      <c r="J11873" s="63"/>
    </row>
    <row r="11874" spans="9:10" x14ac:dyDescent="0.35">
      <c r="I11874" s="63"/>
      <c r="J11874" s="63"/>
    </row>
    <row r="11875" spans="9:10" x14ac:dyDescent="0.35">
      <c r="I11875" s="63"/>
      <c r="J11875" s="63"/>
    </row>
    <row r="11876" spans="9:10" x14ac:dyDescent="0.35">
      <c r="I11876" s="63"/>
      <c r="J11876" s="63"/>
    </row>
    <row r="11877" spans="9:10" x14ac:dyDescent="0.35">
      <c r="I11877" s="63"/>
      <c r="J11877" s="63"/>
    </row>
    <row r="11878" spans="9:10" x14ac:dyDescent="0.35">
      <c r="I11878" s="63"/>
      <c r="J11878" s="63"/>
    </row>
    <row r="11879" spans="9:10" x14ac:dyDescent="0.35">
      <c r="I11879" s="63"/>
      <c r="J11879" s="63"/>
    </row>
    <row r="11880" spans="9:10" x14ac:dyDescent="0.35">
      <c r="I11880" s="63"/>
      <c r="J11880" s="63"/>
    </row>
    <row r="11881" spans="9:10" x14ac:dyDescent="0.35">
      <c r="I11881" s="63"/>
      <c r="J11881" s="63"/>
    </row>
    <row r="11882" spans="9:10" x14ac:dyDescent="0.35">
      <c r="I11882" s="63"/>
      <c r="J11882" s="63"/>
    </row>
    <row r="11883" spans="9:10" x14ac:dyDescent="0.35">
      <c r="I11883" s="63"/>
      <c r="J11883" s="63"/>
    </row>
    <row r="11884" spans="9:10" x14ac:dyDescent="0.35">
      <c r="I11884" s="63"/>
      <c r="J11884" s="63"/>
    </row>
    <row r="11885" spans="9:10" x14ac:dyDescent="0.35">
      <c r="I11885" s="63"/>
      <c r="J11885" s="63"/>
    </row>
    <row r="11886" spans="9:10" x14ac:dyDescent="0.35">
      <c r="I11886" s="63"/>
      <c r="J11886" s="63"/>
    </row>
    <row r="11887" spans="9:10" x14ac:dyDescent="0.35">
      <c r="I11887" s="63"/>
      <c r="J11887" s="63"/>
    </row>
    <row r="11888" spans="9:10" x14ac:dyDescent="0.35">
      <c r="I11888" s="63"/>
      <c r="J11888" s="63"/>
    </row>
    <row r="11889" spans="9:10" x14ac:dyDescent="0.35">
      <c r="I11889" s="63"/>
      <c r="J11889" s="63"/>
    </row>
    <row r="11890" spans="9:10" x14ac:dyDescent="0.35">
      <c r="I11890" s="63"/>
      <c r="J11890" s="63"/>
    </row>
    <row r="11891" spans="9:10" x14ac:dyDescent="0.35">
      <c r="I11891" s="63"/>
      <c r="J11891" s="63"/>
    </row>
    <row r="11892" spans="9:10" x14ac:dyDescent="0.35">
      <c r="I11892" s="63"/>
      <c r="J11892" s="63"/>
    </row>
    <row r="11893" spans="9:10" x14ac:dyDescent="0.35">
      <c r="I11893" s="63"/>
      <c r="J11893" s="63"/>
    </row>
    <row r="11894" spans="9:10" x14ac:dyDescent="0.35">
      <c r="I11894" s="63"/>
      <c r="J11894" s="63"/>
    </row>
    <row r="11895" spans="9:10" x14ac:dyDescent="0.35">
      <c r="I11895" s="63"/>
      <c r="J11895" s="63"/>
    </row>
    <row r="11896" spans="9:10" x14ac:dyDescent="0.35">
      <c r="I11896" s="63"/>
      <c r="J11896" s="63"/>
    </row>
    <row r="11897" spans="9:10" x14ac:dyDescent="0.35">
      <c r="I11897" s="63"/>
      <c r="J11897" s="63"/>
    </row>
    <row r="11898" spans="9:10" x14ac:dyDescent="0.35">
      <c r="I11898" s="63"/>
      <c r="J11898" s="63"/>
    </row>
    <row r="11899" spans="9:10" x14ac:dyDescent="0.35">
      <c r="I11899" s="63"/>
      <c r="J11899" s="63"/>
    </row>
    <row r="11900" spans="9:10" x14ac:dyDescent="0.35">
      <c r="I11900" s="63"/>
      <c r="J11900" s="63"/>
    </row>
    <row r="11901" spans="9:10" x14ac:dyDescent="0.35">
      <c r="I11901" s="63"/>
      <c r="J11901" s="63"/>
    </row>
    <row r="11902" spans="9:10" x14ac:dyDescent="0.35">
      <c r="I11902" s="63"/>
      <c r="J11902" s="63"/>
    </row>
    <row r="11903" spans="9:10" x14ac:dyDescent="0.35">
      <c r="I11903" s="63"/>
      <c r="J11903" s="63"/>
    </row>
    <row r="11904" spans="9:10" x14ac:dyDescent="0.35">
      <c r="I11904" s="63"/>
      <c r="J11904" s="63"/>
    </row>
    <row r="11905" spans="9:10" x14ac:dyDescent="0.35">
      <c r="I11905" s="63"/>
      <c r="J11905" s="63"/>
    </row>
    <row r="11906" spans="9:10" x14ac:dyDescent="0.35">
      <c r="I11906" s="63"/>
      <c r="J11906" s="63"/>
    </row>
    <row r="11907" spans="9:10" x14ac:dyDescent="0.35">
      <c r="I11907" s="63"/>
      <c r="J11907" s="63"/>
    </row>
    <row r="11908" spans="9:10" x14ac:dyDescent="0.35">
      <c r="I11908" s="63"/>
      <c r="J11908" s="63"/>
    </row>
    <row r="11909" spans="9:10" x14ac:dyDescent="0.35">
      <c r="I11909" s="63"/>
      <c r="J11909" s="63"/>
    </row>
    <row r="11910" spans="9:10" x14ac:dyDescent="0.35">
      <c r="I11910" s="63"/>
      <c r="J11910" s="63"/>
    </row>
    <row r="11911" spans="9:10" x14ac:dyDescent="0.35">
      <c r="I11911" s="63"/>
      <c r="J11911" s="63"/>
    </row>
    <row r="11912" spans="9:10" x14ac:dyDescent="0.35">
      <c r="I11912" s="63"/>
      <c r="J11912" s="63"/>
    </row>
    <row r="11913" spans="9:10" x14ac:dyDescent="0.35">
      <c r="I11913" s="63"/>
      <c r="J11913" s="63"/>
    </row>
    <row r="11914" spans="9:10" x14ac:dyDescent="0.35">
      <c r="I11914" s="63"/>
      <c r="J11914" s="63"/>
    </row>
    <row r="11915" spans="9:10" x14ac:dyDescent="0.35">
      <c r="I11915" s="63"/>
      <c r="J11915" s="63"/>
    </row>
    <row r="11916" spans="9:10" x14ac:dyDescent="0.35">
      <c r="I11916" s="63"/>
      <c r="J11916" s="63"/>
    </row>
    <row r="11917" spans="9:10" x14ac:dyDescent="0.35">
      <c r="I11917" s="63"/>
      <c r="J11917" s="63"/>
    </row>
    <row r="11918" spans="9:10" x14ac:dyDescent="0.35">
      <c r="I11918" s="63"/>
      <c r="J11918" s="63"/>
    </row>
    <row r="11919" spans="9:10" x14ac:dyDescent="0.35">
      <c r="I11919" s="63"/>
      <c r="J11919" s="63"/>
    </row>
    <row r="11920" spans="9:10" x14ac:dyDescent="0.35">
      <c r="I11920" s="63"/>
      <c r="J11920" s="63"/>
    </row>
    <row r="11921" spans="9:10" x14ac:dyDescent="0.35">
      <c r="I11921" s="63"/>
      <c r="J11921" s="63"/>
    </row>
    <row r="11922" spans="9:10" x14ac:dyDescent="0.35">
      <c r="I11922" s="63"/>
      <c r="J11922" s="63"/>
    </row>
    <row r="11923" spans="9:10" x14ac:dyDescent="0.35">
      <c r="I11923" s="63"/>
      <c r="J11923" s="63"/>
    </row>
    <row r="11924" spans="9:10" x14ac:dyDescent="0.35">
      <c r="I11924" s="63"/>
      <c r="J11924" s="63"/>
    </row>
    <row r="11925" spans="9:10" x14ac:dyDescent="0.35">
      <c r="I11925" s="63"/>
      <c r="J11925" s="63"/>
    </row>
    <row r="11926" spans="9:10" x14ac:dyDescent="0.35">
      <c r="I11926" s="63"/>
      <c r="J11926" s="63"/>
    </row>
    <row r="11927" spans="9:10" x14ac:dyDescent="0.35">
      <c r="I11927" s="63"/>
      <c r="J11927" s="63"/>
    </row>
    <row r="11928" spans="9:10" x14ac:dyDescent="0.35">
      <c r="I11928" s="63"/>
      <c r="J11928" s="63"/>
    </row>
    <row r="11929" spans="9:10" x14ac:dyDescent="0.35">
      <c r="I11929" s="63"/>
      <c r="J11929" s="63"/>
    </row>
    <row r="11930" spans="9:10" x14ac:dyDescent="0.35">
      <c r="I11930" s="63"/>
      <c r="J11930" s="63"/>
    </row>
    <row r="11931" spans="9:10" x14ac:dyDescent="0.35">
      <c r="I11931" s="63"/>
      <c r="J11931" s="63"/>
    </row>
    <row r="11932" spans="9:10" x14ac:dyDescent="0.35">
      <c r="I11932" s="63"/>
      <c r="J11932" s="63"/>
    </row>
    <row r="11933" spans="9:10" x14ac:dyDescent="0.35">
      <c r="I11933" s="63"/>
      <c r="J11933" s="63"/>
    </row>
    <row r="11934" spans="9:10" x14ac:dyDescent="0.35">
      <c r="I11934" s="63"/>
      <c r="J11934" s="63"/>
    </row>
    <row r="11935" spans="9:10" x14ac:dyDescent="0.35">
      <c r="I11935" s="63"/>
      <c r="J11935" s="63"/>
    </row>
    <row r="11936" spans="9:10" x14ac:dyDescent="0.35">
      <c r="I11936" s="63"/>
      <c r="J11936" s="63"/>
    </row>
    <row r="11937" spans="9:10" x14ac:dyDescent="0.35">
      <c r="I11937" s="63"/>
      <c r="J11937" s="63"/>
    </row>
    <row r="11938" spans="9:10" x14ac:dyDescent="0.35">
      <c r="I11938" s="63"/>
      <c r="J11938" s="63"/>
    </row>
    <row r="11939" spans="9:10" x14ac:dyDescent="0.35">
      <c r="I11939" s="63"/>
      <c r="J11939" s="63"/>
    </row>
    <row r="11940" spans="9:10" x14ac:dyDescent="0.35">
      <c r="I11940" s="63"/>
      <c r="J11940" s="63"/>
    </row>
    <row r="11941" spans="9:10" x14ac:dyDescent="0.35">
      <c r="I11941" s="63"/>
      <c r="J11941" s="63"/>
    </row>
    <row r="11942" spans="9:10" x14ac:dyDescent="0.35">
      <c r="I11942" s="63"/>
      <c r="J11942" s="63"/>
    </row>
    <row r="11943" spans="9:10" x14ac:dyDescent="0.35">
      <c r="I11943" s="63"/>
      <c r="J11943" s="63"/>
    </row>
    <row r="11944" spans="9:10" x14ac:dyDescent="0.35">
      <c r="I11944" s="63"/>
      <c r="J11944" s="63"/>
    </row>
    <row r="11945" spans="9:10" x14ac:dyDescent="0.35">
      <c r="I11945" s="63"/>
      <c r="J11945" s="63"/>
    </row>
    <row r="11946" spans="9:10" x14ac:dyDescent="0.35">
      <c r="I11946" s="63"/>
      <c r="J11946" s="63"/>
    </row>
    <row r="11947" spans="9:10" x14ac:dyDescent="0.35">
      <c r="I11947" s="63"/>
      <c r="J11947" s="63"/>
    </row>
    <row r="11948" spans="9:10" x14ac:dyDescent="0.35">
      <c r="I11948" s="63"/>
      <c r="J11948" s="63"/>
    </row>
    <row r="11949" spans="9:10" x14ac:dyDescent="0.35">
      <c r="I11949" s="63"/>
      <c r="J11949" s="63"/>
    </row>
    <row r="11950" spans="9:10" x14ac:dyDescent="0.35">
      <c r="I11950" s="63"/>
      <c r="J11950" s="63"/>
    </row>
    <row r="11951" spans="9:10" x14ac:dyDescent="0.35">
      <c r="I11951" s="63"/>
      <c r="J11951" s="63"/>
    </row>
    <row r="11952" spans="9:10" x14ac:dyDescent="0.35">
      <c r="I11952" s="63"/>
      <c r="J11952" s="63"/>
    </row>
    <row r="11953" spans="9:10" x14ac:dyDescent="0.35">
      <c r="I11953" s="63"/>
      <c r="J11953" s="63"/>
    </row>
    <row r="11954" spans="9:10" x14ac:dyDescent="0.35">
      <c r="I11954" s="63"/>
      <c r="J11954" s="63"/>
    </row>
    <row r="11955" spans="9:10" x14ac:dyDescent="0.35">
      <c r="I11955" s="63"/>
      <c r="J11955" s="63"/>
    </row>
    <row r="11956" spans="9:10" x14ac:dyDescent="0.35">
      <c r="I11956" s="63"/>
      <c r="J11956" s="63"/>
    </row>
    <row r="11957" spans="9:10" x14ac:dyDescent="0.35">
      <c r="I11957" s="63"/>
      <c r="J11957" s="63"/>
    </row>
    <row r="11958" spans="9:10" x14ac:dyDescent="0.35">
      <c r="I11958" s="63"/>
      <c r="J11958" s="63"/>
    </row>
    <row r="11959" spans="9:10" x14ac:dyDescent="0.35">
      <c r="I11959" s="63"/>
      <c r="J11959" s="63"/>
    </row>
    <row r="11960" spans="9:10" x14ac:dyDescent="0.35">
      <c r="I11960" s="63"/>
      <c r="J11960" s="63"/>
    </row>
    <row r="11961" spans="9:10" x14ac:dyDescent="0.35">
      <c r="I11961" s="63"/>
      <c r="J11961" s="63"/>
    </row>
    <row r="11962" spans="9:10" x14ac:dyDescent="0.35">
      <c r="I11962" s="63"/>
      <c r="J11962" s="63"/>
    </row>
    <row r="11963" spans="9:10" x14ac:dyDescent="0.35">
      <c r="I11963" s="63"/>
      <c r="J11963" s="63"/>
    </row>
    <row r="11964" spans="9:10" x14ac:dyDescent="0.35">
      <c r="I11964" s="63"/>
      <c r="J11964" s="63"/>
    </row>
    <row r="11965" spans="9:10" x14ac:dyDescent="0.35">
      <c r="I11965" s="63"/>
      <c r="J11965" s="63"/>
    </row>
    <row r="11966" spans="9:10" x14ac:dyDescent="0.35">
      <c r="I11966" s="63"/>
      <c r="J11966" s="63"/>
    </row>
    <row r="11967" spans="9:10" x14ac:dyDescent="0.35">
      <c r="I11967" s="63"/>
      <c r="J11967" s="63"/>
    </row>
    <row r="11968" spans="9:10" x14ac:dyDescent="0.35">
      <c r="I11968" s="63"/>
      <c r="J11968" s="63"/>
    </row>
    <row r="11969" spans="9:10" x14ac:dyDescent="0.35">
      <c r="I11969" s="63"/>
      <c r="J11969" s="63"/>
    </row>
    <row r="11970" spans="9:10" x14ac:dyDescent="0.35">
      <c r="I11970" s="63"/>
      <c r="J11970" s="63"/>
    </row>
    <row r="11971" spans="9:10" x14ac:dyDescent="0.35">
      <c r="I11971" s="63"/>
      <c r="J11971" s="63"/>
    </row>
    <row r="11972" spans="9:10" x14ac:dyDescent="0.35">
      <c r="I11972" s="63"/>
      <c r="J11972" s="63"/>
    </row>
    <row r="11973" spans="9:10" x14ac:dyDescent="0.35">
      <c r="I11973" s="63"/>
      <c r="J11973" s="63"/>
    </row>
    <row r="11974" spans="9:10" x14ac:dyDescent="0.35">
      <c r="I11974" s="63"/>
      <c r="J11974" s="63"/>
    </row>
    <row r="11975" spans="9:10" x14ac:dyDescent="0.35">
      <c r="I11975" s="63"/>
      <c r="J11975" s="63"/>
    </row>
    <row r="11976" spans="9:10" x14ac:dyDescent="0.35">
      <c r="I11976" s="63"/>
      <c r="J11976" s="63"/>
    </row>
    <row r="11977" spans="9:10" x14ac:dyDescent="0.35">
      <c r="I11977" s="63"/>
      <c r="J11977" s="63"/>
    </row>
    <row r="11978" spans="9:10" x14ac:dyDescent="0.35">
      <c r="I11978" s="63"/>
      <c r="J11978" s="63"/>
    </row>
    <row r="11979" spans="9:10" x14ac:dyDescent="0.35">
      <c r="I11979" s="63"/>
      <c r="J11979" s="63"/>
    </row>
    <row r="11980" spans="9:10" x14ac:dyDescent="0.35">
      <c r="I11980" s="63"/>
      <c r="J11980" s="63"/>
    </row>
    <row r="11981" spans="9:10" x14ac:dyDescent="0.35">
      <c r="I11981" s="63"/>
      <c r="J11981" s="63"/>
    </row>
    <row r="11982" spans="9:10" x14ac:dyDescent="0.35">
      <c r="I11982" s="63"/>
      <c r="J11982" s="63"/>
    </row>
    <row r="11983" spans="9:10" x14ac:dyDescent="0.35">
      <c r="I11983" s="63"/>
      <c r="J11983" s="63"/>
    </row>
    <row r="11984" spans="9:10" x14ac:dyDescent="0.35">
      <c r="I11984" s="63"/>
      <c r="J11984" s="63"/>
    </row>
    <row r="11985" spans="9:10" x14ac:dyDescent="0.35">
      <c r="I11985" s="63"/>
      <c r="J11985" s="63"/>
    </row>
    <row r="11986" spans="9:10" x14ac:dyDescent="0.35">
      <c r="I11986" s="63"/>
      <c r="J11986" s="63"/>
    </row>
    <row r="11987" spans="9:10" x14ac:dyDescent="0.35">
      <c r="I11987" s="63"/>
      <c r="J11987" s="63"/>
    </row>
    <row r="11988" spans="9:10" x14ac:dyDescent="0.35">
      <c r="I11988" s="63"/>
      <c r="J11988" s="63"/>
    </row>
    <row r="11989" spans="9:10" x14ac:dyDescent="0.35">
      <c r="I11989" s="63"/>
      <c r="J11989" s="63"/>
    </row>
    <row r="11990" spans="9:10" x14ac:dyDescent="0.35">
      <c r="I11990" s="63"/>
      <c r="J11990" s="63"/>
    </row>
    <row r="11991" spans="9:10" x14ac:dyDescent="0.35">
      <c r="I11991" s="63"/>
      <c r="J11991" s="63"/>
    </row>
    <row r="11992" spans="9:10" x14ac:dyDescent="0.35">
      <c r="I11992" s="63"/>
      <c r="J11992" s="63"/>
    </row>
    <row r="11993" spans="9:10" x14ac:dyDescent="0.35">
      <c r="I11993" s="63"/>
      <c r="J11993" s="63"/>
    </row>
    <row r="11994" spans="9:10" x14ac:dyDescent="0.35">
      <c r="I11994" s="63"/>
      <c r="J11994" s="63"/>
    </row>
    <row r="11995" spans="9:10" x14ac:dyDescent="0.35">
      <c r="I11995" s="63"/>
      <c r="J11995" s="63"/>
    </row>
    <row r="11996" spans="9:10" x14ac:dyDescent="0.35">
      <c r="I11996" s="63"/>
      <c r="J11996" s="63"/>
    </row>
    <row r="11997" spans="9:10" x14ac:dyDescent="0.35">
      <c r="I11997" s="63"/>
      <c r="J11997" s="63"/>
    </row>
    <row r="11998" spans="9:10" x14ac:dyDescent="0.35">
      <c r="I11998" s="63"/>
      <c r="J11998" s="63"/>
    </row>
    <row r="11999" spans="9:10" x14ac:dyDescent="0.35">
      <c r="I11999" s="63"/>
      <c r="J11999" s="63"/>
    </row>
    <row r="12000" spans="9:10" x14ac:dyDescent="0.35">
      <c r="I12000" s="63"/>
      <c r="J12000" s="63"/>
    </row>
    <row r="12001" spans="9:10" x14ac:dyDescent="0.35">
      <c r="I12001" s="63"/>
      <c r="J12001" s="63"/>
    </row>
    <row r="12002" spans="9:10" x14ac:dyDescent="0.35">
      <c r="I12002" s="63"/>
      <c r="J12002" s="63"/>
    </row>
    <row r="12003" spans="9:10" x14ac:dyDescent="0.35">
      <c r="I12003" s="63"/>
      <c r="J12003" s="63"/>
    </row>
    <row r="12004" spans="9:10" x14ac:dyDescent="0.35">
      <c r="I12004" s="63"/>
      <c r="J12004" s="63"/>
    </row>
    <row r="12005" spans="9:10" x14ac:dyDescent="0.35">
      <c r="I12005" s="63"/>
      <c r="J12005" s="63"/>
    </row>
    <row r="12006" spans="9:10" x14ac:dyDescent="0.35">
      <c r="I12006" s="63"/>
      <c r="J12006" s="63"/>
    </row>
    <row r="12007" spans="9:10" x14ac:dyDescent="0.35">
      <c r="I12007" s="63"/>
      <c r="J12007" s="63"/>
    </row>
    <row r="12008" spans="9:10" x14ac:dyDescent="0.35">
      <c r="I12008" s="63"/>
      <c r="J12008" s="63"/>
    </row>
    <row r="12009" spans="9:10" x14ac:dyDescent="0.35">
      <c r="I12009" s="63"/>
      <c r="J12009" s="63"/>
    </row>
    <row r="12010" spans="9:10" x14ac:dyDescent="0.35">
      <c r="I12010" s="63"/>
      <c r="J12010" s="63"/>
    </row>
    <row r="12011" spans="9:10" x14ac:dyDescent="0.35">
      <c r="I12011" s="63"/>
      <c r="J12011" s="63"/>
    </row>
    <row r="12012" spans="9:10" x14ac:dyDescent="0.35">
      <c r="I12012" s="63"/>
      <c r="J12012" s="63"/>
    </row>
    <row r="12013" spans="9:10" x14ac:dyDescent="0.35">
      <c r="I12013" s="63"/>
      <c r="J12013" s="63"/>
    </row>
    <row r="12014" spans="9:10" x14ac:dyDescent="0.35">
      <c r="I12014" s="63"/>
      <c r="J12014" s="63"/>
    </row>
    <row r="12015" spans="9:10" x14ac:dyDescent="0.35">
      <c r="I12015" s="63"/>
      <c r="J12015" s="63"/>
    </row>
    <row r="12016" spans="9:10" x14ac:dyDescent="0.35">
      <c r="I12016" s="63"/>
      <c r="J12016" s="63"/>
    </row>
    <row r="12017" spans="9:10" x14ac:dyDescent="0.35">
      <c r="I12017" s="63"/>
      <c r="J12017" s="63"/>
    </row>
    <row r="12018" spans="9:10" x14ac:dyDescent="0.35">
      <c r="I12018" s="63"/>
      <c r="J12018" s="63"/>
    </row>
    <row r="12019" spans="9:10" x14ac:dyDescent="0.35">
      <c r="I12019" s="63"/>
      <c r="J12019" s="63"/>
    </row>
    <row r="12020" spans="9:10" x14ac:dyDescent="0.35">
      <c r="I12020" s="63"/>
      <c r="J12020" s="63"/>
    </row>
    <row r="12021" spans="9:10" x14ac:dyDescent="0.35">
      <c r="I12021" s="63"/>
      <c r="J12021" s="63"/>
    </row>
    <row r="12022" spans="9:10" x14ac:dyDescent="0.35">
      <c r="I12022" s="63"/>
      <c r="J12022" s="63"/>
    </row>
    <row r="12023" spans="9:10" x14ac:dyDescent="0.35">
      <c r="I12023" s="63"/>
      <c r="J12023" s="63"/>
    </row>
    <row r="12024" spans="9:10" x14ac:dyDescent="0.35">
      <c r="I12024" s="63"/>
      <c r="J12024" s="63"/>
    </row>
    <row r="12025" spans="9:10" x14ac:dyDescent="0.35">
      <c r="I12025" s="63"/>
      <c r="J12025" s="63"/>
    </row>
    <row r="12026" spans="9:10" x14ac:dyDescent="0.35">
      <c r="I12026" s="63"/>
      <c r="J12026" s="63"/>
    </row>
    <row r="12027" spans="9:10" x14ac:dyDescent="0.35">
      <c r="I12027" s="63"/>
      <c r="J12027" s="63"/>
    </row>
    <row r="12028" spans="9:10" x14ac:dyDescent="0.35">
      <c r="I12028" s="63"/>
      <c r="J12028" s="63"/>
    </row>
    <row r="12029" spans="9:10" x14ac:dyDescent="0.35">
      <c r="I12029" s="63"/>
      <c r="J12029" s="63"/>
    </row>
    <row r="12030" spans="9:10" x14ac:dyDescent="0.35">
      <c r="I12030" s="63"/>
      <c r="J12030" s="63"/>
    </row>
    <row r="12031" spans="9:10" x14ac:dyDescent="0.35">
      <c r="I12031" s="63"/>
      <c r="J12031" s="63"/>
    </row>
    <row r="12032" spans="9:10" x14ac:dyDescent="0.35">
      <c r="I12032" s="63"/>
      <c r="J12032" s="63"/>
    </row>
    <row r="12033" spans="9:10" x14ac:dyDescent="0.35">
      <c r="I12033" s="63"/>
      <c r="J12033" s="63"/>
    </row>
    <row r="12034" spans="9:10" x14ac:dyDescent="0.35">
      <c r="I12034" s="63"/>
      <c r="J12034" s="63"/>
    </row>
    <row r="12035" spans="9:10" x14ac:dyDescent="0.35">
      <c r="I12035" s="63"/>
      <c r="J12035" s="63"/>
    </row>
    <row r="12036" spans="9:10" x14ac:dyDescent="0.35">
      <c r="I12036" s="63"/>
      <c r="J12036" s="63"/>
    </row>
    <row r="12037" spans="9:10" x14ac:dyDescent="0.35">
      <c r="I12037" s="63"/>
      <c r="J12037" s="63"/>
    </row>
    <row r="12038" spans="9:10" x14ac:dyDescent="0.35">
      <c r="I12038" s="63"/>
      <c r="J12038" s="63"/>
    </row>
    <row r="12039" spans="9:10" x14ac:dyDescent="0.35">
      <c r="I12039" s="63"/>
      <c r="J12039" s="63"/>
    </row>
    <row r="12040" spans="9:10" x14ac:dyDescent="0.35">
      <c r="I12040" s="63"/>
      <c r="J12040" s="63"/>
    </row>
    <row r="12041" spans="9:10" x14ac:dyDescent="0.35">
      <c r="I12041" s="63"/>
      <c r="J12041" s="63"/>
    </row>
    <row r="12042" spans="9:10" x14ac:dyDescent="0.35">
      <c r="I12042" s="63"/>
      <c r="J12042" s="63"/>
    </row>
    <row r="12043" spans="9:10" x14ac:dyDescent="0.35">
      <c r="I12043" s="63"/>
      <c r="J12043" s="63"/>
    </row>
    <row r="12044" spans="9:10" x14ac:dyDescent="0.35">
      <c r="I12044" s="63"/>
      <c r="J12044" s="63"/>
    </row>
    <row r="12045" spans="9:10" x14ac:dyDescent="0.35">
      <c r="I12045" s="63"/>
      <c r="J12045" s="63"/>
    </row>
    <row r="12046" spans="9:10" x14ac:dyDescent="0.35">
      <c r="I12046" s="63"/>
      <c r="J12046" s="63"/>
    </row>
    <row r="12047" spans="9:10" x14ac:dyDescent="0.35">
      <c r="I12047" s="63"/>
      <c r="J12047" s="63"/>
    </row>
    <row r="12048" spans="9:10" x14ac:dyDescent="0.35">
      <c r="I12048" s="63"/>
      <c r="J12048" s="63"/>
    </row>
    <row r="12049" spans="9:10" x14ac:dyDescent="0.35">
      <c r="I12049" s="63"/>
      <c r="J12049" s="63"/>
    </row>
    <row r="12050" spans="9:10" x14ac:dyDescent="0.35">
      <c r="I12050" s="63"/>
      <c r="J12050" s="63"/>
    </row>
    <row r="12051" spans="9:10" x14ac:dyDescent="0.35">
      <c r="I12051" s="63"/>
      <c r="J12051" s="63"/>
    </row>
    <row r="12052" spans="9:10" x14ac:dyDescent="0.35">
      <c r="I12052" s="63"/>
      <c r="J12052" s="63"/>
    </row>
    <row r="12053" spans="9:10" x14ac:dyDescent="0.35">
      <c r="I12053" s="63"/>
      <c r="J12053" s="63"/>
    </row>
    <row r="12054" spans="9:10" x14ac:dyDescent="0.35">
      <c r="I12054" s="63"/>
      <c r="J12054" s="63"/>
    </row>
    <row r="12055" spans="9:10" x14ac:dyDescent="0.35">
      <c r="I12055" s="63"/>
      <c r="J12055" s="63"/>
    </row>
    <row r="12056" spans="9:10" x14ac:dyDescent="0.35">
      <c r="I12056" s="63"/>
      <c r="J12056" s="63"/>
    </row>
    <row r="12057" spans="9:10" x14ac:dyDescent="0.35">
      <c r="I12057" s="63"/>
      <c r="J12057" s="63"/>
    </row>
    <row r="12058" spans="9:10" x14ac:dyDescent="0.35">
      <c r="I12058" s="63"/>
      <c r="J12058" s="63"/>
    </row>
    <row r="12059" spans="9:10" x14ac:dyDescent="0.35">
      <c r="I12059" s="63"/>
      <c r="J12059" s="63"/>
    </row>
    <row r="12060" spans="9:10" x14ac:dyDescent="0.35">
      <c r="I12060" s="63"/>
      <c r="J12060" s="63"/>
    </row>
    <row r="12061" spans="9:10" x14ac:dyDescent="0.35">
      <c r="I12061" s="63"/>
      <c r="J12061" s="63"/>
    </row>
    <row r="12062" spans="9:10" x14ac:dyDescent="0.35">
      <c r="I12062" s="63"/>
      <c r="J12062" s="63"/>
    </row>
    <row r="12063" spans="9:10" x14ac:dyDescent="0.35">
      <c r="I12063" s="63"/>
      <c r="J12063" s="63"/>
    </row>
    <row r="12064" spans="9:10" x14ac:dyDescent="0.35">
      <c r="I12064" s="63"/>
      <c r="J12064" s="63"/>
    </row>
    <row r="12065" spans="9:10" x14ac:dyDescent="0.35">
      <c r="I12065" s="63"/>
      <c r="J12065" s="63"/>
    </row>
    <row r="12066" spans="9:10" x14ac:dyDescent="0.35">
      <c r="I12066" s="63"/>
      <c r="J12066" s="63"/>
    </row>
    <row r="12067" spans="9:10" x14ac:dyDescent="0.35">
      <c r="I12067" s="63"/>
      <c r="J12067" s="63"/>
    </row>
    <row r="12068" spans="9:10" x14ac:dyDescent="0.35">
      <c r="I12068" s="63"/>
      <c r="J12068" s="63"/>
    </row>
    <row r="12069" spans="9:10" x14ac:dyDescent="0.35">
      <c r="I12069" s="63"/>
      <c r="J12069" s="63"/>
    </row>
    <row r="12070" spans="9:10" x14ac:dyDescent="0.35">
      <c r="I12070" s="63"/>
      <c r="J12070" s="63"/>
    </row>
    <row r="12071" spans="9:10" x14ac:dyDescent="0.35">
      <c r="I12071" s="63"/>
      <c r="J12071" s="63"/>
    </row>
    <row r="12072" spans="9:10" x14ac:dyDescent="0.35">
      <c r="I12072" s="63"/>
      <c r="J12072" s="63"/>
    </row>
    <row r="12073" spans="9:10" x14ac:dyDescent="0.35">
      <c r="I12073" s="63"/>
      <c r="J12073" s="63"/>
    </row>
    <row r="12074" spans="9:10" x14ac:dyDescent="0.35">
      <c r="I12074" s="63"/>
      <c r="J12074" s="63"/>
    </row>
    <row r="12075" spans="9:10" x14ac:dyDescent="0.35">
      <c r="I12075" s="63"/>
      <c r="J12075" s="63"/>
    </row>
    <row r="12076" spans="9:10" x14ac:dyDescent="0.35">
      <c r="I12076" s="63"/>
      <c r="J12076" s="63"/>
    </row>
    <row r="12077" spans="9:10" x14ac:dyDescent="0.35">
      <c r="I12077" s="63"/>
      <c r="J12077" s="63"/>
    </row>
    <row r="12078" spans="9:10" x14ac:dyDescent="0.35">
      <c r="I12078" s="63"/>
      <c r="J12078" s="63"/>
    </row>
    <row r="12079" spans="9:10" x14ac:dyDescent="0.35">
      <c r="I12079" s="63"/>
      <c r="J12079" s="63"/>
    </row>
    <row r="12080" spans="9:10" x14ac:dyDescent="0.35">
      <c r="I12080" s="63"/>
      <c r="J12080" s="63"/>
    </row>
    <row r="12081" spans="9:10" x14ac:dyDescent="0.35">
      <c r="I12081" s="63"/>
      <c r="J12081" s="63"/>
    </row>
    <row r="12082" spans="9:10" x14ac:dyDescent="0.35">
      <c r="I12082" s="63"/>
      <c r="J12082" s="63"/>
    </row>
    <row r="12083" spans="9:10" x14ac:dyDescent="0.35">
      <c r="I12083" s="63"/>
      <c r="J12083" s="63"/>
    </row>
    <row r="12084" spans="9:10" x14ac:dyDescent="0.35">
      <c r="I12084" s="63"/>
      <c r="J12084" s="63"/>
    </row>
    <row r="12085" spans="9:10" x14ac:dyDescent="0.35">
      <c r="I12085" s="63"/>
      <c r="J12085" s="63"/>
    </row>
    <row r="12086" spans="9:10" x14ac:dyDescent="0.35">
      <c r="I12086" s="63"/>
      <c r="J12086" s="63"/>
    </row>
    <row r="12087" spans="9:10" x14ac:dyDescent="0.35">
      <c r="I12087" s="63"/>
      <c r="J12087" s="63"/>
    </row>
    <row r="12088" spans="9:10" x14ac:dyDescent="0.35">
      <c r="I12088" s="63"/>
      <c r="J12088" s="63"/>
    </row>
    <row r="12089" spans="9:10" x14ac:dyDescent="0.35">
      <c r="I12089" s="63"/>
      <c r="J12089" s="63"/>
    </row>
    <row r="12090" spans="9:10" x14ac:dyDescent="0.35">
      <c r="I12090" s="63"/>
      <c r="J12090" s="63"/>
    </row>
    <row r="12091" spans="9:10" x14ac:dyDescent="0.35">
      <c r="I12091" s="63"/>
      <c r="J12091" s="63"/>
    </row>
    <row r="12092" spans="9:10" x14ac:dyDescent="0.35">
      <c r="I12092" s="63"/>
      <c r="J12092" s="63"/>
    </row>
    <row r="12093" spans="9:10" x14ac:dyDescent="0.35">
      <c r="I12093" s="63"/>
      <c r="J12093" s="63"/>
    </row>
    <row r="12094" spans="9:10" x14ac:dyDescent="0.35">
      <c r="I12094" s="63"/>
      <c r="J12094" s="63"/>
    </row>
    <row r="12095" spans="9:10" x14ac:dyDescent="0.35">
      <c r="I12095" s="63"/>
      <c r="J12095" s="63"/>
    </row>
    <row r="12096" spans="9:10" x14ac:dyDescent="0.35">
      <c r="I12096" s="63"/>
      <c r="J12096" s="63"/>
    </row>
    <row r="12097" spans="9:10" x14ac:dyDescent="0.35">
      <c r="I12097" s="63"/>
      <c r="J12097" s="63"/>
    </row>
    <row r="12098" spans="9:10" x14ac:dyDescent="0.35">
      <c r="I12098" s="63"/>
      <c r="J12098" s="63"/>
    </row>
    <row r="12099" spans="9:10" x14ac:dyDescent="0.35">
      <c r="I12099" s="63"/>
      <c r="J12099" s="63"/>
    </row>
    <row r="12100" spans="9:10" x14ac:dyDescent="0.35">
      <c r="I12100" s="63"/>
      <c r="J12100" s="63"/>
    </row>
    <row r="12101" spans="9:10" x14ac:dyDescent="0.35">
      <c r="I12101" s="63"/>
      <c r="J12101" s="63"/>
    </row>
    <row r="12102" spans="9:10" x14ac:dyDescent="0.35">
      <c r="I12102" s="63"/>
      <c r="J12102" s="63"/>
    </row>
    <row r="12103" spans="9:10" x14ac:dyDescent="0.35">
      <c r="I12103" s="63"/>
      <c r="J12103" s="63"/>
    </row>
    <row r="12104" spans="9:10" x14ac:dyDescent="0.35">
      <c r="I12104" s="63"/>
      <c r="J12104" s="63"/>
    </row>
    <row r="12105" spans="9:10" x14ac:dyDescent="0.35">
      <c r="I12105" s="63"/>
      <c r="J12105" s="63"/>
    </row>
    <row r="12106" spans="9:10" x14ac:dyDescent="0.35">
      <c r="I12106" s="63"/>
      <c r="J12106" s="63"/>
    </row>
    <row r="12107" spans="9:10" x14ac:dyDescent="0.35">
      <c r="I12107" s="63"/>
      <c r="J12107" s="63"/>
    </row>
    <row r="12108" spans="9:10" x14ac:dyDescent="0.35">
      <c r="I12108" s="63"/>
      <c r="J12108" s="63"/>
    </row>
    <row r="12109" spans="9:10" x14ac:dyDescent="0.35">
      <c r="I12109" s="63"/>
      <c r="J12109" s="63"/>
    </row>
    <row r="12110" spans="9:10" x14ac:dyDescent="0.35">
      <c r="I12110" s="63"/>
      <c r="J12110" s="63"/>
    </row>
    <row r="12111" spans="9:10" x14ac:dyDescent="0.35">
      <c r="I12111" s="63"/>
      <c r="J12111" s="63"/>
    </row>
    <row r="12112" spans="9:10" x14ac:dyDescent="0.35">
      <c r="I12112" s="63"/>
      <c r="J12112" s="63"/>
    </row>
    <row r="12113" spans="9:10" x14ac:dyDescent="0.35">
      <c r="I12113" s="63"/>
      <c r="J12113" s="63"/>
    </row>
    <row r="12114" spans="9:10" x14ac:dyDescent="0.35">
      <c r="I12114" s="63"/>
      <c r="J12114" s="63"/>
    </row>
    <row r="12115" spans="9:10" x14ac:dyDescent="0.35">
      <c r="I12115" s="63"/>
      <c r="J12115" s="63"/>
    </row>
    <row r="12116" spans="9:10" x14ac:dyDescent="0.35">
      <c r="I12116" s="63"/>
      <c r="J12116" s="63"/>
    </row>
    <row r="12117" spans="9:10" x14ac:dyDescent="0.35">
      <c r="I12117" s="63"/>
      <c r="J12117" s="63"/>
    </row>
    <row r="12118" spans="9:10" x14ac:dyDescent="0.35">
      <c r="I12118" s="63"/>
      <c r="J12118" s="63"/>
    </row>
    <row r="12119" spans="9:10" x14ac:dyDescent="0.35">
      <c r="I12119" s="63"/>
      <c r="J12119" s="63"/>
    </row>
    <row r="12120" spans="9:10" x14ac:dyDescent="0.35">
      <c r="I12120" s="63"/>
      <c r="J12120" s="63"/>
    </row>
    <row r="12121" spans="9:10" x14ac:dyDescent="0.35">
      <c r="I12121" s="63"/>
      <c r="J12121" s="63"/>
    </row>
    <row r="12122" spans="9:10" x14ac:dyDescent="0.35">
      <c r="I12122" s="63"/>
      <c r="J12122" s="63"/>
    </row>
    <row r="12123" spans="9:10" x14ac:dyDescent="0.35">
      <c r="I12123" s="63"/>
      <c r="J12123" s="63"/>
    </row>
    <row r="12124" spans="9:10" x14ac:dyDescent="0.35">
      <c r="I12124" s="63"/>
      <c r="J12124" s="63"/>
    </row>
    <row r="12125" spans="9:10" x14ac:dyDescent="0.35">
      <c r="I12125" s="63"/>
      <c r="J12125" s="63"/>
    </row>
    <row r="12126" spans="9:10" x14ac:dyDescent="0.35">
      <c r="I12126" s="63"/>
      <c r="J12126" s="63"/>
    </row>
    <row r="12127" spans="9:10" x14ac:dyDescent="0.35">
      <c r="I12127" s="63"/>
      <c r="J12127" s="63"/>
    </row>
    <row r="12128" spans="9:10" x14ac:dyDescent="0.35">
      <c r="I12128" s="63"/>
      <c r="J12128" s="63"/>
    </row>
    <row r="12129" spans="9:10" x14ac:dyDescent="0.35">
      <c r="I12129" s="63"/>
      <c r="J12129" s="63"/>
    </row>
    <row r="12130" spans="9:10" x14ac:dyDescent="0.35">
      <c r="I12130" s="63"/>
      <c r="J12130" s="63"/>
    </row>
    <row r="12131" spans="9:10" x14ac:dyDescent="0.35">
      <c r="I12131" s="63"/>
      <c r="J12131" s="63"/>
    </row>
    <row r="12132" spans="9:10" x14ac:dyDescent="0.35">
      <c r="I12132" s="63"/>
      <c r="J12132" s="63"/>
    </row>
    <row r="12133" spans="9:10" x14ac:dyDescent="0.35">
      <c r="I12133" s="63"/>
      <c r="J12133" s="63"/>
    </row>
    <row r="12134" spans="9:10" x14ac:dyDescent="0.35">
      <c r="I12134" s="63"/>
      <c r="J12134" s="63"/>
    </row>
    <row r="12135" spans="9:10" x14ac:dyDescent="0.35">
      <c r="I12135" s="63"/>
      <c r="J12135" s="63"/>
    </row>
    <row r="12136" spans="9:10" x14ac:dyDescent="0.35">
      <c r="I12136" s="63"/>
      <c r="J12136" s="63"/>
    </row>
    <row r="12137" spans="9:10" x14ac:dyDescent="0.35">
      <c r="I12137" s="63"/>
      <c r="J12137" s="63"/>
    </row>
    <row r="12138" spans="9:10" x14ac:dyDescent="0.35">
      <c r="I12138" s="63"/>
      <c r="J12138" s="63"/>
    </row>
    <row r="12139" spans="9:10" x14ac:dyDescent="0.35">
      <c r="I12139" s="63"/>
      <c r="J12139" s="63"/>
    </row>
    <row r="12140" spans="9:10" x14ac:dyDescent="0.35">
      <c r="I12140" s="63"/>
      <c r="J12140" s="63"/>
    </row>
    <row r="12141" spans="9:10" x14ac:dyDescent="0.35">
      <c r="I12141" s="63"/>
      <c r="J12141" s="63"/>
    </row>
    <row r="12142" spans="9:10" x14ac:dyDescent="0.35">
      <c r="I12142" s="63"/>
      <c r="J12142" s="63"/>
    </row>
    <row r="12143" spans="9:10" x14ac:dyDescent="0.35">
      <c r="I12143" s="63"/>
      <c r="J12143" s="63"/>
    </row>
    <row r="12144" spans="9:10" x14ac:dyDescent="0.35">
      <c r="I12144" s="63"/>
      <c r="J12144" s="63"/>
    </row>
    <row r="12145" spans="9:10" x14ac:dyDescent="0.35">
      <c r="I12145" s="63"/>
      <c r="J12145" s="63"/>
    </row>
    <row r="12146" spans="9:10" x14ac:dyDescent="0.35">
      <c r="I12146" s="63"/>
      <c r="J12146" s="63"/>
    </row>
    <row r="12147" spans="9:10" x14ac:dyDescent="0.35">
      <c r="I12147" s="63"/>
      <c r="J12147" s="63"/>
    </row>
    <row r="12148" spans="9:10" x14ac:dyDescent="0.35">
      <c r="I12148" s="63"/>
      <c r="J12148" s="63"/>
    </row>
    <row r="12149" spans="9:10" x14ac:dyDescent="0.35">
      <c r="I12149" s="63"/>
      <c r="J12149" s="63"/>
    </row>
    <row r="12150" spans="9:10" x14ac:dyDescent="0.35">
      <c r="I12150" s="63"/>
      <c r="J12150" s="63"/>
    </row>
    <row r="12151" spans="9:10" x14ac:dyDescent="0.35">
      <c r="I12151" s="63"/>
      <c r="J12151" s="63"/>
    </row>
    <row r="12152" spans="9:10" x14ac:dyDescent="0.35">
      <c r="I12152" s="63"/>
      <c r="J12152" s="63"/>
    </row>
    <row r="12153" spans="9:10" x14ac:dyDescent="0.35">
      <c r="I12153" s="63"/>
      <c r="J12153" s="63"/>
    </row>
    <row r="12154" spans="9:10" x14ac:dyDescent="0.35">
      <c r="I12154" s="63"/>
      <c r="J12154" s="63"/>
    </row>
    <row r="12155" spans="9:10" x14ac:dyDescent="0.35">
      <c r="I12155" s="63"/>
      <c r="J12155" s="63"/>
    </row>
    <row r="12156" spans="9:10" x14ac:dyDescent="0.35">
      <c r="I12156" s="63"/>
      <c r="J12156" s="63"/>
    </row>
    <row r="12157" spans="9:10" x14ac:dyDescent="0.35">
      <c r="I12157" s="63"/>
      <c r="J12157" s="63"/>
    </row>
    <row r="12158" spans="9:10" x14ac:dyDescent="0.35">
      <c r="I12158" s="63"/>
      <c r="J12158" s="63"/>
    </row>
    <row r="12159" spans="9:10" x14ac:dyDescent="0.35">
      <c r="I12159" s="63"/>
      <c r="J12159" s="63"/>
    </row>
    <row r="12160" spans="9:10" x14ac:dyDescent="0.35">
      <c r="I12160" s="63"/>
      <c r="J12160" s="63"/>
    </row>
    <row r="12161" spans="9:10" x14ac:dyDescent="0.35">
      <c r="I12161" s="63"/>
      <c r="J12161" s="63"/>
    </row>
    <row r="12162" spans="9:10" x14ac:dyDescent="0.35">
      <c r="I12162" s="63"/>
      <c r="J12162" s="63"/>
    </row>
    <row r="12163" spans="9:10" x14ac:dyDescent="0.35">
      <c r="I12163" s="63"/>
      <c r="J12163" s="63"/>
    </row>
    <row r="12164" spans="9:10" x14ac:dyDescent="0.35">
      <c r="I12164" s="63"/>
      <c r="J12164" s="63"/>
    </row>
    <row r="12165" spans="9:10" x14ac:dyDescent="0.35">
      <c r="I12165" s="63"/>
      <c r="J12165" s="63"/>
    </row>
    <row r="12166" spans="9:10" x14ac:dyDescent="0.35">
      <c r="I12166" s="63"/>
      <c r="J12166" s="63"/>
    </row>
    <row r="12167" spans="9:10" x14ac:dyDescent="0.35">
      <c r="I12167" s="63"/>
      <c r="J12167" s="63"/>
    </row>
    <row r="12168" spans="9:10" x14ac:dyDescent="0.35">
      <c r="I12168" s="63"/>
      <c r="J12168" s="63"/>
    </row>
    <row r="12169" spans="9:10" x14ac:dyDescent="0.35">
      <c r="I12169" s="63"/>
      <c r="J12169" s="63"/>
    </row>
    <row r="12170" spans="9:10" x14ac:dyDescent="0.35">
      <c r="I12170" s="63"/>
      <c r="J12170" s="63"/>
    </row>
    <row r="12171" spans="9:10" x14ac:dyDescent="0.35">
      <c r="I12171" s="63"/>
      <c r="J12171" s="63"/>
    </row>
    <row r="12172" spans="9:10" x14ac:dyDescent="0.35">
      <c r="I12172" s="63"/>
      <c r="J12172" s="63"/>
    </row>
    <row r="12173" spans="9:10" x14ac:dyDescent="0.35">
      <c r="I12173" s="63"/>
      <c r="J12173" s="63"/>
    </row>
    <row r="12174" spans="9:10" x14ac:dyDescent="0.35">
      <c r="I12174" s="63"/>
      <c r="J12174" s="63"/>
    </row>
    <row r="12175" spans="9:10" x14ac:dyDescent="0.35">
      <c r="I12175" s="63"/>
      <c r="J12175" s="63"/>
    </row>
    <row r="12176" spans="9:10" x14ac:dyDescent="0.35">
      <c r="I12176" s="63"/>
      <c r="J12176" s="63"/>
    </row>
    <row r="12177" spans="9:10" x14ac:dyDescent="0.35">
      <c r="I12177" s="63"/>
      <c r="J12177" s="63"/>
    </row>
    <row r="12178" spans="9:10" x14ac:dyDescent="0.35">
      <c r="I12178" s="63"/>
      <c r="J12178" s="63"/>
    </row>
    <row r="12179" spans="9:10" x14ac:dyDescent="0.35">
      <c r="I12179" s="63"/>
      <c r="J12179" s="63"/>
    </row>
    <row r="12180" spans="9:10" x14ac:dyDescent="0.35">
      <c r="I12180" s="63"/>
      <c r="J12180" s="63"/>
    </row>
    <row r="12181" spans="9:10" x14ac:dyDescent="0.35">
      <c r="I12181" s="63"/>
      <c r="J12181" s="63"/>
    </row>
    <row r="12182" spans="9:10" x14ac:dyDescent="0.35">
      <c r="I12182" s="63"/>
      <c r="J12182" s="63"/>
    </row>
    <row r="12183" spans="9:10" x14ac:dyDescent="0.35">
      <c r="I12183" s="63"/>
      <c r="J12183" s="63"/>
    </row>
    <row r="12184" spans="9:10" x14ac:dyDescent="0.35">
      <c r="I12184" s="63"/>
      <c r="J12184" s="63"/>
    </row>
    <row r="12185" spans="9:10" x14ac:dyDescent="0.35">
      <c r="I12185" s="63"/>
      <c r="J12185" s="63"/>
    </row>
    <row r="12186" spans="9:10" x14ac:dyDescent="0.35">
      <c r="I12186" s="63"/>
      <c r="J12186" s="63"/>
    </row>
    <row r="12187" spans="9:10" x14ac:dyDescent="0.35">
      <c r="I12187" s="63"/>
      <c r="J12187" s="63"/>
    </row>
    <row r="12188" spans="9:10" x14ac:dyDescent="0.35">
      <c r="I12188" s="63"/>
      <c r="J12188" s="63"/>
    </row>
    <row r="12189" spans="9:10" x14ac:dyDescent="0.35">
      <c r="I12189" s="63"/>
      <c r="J12189" s="63"/>
    </row>
    <row r="12190" spans="9:10" x14ac:dyDescent="0.35">
      <c r="I12190" s="63"/>
      <c r="J12190" s="63"/>
    </row>
    <row r="12191" spans="9:10" x14ac:dyDescent="0.35">
      <c r="I12191" s="63"/>
      <c r="J12191" s="63"/>
    </row>
    <row r="12192" spans="9:10" x14ac:dyDescent="0.35">
      <c r="I12192" s="63"/>
      <c r="J12192" s="63"/>
    </row>
    <row r="12193" spans="9:10" x14ac:dyDescent="0.35">
      <c r="I12193" s="63"/>
      <c r="J12193" s="63"/>
    </row>
    <row r="12194" spans="9:10" x14ac:dyDescent="0.35">
      <c r="I12194" s="63"/>
      <c r="J12194" s="63"/>
    </row>
    <row r="12195" spans="9:10" x14ac:dyDescent="0.35">
      <c r="I12195" s="63"/>
      <c r="J12195" s="63"/>
    </row>
    <row r="12196" spans="9:10" x14ac:dyDescent="0.35">
      <c r="I12196" s="63"/>
      <c r="J12196" s="63"/>
    </row>
    <row r="12197" spans="9:10" x14ac:dyDescent="0.35">
      <c r="I12197" s="63"/>
      <c r="J12197" s="63"/>
    </row>
    <row r="12198" spans="9:10" x14ac:dyDescent="0.35">
      <c r="I12198" s="63"/>
      <c r="J12198" s="63"/>
    </row>
    <row r="12199" spans="9:10" x14ac:dyDescent="0.35">
      <c r="I12199" s="63"/>
      <c r="J12199" s="63"/>
    </row>
    <row r="12200" spans="9:10" x14ac:dyDescent="0.35">
      <c r="I12200" s="63"/>
      <c r="J12200" s="63"/>
    </row>
    <row r="12201" spans="9:10" x14ac:dyDescent="0.35">
      <c r="I12201" s="63"/>
      <c r="J12201" s="63"/>
    </row>
    <row r="12202" spans="9:10" x14ac:dyDescent="0.35">
      <c r="I12202" s="63"/>
      <c r="J12202" s="63"/>
    </row>
    <row r="12203" spans="9:10" x14ac:dyDescent="0.35">
      <c r="I12203" s="63"/>
      <c r="J12203" s="63"/>
    </row>
    <row r="12204" spans="9:10" x14ac:dyDescent="0.35">
      <c r="I12204" s="63"/>
      <c r="J12204" s="63"/>
    </row>
    <row r="12205" spans="9:10" x14ac:dyDescent="0.35">
      <c r="I12205" s="63"/>
      <c r="J12205" s="63"/>
    </row>
    <row r="12206" spans="9:10" x14ac:dyDescent="0.35">
      <c r="I12206" s="63"/>
      <c r="J12206" s="63"/>
    </row>
    <row r="12207" spans="9:10" x14ac:dyDescent="0.35">
      <c r="I12207" s="63"/>
      <c r="J12207" s="63"/>
    </row>
    <row r="12208" spans="9:10" x14ac:dyDescent="0.35">
      <c r="I12208" s="63"/>
      <c r="J12208" s="63"/>
    </row>
    <row r="12209" spans="9:10" x14ac:dyDescent="0.35">
      <c r="I12209" s="63"/>
      <c r="J12209" s="63"/>
    </row>
    <row r="12210" spans="9:10" x14ac:dyDescent="0.35">
      <c r="I12210" s="63"/>
      <c r="J12210" s="63"/>
    </row>
    <row r="12211" spans="9:10" x14ac:dyDescent="0.35">
      <c r="I12211" s="63"/>
      <c r="J12211" s="63"/>
    </row>
    <row r="12212" spans="9:10" x14ac:dyDescent="0.35">
      <c r="I12212" s="63"/>
      <c r="J12212" s="63"/>
    </row>
    <row r="12213" spans="9:10" x14ac:dyDescent="0.35">
      <c r="I12213" s="63"/>
      <c r="J12213" s="63"/>
    </row>
    <row r="12214" spans="9:10" x14ac:dyDescent="0.35">
      <c r="I12214" s="63"/>
      <c r="J12214" s="63"/>
    </row>
    <row r="12215" spans="9:10" x14ac:dyDescent="0.35">
      <c r="I12215" s="63"/>
      <c r="J12215" s="63"/>
    </row>
    <row r="12216" spans="9:10" x14ac:dyDescent="0.35">
      <c r="I12216" s="63"/>
      <c r="J12216" s="63"/>
    </row>
    <row r="12217" spans="9:10" x14ac:dyDescent="0.35">
      <c r="I12217" s="63"/>
      <c r="J12217" s="63"/>
    </row>
    <row r="12218" spans="9:10" x14ac:dyDescent="0.35">
      <c r="I12218" s="63"/>
      <c r="J12218" s="63"/>
    </row>
    <row r="12219" spans="9:10" x14ac:dyDescent="0.35">
      <c r="I12219" s="63"/>
      <c r="J12219" s="63"/>
    </row>
    <row r="12220" spans="9:10" x14ac:dyDescent="0.35">
      <c r="I12220" s="63"/>
      <c r="J12220" s="63"/>
    </row>
    <row r="12221" spans="9:10" x14ac:dyDescent="0.35">
      <c r="I12221" s="63"/>
      <c r="J12221" s="63"/>
    </row>
    <row r="12222" spans="9:10" x14ac:dyDescent="0.35">
      <c r="I12222" s="63"/>
      <c r="J12222" s="63"/>
    </row>
    <row r="12223" spans="9:10" x14ac:dyDescent="0.35">
      <c r="I12223" s="63"/>
      <c r="J12223" s="63"/>
    </row>
    <row r="12224" spans="9:10" x14ac:dyDescent="0.35">
      <c r="I12224" s="63"/>
      <c r="J12224" s="63"/>
    </row>
    <row r="12225" spans="9:10" x14ac:dyDescent="0.35">
      <c r="I12225" s="63"/>
      <c r="J12225" s="63"/>
    </row>
    <row r="12226" spans="9:10" x14ac:dyDescent="0.35">
      <c r="I12226" s="63"/>
      <c r="J12226" s="63"/>
    </row>
    <row r="12227" spans="9:10" x14ac:dyDescent="0.35">
      <c r="I12227" s="63"/>
      <c r="J12227" s="63"/>
    </row>
    <row r="12228" spans="9:10" x14ac:dyDescent="0.35">
      <c r="I12228" s="63"/>
      <c r="J12228" s="63"/>
    </row>
    <row r="12229" spans="9:10" x14ac:dyDescent="0.35">
      <c r="I12229" s="63"/>
      <c r="J12229" s="63"/>
    </row>
    <row r="12230" spans="9:10" x14ac:dyDescent="0.35">
      <c r="I12230" s="63"/>
      <c r="J12230" s="63"/>
    </row>
    <row r="12231" spans="9:10" x14ac:dyDescent="0.35">
      <c r="I12231" s="63"/>
      <c r="J12231" s="63"/>
    </row>
    <row r="12232" spans="9:10" x14ac:dyDescent="0.35">
      <c r="I12232" s="63"/>
      <c r="J12232" s="63"/>
    </row>
    <row r="12233" spans="9:10" x14ac:dyDescent="0.35">
      <c r="I12233" s="63"/>
      <c r="J12233" s="63"/>
    </row>
    <row r="12234" spans="9:10" x14ac:dyDescent="0.35">
      <c r="I12234" s="63"/>
      <c r="J12234" s="63"/>
    </row>
    <row r="12235" spans="9:10" x14ac:dyDescent="0.35">
      <c r="I12235" s="63"/>
      <c r="J12235" s="63"/>
    </row>
    <row r="12236" spans="9:10" x14ac:dyDescent="0.35">
      <c r="I12236" s="63"/>
      <c r="J12236" s="63"/>
    </row>
    <row r="12237" spans="9:10" x14ac:dyDescent="0.35">
      <c r="I12237" s="63"/>
      <c r="J12237" s="63"/>
    </row>
    <row r="12238" spans="9:10" x14ac:dyDescent="0.35">
      <c r="I12238" s="63"/>
      <c r="J12238" s="63"/>
    </row>
    <row r="12239" spans="9:10" x14ac:dyDescent="0.35">
      <c r="I12239" s="63"/>
      <c r="J12239" s="63"/>
    </row>
    <row r="12240" spans="9:10" x14ac:dyDescent="0.35">
      <c r="I12240" s="63"/>
      <c r="J12240" s="63"/>
    </row>
    <row r="12241" spans="9:10" x14ac:dyDescent="0.35">
      <c r="I12241" s="63"/>
      <c r="J12241" s="63"/>
    </row>
    <row r="12242" spans="9:10" x14ac:dyDescent="0.35">
      <c r="I12242" s="63"/>
      <c r="J12242" s="63"/>
    </row>
    <row r="12243" spans="9:10" x14ac:dyDescent="0.35">
      <c r="I12243" s="63"/>
      <c r="J12243" s="63"/>
    </row>
    <row r="12244" spans="9:10" x14ac:dyDescent="0.35">
      <c r="I12244" s="63"/>
      <c r="J12244" s="63"/>
    </row>
    <row r="12245" spans="9:10" x14ac:dyDescent="0.35">
      <c r="I12245" s="63"/>
      <c r="J12245" s="63"/>
    </row>
    <row r="12246" spans="9:10" x14ac:dyDescent="0.35">
      <c r="I12246" s="63"/>
      <c r="J12246" s="63"/>
    </row>
    <row r="12247" spans="9:10" x14ac:dyDescent="0.35">
      <c r="I12247" s="63"/>
      <c r="J12247" s="63"/>
    </row>
    <row r="12248" spans="9:10" x14ac:dyDescent="0.35">
      <c r="I12248" s="63"/>
      <c r="J12248" s="63"/>
    </row>
    <row r="12249" spans="9:10" x14ac:dyDescent="0.35">
      <c r="I12249" s="63"/>
      <c r="J12249" s="63"/>
    </row>
    <row r="12250" spans="9:10" x14ac:dyDescent="0.35">
      <c r="I12250" s="63"/>
      <c r="J12250" s="63"/>
    </row>
    <row r="12251" spans="9:10" x14ac:dyDescent="0.35">
      <c r="I12251" s="63"/>
      <c r="J12251" s="63"/>
    </row>
    <row r="12252" spans="9:10" x14ac:dyDescent="0.35">
      <c r="I12252" s="63"/>
      <c r="J12252" s="63"/>
    </row>
    <row r="12253" spans="9:10" x14ac:dyDescent="0.35">
      <c r="I12253" s="63"/>
      <c r="J12253" s="63"/>
    </row>
    <row r="12254" spans="9:10" x14ac:dyDescent="0.35">
      <c r="I12254" s="63"/>
      <c r="J12254" s="63"/>
    </row>
    <row r="12255" spans="9:10" x14ac:dyDescent="0.35">
      <c r="I12255" s="63"/>
      <c r="J12255" s="63"/>
    </row>
    <row r="12256" spans="9:10" x14ac:dyDescent="0.35">
      <c r="I12256" s="63"/>
      <c r="J12256" s="63"/>
    </row>
    <row r="12257" spans="9:10" x14ac:dyDescent="0.35">
      <c r="I12257" s="63"/>
      <c r="J12257" s="63"/>
    </row>
    <row r="12258" spans="9:10" x14ac:dyDescent="0.35">
      <c r="I12258" s="63"/>
      <c r="J12258" s="63"/>
    </row>
    <row r="12259" spans="9:10" x14ac:dyDescent="0.35">
      <c r="I12259" s="63"/>
      <c r="J12259" s="63"/>
    </row>
    <row r="12260" spans="9:10" x14ac:dyDescent="0.35">
      <c r="I12260" s="63"/>
      <c r="J12260" s="63"/>
    </row>
    <row r="12261" spans="9:10" x14ac:dyDescent="0.35">
      <c r="I12261" s="63"/>
      <c r="J12261" s="63"/>
    </row>
    <row r="12262" spans="9:10" x14ac:dyDescent="0.35">
      <c r="I12262" s="63"/>
      <c r="J12262" s="63"/>
    </row>
    <row r="12263" spans="9:10" x14ac:dyDescent="0.35">
      <c r="I12263" s="63"/>
      <c r="J12263" s="63"/>
    </row>
    <row r="12264" spans="9:10" x14ac:dyDescent="0.35">
      <c r="I12264" s="63"/>
      <c r="J12264" s="63"/>
    </row>
    <row r="12265" spans="9:10" x14ac:dyDescent="0.35">
      <c r="I12265" s="63"/>
      <c r="J12265" s="63"/>
    </row>
    <row r="12266" spans="9:10" x14ac:dyDescent="0.35">
      <c r="I12266" s="63"/>
      <c r="J12266" s="63"/>
    </row>
    <row r="12267" spans="9:10" x14ac:dyDescent="0.35">
      <c r="I12267" s="63"/>
      <c r="J12267" s="63"/>
    </row>
    <row r="12268" spans="9:10" x14ac:dyDescent="0.35">
      <c r="I12268" s="63"/>
      <c r="J12268" s="63"/>
    </row>
    <row r="12269" spans="9:10" x14ac:dyDescent="0.35">
      <c r="I12269" s="63"/>
      <c r="J12269" s="63"/>
    </row>
    <row r="12270" spans="9:10" x14ac:dyDescent="0.35">
      <c r="I12270" s="63"/>
      <c r="J12270" s="63"/>
    </row>
    <row r="12271" spans="9:10" x14ac:dyDescent="0.35">
      <c r="I12271" s="63"/>
      <c r="J12271" s="63"/>
    </row>
    <row r="12272" spans="9:10" x14ac:dyDescent="0.35">
      <c r="I12272" s="63"/>
      <c r="J12272" s="63"/>
    </row>
    <row r="12273" spans="9:10" x14ac:dyDescent="0.35">
      <c r="I12273" s="63"/>
      <c r="J12273" s="63"/>
    </row>
    <row r="12274" spans="9:10" x14ac:dyDescent="0.35">
      <c r="I12274" s="63"/>
      <c r="J12274" s="63"/>
    </row>
    <row r="12275" spans="9:10" x14ac:dyDescent="0.35">
      <c r="I12275" s="63"/>
      <c r="J12275" s="63"/>
    </row>
    <row r="12276" spans="9:10" x14ac:dyDescent="0.35">
      <c r="I12276" s="63"/>
      <c r="J12276" s="63"/>
    </row>
    <row r="12277" spans="9:10" x14ac:dyDescent="0.35">
      <c r="I12277" s="63"/>
      <c r="J12277" s="63"/>
    </row>
    <row r="12278" spans="9:10" x14ac:dyDescent="0.35">
      <c r="I12278" s="63"/>
      <c r="J12278" s="63"/>
    </row>
    <row r="12279" spans="9:10" x14ac:dyDescent="0.35">
      <c r="I12279" s="63"/>
      <c r="J12279" s="63"/>
    </row>
    <row r="12280" spans="9:10" x14ac:dyDescent="0.35">
      <c r="I12280" s="63"/>
      <c r="J12280" s="63"/>
    </row>
    <row r="12281" spans="9:10" x14ac:dyDescent="0.35">
      <c r="I12281" s="63"/>
      <c r="J12281" s="63"/>
    </row>
    <row r="12282" spans="9:10" x14ac:dyDescent="0.35">
      <c r="I12282" s="63"/>
      <c r="J12282" s="63"/>
    </row>
    <row r="12283" spans="9:10" x14ac:dyDescent="0.35">
      <c r="I12283" s="63"/>
      <c r="J12283" s="63"/>
    </row>
    <row r="12284" spans="9:10" x14ac:dyDescent="0.35">
      <c r="I12284" s="63"/>
      <c r="J12284" s="63"/>
    </row>
    <row r="12285" spans="9:10" x14ac:dyDescent="0.35">
      <c r="I12285" s="63"/>
      <c r="J12285" s="63"/>
    </row>
    <row r="12286" spans="9:10" x14ac:dyDescent="0.35">
      <c r="I12286" s="63"/>
      <c r="J12286" s="63"/>
    </row>
    <row r="12287" spans="9:10" x14ac:dyDescent="0.35">
      <c r="I12287" s="63"/>
      <c r="J12287" s="63"/>
    </row>
    <row r="12288" spans="9:10" x14ac:dyDescent="0.35">
      <c r="I12288" s="63"/>
      <c r="J12288" s="63"/>
    </row>
    <row r="12289" spans="9:10" x14ac:dyDescent="0.35">
      <c r="I12289" s="63"/>
      <c r="J12289" s="63"/>
    </row>
    <row r="12290" spans="9:10" x14ac:dyDescent="0.35">
      <c r="I12290" s="63"/>
      <c r="J12290" s="63"/>
    </row>
    <row r="12291" spans="9:10" x14ac:dyDescent="0.35">
      <c r="I12291" s="63"/>
      <c r="J12291" s="63"/>
    </row>
    <row r="12292" spans="9:10" x14ac:dyDescent="0.35">
      <c r="I12292" s="63"/>
      <c r="J12292" s="63"/>
    </row>
    <row r="12293" spans="9:10" x14ac:dyDescent="0.35">
      <c r="I12293" s="63"/>
      <c r="J12293" s="63"/>
    </row>
    <row r="12294" spans="9:10" x14ac:dyDescent="0.35">
      <c r="I12294" s="63"/>
      <c r="J12294" s="63"/>
    </row>
    <row r="12295" spans="9:10" x14ac:dyDescent="0.35">
      <c r="I12295" s="63"/>
      <c r="J12295" s="63"/>
    </row>
    <row r="12296" spans="9:10" x14ac:dyDescent="0.35">
      <c r="I12296" s="63"/>
      <c r="J12296" s="63"/>
    </row>
    <row r="12297" spans="9:10" x14ac:dyDescent="0.35">
      <c r="I12297" s="63"/>
      <c r="J12297" s="63"/>
    </row>
    <row r="12298" spans="9:10" x14ac:dyDescent="0.35">
      <c r="I12298" s="63"/>
      <c r="J12298" s="63"/>
    </row>
    <row r="12299" spans="9:10" x14ac:dyDescent="0.35">
      <c r="I12299" s="63"/>
      <c r="J12299" s="63"/>
    </row>
    <row r="12300" spans="9:10" x14ac:dyDescent="0.35">
      <c r="I12300" s="63"/>
      <c r="J12300" s="63"/>
    </row>
    <row r="12301" spans="9:10" x14ac:dyDescent="0.35">
      <c r="I12301" s="63"/>
      <c r="J12301" s="63"/>
    </row>
    <row r="12302" spans="9:10" x14ac:dyDescent="0.35">
      <c r="I12302" s="63"/>
      <c r="J12302" s="63"/>
    </row>
    <row r="12303" spans="9:10" x14ac:dyDescent="0.35">
      <c r="I12303" s="63"/>
      <c r="J12303" s="63"/>
    </row>
    <row r="12304" spans="9:10" x14ac:dyDescent="0.35">
      <c r="I12304" s="63"/>
      <c r="J12304" s="63"/>
    </row>
    <row r="12305" spans="9:10" x14ac:dyDescent="0.35">
      <c r="I12305" s="63"/>
      <c r="J12305" s="63"/>
    </row>
    <row r="12306" spans="9:10" x14ac:dyDescent="0.35">
      <c r="I12306" s="63"/>
      <c r="J12306" s="63"/>
    </row>
    <row r="12307" spans="9:10" x14ac:dyDescent="0.35">
      <c r="I12307" s="63"/>
      <c r="J12307" s="63"/>
    </row>
    <row r="12308" spans="9:10" x14ac:dyDescent="0.35">
      <c r="I12308" s="63"/>
      <c r="J12308" s="63"/>
    </row>
    <row r="12309" spans="9:10" x14ac:dyDescent="0.35">
      <c r="I12309" s="63"/>
      <c r="J12309" s="63"/>
    </row>
    <row r="12310" spans="9:10" x14ac:dyDescent="0.35">
      <c r="I12310" s="63"/>
      <c r="J12310" s="63"/>
    </row>
    <row r="12311" spans="9:10" x14ac:dyDescent="0.35">
      <c r="I12311" s="63"/>
      <c r="J12311" s="63"/>
    </row>
    <row r="12312" spans="9:10" x14ac:dyDescent="0.35">
      <c r="I12312" s="63"/>
      <c r="J12312" s="63"/>
    </row>
    <row r="12313" spans="9:10" x14ac:dyDescent="0.35">
      <c r="I12313" s="63"/>
      <c r="J12313" s="63"/>
    </row>
    <row r="12314" spans="9:10" x14ac:dyDescent="0.35">
      <c r="I12314" s="63"/>
      <c r="J12314" s="63"/>
    </row>
    <row r="12315" spans="9:10" x14ac:dyDescent="0.35">
      <c r="I12315" s="63"/>
      <c r="J12315" s="63"/>
    </row>
    <row r="12316" spans="9:10" x14ac:dyDescent="0.35">
      <c r="I12316" s="63"/>
      <c r="J12316" s="63"/>
    </row>
    <row r="12317" spans="9:10" x14ac:dyDescent="0.35">
      <c r="I12317" s="63"/>
      <c r="J12317" s="63"/>
    </row>
    <row r="12318" spans="9:10" x14ac:dyDescent="0.35">
      <c r="I12318" s="63"/>
      <c r="J12318" s="63"/>
    </row>
    <row r="12319" spans="9:10" x14ac:dyDescent="0.35">
      <c r="I12319" s="63"/>
      <c r="J12319" s="63"/>
    </row>
    <row r="12320" spans="9:10" x14ac:dyDescent="0.35">
      <c r="I12320" s="63"/>
      <c r="J12320" s="63"/>
    </row>
    <row r="12321" spans="9:10" x14ac:dyDescent="0.35">
      <c r="I12321" s="63"/>
      <c r="J12321" s="63"/>
    </row>
    <row r="12322" spans="9:10" x14ac:dyDescent="0.35">
      <c r="I12322" s="63"/>
      <c r="J12322" s="63"/>
    </row>
    <row r="12323" spans="9:10" x14ac:dyDescent="0.35">
      <c r="I12323" s="63"/>
      <c r="J12323" s="63"/>
    </row>
    <row r="12324" spans="9:10" x14ac:dyDescent="0.35">
      <c r="I12324" s="63"/>
      <c r="J12324" s="63"/>
    </row>
    <row r="12325" spans="9:10" x14ac:dyDescent="0.35">
      <c r="I12325" s="63"/>
      <c r="J12325" s="63"/>
    </row>
    <row r="12326" spans="9:10" x14ac:dyDescent="0.35">
      <c r="I12326" s="63"/>
      <c r="J12326" s="63"/>
    </row>
    <row r="12327" spans="9:10" x14ac:dyDescent="0.35">
      <c r="I12327" s="63"/>
      <c r="J12327" s="63"/>
    </row>
    <row r="12328" spans="9:10" x14ac:dyDescent="0.35">
      <c r="I12328" s="63"/>
      <c r="J12328" s="63"/>
    </row>
    <row r="12329" spans="9:10" x14ac:dyDescent="0.35">
      <c r="I12329" s="63"/>
      <c r="J12329" s="63"/>
    </row>
    <row r="12330" spans="9:10" x14ac:dyDescent="0.35">
      <c r="I12330" s="63"/>
      <c r="J12330" s="63"/>
    </row>
    <row r="12331" spans="9:10" x14ac:dyDescent="0.35">
      <c r="I12331" s="63"/>
      <c r="J12331" s="63"/>
    </row>
    <row r="12332" spans="9:10" x14ac:dyDescent="0.35">
      <c r="I12332" s="63"/>
      <c r="J12332" s="63"/>
    </row>
    <row r="12333" spans="9:10" x14ac:dyDescent="0.35">
      <c r="I12333" s="63"/>
      <c r="J12333" s="63"/>
    </row>
    <row r="12334" spans="9:10" x14ac:dyDescent="0.35">
      <c r="I12334" s="63"/>
      <c r="J12334" s="63"/>
    </row>
    <row r="12335" spans="9:10" x14ac:dyDescent="0.35">
      <c r="I12335" s="63"/>
      <c r="J12335" s="63"/>
    </row>
    <row r="12336" spans="9:10" x14ac:dyDescent="0.35">
      <c r="I12336" s="63"/>
      <c r="J12336" s="63"/>
    </row>
    <row r="12337" spans="9:10" x14ac:dyDescent="0.35">
      <c r="I12337" s="63"/>
      <c r="J12337" s="63"/>
    </row>
    <row r="12338" spans="9:10" x14ac:dyDescent="0.35">
      <c r="I12338" s="63"/>
      <c r="J12338" s="63"/>
    </row>
    <row r="12339" spans="9:10" x14ac:dyDescent="0.35">
      <c r="I12339" s="63"/>
      <c r="J12339" s="63"/>
    </row>
    <row r="12340" spans="9:10" x14ac:dyDescent="0.35">
      <c r="I12340" s="63"/>
      <c r="J12340" s="63"/>
    </row>
    <row r="12341" spans="9:10" x14ac:dyDescent="0.35">
      <c r="I12341" s="63"/>
      <c r="J12341" s="63"/>
    </row>
    <row r="12342" spans="9:10" x14ac:dyDescent="0.35">
      <c r="I12342" s="63"/>
      <c r="J12342" s="63"/>
    </row>
    <row r="12343" spans="9:10" x14ac:dyDescent="0.35">
      <c r="I12343" s="63"/>
      <c r="J12343" s="63"/>
    </row>
    <row r="12344" spans="9:10" x14ac:dyDescent="0.35">
      <c r="I12344" s="63"/>
      <c r="J12344" s="63"/>
    </row>
    <row r="12345" spans="9:10" x14ac:dyDescent="0.35">
      <c r="I12345" s="63"/>
      <c r="J12345" s="63"/>
    </row>
    <row r="12346" spans="9:10" x14ac:dyDescent="0.35">
      <c r="I12346" s="63"/>
      <c r="J12346" s="63"/>
    </row>
    <row r="12347" spans="9:10" x14ac:dyDescent="0.35">
      <c r="I12347" s="63"/>
      <c r="J12347" s="63"/>
    </row>
    <row r="12348" spans="9:10" x14ac:dyDescent="0.35">
      <c r="I12348" s="63"/>
      <c r="J12348" s="63"/>
    </row>
    <row r="12349" spans="9:10" x14ac:dyDescent="0.35">
      <c r="I12349" s="63"/>
      <c r="J12349" s="63"/>
    </row>
    <row r="12350" spans="9:10" x14ac:dyDescent="0.35">
      <c r="I12350" s="63"/>
      <c r="J12350" s="63"/>
    </row>
    <row r="12351" spans="9:10" x14ac:dyDescent="0.35">
      <c r="I12351" s="63"/>
      <c r="J12351" s="63"/>
    </row>
    <row r="12352" spans="9:10" x14ac:dyDescent="0.35">
      <c r="I12352" s="63"/>
      <c r="J12352" s="63"/>
    </row>
    <row r="12353" spans="9:10" x14ac:dyDescent="0.35">
      <c r="I12353" s="63"/>
      <c r="J12353" s="63"/>
    </row>
    <row r="12354" spans="9:10" x14ac:dyDescent="0.35">
      <c r="I12354" s="63"/>
      <c r="J12354" s="63"/>
    </row>
    <row r="12355" spans="9:10" x14ac:dyDescent="0.35">
      <c r="I12355" s="63"/>
      <c r="J12355" s="63"/>
    </row>
    <row r="12356" spans="9:10" x14ac:dyDescent="0.35">
      <c r="I12356" s="63"/>
      <c r="J12356" s="63"/>
    </row>
    <row r="12357" spans="9:10" x14ac:dyDescent="0.35">
      <c r="I12357" s="63"/>
      <c r="J12357" s="63"/>
    </row>
    <row r="12358" spans="9:10" x14ac:dyDescent="0.35">
      <c r="I12358" s="63"/>
      <c r="J12358" s="63"/>
    </row>
    <row r="12359" spans="9:10" x14ac:dyDescent="0.35">
      <c r="I12359" s="63"/>
      <c r="J12359" s="63"/>
    </row>
    <row r="12360" spans="9:10" x14ac:dyDescent="0.35">
      <c r="I12360" s="63"/>
      <c r="J12360" s="63"/>
    </row>
    <row r="12361" spans="9:10" x14ac:dyDescent="0.35">
      <c r="I12361" s="63"/>
      <c r="J12361" s="63"/>
    </row>
    <row r="12362" spans="9:10" x14ac:dyDescent="0.35">
      <c r="I12362" s="63"/>
      <c r="J12362" s="63"/>
    </row>
    <row r="12363" spans="9:10" x14ac:dyDescent="0.35">
      <c r="I12363" s="63"/>
      <c r="J12363" s="63"/>
    </row>
    <row r="12364" spans="9:10" x14ac:dyDescent="0.35">
      <c r="I12364" s="63"/>
      <c r="J12364" s="63"/>
    </row>
    <row r="12365" spans="9:10" x14ac:dyDescent="0.35">
      <c r="I12365" s="63"/>
      <c r="J12365" s="63"/>
    </row>
    <row r="12366" spans="9:10" x14ac:dyDescent="0.35">
      <c r="I12366" s="63"/>
      <c r="J12366" s="63"/>
    </row>
    <row r="12367" spans="9:10" x14ac:dyDescent="0.35">
      <c r="I12367" s="63"/>
      <c r="J12367" s="63"/>
    </row>
    <row r="12368" spans="9:10" x14ac:dyDescent="0.35">
      <c r="I12368" s="63"/>
      <c r="J12368" s="63"/>
    </row>
    <row r="12369" spans="9:10" x14ac:dyDescent="0.35">
      <c r="I12369" s="63"/>
      <c r="J12369" s="63"/>
    </row>
    <row r="12370" spans="9:10" x14ac:dyDescent="0.35">
      <c r="I12370" s="63"/>
      <c r="J12370" s="63"/>
    </row>
    <row r="12371" spans="9:10" x14ac:dyDescent="0.35">
      <c r="I12371" s="63"/>
      <c r="J12371" s="63"/>
    </row>
    <row r="12372" spans="9:10" x14ac:dyDescent="0.35">
      <c r="I12372" s="63"/>
      <c r="J12372" s="63"/>
    </row>
    <row r="12373" spans="9:10" x14ac:dyDescent="0.35">
      <c r="I12373" s="63"/>
      <c r="J12373" s="63"/>
    </row>
    <row r="12374" spans="9:10" x14ac:dyDescent="0.35">
      <c r="I12374" s="63"/>
      <c r="J12374" s="63"/>
    </row>
    <row r="12375" spans="9:10" x14ac:dyDescent="0.35">
      <c r="I12375" s="63"/>
      <c r="J12375" s="63"/>
    </row>
    <row r="12376" spans="9:10" x14ac:dyDescent="0.35">
      <c r="I12376" s="63"/>
      <c r="J12376" s="63"/>
    </row>
    <row r="12377" spans="9:10" x14ac:dyDescent="0.35">
      <c r="I12377" s="63"/>
      <c r="J12377" s="63"/>
    </row>
    <row r="12378" spans="9:10" x14ac:dyDescent="0.35">
      <c r="I12378" s="63"/>
      <c r="J12378" s="63"/>
    </row>
    <row r="12379" spans="9:10" x14ac:dyDescent="0.35">
      <c r="I12379" s="63"/>
      <c r="J12379" s="63"/>
    </row>
    <row r="12380" spans="9:10" x14ac:dyDescent="0.35">
      <c r="I12380" s="63"/>
      <c r="J12380" s="63"/>
    </row>
    <row r="12381" spans="9:10" x14ac:dyDescent="0.35">
      <c r="I12381" s="63"/>
      <c r="J12381" s="63"/>
    </row>
    <row r="12382" spans="9:10" x14ac:dyDescent="0.35">
      <c r="I12382" s="63"/>
      <c r="J12382" s="63"/>
    </row>
    <row r="12383" spans="9:10" x14ac:dyDescent="0.35">
      <c r="I12383" s="63"/>
      <c r="J12383" s="63"/>
    </row>
    <row r="12384" spans="9:10" x14ac:dyDescent="0.35">
      <c r="I12384" s="63"/>
      <c r="J12384" s="63"/>
    </row>
    <row r="12385" spans="9:10" x14ac:dyDescent="0.35">
      <c r="I12385" s="63"/>
      <c r="J12385" s="63"/>
    </row>
    <row r="12386" spans="9:10" x14ac:dyDescent="0.35">
      <c r="I12386" s="63"/>
      <c r="J12386" s="63"/>
    </row>
    <row r="12387" spans="9:10" x14ac:dyDescent="0.35">
      <c r="I12387" s="63"/>
      <c r="J12387" s="63"/>
    </row>
    <row r="12388" spans="9:10" x14ac:dyDescent="0.35">
      <c r="I12388" s="63"/>
      <c r="J12388" s="63"/>
    </row>
    <row r="12389" spans="9:10" x14ac:dyDescent="0.35">
      <c r="I12389" s="63"/>
      <c r="J12389" s="63"/>
    </row>
    <row r="12390" spans="9:10" x14ac:dyDescent="0.35">
      <c r="I12390" s="63"/>
      <c r="J12390" s="63"/>
    </row>
    <row r="12391" spans="9:10" x14ac:dyDescent="0.35">
      <c r="I12391" s="63"/>
      <c r="J12391" s="63"/>
    </row>
    <row r="12392" spans="9:10" x14ac:dyDescent="0.35">
      <c r="I12392" s="63"/>
      <c r="J12392" s="63"/>
    </row>
    <row r="12393" spans="9:10" x14ac:dyDescent="0.35">
      <c r="I12393" s="63"/>
      <c r="J12393" s="63"/>
    </row>
    <row r="12394" spans="9:10" x14ac:dyDescent="0.35">
      <c r="I12394" s="63"/>
      <c r="J12394" s="63"/>
    </row>
    <row r="12395" spans="9:10" x14ac:dyDescent="0.35">
      <c r="I12395" s="63"/>
      <c r="J12395" s="63"/>
    </row>
    <row r="12396" spans="9:10" x14ac:dyDescent="0.35">
      <c r="I12396" s="63"/>
      <c r="J12396" s="63"/>
    </row>
    <row r="12397" spans="9:10" x14ac:dyDescent="0.35">
      <c r="I12397" s="63"/>
      <c r="J12397" s="63"/>
    </row>
    <row r="12398" spans="9:10" x14ac:dyDescent="0.35">
      <c r="I12398" s="63"/>
      <c r="J12398" s="63"/>
    </row>
    <row r="12399" spans="9:10" x14ac:dyDescent="0.35">
      <c r="I12399" s="63"/>
      <c r="J12399" s="63"/>
    </row>
    <row r="12400" spans="9:10" x14ac:dyDescent="0.35">
      <c r="I12400" s="63"/>
      <c r="J12400" s="63"/>
    </row>
    <row r="12401" spans="9:10" x14ac:dyDescent="0.35">
      <c r="I12401" s="63"/>
      <c r="J12401" s="63"/>
    </row>
    <row r="12402" spans="9:10" x14ac:dyDescent="0.35">
      <c r="I12402" s="63"/>
      <c r="J12402" s="63"/>
    </row>
    <row r="12403" spans="9:10" x14ac:dyDescent="0.35">
      <c r="I12403" s="63"/>
      <c r="J12403" s="63"/>
    </row>
    <row r="12404" spans="9:10" x14ac:dyDescent="0.35">
      <c r="I12404" s="63"/>
      <c r="J12404" s="63"/>
    </row>
    <row r="12405" spans="9:10" x14ac:dyDescent="0.35">
      <c r="I12405" s="63"/>
      <c r="J12405" s="63"/>
    </row>
    <row r="12406" spans="9:10" x14ac:dyDescent="0.35">
      <c r="I12406" s="63"/>
      <c r="J12406" s="63"/>
    </row>
    <row r="12407" spans="9:10" x14ac:dyDescent="0.35">
      <c r="I12407" s="63"/>
      <c r="J12407" s="63"/>
    </row>
    <row r="12408" spans="9:10" x14ac:dyDescent="0.35">
      <c r="I12408" s="63"/>
      <c r="J12408" s="63"/>
    </row>
    <row r="12409" spans="9:10" x14ac:dyDescent="0.35">
      <c r="I12409" s="63"/>
      <c r="J12409" s="63"/>
    </row>
    <row r="12410" spans="9:10" x14ac:dyDescent="0.35">
      <c r="I12410" s="63"/>
      <c r="J12410" s="63"/>
    </row>
    <row r="12411" spans="9:10" x14ac:dyDescent="0.35">
      <c r="I12411" s="63"/>
      <c r="J12411" s="63"/>
    </row>
    <row r="12412" spans="9:10" x14ac:dyDescent="0.35">
      <c r="I12412" s="63"/>
      <c r="J12412" s="63"/>
    </row>
    <row r="12413" spans="9:10" x14ac:dyDescent="0.35">
      <c r="I12413" s="63"/>
      <c r="J12413" s="63"/>
    </row>
    <row r="12414" spans="9:10" x14ac:dyDescent="0.35">
      <c r="I12414" s="63"/>
      <c r="J12414" s="63"/>
    </row>
    <row r="12415" spans="9:10" x14ac:dyDescent="0.35">
      <c r="I12415" s="63"/>
      <c r="J12415" s="63"/>
    </row>
    <row r="12416" spans="9:10" x14ac:dyDescent="0.35">
      <c r="I12416" s="63"/>
      <c r="J12416" s="63"/>
    </row>
    <row r="12417" spans="9:10" x14ac:dyDescent="0.35">
      <c r="I12417" s="63"/>
      <c r="J12417" s="63"/>
    </row>
    <row r="12418" spans="9:10" x14ac:dyDescent="0.35">
      <c r="I12418" s="63"/>
      <c r="J12418" s="63"/>
    </row>
    <row r="12419" spans="9:10" x14ac:dyDescent="0.35">
      <c r="I12419" s="63"/>
      <c r="J12419" s="63"/>
    </row>
    <row r="12420" spans="9:10" x14ac:dyDescent="0.35">
      <c r="I12420" s="63"/>
      <c r="J12420" s="63"/>
    </row>
    <row r="12421" spans="9:10" x14ac:dyDescent="0.35">
      <c r="I12421" s="63"/>
      <c r="J12421" s="63"/>
    </row>
    <row r="12422" spans="9:10" x14ac:dyDescent="0.35">
      <c r="I12422" s="63"/>
      <c r="J12422" s="63"/>
    </row>
    <row r="12423" spans="9:10" x14ac:dyDescent="0.35">
      <c r="I12423" s="63"/>
      <c r="J12423" s="63"/>
    </row>
    <row r="12424" spans="9:10" x14ac:dyDescent="0.35">
      <c r="I12424" s="63"/>
      <c r="J12424" s="63"/>
    </row>
    <row r="12425" spans="9:10" x14ac:dyDescent="0.35">
      <c r="I12425" s="63"/>
      <c r="J12425" s="63"/>
    </row>
    <row r="12426" spans="9:10" x14ac:dyDescent="0.35">
      <c r="I12426" s="63"/>
      <c r="J12426" s="63"/>
    </row>
    <row r="12427" spans="9:10" x14ac:dyDescent="0.35">
      <c r="I12427" s="63"/>
      <c r="J12427" s="63"/>
    </row>
    <row r="12428" spans="9:10" x14ac:dyDescent="0.35">
      <c r="I12428" s="63"/>
      <c r="J12428" s="63"/>
    </row>
    <row r="12429" spans="9:10" x14ac:dyDescent="0.35">
      <c r="I12429" s="63"/>
      <c r="J12429" s="63"/>
    </row>
    <row r="12430" spans="9:10" x14ac:dyDescent="0.35">
      <c r="I12430" s="63"/>
      <c r="J12430" s="63"/>
    </row>
    <row r="12431" spans="9:10" x14ac:dyDescent="0.35">
      <c r="I12431" s="63"/>
      <c r="J12431" s="63"/>
    </row>
    <row r="12432" spans="9:10" x14ac:dyDescent="0.35">
      <c r="I12432" s="63"/>
      <c r="J12432" s="63"/>
    </row>
    <row r="12433" spans="9:10" x14ac:dyDescent="0.35">
      <c r="I12433" s="63"/>
      <c r="J12433" s="63"/>
    </row>
    <row r="12434" spans="9:10" x14ac:dyDescent="0.35">
      <c r="I12434" s="63"/>
      <c r="J12434" s="63"/>
    </row>
    <row r="12435" spans="9:10" x14ac:dyDescent="0.35">
      <c r="I12435" s="63"/>
      <c r="J12435" s="63"/>
    </row>
    <row r="12436" spans="9:10" x14ac:dyDescent="0.35">
      <c r="I12436" s="63"/>
      <c r="J12436" s="63"/>
    </row>
    <row r="12437" spans="9:10" x14ac:dyDescent="0.35">
      <c r="I12437" s="63"/>
      <c r="J12437" s="63"/>
    </row>
    <row r="12438" spans="9:10" x14ac:dyDescent="0.35">
      <c r="I12438" s="63"/>
      <c r="J12438" s="63"/>
    </row>
    <row r="12439" spans="9:10" x14ac:dyDescent="0.35">
      <c r="I12439" s="63"/>
      <c r="J12439" s="63"/>
    </row>
    <row r="12440" spans="9:10" x14ac:dyDescent="0.35">
      <c r="I12440" s="63"/>
      <c r="J12440" s="63"/>
    </row>
    <row r="12441" spans="9:10" x14ac:dyDescent="0.35">
      <c r="I12441" s="63"/>
      <c r="J12441" s="63"/>
    </row>
    <row r="12442" spans="9:10" x14ac:dyDescent="0.35">
      <c r="I12442" s="63"/>
      <c r="J12442" s="63"/>
    </row>
    <row r="12443" spans="9:10" x14ac:dyDescent="0.35">
      <c r="I12443" s="63"/>
      <c r="J12443" s="63"/>
    </row>
    <row r="12444" spans="9:10" x14ac:dyDescent="0.35">
      <c r="I12444" s="63"/>
      <c r="J12444" s="63"/>
    </row>
    <row r="12445" spans="9:10" x14ac:dyDescent="0.35">
      <c r="I12445" s="63"/>
      <c r="J12445" s="63"/>
    </row>
    <row r="12446" spans="9:10" x14ac:dyDescent="0.35">
      <c r="I12446" s="63"/>
      <c r="J12446" s="63"/>
    </row>
    <row r="12447" spans="9:10" x14ac:dyDescent="0.35">
      <c r="I12447" s="63"/>
      <c r="J12447" s="63"/>
    </row>
    <row r="12448" spans="9:10" x14ac:dyDescent="0.35">
      <c r="I12448" s="63"/>
      <c r="J12448" s="63"/>
    </row>
    <row r="12449" spans="9:10" x14ac:dyDescent="0.35">
      <c r="I12449" s="63"/>
      <c r="J12449" s="63"/>
    </row>
    <row r="12450" spans="9:10" x14ac:dyDescent="0.35">
      <c r="I12450" s="63"/>
      <c r="J12450" s="63"/>
    </row>
    <row r="12451" spans="9:10" x14ac:dyDescent="0.35">
      <c r="I12451" s="63"/>
      <c r="J12451" s="63"/>
    </row>
    <row r="12452" spans="9:10" x14ac:dyDescent="0.35">
      <c r="I12452" s="63"/>
      <c r="J12452" s="63"/>
    </row>
    <row r="12453" spans="9:10" x14ac:dyDescent="0.35">
      <c r="I12453" s="63"/>
      <c r="J12453" s="63"/>
    </row>
    <row r="12454" spans="9:10" x14ac:dyDescent="0.35">
      <c r="I12454" s="63"/>
      <c r="J12454" s="63"/>
    </row>
    <row r="12455" spans="9:10" x14ac:dyDescent="0.35">
      <c r="I12455" s="63"/>
      <c r="J12455" s="63"/>
    </row>
    <row r="12456" spans="9:10" x14ac:dyDescent="0.35">
      <c r="I12456" s="63"/>
      <c r="J12456" s="63"/>
    </row>
    <row r="12457" spans="9:10" x14ac:dyDescent="0.35">
      <c r="I12457" s="63"/>
      <c r="J12457" s="63"/>
    </row>
    <row r="12458" spans="9:10" x14ac:dyDescent="0.35">
      <c r="I12458" s="63"/>
      <c r="J12458" s="63"/>
    </row>
    <row r="12459" spans="9:10" x14ac:dyDescent="0.35">
      <c r="I12459" s="63"/>
      <c r="J12459" s="63"/>
    </row>
    <row r="12460" spans="9:10" x14ac:dyDescent="0.35">
      <c r="I12460" s="63"/>
      <c r="J12460" s="63"/>
    </row>
    <row r="12461" spans="9:10" x14ac:dyDescent="0.35">
      <c r="I12461" s="63"/>
      <c r="J12461" s="63"/>
    </row>
    <row r="12462" spans="9:10" x14ac:dyDescent="0.35">
      <c r="I12462" s="63"/>
      <c r="J12462" s="63"/>
    </row>
    <row r="12463" spans="9:10" x14ac:dyDescent="0.35">
      <c r="I12463" s="63"/>
      <c r="J12463" s="63"/>
    </row>
    <row r="12464" spans="9:10" x14ac:dyDescent="0.35">
      <c r="I12464" s="63"/>
      <c r="J12464" s="63"/>
    </row>
    <row r="12465" spans="9:10" x14ac:dyDescent="0.35">
      <c r="I12465" s="63"/>
      <c r="J12465" s="63"/>
    </row>
    <row r="12466" spans="9:10" x14ac:dyDescent="0.35">
      <c r="I12466" s="63"/>
      <c r="J12466" s="63"/>
    </row>
    <row r="12467" spans="9:10" x14ac:dyDescent="0.35">
      <c r="I12467" s="63"/>
      <c r="J12467" s="63"/>
    </row>
    <row r="12468" spans="9:10" x14ac:dyDescent="0.35">
      <c r="I12468" s="63"/>
      <c r="J12468" s="63"/>
    </row>
    <row r="12469" spans="9:10" x14ac:dyDescent="0.35">
      <c r="I12469" s="63"/>
      <c r="J12469" s="63"/>
    </row>
    <row r="12470" spans="9:10" x14ac:dyDescent="0.35">
      <c r="I12470" s="63"/>
      <c r="J12470" s="63"/>
    </row>
    <row r="12471" spans="9:10" x14ac:dyDescent="0.35">
      <c r="I12471" s="63"/>
      <c r="J12471" s="63"/>
    </row>
    <row r="12472" spans="9:10" x14ac:dyDescent="0.35">
      <c r="I12472" s="63"/>
      <c r="J12472" s="63"/>
    </row>
    <row r="12473" spans="9:10" x14ac:dyDescent="0.35">
      <c r="I12473" s="63"/>
      <c r="J12473" s="63"/>
    </row>
    <row r="12474" spans="9:10" x14ac:dyDescent="0.35">
      <c r="I12474" s="63"/>
      <c r="J12474" s="63"/>
    </row>
    <row r="12475" spans="9:10" x14ac:dyDescent="0.35">
      <c r="I12475" s="63"/>
      <c r="J12475" s="63"/>
    </row>
    <row r="12476" spans="9:10" x14ac:dyDescent="0.35">
      <c r="I12476" s="63"/>
      <c r="J12476" s="63"/>
    </row>
    <row r="12477" spans="9:10" x14ac:dyDescent="0.35">
      <c r="I12477" s="63"/>
      <c r="J12477" s="63"/>
    </row>
    <row r="12478" spans="9:10" x14ac:dyDescent="0.35">
      <c r="I12478" s="63"/>
      <c r="J12478" s="63"/>
    </row>
    <row r="12479" spans="9:10" x14ac:dyDescent="0.35">
      <c r="I12479" s="63"/>
      <c r="J12479" s="63"/>
    </row>
    <row r="12480" spans="9:10" x14ac:dyDescent="0.35">
      <c r="I12480" s="63"/>
      <c r="J12480" s="63"/>
    </row>
    <row r="12481" spans="9:10" x14ac:dyDescent="0.35">
      <c r="I12481" s="63"/>
      <c r="J12481" s="63"/>
    </row>
    <row r="12482" spans="9:10" x14ac:dyDescent="0.35">
      <c r="I12482" s="63"/>
      <c r="J12482" s="63"/>
    </row>
    <row r="12483" spans="9:10" x14ac:dyDescent="0.35">
      <c r="I12483" s="63"/>
      <c r="J12483" s="63"/>
    </row>
    <row r="12484" spans="9:10" x14ac:dyDescent="0.35">
      <c r="I12484" s="63"/>
      <c r="J12484" s="63"/>
    </row>
    <row r="12485" spans="9:10" x14ac:dyDescent="0.35">
      <c r="I12485" s="63"/>
      <c r="J12485" s="63"/>
    </row>
    <row r="12486" spans="9:10" x14ac:dyDescent="0.35">
      <c r="I12486" s="63"/>
      <c r="J12486" s="63"/>
    </row>
    <row r="12487" spans="9:10" x14ac:dyDescent="0.35">
      <c r="I12487" s="63"/>
      <c r="J12487" s="63"/>
    </row>
    <row r="12488" spans="9:10" x14ac:dyDescent="0.35">
      <c r="I12488" s="63"/>
      <c r="J12488" s="63"/>
    </row>
    <row r="12489" spans="9:10" x14ac:dyDescent="0.35">
      <c r="I12489" s="63"/>
      <c r="J12489" s="63"/>
    </row>
    <row r="12490" spans="9:10" x14ac:dyDescent="0.35">
      <c r="I12490" s="63"/>
      <c r="J12490" s="63"/>
    </row>
    <row r="12491" spans="9:10" x14ac:dyDescent="0.35">
      <c r="I12491" s="63"/>
      <c r="J12491" s="63"/>
    </row>
    <row r="12492" spans="9:10" x14ac:dyDescent="0.35">
      <c r="I12492" s="63"/>
      <c r="J12492" s="63"/>
    </row>
    <row r="12493" spans="9:10" x14ac:dyDescent="0.35">
      <c r="I12493" s="63"/>
      <c r="J12493" s="63"/>
    </row>
    <row r="12494" spans="9:10" x14ac:dyDescent="0.35">
      <c r="I12494" s="63"/>
      <c r="J12494" s="63"/>
    </row>
    <row r="12495" spans="9:10" x14ac:dyDescent="0.35">
      <c r="I12495" s="63"/>
      <c r="J12495" s="63"/>
    </row>
    <row r="12496" spans="9:10" x14ac:dyDescent="0.35">
      <c r="I12496" s="63"/>
      <c r="J12496" s="63"/>
    </row>
    <row r="12497" spans="9:10" x14ac:dyDescent="0.35">
      <c r="I12497" s="63"/>
      <c r="J12497" s="63"/>
    </row>
    <row r="12498" spans="9:10" x14ac:dyDescent="0.35">
      <c r="I12498" s="63"/>
      <c r="J12498" s="63"/>
    </row>
    <row r="12499" spans="9:10" x14ac:dyDescent="0.35">
      <c r="I12499" s="63"/>
      <c r="J12499" s="63"/>
    </row>
    <row r="12500" spans="9:10" x14ac:dyDescent="0.35">
      <c r="I12500" s="63"/>
      <c r="J12500" s="63"/>
    </row>
    <row r="12501" spans="9:10" x14ac:dyDescent="0.35">
      <c r="I12501" s="63"/>
      <c r="J12501" s="63"/>
    </row>
    <row r="12502" spans="9:10" x14ac:dyDescent="0.35">
      <c r="I12502" s="63"/>
      <c r="J12502" s="63"/>
    </row>
    <row r="12503" spans="9:10" x14ac:dyDescent="0.35">
      <c r="I12503" s="63"/>
      <c r="J12503" s="63"/>
    </row>
    <row r="12504" spans="9:10" x14ac:dyDescent="0.35">
      <c r="I12504" s="63"/>
      <c r="J12504" s="63"/>
    </row>
    <row r="12505" spans="9:10" x14ac:dyDescent="0.35">
      <c r="I12505" s="63"/>
      <c r="J12505" s="63"/>
    </row>
    <row r="12506" spans="9:10" x14ac:dyDescent="0.35">
      <c r="I12506" s="63"/>
      <c r="J12506" s="63"/>
    </row>
    <row r="12507" spans="9:10" x14ac:dyDescent="0.35">
      <c r="I12507" s="63"/>
      <c r="J12507" s="63"/>
    </row>
    <row r="12508" spans="9:10" x14ac:dyDescent="0.35">
      <c r="I12508" s="63"/>
      <c r="J12508" s="63"/>
    </row>
    <row r="12509" spans="9:10" x14ac:dyDescent="0.35">
      <c r="I12509" s="63"/>
      <c r="J12509" s="63"/>
    </row>
    <row r="12510" spans="9:10" x14ac:dyDescent="0.35">
      <c r="I12510" s="63"/>
      <c r="J12510" s="63"/>
    </row>
    <row r="12511" spans="9:10" x14ac:dyDescent="0.35">
      <c r="I12511" s="63"/>
      <c r="J12511" s="63"/>
    </row>
    <row r="12512" spans="9:10" x14ac:dyDescent="0.35">
      <c r="I12512" s="63"/>
      <c r="J12512" s="63"/>
    </row>
    <row r="12513" spans="9:10" x14ac:dyDescent="0.35">
      <c r="I12513" s="63"/>
      <c r="J12513" s="63"/>
    </row>
    <row r="12514" spans="9:10" x14ac:dyDescent="0.35">
      <c r="I12514" s="63"/>
      <c r="J12514" s="63"/>
    </row>
    <row r="12515" spans="9:10" x14ac:dyDescent="0.35">
      <c r="I12515" s="63"/>
      <c r="J12515" s="63"/>
    </row>
    <row r="12516" spans="9:10" x14ac:dyDescent="0.35">
      <c r="I12516" s="63"/>
      <c r="J12516" s="63"/>
    </row>
    <row r="12517" spans="9:10" x14ac:dyDescent="0.35">
      <c r="I12517" s="63"/>
      <c r="J12517" s="63"/>
    </row>
    <row r="12518" spans="9:10" x14ac:dyDescent="0.35">
      <c r="I12518" s="63"/>
      <c r="J12518" s="63"/>
    </row>
    <row r="12519" spans="9:10" x14ac:dyDescent="0.35">
      <c r="I12519" s="63"/>
      <c r="J12519" s="63"/>
    </row>
    <row r="12520" spans="9:10" x14ac:dyDescent="0.35">
      <c r="I12520" s="63"/>
      <c r="J12520" s="63"/>
    </row>
    <row r="12521" spans="9:10" x14ac:dyDescent="0.35">
      <c r="I12521" s="63"/>
      <c r="J12521" s="63"/>
    </row>
    <row r="12522" spans="9:10" x14ac:dyDescent="0.35">
      <c r="I12522" s="63"/>
      <c r="J12522" s="63"/>
    </row>
    <row r="12523" spans="9:10" x14ac:dyDescent="0.35">
      <c r="I12523" s="63"/>
      <c r="J12523" s="63"/>
    </row>
    <row r="12524" spans="9:10" x14ac:dyDescent="0.35">
      <c r="I12524" s="63"/>
      <c r="J12524" s="63"/>
    </row>
    <row r="12525" spans="9:10" x14ac:dyDescent="0.35">
      <c r="I12525" s="63"/>
      <c r="J12525" s="63"/>
    </row>
    <row r="12526" spans="9:10" x14ac:dyDescent="0.35">
      <c r="I12526" s="63"/>
      <c r="J12526" s="63"/>
    </row>
    <row r="12527" spans="9:10" x14ac:dyDescent="0.35">
      <c r="I12527" s="63"/>
      <c r="J12527" s="63"/>
    </row>
    <row r="12528" spans="9:10" x14ac:dyDescent="0.35">
      <c r="I12528" s="63"/>
      <c r="J12528" s="63"/>
    </row>
    <row r="12529" spans="9:10" x14ac:dyDescent="0.35">
      <c r="I12529" s="63"/>
      <c r="J12529" s="63"/>
    </row>
    <row r="12530" spans="9:10" x14ac:dyDescent="0.35">
      <c r="I12530" s="63"/>
      <c r="J12530" s="63"/>
    </row>
    <row r="12531" spans="9:10" x14ac:dyDescent="0.35">
      <c r="I12531" s="63"/>
      <c r="J12531" s="63"/>
    </row>
    <row r="12532" spans="9:10" x14ac:dyDescent="0.35">
      <c r="I12532" s="63"/>
      <c r="J12532" s="63"/>
    </row>
    <row r="12533" spans="9:10" x14ac:dyDescent="0.35">
      <c r="I12533" s="63"/>
      <c r="J12533" s="63"/>
    </row>
    <row r="12534" spans="9:10" x14ac:dyDescent="0.35">
      <c r="I12534" s="63"/>
      <c r="J12534" s="63"/>
    </row>
    <row r="12535" spans="9:10" x14ac:dyDescent="0.35">
      <c r="I12535" s="63"/>
      <c r="J12535" s="63"/>
    </row>
    <row r="12536" spans="9:10" x14ac:dyDescent="0.35">
      <c r="I12536" s="63"/>
      <c r="J12536" s="63"/>
    </row>
    <row r="12537" spans="9:10" x14ac:dyDescent="0.35">
      <c r="I12537" s="63"/>
      <c r="J12537" s="63"/>
    </row>
    <row r="12538" spans="9:10" x14ac:dyDescent="0.35">
      <c r="I12538" s="63"/>
      <c r="J12538" s="63"/>
    </row>
    <row r="12539" spans="9:10" x14ac:dyDescent="0.35">
      <c r="I12539" s="63"/>
      <c r="J12539" s="63"/>
    </row>
    <row r="12540" spans="9:10" x14ac:dyDescent="0.35">
      <c r="I12540" s="63"/>
      <c r="J12540" s="63"/>
    </row>
    <row r="12541" spans="9:10" x14ac:dyDescent="0.35">
      <c r="I12541" s="63"/>
      <c r="J12541" s="63"/>
    </row>
    <row r="12542" spans="9:10" x14ac:dyDescent="0.35">
      <c r="I12542" s="63"/>
      <c r="J12542" s="63"/>
    </row>
    <row r="12543" spans="9:10" x14ac:dyDescent="0.35">
      <c r="I12543" s="63"/>
      <c r="J12543" s="63"/>
    </row>
    <row r="12544" spans="9:10" x14ac:dyDescent="0.35">
      <c r="I12544" s="63"/>
      <c r="J12544" s="63"/>
    </row>
    <row r="12545" spans="9:10" x14ac:dyDescent="0.35">
      <c r="I12545" s="63"/>
      <c r="J12545" s="63"/>
    </row>
    <row r="12546" spans="9:10" x14ac:dyDescent="0.35">
      <c r="I12546" s="63"/>
      <c r="J12546" s="63"/>
    </row>
    <row r="12547" spans="9:10" x14ac:dyDescent="0.35">
      <c r="I12547" s="63"/>
      <c r="J12547" s="63"/>
    </row>
    <row r="12548" spans="9:10" x14ac:dyDescent="0.35">
      <c r="I12548" s="63"/>
      <c r="J12548" s="63"/>
    </row>
    <row r="12549" spans="9:10" x14ac:dyDescent="0.35">
      <c r="I12549" s="63"/>
      <c r="J12549" s="63"/>
    </row>
    <row r="12550" spans="9:10" x14ac:dyDescent="0.35">
      <c r="I12550" s="63"/>
      <c r="J12550" s="63"/>
    </row>
    <row r="12551" spans="9:10" x14ac:dyDescent="0.35">
      <c r="I12551" s="63"/>
      <c r="J12551" s="63"/>
    </row>
    <row r="12552" spans="9:10" x14ac:dyDescent="0.35">
      <c r="I12552" s="63"/>
      <c r="J12552" s="63"/>
    </row>
    <row r="12553" spans="9:10" x14ac:dyDescent="0.35">
      <c r="I12553" s="63"/>
      <c r="J12553" s="63"/>
    </row>
    <row r="12554" spans="9:10" x14ac:dyDescent="0.35">
      <c r="I12554" s="63"/>
      <c r="J12554" s="63"/>
    </row>
    <row r="12555" spans="9:10" x14ac:dyDescent="0.35">
      <c r="I12555" s="63"/>
      <c r="J12555" s="63"/>
    </row>
    <row r="12556" spans="9:10" x14ac:dyDescent="0.35">
      <c r="I12556" s="63"/>
      <c r="J12556" s="63"/>
    </row>
    <row r="12557" spans="9:10" x14ac:dyDescent="0.35">
      <c r="I12557" s="63"/>
      <c r="J12557" s="63"/>
    </row>
    <row r="12558" spans="9:10" x14ac:dyDescent="0.35">
      <c r="I12558" s="63"/>
      <c r="J12558" s="63"/>
    </row>
    <row r="12559" spans="9:10" x14ac:dyDescent="0.35">
      <c r="I12559" s="63"/>
      <c r="J12559" s="63"/>
    </row>
    <row r="12560" spans="9:10" x14ac:dyDescent="0.35">
      <c r="I12560" s="63"/>
      <c r="J12560" s="63"/>
    </row>
    <row r="12561" spans="9:10" x14ac:dyDescent="0.35">
      <c r="I12561" s="63"/>
      <c r="J12561" s="63"/>
    </row>
    <row r="12562" spans="9:10" x14ac:dyDescent="0.35">
      <c r="I12562" s="63"/>
      <c r="J12562" s="63"/>
    </row>
    <row r="12563" spans="9:10" x14ac:dyDescent="0.35">
      <c r="I12563" s="63"/>
      <c r="J12563" s="63"/>
    </row>
    <row r="12564" spans="9:10" x14ac:dyDescent="0.35">
      <c r="I12564" s="63"/>
      <c r="J12564" s="63"/>
    </row>
    <row r="12565" spans="9:10" x14ac:dyDescent="0.35">
      <c r="I12565" s="63"/>
      <c r="J12565" s="63"/>
    </row>
    <row r="12566" spans="9:10" x14ac:dyDescent="0.35">
      <c r="I12566" s="63"/>
      <c r="J12566" s="63"/>
    </row>
    <row r="12567" spans="9:10" x14ac:dyDescent="0.35">
      <c r="I12567" s="63"/>
      <c r="J12567" s="63"/>
    </row>
    <row r="12568" spans="9:10" x14ac:dyDescent="0.35">
      <c r="I12568" s="63"/>
      <c r="J12568" s="63"/>
    </row>
    <row r="12569" spans="9:10" x14ac:dyDescent="0.35">
      <c r="I12569" s="63"/>
      <c r="J12569" s="63"/>
    </row>
    <row r="12570" spans="9:10" x14ac:dyDescent="0.35">
      <c r="I12570" s="63"/>
      <c r="J12570" s="63"/>
    </row>
    <row r="12571" spans="9:10" x14ac:dyDescent="0.35">
      <c r="I12571" s="63"/>
      <c r="J12571" s="63"/>
    </row>
    <row r="12572" spans="9:10" x14ac:dyDescent="0.35">
      <c r="I12572" s="63"/>
      <c r="J12572" s="63"/>
    </row>
    <row r="12573" spans="9:10" x14ac:dyDescent="0.35">
      <c r="I12573" s="63"/>
      <c r="J12573" s="63"/>
    </row>
    <row r="12574" spans="9:10" x14ac:dyDescent="0.35">
      <c r="I12574" s="63"/>
      <c r="J12574" s="63"/>
    </row>
    <row r="12575" spans="9:10" x14ac:dyDescent="0.35">
      <c r="I12575" s="63"/>
      <c r="J12575" s="63"/>
    </row>
    <row r="12576" spans="9:10" x14ac:dyDescent="0.35">
      <c r="I12576" s="63"/>
      <c r="J12576" s="63"/>
    </row>
    <row r="12577" spans="9:10" x14ac:dyDescent="0.35">
      <c r="I12577" s="63"/>
      <c r="J12577" s="63"/>
    </row>
    <row r="12578" spans="9:10" x14ac:dyDescent="0.35">
      <c r="I12578" s="63"/>
      <c r="J12578" s="63"/>
    </row>
    <row r="12579" spans="9:10" x14ac:dyDescent="0.35">
      <c r="I12579" s="63"/>
      <c r="J12579" s="63"/>
    </row>
    <row r="12580" spans="9:10" x14ac:dyDescent="0.35">
      <c r="I12580" s="63"/>
      <c r="J12580" s="63"/>
    </row>
    <row r="12581" spans="9:10" x14ac:dyDescent="0.35">
      <c r="I12581" s="63"/>
      <c r="J12581" s="63"/>
    </row>
    <row r="12582" spans="9:10" x14ac:dyDescent="0.35">
      <c r="I12582" s="63"/>
      <c r="J12582" s="63"/>
    </row>
    <row r="12583" spans="9:10" x14ac:dyDescent="0.35">
      <c r="I12583" s="63"/>
      <c r="J12583" s="63"/>
    </row>
    <row r="12584" spans="9:10" x14ac:dyDescent="0.35">
      <c r="I12584" s="63"/>
      <c r="J12584" s="63"/>
    </row>
    <row r="12585" spans="9:10" x14ac:dyDescent="0.35">
      <c r="I12585" s="63"/>
      <c r="J12585" s="63"/>
    </row>
    <row r="12586" spans="9:10" x14ac:dyDescent="0.35">
      <c r="I12586" s="63"/>
      <c r="J12586" s="63"/>
    </row>
    <row r="12587" spans="9:10" x14ac:dyDescent="0.35">
      <c r="I12587" s="63"/>
      <c r="J12587" s="63"/>
    </row>
    <row r="12588" spans="9:10" x14ac:dyDescent="0.35">
      <c r="I12588" s="63"/>
      <c r="J12588" s="63"/>
    </row>
    <row r="12589" spans="9:10" x14ac:dyDescent="0.35">
      <c r="I12589" s="63"/>
      <c r="J12589" s="63"/>
    </row>
    <row r="12590" spans="9:10" x14ac:dyDescent="0.35">
      <c r="I12590" s="63"/>
      <c r="J12590" s="63"/>
    </row>
    <row r="12591" spans="9:10" x14ac:dyDescent="0.35">
      <c r="I12591" s="63"/>
      <c r="J12591" s="63"/>
    </row>
    <row r="12592" spans="9:10" x14ac:dyDescent="0.35">
      <c r="I12592" s="63"/>
      <c r="J12592" s="63"/>
    </row>
    <row r="12593" spans="9:10" x14ac:dyDescent="0.35">
      <c r="I12593" s="63"/>
      <c r="J12593" s="63"/>
    </row>
    <row r="12594" spans="9:10" x14ac:dyDescent="0.35">
      <c r="I12594" s="63"/>
      <c r="J12594" s="63"/>
    </row>
    <row r="12595" spans="9:10" x14ac:dyDescent="0.35">
      <c r="I12595" s="63"/>
      <c r="J12595" s="63"/>
    </row>
    <row r="12596" spans="9:10" x14ac:dyDescent="0.35">
      <c r="I12596" s="63"/>
      <c r="J12596" s="63"/>
    </row>
    <row r="12597" spans="9:10" x14ac:dyDescent="0.35">
      <c r="I12597" s="63"/>
      <c r="J12597" s="63"/>
    </row>
    <row r="12598" spans="9:10" x14ac:dyDescent="0.35">
      <c r="I12598" s="63"/>
      <c r="J12598" s="63"/>
    </row>
    <row r="12599" spans="9:10" x14ac:dyDescent="0.35">
      <c r="I12599" s="63"/>
      <c r="J12599" s="63"/>
    </row>
    <row r="12600" spans="9:10" x14ac:dyDescent="0.35">
      <c r="I12600" s="63"/>
      <c r="J12600" s="63"/>
    </row>
    <row r="12601" spans="9:10" x14ac:dyDescent="0.35">
      <c r="I12601" s="63"/>
      <c r="J12601" s="63"/>
    </row>
    <row r="12602" spans="9:10" x14ac:dyDescent="0.35">
      <c r="I12602" s="63"/>
      <c r="J12602" s="63"/>
    </row>
    <row r="12603" spans="9:10" x14ac:dyDescent="0.35">
      <c r="I12603" s="63"/>
      <c r="J12603" s="63"/>
    </row>
    <row r="12604" spans="9:10" x14ac:dyDescent="0.35">
      <c r="I12604" s="63"/>
      <c r="J12604" s="63"/>
    </row>
    <row r="12605" spans="9:10" x14ac:dyDescent="0.35">
      <c r="I12605" s="63"/>
      <c r="J12605" s="63"/>
    </row>
    <row r="12606" spans="9:10" x14ac:dyDescent="0.35">
      <c r="I12606" s="63"/>
      <c r="J12606" s="63"/>
    </row>
    <row r="12607" spans="9:10" x14ac:dyDescent="0.35">
      <c r="I12607" s="63"/>
      <c r="J12607" s="63"/>
    </row>
    <row r="12608" spans="9:10" x14ac:dyDescent="0.35">
      <c r="I12608" s="63"/>
      <c r="J12608" s="63"/>
    </row>
    <row r="12609" spans="9:10" x14ac:dyDescent="0.35">
      <c r="I12609" s="63"/>
      <c r="J12609" s="63"/>
    </row>
    <row r="12610" spans="9:10" x14ac:dyDescent="0.35">
      <c r="I12610" s="63"/>
      <c r="J12610" s="63"/>
    </row>
    <row r="12611" spans="9:10" x14ac:dyDescent="0.35">
      <c r="I12611" s="63"/>
      <c r="J12611" s="63"/>
    </row>
    <row r="12612" spans="9:10" x14ac:dyDescent="0.35">
      <c r="I12612" s="63"/>
      <c r="J12612" s="63"/>
    </row>
    <row r="12613" spans="9:10" x14ac:dyDescent="0.35">
      <c r="I12613" s="63"/>
      <c r="J12613" s="63"/>
    </row>
    <row r="12614" spans="9:10" x14ac:dyDescent="0.35">
      <c r="I12614" s="63"/>
      <c r="J12614" s="63"/>
    </row>
    <row r="12615" spans="9:10" x14ac:dyDescent="0.35">
      <c r="I12615" s="63"/>
      <c r="J12615" s="63"/>
    </row>
    <row r="12616" spans="9:10" x14ac:dyDescent="0.35">
      <c r="I12616" s="63"/>
      <c r="J12616" s="63"/>
    </row>
    <row r="12617" spans="9:10" x14ac:dyDescent="0.35">
      <c r="I12617" s="63"/>
      <c r="J12617" s="63"/>
    </row>
    <row r="12618" spans="9:10" x14ac:dyDescent="0.35">
      <c r="I12618" s="63"/>
      <c r="J12618" s="63"/>
    </row>
    <row r="12619" spans="9:10" x14ac:dyDescent="0.35">
      <c r="I12619" s="63"/>
      <c r="J12619" s="63"/>
    </row>
    <row r="12620" spans="9:10" x14ac:dyDescent="0.35">
      <c r="I12620" s="63"/>
      <c r="J12620" s="63"/>
    </row>
    <row r="12621" spans="9:10" x14ac:dyDescent="0.35">
      <c r="I12621" s="63"/>
      <c r="J12621" s="63"/>
    </row>
    <row r="12622" spans="9:10" x14ac:dyDescent="0.35">
      <c r="I12622" s="63"/>
      <c r="J12622" s="63"/>
    </row>
    <row r="12623" spans="9:10" x14ac:dyDescent="0.35">
      <c r="I12623" s="63"/>
      <c r="J12623" s="63"/>
    </row>
    <row r="12624" spans="9:10" x14ac:dyDescent="0.35">
      <c r="I12624" s="63"/>
      <c r="J12624" s="63"/>
    </row>
    <row r="12625" spans="9:10" x14ac:dyDescent="0.35">
      <c r="I12625" s="63"/>
      <c r="J12625" s="63"/>
    </row>
    <row r="12626" spans="9:10" x14ac:dyDescent="0.35">
      <c r="I12626" s="63"/>
      <c r="J12626" s="63"/>
    </row>
    <row r="12627" spans="9:10" x14ac:dyDescent="0.35">
      <c r="I12627" s="63"/>
      <c r="J12627" s="63"/>
    </row>
    <row r="12628" spans="9:10" x14ac:dyDescent="0.35">
      <c r="I12628" s="63"/>
      <c r="J12628" s="63"/>
    </row>
    <row r="12629" spans="9:10" x14ac:dyDescent="0.35">
      <c r="I12629" s="63"/>
      <c r="J12629" s="63"/>
    </row>
    <row r="12630" spans="9:10" x14ac:dyDescent="0.35">
      <c r="I12630" s="63"/>
      <c r="J12630" s="63"/>
    </row>
    <row r="12631" spans="9:10" x14ac:dyDescent="0.35">
      <c r="I12631" s="63"/>
      <c r="J12631" s="63"/>
    </row>
    <row r="12632" spans="9:10" x14ac:dyDescent="0.35">
      <c r="I12632" s="63"/>
      <c r="J12632" s="63"/>
    </row>
    <row r="12633" spans="9:10" x14ac:dyDescent="0.35">
      <c r="I12633" s="63"/>
      <c r="J12633" s="63"/>
    </row>
    <row r="12634" spans="9:10" x14ac:dyDescent="0.35">
      <c r="I12634" s="63"/>
      <c r="J12634" s="63"/>
    </row>
    <row r="12635" spans="9:10" x14ac:dyDescent="0.35">
      <c r="I12635" s="63"/>
      <c r="J12635" s="63"/>
    </row>
    <row r="12636" spans="9:10" x14ac:dyDescent="0.35">
      <c r="I12636" s="63"/>
      <c r="J12636" s="63"/>
    </row>
    <row r="12637" spans="9:10" x14ac:dyDescent="0.35">
      <c r="I12637" s="63"/>
      <c r="J12637" s="63"/>
    </row>
    <row r="12638" spans="9:10" x14ac:dyDescent="0.35">
      <c r="I12638" s="63"/>
      <c r="J12638" s="63"/>
    </row>
    <row r="12639" spans="9:10" x14ac:dyDescent="0.35">
      <c r="I12639" s="63"/>
      <c r="J12639" s="63"/>
    </row>
    <row r="12640" spans="9:10" x14ac:dyDescent="0.35">
      <c r="I12640" s="63"/>
      <c r="J12640" s="63"/>
    </row>
    <row r="12641" spans="9:10" x14ac:dyDescent="0.35">
      <c r="I12641" s="63"/>
      <c r="J12641" s="63"/>
    </row>
    <row r="12642" spans="9:10" x14ac:dyDescent="0.35">
      <c r="I12642" s="63"/>
      <c r="J12642" s="63"/>
    </row>
    <row r="12643" spans="9:10" x14ac:dyDescent="0.35">
      <c r="I12643" s="63"/>
      <c r="J12643" s="63"/>
    </row>
    <row r="12644" spans="9:10" x14ac:dyDescent="0.35">
      <c r="I12644" s="63"/>
      <c r="J12644" s="63"/>
    </row>
    <row r="12645" spans="9:10" x14ac:dyDescent="0.35">
      <c r="I12645" s="63"/>
      <c r="J12645" s="63"/>
    </row>
    <row r="12646" spans="9:10" x14ac:dyDescent="0.35">
      <c r="I12646" s="63"/>
      <c r="J12646" s="63"/>
    </row>
    <row r="12647" spans="9:10" x14ac:dyDescent="0.35">
      <c r="I12647" s="63"/>
      <c r="J12647" s="63"/>
    </row>
    <row r="12648" spans="9:10" x14ac:dyDescent="0.35">
      <c r="I12648" s="63"/>
      <c r="J12648" s="63"/>
    </row>
    <row r="12649" spans="9:10" x14ac:dyDescent="0.35">
      <c r="I12649" s="63"/>
      <c r="J12649" s="63"/>
    </row>
    <row r="12650" spans="9:10" x14ac:dyDescent="0.35">
      <c r="I12650" s="63"/>
      <c r="J12650" s="63"/>
    </row>
    <row r="12651" spans="9:10" x14ac:dyDescent="0.35">
      <c r="I12651" s="63"/>
      <c r="J12651" s="63"/>
    </row>
    <row r="12652" spans="9:10" x14ac:dyDescent="0.35">
      <c r="I12652" s="63"/>
      <c r="J12652" s="63"/>
    </row>
    <row r="12653" spans="9:10" x14ac:dyDescent="0.35">
      <c r="I12653" s="63"/>
      <c r="J12653" s="63"/>
    </row>
    <row r="12654" spans="9:10" x14ac:dyDescent="0.35">
      <c r="I12654" s="63"/>
      <c r="J12654" s="63"/>
    </row>
    <row r="12655" spans="9:10" x14ac:dyDescent="0.35">
      <c r="I12655" s="63"/>
      <c r="J12655" s="63"/>
    </row>
    <row r="12656" spans="9:10" x14ac:dyDescent="0.35">
      <c r="I12656" s="63"/>
      <c r="J12656" s="63"/>
    </row>
    <row r="12657" spans="9:10" x14ac:dyDescent="0.35">
      <c r="I12657" s="63"/>
      <c r="J12657" s="63"/>
    </row>
    <row r="12658" spans="9:10" x14ac:dyDescent="0.35">
      <c r="I12658" s="63"/>
      <c r="J12658" s="63"/>
    </row>
    <row r="12659" spans="9:10" x14ac:dyDescent="0.35">
      <c r="I12659" s="63"/>
      <c r="J12659" s="63"/>
    </row>
    <row r="12660" spans="9:10" x14ac:dyDescent="0.35">
      <c r="I12660" s="63"/>
      <c r="J12660" s="63"/>
    </row>
    <row r="12661" spans="9:10" x14ac:dyDescent="0.35">
      <c r="I12661" s="63"/>
      <c r="J12661" s="63"/>
    </row>
    <row r="12662" spans="9:10" x14ac:dyDescent="0.35">
      <c r="I12662" s="63"/>
      <c r="J12662" s="63"/>
    </row>
    <row r="12663" spans="9:10" x14ac:dyDescent="0.35">
      <c r="I12663" s="63"/>
      <c r="J12663" s="63"/>
    </row>
    <row r="12664" spans="9:10" x14ac:dyDescent="0.35">
      <c r="I12664" s="63"/>
      <c r="J12664" s="63"/>
    </row>
    <row r="12665" spans="9:10" x14ac:dyDescent="0.35">
      <c r="I12665" s="63"/>
      <c r="J12665" s="63"/>
    </row>
    <row r="12666" spans="9:10" x14ac:dyDescent="0.35">
      <c r="I12666" s="63"/>
      <c r="J12666" s="63"/>
    </row>
    <row r="12667" spans="9:10" x14ac:dyDescent="0.35">
      <c r="I12667" s="63"/>
      <c r="J12667" s="63"/>
    </row>
    <row r="12668" spans="9:10" x14ac:dyDescent="0.35">
      <c r="I12668" s="63"/>
      <c r="J12668" s="63"/>
    </row>
    <row r="12669" spans="9:10" x14ac:dyDescent="0.35">
      <c r="I12669" s="63"/>
      <c r="J12669" s="63"/>
    </row>
    <row r="12670" spans="9:10" x14ac:dyDescent="0.35">
      <c r="I12670" s="63"/>
      <c r="J12670" s="63"/>
    </row>
    <row r="12671" spans="9:10" x14ac:dyDescent="0.35">
      <c r="I12671" s="63"/>
      <c r="J12671" s="63"/>
    </row>
    <row r="12672" spans="9:10" x14ac:dyDescent="0.35">
      <c r="I12672" s="63"/>
      <c r="J12672" s="63"/>
    </row>
    <row r="12673" spans="9:10" x14ac:dyDescent="0.35">
      <c r="I12673" s="63"/>
      <c r="J12673" s="63"/>
    </row>
    <row r="12674" spans="9:10" x14ac:dyDescent="0.35">
      <c r="I12674" s="63"/>
      <c r="J12674" s="63"/>
    </row>
    <row r="12675" spans="9:10" x14ac:dyDescent="0.35">
      <c r="I12675" s="63"/>
      <c r="J12675" s="63"/>
    </row>
    <row r="12676" spans="9:10" x14ac:dyDescent="0.35">
      <c r="I12676" s="63"/>
      <c r="J12676" s="63"/>
    </row>
    <row r="12677" spans="9:10" x14ac:dyDescent="0.35">
      <c r="I12677" s="63"/>
      <c r="J12677" s="63"/>
    </row>
    <row r="12678" spans="9:10" x14ac:dyDescent="0.35">
      <c r="I12678" s="63"/>
      <c r="J12678" s="63"/>
    </row>
    <row r="12679" spans="9:10" x14ac:dyDescent="0.35">
      <c r="I12679" s="63"/>
      <c r="J12679" s="63"/>
    </row>
    <row r="12680" spans="9:10" x14ac:dyDescent="0.35">
      <c r="I12680" s="63"/>
      <c r="J12680" s="63"/>
    </row>
    <row r="12681" spans="9:10" x14ac:dyDescent="0.35">
      <c r="I12681" s="63"/>
      <c r="J12681" s="63"/>
    </row>
    <row r="12682" spans="9:10" x14ac:dyDescent="0.35">
      <c r="I12682" s="63"/>
      <c r="J12682" s="63"/>
    </row>
    <row r="12683" spans="9:10" x14ac:dyDescent="0.35">
      <c r="I12683" s="63"/>
      <c r="J12683" s="63"/>
    </row>
    <row r="12684" spans="9:10" x14ac:dyDescent="0.35">
      <c r="I12684" s="63"/>
      <c r="J12684" s="63"/>
    </row>
    <row r="12685" spans="9:10" x14ac:dyDescent="0.35">
      <c r="I12685" s="63"/>
      <c r="J12685" s="63"/>
    </row>
    <row r="12686" spans="9:10" x14ac:dyDescent="0.35">
      <c r="I12686" s="63"/>
      <c r="J12686" s="63"/>
    </row>
    <row r="12687" spans="9:10" x14ac:dyDescent="0.35">
      <c r="I12687" s="63"/>
      <c r="J12687" s="63"/>
    </row>
    <row r="12688" spans="9:10" x14ac:dyDescent="0.35">
      <c r="I12688" s="63"/>
      <c r="J12688" s="63"/>
    </row>
    <row r="12689" spans="9:10" x14ac:dyDescent="0.35">
      <c r="I12689" s="63"/>
      <c r="J12689" s="63"/>
    </row>
    <row r="12690" spans="9:10" x14ac:dyDescent="0.35">
      <c r="I12690" s="63"/>
      <c r="J12690" s="63"/>
    </row>
    <row r="12691" spans="9:10" x14ac:dyDescent="0.35">
      <c r="I12691" s="63"/>
      <c r="J12691" s="63"/>
    </row>
    <row r="12692" spans="9:10" x14ac:dyDescent="0.35">
      <c r="I12692" s="63"/>
      <c r="J12692" s="63"/>
    </row>
    <row r="12693" spans="9:10" x14ac:dyDescent="0.35">
      <c r="I12693" s="63"/>
      <c r="J12693" s="63"/>
    </row>
    <row r="12694" spans="9:10" x14ac:dyDescent="0.35">
      <c r="I12694" s="63"/>
      <c r="J12694" s="63"/>
    </row>
    <row r="12695" spans="9:10" x14ac:dyDescent="0.35">
      <c r="I12695" s="63"/>
      <c r="J12695" s="63"/>
    </row>
    <row r="12696" spans="9:10" x14ac:dyDescent="0.35">
      <c r="I12696" s="63"/>
      <c r="J12696" s="63"/>
    </row>
    <row r="12697" spans="9:10" x14ac:dyDescent="0.35">
      <c r="I12697" s="63"/>
      <c r="J12697" s="63"/>
    </row>
    <row r="12698" spans="9:10" x14ac:dyDescent="0.35">
      <c r="I12698" s="63"/>
      <c r="J12698" s="63"/>
    </row>
    <row r="12699" spans="9:10" x14ac:dyDescent="0.35">
      <c r="I12699" s="63"/>
      <c r="J12699" s="63"/>
    </row>
    <row r="12700" spans="9:10" x14ac:dyDescent="0.35">
      <c r="I12700" s="63"/>
      <c r="J12700" s="63"/>
    </row>
    <row r="12701" spans="9:10" x14ac:dyDescent="0.35">
      <c r="I12701" s="63"/>
      <c r="J12701" s="63"/>
    </row>
    <row r="12702" spans="9:10" x14ac:dyDescent="0.35">
      <c r="I12702" s="63"/>
      <c r="J12702" s="63"/>
    </row>
    <row r="12703" spans="9:10" x14ac:dyDescent="0.35">
      <c r="I12703" s="63"/>
      <c r="J12703" s="63"/>
    </row>
    <row r="12704" spans="9:10" x14ac:dyDescent="0.35">
      <c r="I12704" s="63"/>
      <c r="J12704" s="63"/>
    </row>
    <row r="12705" spans="9:10" x14ac:dyDescent="0.35">
      <c r="I12705" s="63"/>
      <c r="J12705" s="63"/>
    </row>
    <row r="12706" spans="9:10" x14ac:dyDescent="0.35">
      <c r="I12706" s="63"/>
      <c r="J12706" s="63"/>
    </row>
    <row r="12707" spans="9:10" x14ac:dyDescent="0.35">
      <c r="I12707" s="63"/>
      <c r="J12707" s="63"/>
    </row>
    <row r="12708" spans="9:10" x14ac:dyDescent="0.35">
      <c r="I12708" s="63"/>
      <c r="J12708" s="63"/>
    </row>
    <row r="12709" spans="9:10" x14ac:dyDescent="0.35">
      <c r="I12709" s="63"/>
      <c r="J12709" s="63"/>
    </row>
    <row r="12710" spans="9:10" x14ac:dyDescent="0.35">
      <c r="I12710" s="63"/>
      <c r="J12710" s="63"/>
    </row>
    <row r="12711" spans="9:10" x14ac:dyDescent="0.35">
      <c r="I12711" s="63"/>
      <c r="J12711" s="63"/>
    </row>
    <row r="12712" spans="9:10" x14ac:dyDescent="0.35">
      <c r="I12712" s="63"/>
      <c r="J12712" s="63"/>
    </row>
    <row r="12713" spans="9:10" x14ac:dyDescent="0.35">
      <c r="I12713" s="63"/>
      <c r="J12713" s="63"/>
    </row>
    <row r="12714" spans="9:10" x14ac:dyDescent="0.35">
      <c r="I12714" s="63"/>
      <c r="J12714" s="63"/>
    </row>
    <row r="12715" spans="9:10" x14ac:dyDescent="0.35">
      <c r="I12715" s="63"/>
      <c r="J12715" s="63"/>
    </row>
    <row r="12716" spans="9:10" x14ac:dyDescent="0.35">
      <c r="I12716" s="63"/>
      <c r="J12716" s="63"/>
    </row>
    <row r="12717" spans="9:10" x14ac:dyDescent="0.35">
      <c r="I12717" s="63"/>
      <c r="J12717" s="63"/>
    </row>
    <row r="12718" spans="9:10" x14ac:dyDescent="0.35">
      <c r="I12718" s="63"/>
      <c r="J12718" s="63"/>
    </row>
    <row r="12719" spans="9:10" x14ac:dyDescent="0.35">
      <c r="I12719" s="63"/>
      <c r="J12719" s="63"/>
    </row>
    <row r="12720" spans="9:10" x14ac:dyDescent="0.35">
      <c r="I12720" s="63"/>
      <c r="J12720" s="63"/>
    </row>
    <row r="12721" spans="9:10" x14ac:dyDescent="0.35">
      <c r="I12721" s="63"/>
      <c r="J12721" s="63"/>
    </row>
    <row r="12722" spans="9:10" x14ac:dyDescent="0.35">
      <c r="I12722" s="63"/>
      <c r="J12722" s="63"/>
    </row>
    <row r="12723" spans="9:10" x14ac:dyDescent="0.35">
      <c r="I12723" s="63"/>
      <c r="J12723" s="63"/>
    </row>
    <row r="12724" spans="9:10" x14ac:dyDescent="0.35">
      <c r="I12724" s="63"/>
      <c r="J12724" s="63"/>
    </row>
    <row r="12725" spans="9:10" x14ac:dyDescent="0.35">
      <c r="I12725" s="63"/>
      <c r="J12725" s="63"/>
    </row>
    <row r="12726" spans="9:10" x14ac:dyDescent="0.35">
      <c r="I12726" s="63"/>
      <c r="J12726" s="63"/>
    </row>
    <row r="12727" spans="9:10" x14ac:dyDescent="0.35">
      <c r="I12727" s="63"/>
      <c r="J12727" s="63"/>
    </row>
    <row r="12728" spans="9:10" x14ac:dyDescent="0.35">
      <c r="I12728" s="63"/>
      <c r="J12728" s="63"/>
    </row>
    <row r="12729" spans="9:10" x14ac:dyDescent="0.35">
      <c r="I12729" s="63"/>
      <c r="J12729" s="63"/>
    </row>
    <row r="12730" spans="9:10" x14ac:dyDescent="0.35">
      <c r="I12730" s="63"/>
      <c r="J12730" s="63"/>
    </row>
    <row r="12731" spans="9:10" x14ac:dyDescent="0.35">
      <c r="I12731" s="63"/>
      <c r="J12731" s="63"/>
    </row>
    <row r="12732" spans="9:10" x14ac:dyDescent="0.35">
      <c r="I12732" s="63"/>
      <c r="J12732" s="63"/>
    </row>
    <row r="12733" spans="9:10" x14ac:dyDescent="0.35">
      <c r="I12733" s="63"/>
      <c r="J12733" s="63"/>
    </row>
    <row r="12734" spans="9:10" x14ac:dyDescent="0.35">
      <c r="I12734" s="63"/>
      <c r="J12734" s="63"/>
    </row>
    <row r="12735" spans="9:10" x14ac:dyDescent="0.35">
      <c r="I12735" s="63"/>
      <c r="J12735" s="63"/>
    </row>
    <row r="12736" spans="9:10" x14ac:dyDescent="0.35">
      <c r="I12736" s="63"/>
      <c r="J12736" s="63"/>
    </row>
    <row r="12737" spans="9:10" x14ac:dyDescent="0.35">
      <c r="I12737" s="63"/>
      <c r="J12737" s="63"/>
    </row>
    <row r="12738" spans="9:10" x14ac:dyDescent="0.35">
      <c r="I12738" s="63"/>
      <c r="J12738" s="63"/>
    </row>
    <row r="12739" spans="9:10" x14ac:dyDescent="0.35">
      <c r="I12739" s="63"/>
      <c r="J12739" s="63"/>
    </row>
    <row r="12740" spans="9:10" x14ac:dyDescent="0.35">
      <c r="I12740" s="63"/>
      <c r="J12740" s="63"/>
    </row>
    <row r="12741" spans="9:10" x14ac:dyDescent="0.35">
      <c r="I12741" s="63"/>
      <c r="J12741" s="63"/>
    </row>
    <row r="12742" spans="9:10" x14ac:dyDescent="0.35">
      <c r="I12742" s="63"/>
      <c r="J12742" s="63"/>
    </row>
    <row r="12743" spans="9:10" x14ac:dyDescent="0.35">
      <c r="I12743" s="63"/>
      <c r="J12743" s="63"/>
    </row>
    <row r="12744" spans="9:10" x14ac:dyDescent="0.35">
      <c r="I12744" s="63"/>
      <c r="J12744" s="63"/>
    </row>
    <row r="12745" spans="9:10" x14ac:dyDescent="0.35">
      <c r="I12745" s="63"/>
      <c r="J12745" s="63"/>
    </row>
    <row r="12746" spans="9:10" x14ac:dyDescent="0.35">
      <c r="I12746" s="63"/>
      <c r="J12746" s="63"/>
    </row>
    <row r="12747" spans="9:10" x14ac:dyDescent="0.35">
      <c r="I12747" s="63"/>
      <c r="J12747" s="63"/>
    </row>
    <row r="12748" spans="9:10" x14ac:dyDescent="0.35">
      <c r="I12748" s="63"/>
      <c r="J12748" s="63"/>
    </row>
    <row r="12749" spans="9:10" x14ac:dyDescent="0.35">
      <c r="I12749" s="63"/>
      <c r="J12749" s="63"/>
    </row>
    <row r="12750" spans="9:10" x14ac:dyDescent="0.35">
      <c r="I12750" s="63"/>
      <c r="J12750" s="63"/>
    </row>
    <row r="12751" spans="9:10" x14ac:dyDescent="0.35">
      <c r="I12751" s="63"/>
      <c r="J12751" s="63"/>
    </row>
    <row r="12752" spans="9:10" x14ac:dyDescent="0.35">
      <c r="I12752" s="63"/>
      <c r="J12752" s="63"/>
    </row>
    <row r="12753" spans="9:10" x14ac:dyDescent="0.35">
      <c r="I12753" s="63"/>
      <c r="J12753" s="63"/>
    </row>
    <row r="12754" spans="9:10" x14ac:dyDescent="0.35">
      <c r="I12754" s="63"/>
      <c r="J12754" s="63"/>
    </row>
    <row r="12755" spans="9:10" x14ac:dyDescent="0.35">
      <c r="I12755" s="63"/>
      <c r="J12755" s="63"/>
    </row>
    <row r="12756" spans="9:10" x14ac:dyDescent="0.35">
      <c r="I12756" s="63"/>
      <c r="J12756" s="63"/>
    </row>
    <row r="12757" spans="9:10" x14ac:dyDescent="0.35">
      <c r="I12757" s="63"/>
      <c r="J12757" s="63"/>
    </row>
    <row r="12758" spans="9:10" x14ac:dyDescent="0.35">
      <c r="I12758" s="63"/>
      <c r="J12758" s="63"/>
    </row>
    <row r="12759" spans="9:10" x14ac:dyDescent="0.35">
      <c r="I12759" s="63"/>
      <c r="J12759" s="63"/>
    </row>
    <row r="12760" spans="9:10" x14ac:dyDescent="0.35">
      <c r="I12760" s="63"/>
      <c r="J12760" s="63"/>
    </row>
    <row r="12761" spans="9:10" x14ac:dyDescent="0.35">
      <c r="I12761" s="63"/>
      <c r="J12761" s="63"/>
    </row>
    <row r="12762" spans="9:10" x14ac:dyDescent="0.35">
      <c r="I12762" s="63"/>
      <c r="J12762" s="63"/>
    </row>
    <row r="12763" spans="9:10" x14ac:dyDescent="0.35">
      <c r="I12763" s="63"/>
      <c r="J12763" s="63"/>
    </row>
    <row r="12764" spans="9:10" x14ac:dyDescent="0.35">
      <c r="I12764" s="63"/>
      <c r="J12764" s="63"/>
    </row>
    <row r="12765" spans="9:10" x14ac:dyDescent="0.35">
      <c r="I12765" s="63"/>
      <c r="J12765" s="63"/>
    </row>
    <row r="12766" spans="9:10" x14ac:dyDescent="0.35">
      <c r="I12766" s="63"/>
      <c r="J12766" s="63"/>
    </row>
    <row r="12767" spans="9:10" x14ac:dyDescent="0.35">
      <c r="I12767" s="63"/>
      <c r="J12767" s="63"/>
    </row>
    <row r="12768" spans="9:10" x14ac:dyDescent="0.35">
      <c r="I12768" s="63"/>
      <c r="J12768" s="63"/>
    </row>
    <row r="12769" spans="9:10" x14ac:dyDescent="0.35">
      <c r="I12769" s="63"/>
      <c r="J12769" s="63"/>
    </row>
    <row r="12770" spans="9:10" x14ac:dyDescent="0.35">
      <c r="I12770" s="63"/>
      <c r="J12770" s="63"/>
    </row>
    <row r="12771" spans="9:10" x14ac:dyDescent="0.35">
      <c r="I12771" s="63"/>
      <c r="J12771" s="63"/>
    </row>
    <row r="12772" spans="9:10" x14ac:dyDescent="0.35">
      <c r="I12772" s="63"/>
      <c r="J12772" s="63"/>
    </row>
    <row r="12773" spans="9:10" x14ac:dyDescent="0.35">
      <c r="I12773" s="63"/>
      <c r="J12773" s="63"/>
    </row>
    <row r="12774" spans="9:10" x14ac:dyDescent="0.35">
      <c r="I12774" s="63"/>
      <c r="J12774" s="63"/>
    </row>
    <row r="12775" spans="9:10" x14ac:dyDescent="0.35">
      <c r="I12775" s="63"/>
      <c r="J12775" s="63"/>
    </row>
    <row r="12776" spans="9:10" x14ac:dyDescent="0.35">
      <c r="I12776" s="63"/>
      <c r="J12776" s="63"/>
    </row>
    <row r="12777" spans="9:10" x14ac:dyDescent="0.35">
      <c r="I12777" s="63"/>
      <c r="J12777" s="63"/>
    </row>
    <row r="12778" spans="9:10" x14ac:dyDescent="0.35">
      <c r="I12778" s="63"/>
      <c r="J12778" s="63"/>
    </row>
    <row r="12779" spans="9:10" x14ac:dyDescent="0.35">
      <c r="I12779" s="63"/>
      <c r="J12779" s="63"/>
    </row>
    <row r="12780" spans="9:10" x14ac:dyDescent="0.35">
      <c r="I12780" s="63"/>
      <c r="J12780" s="63"/>
    </row>
    <row r="12781" spans="9:10" x14ac:dyDescent="0.35">
      <c r="I12781" s="63"/>
      <c r="J12781" s="63"/>
    </row>
    <row r="12782" spans="9:10" x14ac:dyDescent="0.35">
      <c r="I12782" s="63"/>
      <c r="J12782" s="63"/>
    </row>
    <row r="12783" spans="9:10" x14ac:dyDescent="0.35">
      <c r="I12783" s="63"/>
      <c r="J12783" s="63"/>
    </row>
    <row r="12784" spans="9:10" x14ac:dyDescent="0.35">
      <c r="I12784" s="63"/>
      <c r="J12784" s="63"/>
    </row>
    <row r="12785" spans="9:10" x14ac:dyDescent="0.35">
      <c r="I12785" s="63"/>
      <c r="J12785" s="63"/>
    </row>
    <row r="12786" spans="9:10" x14ac:dyDescent="0.35">
      <c r="I12786" s="63"/>
      <c r="J12786" s="63"/>
    </row>
    <row r="12787" spans="9:10" x14ac:dyDescent="0.35">
      <c r="I12787" s="63"/>
      <c r="J12787" s="63"/>
    </row>
    <row r="12788" spans="9:10" x14ac:dyDescent="0.35">
      <c r="I12788" s="63"/>
      <c r="J12788" s="63"/>
    </row>
    <row r="12789" spans="9:10" x14ac:dyDescent="0.35">
      <c r="I12789" s="63"/>
      <c r="J12789" s="63"/>
    </row>
    <row r="12790" spans="9:10" x14ac:dyDescent="0.35">
      <c r="I12790" s="63"/>
      <c r="J12790" s="63"/>
    </row>
    <row r="12791" spans="9:10" x14ac:dyDescent="0.35">
      <c r="I12791" s="63"/>
      <c r="J12791" s="63"/>
    </row>
    <row r="12792" spans="9:10" x14ac:dyDescent="0.35">
      <c r="I12792" s="63"/>
      <c r="J12792" s="63"/>
    </row>
    <row r="12793" spans="9:10" x14ac:dyDescent="0.35">
      <c r="I12793" s="63"/>
      <c r="J12793" s="63"/>
    </row>
    <row r="12794" spans="9:10" x14ac:dyDescent="0.35">
      <c r="I12794" s="63"/>
      <c r="J12794" s="63"/>
    </row>
    <row r="12795" spans="9:10" x14ac:dyDescent="0.35">
      <c r="I12795" s="63"/>
      <c r="J12795" s="63"/>
    </row>
    <row r="12796" spans="9:10" x14ac:dyDescent="0.35">
      <c r="I12796" s="63"/>
      <c r="J12796" s="63"/>
    </row>
    <row r="12797" spans="9:10" x14ac:dyDescent="0.35">
      <c r="I12797" s="63"/>
      <c r="J12797" s="63"/>
    </row>
    <row r="12798" spans="9:10" x14ac:dyDescent="0.35">
      <c r="I12798" s="63"/>
      <c r="J12798" s="63"/>
    </row>
    <row r="12799" spans="9:10" x14ac:dyDescent="0.35">
      <c r="I12799" s="63"/>
      <c r="J12799" s="63"/>
    </row>
    <row r="12800" spans="9:10" x14ac:dyDescent="0.35">
      <c r="I12800" s="63"/>
      <c r="J12800" s="63"/>
    </row>
    <row r="12801" spans="9:10" x14ac:dyDescent="0.35">
      <c r="I12801" s="63"/>
      <c r="J12801" s="63"/>
    </row>
    <row r="12802" spans="9:10" x14ac:dyDescent="0.35">
      <c r="I12802" s="63"/>
      <c r="J12802" s="63"/>
    </row>
    <row r="12803" spans="9:10" x14ac:dyDescent="0.35">
      <c r="I12803" s="63"/>
      <c r="J12803" s="63"/>
    </row>
    <row r="12804" spans="9:10" x14ac:dyDescent="0.35">
      <c r="I12804" s="63"/>
      <c r="J12804" s="63"/>
    </row>
    <row r="12805" spans="9:10" x14ac:dyDescent="0.35">
      <c r="I12805" s="63"/>
      <c r="J12805" s="63"/>
    </row>
    <row r="12806" spans="9:10" x14ac:dyDescent="0.35">
      <c r="I12806" s="63"/>
      <c r="J12806" s="63"/>
    </row>
    <row r="12807" spans="9:10" x14ac:dyDescent="0.35">
      <c r="I12807" s="63"/>
      <c r="J12807" s="63"/>
    </row>
    <row r="12808" spans="9:10" x14ac:dyDescent="0.35">
      <c r="I12808" s="63"/>
      <c r="J12808" s="63"/>
    </row>
    <row r="12809" spans="9:10" x14ac:dyDescent="0.35">
      <c r="I12809" s="63"/>
      <c r="J12809" s="63"/>
    </row>
    <row r="12810" spans="9:10" x14ac:dyDescent="0.35">
      <c r="I12810" s="63"/>
      <c r="J12810" s="63"/>
    </row>
    <row r="12811" spans="9:10" x14ac:dyDescent="0.35">
      <c r="I12811" s="63"/>
      <c r="J12811" s="63"/>
    </row>
    <row r="12812" spans="9:10" x14ac:dyDescent="0.35">
      <c r="I12812" s="63"/>
      <c r="J12812" s="63"/>
    </row>
    <row r="12813" spans="9:10" x14ac:dyDescent="0.35">
      <c r="I12813" s="63"/>
      <c r="J12813" s="63"/>
    </row>
    <row r="12814" spans="9:10" x14ac:dyDescent="0.35">
      <c r="I12814" s="63"/>
      <c r="J12814" s="63"/>
    </row>
    <row r="12815" spans="9:10" x14ac:dyDescent="0.35">
      <c r="I12815" s="63"/>
      <c r="J12815" s="63"/>
    </row>
    <row r="12816" spans="9:10" x14ac:dyDescent="0.35">
      <c r="I12816" s="63"/>
      <c r="J12816" s="63"/>
    </row>
    <row r="12817" spans="9:10" x14ac:dyDescent="0.35">
      <c r="I12817" s="63"/>
      <c r="J12817" s="63"/>
    </row>
    <row r="12818" spans="9:10" x14ac:dyDescent="0.35">
      <c r="I12818" s="63"/>
      <c r="J12818" s="63"/>
    </row>
    <row r="12819" spans="9:10" x14ac:dyDescent="0.35">
      <c r="I12819" s="63"/>
      <c r="J12819" s="63"/>
    </row>
    <row r="12820" spans="9:10" x14ac:dyDescent="0.35">
      <c r="I12820" s="63"/>
      <c r="J12820" s="63"/>
    </row>
    <row r="12821" spans="9:10" x14ac:dyDescent="0.35">
      <c r="I12821" s="63"/>
      <c r="J12821" s="63"/>
    </row>
    <row r="12822" spans="9:10" x14ac:dyDescent="0.35">
      <c r="I12822" s="63"/>
      <c r="J12822" s="63"/>
    </row>
    <row r="12823" spans="9:10" x14ac:dyDescent="0.35">
      <c r="I12823" s="63"/>
      <c r="J12823" s="63"/>
    </row>
    <row r="12824" spans="9:10" x14ac:dyDescent="0.35">
      <c r="I12824" s="63"/>
      <c r="J12824" s="63"/>
    </row>
    <row r="12825" spans="9:10" x14ac:dyDescent="0.35">
      <c r="I12825" s="63"/>
      <c r="J12825" s="63"/>
    </row>
    <row r="12826" spans="9:10" x14ac:dyDescent="0.35">
      <c r="I12826" s="63"/>
      <c r="J12826" s="63"/>
    </row>
    <row r="12827" spans="9:10" x14ac:dyDescent="0.35">
      <c r="I12827" s="63"/>
      <c r="J12827" s="63"/>
    </row>
    <row r="12828" spans="9:10" x14ac:dyDescent="0.35">
      <c r="I12828" s="63"/>
      <c r="J12828" s="63"/>
    </row>
    <row r="12829" spans="9:10" x14ac:dyDescent="0.35">
      <c r="I12829" s="63"/>
      <c r="J12829" s="63"/>
    </row>
    <row r="12830" spans="9:10" x14ac:dyDescent="0.35">
      <c r="I12830" s="63"/>
      <c r="J12830" s="63"/>
    </row>
    <row r="12831" spans="9:10" x14ac:dyDescent="0.35">
      <c r="I12831" s="63"/>
      <c r="J12831" s="63"/>
    </row>
    <row r="12832" spans="9:10" x14ac:dyDescent="0.35">
      <c r="I12832" s="63"/>
      <c r="J12832" s="63"/>
    </row>
    <row r="12833" spans="9:10" x14ac:dyDescent="0.35">
      <c r="I12833" s="63"/>
      <c r="J12833" s="63"/>
    </row>
    <row r="12834" spans="9:10" x14ac:dyDescent="0.35">
      <c r="I12834" s="63"/>
      <c r="J12834" s="63"/>
    </row>
    <row r="12835" spans="9:10" x14ac:dyDescent="0.35">
      <c r="I12835" s="63"/>
      <c r="J12835" s="63"/>
    </row>
    <row r="12836" spans="9:10" x14ac:dyDescent="0.35">
      <c r="I12836" s="63"/>
      <c r="J12836" s="63"/>
    </row>
    <row r="12837" spans="9:10" x14ac:dyDescent="0.35">
      <c r="I12837" s="63"/>
      <c r="J12837" s="63"/>
    </row>
    <row r="12838" spans="9:10" x14ac:dyDescent="0.35">
      <c r="I12838" s="63"/>
      <c r="J12838" s="63"/>
    </row>
    <row r="12839" spans="9:10" x14ac:dyDescent="0.35">
      <c r="I12839" s="63"/>
      <c r="J12839" s="63"/>
    </row>
    <row r="12840" spans="9:10" x14ac:dyDescent="0.35">
      <c r="I12840" s="63"/>
      <c r="J12840" s="63"/>
    </row>
    <row r="12841" spans="9:10" x14ac:dyDescent="0.35">
      <c r="I12841" s="63"/>
      <c r="J12841" s="63"/>
    </row>
    <row r="12842" spans="9:10" x14ac:dyDescent="0.35">
      <c r="I12842" s="63"/>
      <c r="J12842" s="63"/>
    </row>
    <row r="12843" spans="9:10" x14ac:dyDescent="0.35">
      <c r="I12843" s="63"/>
      <c r="J12843" s="63"/>
    </row>
    <row r="12844" spans="9:10" x14ac:dyDescent="0.35">
      <c r="I12844" s="63"/>
      <c r="J12844" s="63"/>
    </row>
    <row r="12845" spans="9:10" x14ac:dyDescent="0.35">
      <c r="I12845" s="63"/>
      <c r="J12845" s="63"/>
    </row>
    <row r="12846" spans="9:10" x14ac:dyDescent="0.35">
      <c r="I12846" s="63"/>
      <c r="J12846" s="63"/>
    </row>
    <row r="12847" spans="9:10" x14ac:dyDescent="0.35">
      <c r="I12847" s="63"/>
      <c r="J12847" s="63"/>
    </row>
    <row r="12848" spans="9:10" x14ac:dyDescent="0.35">
      <c r="I12848" s="63"/>
      <c r="J12848" s="63"/>
    </row>
    <row r="12849" spans="9:10" x14ac:dyDescent="0.35">
      <c r="I12849" s="63"/>
      <c r="J12849" s="63"/>
    </row>
    <row r="12850" spans="9:10" x14ac:dyDescent="0.35">
      <c r="I12850" s="63"/>
      <c r="J12850" s="63"/>
    </row>
    <row r="12851" spans="9:10" x14ac:dyDescent="0.35">
      <c r="I12851" s="63"/>
      <c r="J12851" s="63"/>
    </row>
    <row r="12852" spans="9:10" x14ac:dyDescent="0.35">
      <c r="I12852" s="63"/>
      <c r="J12852" s="63"/>
    </row>
    <row r="12853" spans="9:10" x14ac:dyDescent="0.35">
      <c r="I12853" s="63"/>
      <c r="J12853" s="63"/>
    </row>
    <row r="12854" spans="9:10" x14ac:dyDescent="0.35">
      <c r="I12854" s="63"/>
      <c r="J12854" s="63"/>
    </row>
    <row r="12855" spans="9:10" x14ac:dyDescent="0.35">
      <c r="I12855" s="63"/>
      <c r="J12855" s="63"/>
    </row>
    <row r="12856" spans="9:10" x14ac:dyDescent="0.35">
      <c r="I12856" s="63"/>
      <c r="J12856" s="63"/>
    </row>
    <row r="12857" spans="9:10" x14ac:dyDescent="0.35">
      <c r="I12857" s="63"/>
      <c r="J12857" s="63"/>
    </row>
    <row r="12858" spans="9:10" x14ac:dyDescent="0.35">
      <c r="I12858" s="63"/>
      <c r="J12858" s="63"/>
    </row>
    <row r="12859" spans="9:10" x14ac:dyDescent="0.35">
      <c r="I12859" s="63"/>
      <c r="J12859" s="63"/>
    </row>
    <row r="12860" spans="9:10" x14ac:dyDescent="0.35">
      <c r="I12860" s="63"/>
      <c r="J12860" s="63"/>
    </row>
    <row r="12861" spans="9:10" x14ac:dyDescent="0.35">
      <c r="I12861" s="63"/>
      <c r="J12861" s="63"/>
    </row>
    <row r="12862" spans="9:10" x14ac:dyDescent="0.35">
      <c r="I12862" s="63"/>
      <c r="J12862" s="63"/>
    </row>
    <row r="12863" spans="9:10" x14ac:dyDescent="0.35">
      <c r="I12863" s="63"/>
      <c r="J12863" s="63"/>
    </row>
    <row r="12864" spans="9:10" x14ac:dyDescent="0.35">
      <c r="I12864" s="63"/>
      <c r="J12864" s="63"/>
    </row>
    <row r="12865" spans="9:10" x14ac:dyDescent="0.35">
      <c r="I12865" s="63"/>
      <c r="J12865" s="63"/>
    </row>
    <row r="12866" spans="9:10" x14ac:dyDescent="0.35">
      <c r="I12866" s="63"/>
      <c r="J12866" s="63"/>
    </row>
    <row r="12867" spans="9:10" x14ac:dyDescent="0.35">
      <c r="I12867" s="63"/>
      <c r="J12867" s="63"/>
    </row>
    <row r="12868" spans="9:10" x14ac:dyDescent="0.35">
      <c r="I12868" s="63"/>
      <c r="J12868" s="63"/>
    </row>
    <row r="12869" spans="9:10" x14ac:dyDescent="0.35">
      <c r="I12869" s="63"/>
      <c r="J12869" s="63"/>
    </row>
    <row r="12870" spans="9:10" x14ac:dyDescent="0.35">
      <c r="I12870" s="63"/>
      <c r="J12870" s="63"/>
    </row>
    <row r="12871" spans="9:10" x14ac:dyDescent="0.35">
      <c r="I12871" s="63"/>
      <c r="J12871" s="63"/>
    </row>
    <row r="12872" spans="9:10" x14ac:dyDescent="0.35">
      <c r="I12872" s="63"/>
      <c r="J12872" s="63"/>
    </row>
    <row r="12873" spans="9:10" x14ac:dyDescent="0.35">
      <c r="I12873" s="63"/>
      <c r="J12873" s="63"/>
    </row>
    <row r="12874" spans="9:10" x14ac:dyDescent="0.35">
      <c r="I12874" s="63"/>
      <c r="J12874" s="63"/>
    </row>
    <row r="12875" spans="9:10" x14ac:dyDescent="0.35">
      <c r="I12875" s="63"/>
      <c r="J12875" s="63"/>
    </row>
    <row r="12876" spans="9:10" x14ac:dyDescent="0.35">
      <c r="I12876" s="63"/>
      <c r="J12876" s="63"/>
    </row>
    <row r="12877" spans="9:10" x14ac:dyDescent="0.35">
      <c r="I12877" s="63"/>
      <c r="J12877" s="63"/>
    </row>
    <row r="12878" spans="9:10" x14ac:dyDescent="0.35">
      <c r="I12878" s="63"/>
      <c r="J12878" s="63"/>
    </row>
    <row r="12879" spans="9:10" x14ac:dyDescent="0.35">
      <c r="I12879" s="63"/>
      <c r="J12879" s="63"/>
    </row>
    <row r="12880" spans="9:10" x14ac:dyDescent="0.35">
      <c r="I12880" s="63"/>
      <c r="J12880" s="63"/>
    </row>
    <row r="12881" spans="9:10" x14ac:dyDescent="0.35">
      <c r="I12881" s="63"/>
      <c r="J12881" s="63"/>
    </row>
    <row r="12882" spans="9:10" x14ac:dyDescent="0.35">
      <c r="I12882" s="63"/>
      <c r="J12882" s="63"/>
    </row>
    <row r="12883" spans="9:10" x14ac:dyDescent="0.35">
      <c r="I12883" s="63"/>
      <c r="J12883" s="63"/>
    </row>
    <row r="12884" spans="9:10" x14ac:dyDescent="0.35">
      <c r="I12884" s="63"/>
      <c r="J12884" s="63"/>
    </row>
    <row r="12885" spans="9:10" x14ac:dyDescent="0.35">
      <c r="I12885" s="63"/>
      <c r="J12885" s="63"/>
    </row>
    <row r="12886" spans="9:10" x14ac:dyDescent="0.35">
      <c r="I12886" s="63"/>
      <c r="J12886" s="63"/>
    </row>
    <row r="12887" spans="9:10" x14ac:dyDescent="0.35">
      <c r="I12887" s="63"/>
      <c r="J12887" s="63"/>
    </row>
    <row r="12888" spans="9:10" x14ac:dyDescent="0.35">
      <c r="I12888" s="63"/>
      <c r="J12888" s="63"/>
    </row>
    <row r="12889" spans="9:10" x14ac:dyDescent="0.35">
      <c r="I12889" s="63"/>
      <c r="J12889" s="63"/>
    </row>
    <row r="12890" spans="9:10" x14ac:dyDescent="0.35">
      <c r="I12890" s="63"/>
      <c r="J12890" s="63"/>
    </row>
    <row r="12891" spans="9:10" x14ac:dyDescent="0.35">
      <c r="I12891" s="63"/>
      <c r="J12891" s="63"/>
    </row>
    <row r="12892" spans="9:10" x14ac:dyDescent="0.35">
      <c r="I12892" s="63"/>
      <c r="J12892" s="63"/>
    </row>
    <row r="12893" spans="9:10" x14ac:dyDescent="0.35">
      <c r="I12893" s="63"/>
      <c r="J12893" s="63"/>
    </row>
    <row r="12894" spans="9:10" x14ac:dyDescent="0.35">
      <c r="I12894" s="63"/>
      <c r="J12894" s="63"/>
    </row>
    <row r="12895" spans="9:10" x14ac:dyDescent="0.35">
      <c r="I12895" s="63"/>
      <c r="J12895" s="63"/>
    </row>
    <row r="12896" spans="9:10" x14ac:dyDescent="0.35">
      <c r="I12896" s="63"/>
      <c r="J12896" s="63"/>
    </row>
    <row r="12897" spans="9:10" x14ac:dyDescent="0.35">
      <c r="I12897" s="63"/>
      <c r="J12897" s="63"/>
    </row>
    <row r="12898" spans="9:10" x14ac:dyDescent="0.35">
      <c r="I12898" s="63"/>
      <c r="J12898" s="63"/>
    </row>
    <row r="12899" spans="9:10" x14ac:dyDescent="0.35">
      <c r="I12899" s="63"/>
      <c r="J12899" s="63"/>
    </row>
    <row r="12900" spans="9:10" x14ac:dyDescent="0.35">
      <c r="I12900" s="63"/>
      <c r="J12900" s="63"/>
    </row>
    <row r="12901" spans="9:10" x14ac:dyDescent="0.35">
      <c r="I12901" s="63"/>
      <c r="J12901" s="63"/>
    </row>
    <row r="12902" spans="9:10" x14ac:dyDescent="0.35">
      <c r="I12902" s="63"/>
      <c r="J12902" s="63"/>
    </row>
    <row r="12903" spans="9:10" x14ac:dyDescent="0.35">
      <c r="I12903" s="63"/>
      <c r="J12903" s="63"/>
    </row>
    <row r="12904" spans="9:10" x14ac:dyDescent="0.35">
      <c r="I12904" s="63"/>
      <c r="J12904" s="63"/>
    </row>
    <row r="12905" spans="9:10" x14ac:dyDescent="0.35">
      <c r="I12905" s="63"/>
      <c r="J12905" s="63"/>
    </row>
    <row r="12906" spans="9:10" x14ac:dyDescent="0.35">
      <c r="I12906" s="63"/>
      <c r="J12906" s="63"/>
    </row>
    <row r="12907" spans="9:10" x14ac:dyDescent="0.35">
      <c r="I12907" s="63"/>
      <c r="J12907" s="63"/>
    </row>
    <row r="12908" spans="9:10" x14ac:dyDescent="0.35">
      <c r="I12908" s="63"/>
      <c r="J12908" s="63"/>
    </row>
    <row r="12909" spans="9:10" x14ac:dyDescent="0.35">
      <c r="I12909" s="63"/>
      <c r="J12909" s="63"/>
    </row>
    <row r="12910" spans="9:10" x14ac:dyDescent="0.35">
      <c r="I12910" s="63"/>
      <c r="J12910" s="63"/>
    </row>
    <row r="12911" spans="9:10" x14ac:dyDescent="0.35">
      <c r="I12911" s="63"/>
      <c r="J12911" s="63"/>
    </row>
    <row r="12912" spans="9:10" x14ac:dyDescent="0.35">
      <c r="I12912" s="63"/>
      <c r="J12912" s="63"/>
    </row>
    <row r="12913" spans="9:10" x14ac:dyDescent="0.35">
      <c r="I12913" s="63"/>
      <c r="J12913" s="63"/>
    </row>
    <row r="12914" spans="9:10" x14ac:dyDescent="0.35">
      <c r="I12914" s="63"/>
      <c r="J12914" s="63"/>
    </row>
    <row r="12915" spans="9:10" x14ac:dyDescent="0.35">
      <c r="I12915" s="63"/>
      <c r="J12915" s="63"/>
    </row>
    <row r="12916" spans="9:10" x14ac:dyDescent="0.35">
      <c r="I12916" s="63"/>
      <c r="J12916" s="63"/>
    </row>
    <row r="12917" spans="9:10" x14ac:dyDescent="0.35">
      <c r="I12917" s="63"/>
      <c r="J12917" s="63"/>
    </row>
    <row r="12918" spans="9:10" x14ac:dyDescent="0.35">
      <c r="I12918" s="63"/>
      <c r="J12918" s="63"/>
    </row>
    <row r="12919" spans="9:10" x14ac:dyDescent="0.35">
      <c r="I12919" s="63"/>
      <c r="J12919" s="63"/>
    </row>
    <row r="12920" spans="9:10" x14ac:dyDescent="0.35">
      <c r="I12920" s="63"/>
      <c r="J12920" s="63"/>
    </row>
    <row r="12921" spans="9:10" x14ac:dyDescent="0.35">
      <c r="I12921" s="63"/>
      <c r="J12921" s="63"/>
    </row>
    <row r="12922" spans="9:10" x14ac:dyDescent="0.35">
      <c r="I12922" s="63"/>
      <c r="J12922" s="63"/>
    </row>
    <row r="12923" spans="9:10" x14ac:dyDescent="0.35">
      <c r="I12923" s="63"/>
      <c r="J12923" s="63"/>
    </row>
    <row r="12924" spans="9:10" x14ac:dyDescent="0.35">
      <c r="I12924" s="63"/>
      <c r="J12924" s="63"/>
    </row>
    <row r="12925" spans="9:10" x14ac:dyDescent="0.35">
      <c r="I12925" s="63"/>
      <c r="J12925" s="63"/>
    </row>
    <row r="12926" spans="9:10" x14ac:dyDescent="0.35">
      <c r="I12926" s="63"/>
      <c r="J12926" s="63"/>
    </row>
    <row r="12927" spans="9:10" x14ac:dyDescent="0.35">
      <c r="I12927" s="63"/>
      <c r="J12927" s="63"/>
    </row>
    <row r="12928" spans="9:10" x14ac:dyDescent="0.35">
      <c r="I12928" s="63"/>
      <c r="J12928" s="63"/>
    </row>
    <row r="12929" spans="9:10" x14ac:dyDescent="0.35">
      <c r="I12929" s="63"/>
      <c r="J12929" s="63"/>
    </row>
    <row r="12930" spans="9:10" x14ac:dyDescent="0.35">
      <c r="I12930" s="63"/>
      <c r="J12930" s="63"/>
    </row>
    <row r="12931" spans="9:10" x14ac:dyDescent="0.35">
      <c r="I12931" s="63"/>
      <c r="J12931" s="63"/>
    </row>
    <row r="12932" spans="9:10" x14ac:dyDescent="0.35">
      <c r="I12932" s="63"/>
      <c r="J12932" s="63"/>
    </row>
    <row r="12933" spans="9:10" x14ac:dyDescent="0.35">
      <c r="I12933" s="63"/>
      <c r="J12933" s="63"/>
    </row>
    <row r="12934" spans="9:10" x14ac:dyDescent="0.35">
      <c r="I12934" s="63"/>
      <c r="J12934" s="63"/>
    </row>
    <row r="12935" spans="9:10" x14ac:dyDescent="0.35">
      <c r="I12935" s="63"/>
      <c r="J12935" s="63"/>
    </row>
    <row r="12936" spans="9:10" x14ac:dyDescent="0.35">
      <c r="I12936" s="63"/>
      <c r="J12936" s="63"/>
    </row>
    <row r="12937" spans="9:10" x14ac:dyDescent="0.35">
      <c r="I12937" s="63"/>
      <c r="J12937" s="63"/>
    </row>
    <row r="12938" spans="9:10" x14ac:dyDescent="0.35">
      <c r="I12938" s="63"/>
      <c r="J12938" s="63"/>
    </row>
    <row r="12939" spans="9:10" x14ac:dyDescent="0.35">
      <c r="I12939" s="63"/>
      <c r="J12939" s="63"/>
    </row>
    <row r="12940" spans="9:10" x14ac:dyDescent="0.35">
      <c r="I12940" s="63"/>
      <c r="J12940" s="63"/>
    </row>
    <row r="12941" spans="9:10" x14ac:dyDescent="0.35">
      <c r="I12941" s="63"/>
      <c r="J12941" s="63"/>
    </row>
    <row r="12942" spans="9:10" x14ac:dyDescent="0.35">
      <c r="I12942" s="63"/>
      <c r="J12942" s="63"/>
    </row>
    <row r="12943" spans="9:10" x14ac:dyDescent="0.35">
      <c r="I12943" s="63"/>
      <c r="J12943" s="63"/>
    </row>
    <row r="12944" spans="9:10" x14ac:dyDescent="0.35">
      <c r="I12944" s="63"/>
      <c r="J12944" s="63"/>
    </row>
    <row r="12945" spans="9:10" x14ac:dyDescent="0.35">
      <c r="I12945" s="63"/>
      <c r="J12945" s="63"/>
    </row>
    <row r="12946" spans="9:10" x14ac:dyDescent="0.35">
      <c r="I12946" s="63"/>
      <c r="J12946" s="63"/>
    </row>
    <row r="12947" spans="9:10" x14ac:dyDescent="0.35">
      <c r="I12947" s="63"/>
      <c r="J12947" s="63"/>
    </row>
    <row r="12948" spans="9:10" x14ac:dyDescent="0.35">
      <c r="I12948" s="63"/>
      <c r="J12948" s="63"/>
    </row>
    <row r="12949" spans="9:10" x14ac:dyDescent="0.35">
      <c r="I12949" s="63"/>
      <c r="J12949" s="63"/>
    </row>
    <row r="12950" spans="9:10" x14ac:dyDescent="0.35">
      <c r="I12950" s="63"/>
      <c r="J12950" s="63"/>
    </row>
    <row r="12951" spans="9:10" x14ac:dyDescent="0.35">
      <c r="I12951" s="63"/>
      <c r="J12951" s="63"/>
    </row>
    <row r="12952" spans="9:10" x14ac:dyDescent="0.35">
      <c r="I12952" s="63"/>
      <c r="J12952" s="63"/>
    </row>
    <row r="12953" spans="9:10" x14ac:dyDescent="0.35">
      <c r="I12953" s="63"/>
      <c r="J12953" s="63"/>
    </row>
    <row r="12954" spans="9:10" x14ac:dyDescent="0.35">
      <c r="I12954" s="63"/>
      <c r="J12954" s="63"/>
    </row>
    <row r="12955" spans="9:10" x14ac:dyDescent="0.35">
      <c r="I12955" s="63"/>
      <c r="J12955" s="63"/>
    </row>
    <row r="12956" spans="9:10" x14ac:dyDescent="0.35">
      <c r="I12956" s="63"/>
      <c r="J12956" s="63"/>
    </row>
    <row r="12957" spans="9:10" x14ac:dyDescent="0.35">
      <c r="I12957" s="63"/>
      <c r="J12957" s="63"/>
    </row>
    <row r="12958" spans="9:10" x14ac:dyDescent="0.35">
      <c r="I12958" s="63"/>
      <c r="J12958" s="63"/>
    </row>
    <row r="12959" spans="9:10" x14ac:dyDescent="0.35">
      <c r="I12959" s="63"/>
      <c r="J12959" s="63"/>
    </row>
    <row r="12960" spans="9:10" x14ac:dyDescent="0.35">
      <c r="I12960" s="63"/>
      <c r="J12960" s="63"/>
    </row>
    <row r="12961" spans="9:10" x14ac:dyDescent="0.35">
      <c r="I12961" s="63"/>
      <c r="J12961" s="63"/>
    </row>
    <row r="12962" spans="9:10" x14ac:dyDescent="0.35">
      <c r="I12962" s="63"/>
      <c r="J12962" s="63"/>
    </row>
    <row r="12963" spans="9:10" x14ac:dyDescent="0.35">
      <c r="I12963" s="63"/>
      <c r="J12963" s="63"/>
    </row>
    <row r="12964" spans="9:10" x14ac:dyDescent="0.35">
      <c r="I12964" s="63"/>
      <c r="J12964" s="63"/>
    </row>
    <row r="12965" spans="9:10" x14ac:dyDescent="0.35">
      <c r="I12965" s="63"/>
      <c r="J12965" s="63"/>
    </row>
    <row r="12966" spans="9:10" x14ac:dyDescent="0.35">
      <c r="I12966" s="63"/>
      <c r="J12966" s="63"/>
    </row>
    <row r="12967" spans="9:10" x14ac:dyDescent="0.35">
      <c r="I12967" s="63"/>
      <c r="J12967" s="63"/>
    </row>
    <row r="12968" spans="9:10" x14ac:dyDescent="0.35">
      <c r="I12968" s="63"/>
      <c r="J12968" s="63"/>
    </row>
    <row r="12969" spans="9:10" x14ac:dyDescent="0.35">
      <c r="I12969" s="63"/>
      <c r="J12969" s="63"/>
    </row>
    <row r="12970" spans="9:10" x14ac:dyDescent="0.35">
      <c r="I12970" s="63"/>
      <c r="J12970" s="63"/>
    </row>
    <row r="12971" spans="9:10" x14ac:dyDescent="0.35">
      <c r="I12971" s="63"/>
      <c r="J12971" s="63"/>
    </row>
    <row r="12972" spans="9:10" x14ac:dyDescent="0.35">
      <c r="I12972" s="63"/>
      <c r="J12972" s="63"/>
    </row>
    <row r="12973" spans="9:10" x14ac:dyDescent="0.35">
      <c r="I12973" s="63"/>
      <c r="J12973" s="63"/>
    </row>
    <row r="12974" spans="9:10" x14ac:dyDescent="0.35">
      <c r="I12974" s="63"/>
      <c r="J12974" s="63"/>
    </row>
    <row r="12975" spans="9:10" x14ac:dyDescent="0.35">
      <c r="I12975" s="63"/>
      <c r="J12975" s="63"/>
    </row>
    <row r="12976" spans="9:10" x14ac:dyDescent="0.35">
      <c r="I12976" s="63"/>
      <c r="J12976" s="63"/>
    </row>
    <row r="12977" spans="9:10" x14ac:dyDescent="0.35">
      <c r="I12977" s="63"/>
      <c r="J12977" s="63"/>
    </row>
    <row r="12978" spans="9:10" x14ac:dyDescent="0.35">
      <c r="I12978" s="63"/>
      <c r="J12978" s="63"/>
    </row>
    <row r="12979" spans="9:10" x14ac:dyDescent="0.35">
      <c r="I12979" s="63"/>
      <c r="J12979" s="63"/>
    </row>
    <row r="12980" spans="9:10" x14ac:dyDescent="0.35">
      <c r="I12980" s="63"/>
      <c r="J12980" s="63"/>
    </row>
    <row r="12981" spans="9:10" x14ac:dyDescent="0.35">
      <c r="I12981" s="63"/>
      <c r="J12981" s="63"/>
    </row>
    <row r="12982" spans="9:10" x14ac:dyDescent="0.35">
      <c r="I12982" s="63"/>
      <c r="J12982" s="63"/>
    </row>
    <row r="12983" spans="9:10" x14ac:dyDescent="0.35">
      <c r="I12983" s="63"/>
      <c r="J12983" s="63"/>
    </row>
    <row r="12984" spans="9:10" x14ac:dyDescent="0.35">
      <c r="I12984" s="63"/>
      <c r="J12984" s="63"/>
    </row>
    <row r="12985" spans="9:10" x14ac:dyDescent="0.35">
      <c r="I12985" s="63"/>
      <c r="J12985" s="63"/>
    </row>
    <row r="12986" spans="9:10" x14ac:dyDescent="0.35">
      <c r="I12986" s="63"/>
      <c r="J12986" s="63"/>
    </row>
    <row r="12987" spans="9:10" x14ac:dyDescent="0.35">
      <c r="I12987" s="63"/>
      <c r="J12987" s="63"/>
    </row>
    <row r="12988" spans="9:10" x14ac:dyDescent="0.35">
      <c r="I12988" s="63"/>
      <c r="J12988" s="63"/>
    </row>
    <row r="12989" spans="9:10" x14ac:dyDescent="0.35">
      <c r="I12989" s="63"/>
      <c r="J12989" s="63"/>
    </row>
    <row r="12990" spans="9:10" x14ac:dyDescent="0.35">
      <c r="I12990" s="63"/>
      <c r="J12990" s="63"/>
    </row>
    <row r="12991" spans="9:10" x14ac:dyDescent="0.35">
      <c r="I12991" s="63"/>
      <c r="J12991" s="63"/>
    </row>
    <row r="12992" spans="9:10" x14ac:dyDescent="0.35">
      <c r="I12992" s="63"/>
      <c r="J12992" s="63"/>
    </row>
    <row r="12993" spans="9:10" x14ac:dyDescent="0.35">
      <c r="I12993" s="63"/>
      <c r="J12993" s="63"/>
    </row>
    <row r="12994" spans="9:10" x14ac:dyDescent="0.35">
      <c r="I12994" s="63"/>
      <c r="J12994" s="63"/>
    </row>
    <row r="12995" spans="9:10" x14ac:dyDescent="0.35">
      <c r="I12995" s="63"/>
      <c r="J12995" s="63"/>
    </row>
    <row r="12996" spans="9:10" x14ac:dyDescent="0.35">
      <c r="I12996" s="63"/>
      <c r="J12996" s="63"/>
    </row>
    <row r="12997" spans="9:10" x14ac:dyDescent="0.35">
      <c r="I12997" s="63"/>
      <c r="J12997" s="63"/>
    </row>
    <row r="12998" spans="9:10" x14ac:dyDescent="0.35">
      <c r="I12998" s="63"/>
      <c r="J12998" s="63"/>
    </row>
    <row r="12999" spans="9:10" x14ac:dyDescent="0.35">
      <c r="I12999" s="63"/>
      <c r="J12999" s="63"/>
    </row>
    <row r="13000" spans="9:10" x14ac:dyDescent="0.35">
      <c r="I13000" s="63"/>
      <c r="J13000" s="63"/>
    </row>
    <row r="13001" spans="9:10" x14ac:dyDescent="0.35">
      <c r="I13001" s="63"/>
      <c r="J13001" s="63"/>
    </row>
    <row r="13002" spans="9:10" x14ac:dyDescent="0.35">
      <c r="I13002" s="63"/>
      <c r="J13002" s="63"/>
    </row>
    <row r="13003" spans="9:10" x14ac:dyDescent="0.35">
      <c r="I13003" s="63"/>
      <c r="J13003" s="63"/>
    </row>
    <row r="13004" spans="9:10" x14ac:dyDescent="0.35">
      <c r="I13004" s="63"/>
      <c r="J13004" s="63"/>
    </row>
    <row r="13005" spans="9:10" x14ac:dyDescent="0.35">
      <c r="I13005" s="63"/>
      <c r="J13005" s="63"/>
    </row>
    <row r="13006" spans="9:10" x14ac:dyDescent="0.35">
      <c r="I13006" s="63"/>
      <c r="J13006" s="63"/>
    </row>
    <row r="13007" spans="9:10" x14ac:dyDescent="0.35">
      <c r="I13007" s="63"/>
      <c r="J13007" s="63"/>
    </row>
    <row r="13008" spans="9:10" x14ac:dyDescent="0.35">
      <c r="I13008" s="63"/>
      <c r="J13008" s="63"/>
    </row>
    <row r="13009" spans="9:10" x14ac:dyDescent="0.35">
      <c r="I13009" s="63"/>
      <c r="J13009" s="63"/>
    </row>
    <row r="13010" spans="9:10" x14ac:dyDescent="0.35">
      <c r="I13010" s="63"/>
      <c r="J13010" s="63"/>
    </row>
    <row r="13011" spans="9:10" x14ac:dyDescent="0.35">
      <c r="I13011" s="63"/>
      <c r="J13011" s="63"/>
    </row>
    <row r="13012" spans="9:10" x14ac:dyDescent="0.35">
      <c r="I13012" s="63"/>
      <c r="J13012" s="63"/>
    </row>
    <row r="13013" spans="9:10" x14ac:dyDescent="0.35">
      <c r="I13013" s="63"/>
      <c r="J13013" s="63"/>
    </row>
    <row r="13014" spans="9:10" x14ac:dyDescent="0.35">
      <c r="I13014" s="63"/>
      <c r="J13014" s="63"/>
    </row>
    <row r="13015" spans="9:10" x14ac:dyDescent="0.35">
      <c r="I13015" s="63"/>
      <c r="J13015" s="63"/>
    </row>
    <row r="13016" spans="9:10" x14ac:dyDescent="0.35">
      <c r="I13016" s="63"/>
      <c r="J13016" s="63"/>
    </row>
    <row r="13017" spans="9:10" x14ac:dyDescent="0.35">
      <c r="I13017" s="63"/>
      <c r="J13017" s="63"/>
    </row>
    <row r="13018" spans="9:10" x14ac:dyDescent="0.35">
      <c r="I13018" s="63"/>
      <c r="J13018" s="63"/>
    </row>
    <row r="13019" spans="9:10" x14ac:dyDescent="0.35">
      <c r="I13019" s="63"/>
      <c r="J13019" s="63"/>
    </row>
    <row r="13020" spans="9:10" x14ac:dyDescent="0.35">
      <c r="I13020" s="63"/>
      <c r="J13020" s="63"/>
    </row>
    <row r="13021" spans="9:10" x14ac:dyDescent="0.35">
      <c r="I13021" s="63"/>
      <c r="J13021" s="63"/>
    </row>
    <row r="13022" spans="9:10" x14ac:dyDescent="0.35">
      <c r="I13022" s="63"/>
      <c r="J13022" s="63"/>
    </row>
    <row r="13023" spans="9:10" x14ac:dyDescent="0.35">
      <c r="I13023" s="63"/>
      <c r="J13023" s="63"/>
    </row>
    <row r="13024" spans="9:10" x14ac:dyDescent="0.35">
      <c r="I13024" s="63"/>
      <c r="J13024" s="63"/>
    </row>
    <row r="13025" spans="9:10" x14ac:dyDescent="0.35">
      <c r="I13025" s="63"/>
      <c r="J13025" s="63"/>
    </row>
    <row r="13026" spans="9:10" x14ac:dyDescent="0.35">
      <c r="I13026" s="63"/>
      <c r="J13026" s="63"/>
    </row>
    <row r="13027" spans="9:10" x14ac:dyDescent="0.35">
      <c r="I13027" s="63"/>
      <c r="J13027" s="63"/>
    </row>
    <row r="13028" spans="9:10" x14ac:dyDescent="0.35">
      <c r="I13028" s="63"/>
      <c r="J13028" s="63"/>
    </row>
    <row r="13029" spans="9:10" x14ac:dyDescent="0.35">
      <c r="I13029" s="63"/>
      <c r="J13029" s="63"/>
    </row>
    <row r="13030" spans="9:10" x14ac:dyDescent="0.35">
      <c r="I13030" s="63"/>
      <c r="J13030" s="63"/>
    </row>
    <row r="13031" spans="9:10" x14ac:dyDescent="0.35">
      <c r="I13031" s="63"/>
      <c r="J13031" s="63"/>
    </row>
    <row r="13032" spans="9:10" x14ac:dyDescent="0.35">
      <c r="I13032" s="63"/>
      <c r="J13032" s="63"/>
    </row>
    <row r="13033" spans="9:10" x14ac:dyDescent="0.35">
      <c r="I13033" s="63"/>
      <c r="J13033" s="63"/>
    </row>
    <row r="13034" spans="9:10" x14ac:dyDescent="0.35">
      <c r="I13034" s="63"/>
      <c r="J13034" s="63"/>
    </row>
    <row r="13035" spans="9:10" x14ac:dyDescent="0.35">
      <c r="I13035" s="63"/>
      <c r="J13035" s="63"/>
    </row>
    <row r="13036" spans="9:10" x14ac:dyDescent="0.35">
      <c r="I13036" s="63"/>
      <c r="J13036" s="63"/>
    </row>
    <row r="13037" spans="9:10" x14ac:dyDescent="0.35">
      <c r="I13037" s="63"/>
      <c r="J13037" s="63"/>
    </row>
    <row r="13038" spans="9:10" x14ac:dyDescent="0.35">
      <c r="I13038" s="63"/>
      <c r="J13038" s="63"/>
    </row>
    <row r="13039" spans="9:10" x14ac:dyDescent="0.35">
      <c r="I13039" s="63"/>
      <c r="J13039" s="63"/>
    </row>
    <row r="13040" spans="9:10" x14ac:dyDescent="0.35">
      <c r="I13040" s="63"/>
      <c r="J13040" s="63"/>
    </row>
    <row r="13041" spans="9:10" x14ac:dyDescent="0.35">
      <c r="I13041" s="63"/>
      <c r="J13041" s="63"/>
    </row>
    <row r="13042" spans="9:10" x14ac:dyDescent="0.35">
      <c r="I13042" s="63"/>
      <c r="J13042" s="63"/>
    </row>
    <row r="13043" spans="9:10" x14ac:dyDescent="0.35">
      <c r="I13043" s="63"/>
      <c r="J13043" s="63"/>
    </row>
    <row r="13044" spans="9:10" x14ac:dyDescent="0.35">
      <c r="I13044" s="63"/>
      <c r="J13044" s="63"/>
    </row>
    <row r="13045" spans="9:10" x14ac:dyDescent="0.35">
      <c r="I13045" s="63"/>
      <c r="J13045" s="63"/>
    </row>
    <row r="13046" spans="9:10" x14ac:dyDescent="0.35">
      <c r="I13046" s="63"/>
      <c r="J13046" s="63"/>
    </row>
    <row r="13047" spans="9:10" x14ac:dyDescent="0.35">
      <c r="I13047" s="63"/>
      <c r="J13047" s="63"/>
    </row>
    <row r="13048" spans="9:10" x14ac:dyDescent="0.35">
      <c r="I13048" s="63"/>
      <c r="J13048" s="63"/>
    </row>
    <row r="13049" spans="9:10" x14ac:dyDescent="0.35">
      <c r="I13049" s="63"/>
      <c r="J13049" s="63"/>
    </row>
    <row r="13050" spans="9:10" x14ac:dyDescent="0.35">
      <c r="I13050" s="63"/>
      <c r="J13050" s="63"/>
    </row>
    <row r="13051" spans="9:10" x14ac:dyDescent="0.35">
      <c r="I13051" s="63"/>
      <c r="J13051" s="63"/>
    </row>
    <row r="13052" spans="9:10" x14ac:dyDescent="0.35">
      <c r="I13052" s="63"/>
      <c r="J13052" s="63"/>
    </row>
    <row r="13053" spans="9:10" x14ac:dyDescent="0.35">
      <c r="I13053" s="63"/>
      <c r="J13053" s="63"/>
    </row>
    <row r="13054" spans="9:10" x14ac:dyDescent="0.35">
      <c r="I13054" s="63"/>
      <c r="J13054" s="63"/>
    </row>
    <row r="13055" spans="9:10" x14ac:dyDescent="0.35">
      <c r="I13055" s="63"/>
      <c r="J13055" s="63"/>
    </row>
    <row r="13056" spans="9:10" x14ac:dyDescent="0.35">
      <c r="I13056" s="63"/>
      <c r="J13056" s="63"/>
    </row>
    <row r="13057" spans="9:10" x14ac:dyDescent="0.35">
      <c r="I13057" s="63"/>
      <c r="J13057" s="63"/>
    </row>
    <row r="13058" spans="9:10" x14ac:dyDescent="0.35">
      <c r="I13058" s="63"/>
      <c r="J13058" s="63"/>
    </row>
    <row r="13059" spans="9:10" x14ac:dyDescent="0.35">
      <c r="I13059" s="63"/>
      <c r="J13059" s="63"/>
    </row>
    <row r="13060" spans="9:10" x14ac:dyDescent="0.35">
      <c r="I13060" s="63"/>
      <c r="J13060" s="63"/>
    </row>
    <row r="13061" spans="9:10" x14ac:dyDescent="0.35">
      <c r="I13061" s="63"/>
      <c r="J13061" s="63"/>
    </row>
    <row r="13062" spans="9:10" x14ac:dyDescent="0.35">
      <c r="I13062" s="63"/>
      <c r="J13062" s="63"/>
    </row>
    <row r="13063" spans="9:10" x14ac:dyDescent="0.35">
      <c r="I13063" s="63"/>
      <c r="J13063" s="63"/>
    </row>
    <row r="13064" spans="9:10" x14ac:dyDescent="0.35">
      <c r="I13064" s="63"/>
      <c r="J13064" s="63"/>
    </row>
    <row r="13065" spans="9:10" x14ac:dyDescent="0.35">
      <c r="I13065" s="63"/>
      <c r="J13065" s="63"/>
    </row>
    <row r="13066" spans="9:10" x14ac:dyDescent="0.35">
      <c r="I13066" s="63"/>
      <c r="J13066" s="63"/>
    </row>
    <row r="13067" spans="9:10" x14ac:dyDescent="0.35">
      <c r="I13067" s="63"/>
      <c r="J13067" s="63"/>
    </row>
    <row r="13068" spans="9:10" x14ac:dyDescent="0.35">
      <c r="I13068" s="63"/>
      <c r="J13068" s="63"/>
    </row>
    <row r="13069" spans="9:10" x14ac:dyDescent="0.35">
      <c r="I13069" s="63"/>
      <c r="J13069" s="63"/>
    </row>
    <row r="13070" spans="9:10" x14ac:dyDescent="0.35">
      <c r="I13070" s="63"/>
      <c r="J13070" s="63"/>
    </row>
    <row r="13071" spans="9:10" x14ac:dyDescent="0.35">
      <c r="I13071" s="63"/>
      <c r="J13071" s="63"/>
    </row>
    <row r="13072" spans="9:10" x14ac:dyDescent="0.35">
      <c r="I13072" s="63"/>
      <c r="J13072" s="63"/>
    </row>
    <row r="13073" spans="9:10" x14ac:dyDescent="0.35">
      <c r="I13073" s="63"/>
      <c r="J13073" s="63"/>
    </row>
    <row r="13074" spans="9:10" x14ac:dyDescent="0.35">
      <c r="I13074" s="63"/>
      <c r="J13074" s="63"/>
    </row>
    <row r="13075" spans="9:10" x14ac:dyDescent="0.35">
      <c r="I13075" s="63"/>
      <c r="J13075" s="63"/>
    </row>
    <row r="13076" spans="9:10" x14ac:dyDescent="0.35">
      <c r="I13076" s="63"/>
      <c r="J13076" s="63"/>
    </row>
    <row r="13077" spans="9:10" x14ac:dyDescent="0.35">
      <c r="I13077" s="63"/>
      <c r="J13077" s="63"/>
    </row>
    <row r="13078" spans="9:10" x14ac:dyDescent="0.35">
      <c r="I13078" s="63"/>
      <c r="J13078" s="63"/>
    </row>
    <row r="13079" spans="9:10" x14ac:dyDescent="0.35">
      <c r="I13079" s="63"/>
      <c r="J13079" s="63"/>
    </row>
    <row r="13080" spans="9:10" x14ac:dyDescent="0.35">
      <c r="I13080" s="63"/>
      <c r="J13080" s="63"/>
    </row>
    <row r="13081" spans="9:10" x14ac:dyDescent="0.35">
      <c r="I13081" s="63"/>
      <c r="J13081" s="63"/>
    </row>
    <row r="13082" spans="9:10" x14ac:dyDescent="0.35">
      <c r="I13082" s="63"/>
      <c r="J13082" s="63"/>
    </row>
    <row r="13083" spans="9:10" x14ac:dyDescent="0.35">
      <c r="I13083" s="63"/>
      <c r="J13083" s="63"/>
    </row>
    <row r="13084" spans="9:10" x14ac:dyDescent="0.35">
      <c r="I13084" s="63"/>
      <c r="J13084" s="63"/>
    </row>
    <row r="13085" spans="9:10" x14ac:dyDescent="0.35">
      <c r="I13085" s="63"/>
      <c r="J13085" s="63"/>
    </row>
    <row r="13086" spans="9:10" x14ac:dyDescent="0.35">
      <c r="I13086" s="63"/>
      <c r="J13086" s="63"/>
    </row>
    <row r="13087" spans="9:10" x14ac:dyDescent="0.35">
      <c r="I13087" s="63"/>
      <c r="J13087" s="63"/>
    </row>
    <row r="13088" spans="9:10" x14ac:dyDescent="0.35">
      <c r="I13088" s="63"/>
      <c r="J13088" s="63"/>
    </row>
    <row r="13089" spans="9:10" x14ac:dyDescent="0.35">
      <c r="I13089" s="63"/>
      <c r="J13089" s="63"/>
    </row>
    <row r="13090" spans="9:10" x14ac:dyDescent="0.35">
      <c r="I13090" s="63"/>
      <c r="J13090" s="63"/>
    </row>
    <row r="13091" spans="9:10" x14ac:dyDescent="0.35">
      <c r="I13091" s="63"/>
      <c r="J13091" s="63"/>
    </row>
    <row r="13092" spans="9:10" x14ac:dyDescent="0.35">
      <c r="I13092" s="63"/>
      <c r="J13092" s="63"/>
    </row>
    <row r="13093" spans="9:10" x14ac:dyDescent="0.35">
      <c r="I13093" s="63"/>
      <c r="J13093" s="63"/>
    </row>
    <row r="13094" spans="9:10" x14ac:dyDescent="0.35">
      <c r="I13094" s="63"/>
      <c r="J13094" s="63"/>
    </row>
    <row r="13095" spans="9:10" x14ac:dyDescent="0.35">
      <c r="I13095" s="63"/>
      <c r="J13095" s="63"/>
    </row>
    <row r="13096" spans="9:10" x14ac:dyDescent="0.35">
      <c r="I13096" s="63"/>
      <c r="J13096" s="63"/>
    </row>
    <row r="13097" spans="9:10" x14ac:dyDescent="0.35">
      <c r="I13097" s="63"/>
      <c r="J13097" s="63"/>
    </row>
    <row r="13098" spans="9:10" x14ac:dyDescent="0.35">
      <c r="I13098" s="63"/>
      <c r="J13098" s="63"/>
    </row>
    <row r="13099" spans="9:10" x14ac:dyDescent="0.35">
      <c r="I13099" s="63"/>
      <c r="J13099" s="63"/>
    </row>
    <row r="13100" spans="9:10" x14ac:dyDescent="0.35">
      <c r="I13100" s="63"/>
      <c r="J13100" s="63"/>
    </row>
    <row r="13101" spans="9:10" x14ac:dyDescent="0.35">
      <c r="I13101" s="63"/>
      <c r="J13101" s="63"/>
    </row>
    <row r="13102" spans="9:10" x14ac:dyDescent="0.35">
      <c r="I13102" s="63"/>
      <c r="J13102" s="63"/>
    </row>
    <row r="13103" spans="9:10" x14ac:dyDescent="0.35">
      <c r="I13103" s="63"/>
      <c r="J13103" s="63"/>
    </row>
    <row r="13104" spans="9:10" x14ac:dyDescent="0.35">
      <c r="I13104" s="63"/>
      <c r="J13104" s="63"/>
    </row>
    <row r="13105" spans="9:10" x14ac:dyDescent="0.35">
      <c r="I13105" s="63"/>
      <c r="J13105" s="63"/>
    </row>
    <row r="13106" spans="9:10" x14ac:dyDescent="0.35">
      <c r="I13106" s="63"/>
      <c r="J13106" s="63"/>
    </row>
    <row r="13107" spans="9:10" x14ac:dyDescent="0.35">
      <c r="I13107" s="63"/>
      <c r="J13107" s="63"/>
    </row>
    <row r="13108" spans="9:10" x14ac:dyDescent="0.35">
      <c r="I13108" s="63"/>
      <c r="J13108" s="63"/>
    </row>
    <row r="13109" spans="9:10" x14ac:dyDescent="0.35">
      <c r="I13109" s="63"/>
      <c r="J13109" s="63"/>
    </row>
    <row r="13110" spans="9:10" x14ac:dyDescent="0.35">
      <c r="I13110" s="63"/>
      <c r="J13110" s="63"/>
    </row>
    <row r="13111" spans="9:10" x14ac:dyDescent="0.35">
      <c r="I13111" s="63"/>
      <c r="J13111" s="63"/>
    </row>
    <row r="13112" spans="9:10" x14ac:dyDescent="0.35">
      <c r="I13112" s="63"/>
      <c r="J13112" s="63"/>
    </row>
    <row r="13113" spans="9:10" x14ac:dyDescent="0.35">
      <c r="I13113" s="63"/>
      <c r="J13113" s="63"/>
    </row>
    <row r="13114" spans="9:10" x14ac:dyDescent="0.35">
      <c r="I13114" s="63"/>
      <c r="J13114" s="63"/>
    </row>
    <row r="13115" spans="9:10" x14ac:dyDescent="0.35">
      <c r="I13115" s="63"/>
      <c r="J13115" s="63"/>
    </row>
    <row r="13116" spans="9:10" x14ac:dyDescent="0.35">
      <c r="I13116" s="63"/>
      <c r="J13116" s="63"/>
    </row>
    <row r="13117" spans="9:10" x14ac:dyDescent="0.35">
      <c r="I13117" s="63"/>
      <c r="J13117" s="63"/>
    </row>
    <row r="13118" spans="9:10" x14ac:dyDescent="0.35">
      <c r="I13118" s="63"/>
      <c r="J13118" s="63"/>
    </row>
    <row r="13119" spans="9:10" x14ac:dyDescent="0.35">
      <c r="I13119" s="63"/>
      <c r="J13119" s="63"/>
    </row>
    <row r="13120" spans="9:10" x14ac:dyDescent="0.35">
      <c r="I13120" s="63"/>
      <c r="J13120" s="63"/>
    </row>
    <row r="13121" spans="9:10" x14ac:dyDescent="0.35">
      <c r="I13121" s="63"/>
      <c r="J13121" s="63"/>
    </row>
    <row r="13122" spans="9:10" x14ac:dyDescent="0.35">
      <c r="I13122" s="63"/>
      <c r="J13122" s="63"/>
    </row>
    <row r="13123" spans="9:10" x14ac:dyDescent="0.35">
      <c r="I13123" s="63"/>
      <c r="J13123" s="63"/>
    </row>
    <row r="13124" spans="9:10" x14ac:dyDescent="0.35">
      <c r="I13124" s="63"/>
      <c r="J13124" s="63"/>
    </row>
    <row r="13125" spans="9:10" x14ac:dyDescent="0.35">
      <c r="I13125" s="63"/>
      <c r="J13125" s="63"/>
    </row>
    <row r="13126" spans="9:10" x14ac:dyDescent="0.35">
      <c r="I13126" s="63"/>
      <c r="J13126" s="63"/>
    </row>
    <row r="13127" spans="9:10" x14ac:dyDescent="0.35">
      <c r="I13127" s="63"/>
      <c r="J13127" s="63"/>
    </row>
    <row r="13128" spans="9:10" x14ac:dyDescent="0.35">
      <c r="I13128" s="63"/>
      <c r="J13128" s="63"/>
    </row>
    <row r="13129" spans="9:10" x14ac:dyDescent="0.35">
      <c r="I13129" s="63"/>
      <c r="J13129" s="63"/>
    </row>
    <row r="13130" spans="9:10" x14ac:dyDescent="0.35">
      <c r="I13130" s="63"/>
      <c r="J13130" s="63"/>
    </row>
    <row r="13131" spans="9:10" x14ac:dyDescent="0.35">
      <c r="I13131" s="63"/>
      <c r="J13131" s="63"/>
    </row>
    <row r="13132" spans="9:10" x14ac:dyDescent="0.35">
      <c r="I13132" s="63"/>
      <c r="J13132" s="63"/>
    </row>
    <row r="13133" spans="9:10" x14ac:dyDescent="0.35">
      <c r="I13133" s="63"/>
      <c r="J13133" s="63"/>
    </row>
    <row r="13134" spans="9:10" x14ac:dyDescent="0.35">
      <c r="I13134" s="63"/>
      <c r="J13134" s="63"/>
    </row>
    <row r="13135" spans="9:10" x14ac:dyDescent="0.35">
      <c r="I13135" s="63"/>
      <c r="J13135" s="63"/>
    </row>
    <row r="13136" spans="9:10" x14ac:dyDescent="0.35">
      <c r="I13136" s="63"/>
      <c r="J13136" s="63"/>
    </row>
    <row r="13137" spans="9:10" x14ac:dyDescent="0.35">
      <c r="I13137" s="63"/>
      <c r="J13137" s="63"/>
    </row>
    <row r="13138" spans="9:10" x14ac:dyDescent="0.35">
      <c r="I13138" s="63"/>
      <c r="J13138" s="63"/>
    </row>
    <row r="13139" spans="9:10" x14ac:dyDescent="0.35">
      <c r="I13139" s="63"/>
      <c r="J13139" s="63"/>
    </row>
    <row r="13140" spans="9:10" x14ac:dyDescent="0.35">
      <c r="I13140" s="63"/>
      <c r="J13140" s="63"/>
    </row>
    <row r="13141" spans="9:10" x14ac:dyDescent="0.35">
      <c r="I13141" s="63"/>
      <c r="J13141" s="63"/>
    </row>
    <row r="13142" spans="9:10" x14ac:dyDescent="0.35">
      <c r="I13142" s="63"/>
      <c r="J13142" s="63"/>
    </row>
    <row r="13143" spans="9:10" x14ac:dyDescent="0.35">
      <c r="I13143" s="63"/>
      <c r="J13143" s="63"/>
    </row>
    <row r="13144" spans="9:10" x14ac:dyDescent="0.35">
      <c r="I13144" s="63"/>
      <c r="J13144" s="63"/>
    </row>
    <row r="13145" spans="9:10" x14ac:dyDescent="0.35">
      <c r="I13145" s="63"/>
      <c r="J13145" s="63"/>
    </row>
    <row r="13146" spans="9:10" x14ac:dyDescent="0.35">
      <c r="I13146" s="63"/>
      <c r="J13146" s="63"/>
    </row>
    <row r="13147" spans="9:10" x14ac:dyDescent="0.35">
      <c r="I13147" s="63"/>
      <c r="J13147" s="63"/>
    </row>
    <row r="13148" spans="9:10" x14ac:dyDescent="0.35">
      <c r="I13148" s="63"/>
      <c r="J13148" s="63"/>
    </row>
    <row r="13149" spans="9:10" x14ac:dyDescent="0.35">
      <c r="I13149" s="63"/>
      <c r="J13149" s="63"/>
    </row>
    <row r="13150" spans="9:10" x14ac:dyDescent="0.35">
      <c r="I13150" s="63"/>
      <c r="J13150" s="63"/>
    </row>
    <row r="13151" spans="9:10" x14ac:dyDescent="0.35">
      <c r="I13151" s="63"/>
      <c r="J13151" s="63"/>
    </row>
    <row r="13152" spans="9:10" x14ac:dyDescent="0.35">
      <c r="I13152" s="63"/>
      <c r="J13152" s="63"/>
    </row>
    <row r="13153" spans="9:10" x14ac:dyDescent="0.35">
      <c r="I13153" s="63"/>
      <c r="J13153" s="63"/>
    </row>
    <row r="13154" spans="9:10" x14ac:dyDescent="0.35">
      <c r="I13154" s="63"/>
      <c r="J13154" s="63"/>
    </row>
    <row r="13155" spans="9:10" x14ac:dyDescent="0.35">
      <c r="I13155" s="63"/>
      <c r="J13155" s="63"/>
    </row>
    <row r="13156" spans="9:10" x14ac:dyDescent="0.35">
      <c r="I13156" s="63"/>
      <c r="J13156" s="63"/>
    </row>
    <row r="13157" spans="9:10" x14ac:dyDescent="0.35">
      <c r="I13157" s="63"/>
      <c r="J13157" s="63"/>
    </row>
    <row r="13158" spans="9:10" x14ac:dyDescent="0.35">
      <c r="I13158" s="63"/>
      <c r="J13158" s="63"/>
    </row>
    <row r="13159" spans="9:10" x14ac:dyDescent="0.35">
      <c r="I13159" s="63"/>
      <c r="J13159" s="63"/>
    </row>
    <row r="13160" spans="9:10" x14ac:dyDescent="0.35">
      <c r="I13160" s="63"/>
      <c r="J13160" s="63"/>
    </row>
    <row r="13161" spans="9:10" x14ac:dyDescent="0.35">
      <c r="I13161" s="63"/>
      <c r="J13161" s="63"/>
    </row>
    <row r="13162" spans="9:10" x14ac:dyDescent="0.35">
      <c r="I13162" s="63"/>
      <c r="J13162" s="63"/>
    </row>
    <row r="13163" spans="9:10" x14ac:dyDescent="0.35">
      <c r="I13163" s="63"/>
      <c r="J13163" s="63"/>
    </row>
    <row r="13164" spans="9:10" x14ac:dyDescent="0.35">
      <c r="I13164" s="63"/>
      <c r="J13164" s="63"/>
    </row>
    <row r="13165" spans="9:10" x14ac:dyDescent="0.35">
      <c r="I13165" s="63"/>
      <c r="J13165" s="63"/>
    </row>
    <row r="13166" spans="9:10" x14ac:dyDescent="0.35">
      <c r="I13166" s="63"/>
      <c r="J13166" s="63"/>
    </row>
    <row r="13167" spans="9:10" x14ac:dyDescent="0.35">
      <c r="I13167" s="63"/>
      <c r="J13167" s="63"/>
    </row>
    <row r="13168" spans="9:10" x14ac:dyDescent="0.35">
      <c r="I13168" s="63"/>
      <c r="J13168" s="63"/>
    </row>
    <row r="13169" spans="9:10" x14ac:dyDescent="0.35">
      <c r="I13169" s="63"/>
      <c r="J13169" s="63"/>
    </row>
    <row r="13170" spans="9:10" x14ac:dyDescent="0.35">
      <c r="I13170" s="63"/>
      <c r="J13170" s="63"/>
    </row>
    <row r="13171" spans="9:10" x14ac:dyDescent="0.35">
      <c r="I13171" s="63"/>
      <c r="J13171" s="63"/>
    </row>
    <row r="13172" spans="9:10" x14ac:dyDescent="0.35">
      <c r="I13172" s="63"/>
      <c r="J13172" s="63"/>
    </row>
    <row r="13173" spans="9:10" x14ac:dyDescent="0.35">
      <c r="I13173" s="63"/>
      <c r="J13173" s="63"/>
    </row>
    <row r="13174" spans="9:10" x14ac:dyDescent="0.35">
      <c r="I13174" s="63"/>
      <c r="J13174" s="63"/>
    </row>
    <row r="13175" spans="9:10" x14ac:dyDescent="0.35">
      <c r="I13175" s="63"/>
      <c r="J13175" s="63"/>
    </row>
    <row r="13176" spans="9:10" x14ac:dyDescent="0.35">
      <c r="I13176" s="63"/>
      <c r="J13176" s="63"/>
    </row>
    <row r="13177" spans="9:10" x14ac:dyDescent="0.35">
      <c r="I13177" s="63"/>
      <c r="J13177" s="63"/>
    </row>
    <row r="13178" spans="9:10" x14ac:dyDescent="0.35">
      <c r="I13178" s="63"/>
      <c r="J13178" s="63"/>
    </row>
    <row r="13179" spans="9:10" x14ac:dyDescent="0.35">
      <c r="I13179" s="63"/>
      <c r="J13179" s="63"/>
    </row>
    <row r="13180" spans="9:10" x14ac:dyDescent="0.35">
      <c r="I13180" s="63"/>
      <c r="J13180" s="63"/>
    </row>
    <row r="13181" spans="9:10" x14ac:dyDescent="0.35">
      <c r="I13181" s="63"/>
      <c r="J13181" s="63"/>
    </row>
    <row r="13182" spans="9:10" x14ac:dyDescent="0.35">
      <c r="I13182" s="63"/>
      <c r="J13182" s="63"/>
    </row>
    <row r="13183" spans="9:10" x14ac:dyDescent="0.35">
      <c r="I13183" s="63"/>
      <c r="J13183" s="63"/>
    </row>
    <row r="13184" spans="9:10" x14ac:dyDescent="0.35">
      <c r="I13184" s="63"/>
      <c r="J13184" s="63"/>
    </row>
    <row r="13185" spans="9:10" x14ac:dyDescent="0.35">
      <c r="I13185" s="63"/>
      <c r="J13185" s="63"/>
    </row>
    <row r="13186" spans="9:10" x14ac:dyDescent="0.35">
      <c r="I13186" s="63"/>
      <c r="J13186" s="63"/>
    </row>
    <row r="13187" spans="9:10" x14ac:dyDescent="0.35">
      <c r="I13187" s="63"/>
      <c r="J13187" s="63"/>
    </row>
    <row r="13188" spans="9:10" x14ac:dyDescent="0.35">
      <c r="I13188" s="63"/>
      <c r="J13188" s="63"/>
    </row>
    <row r="13189" spans="9:10" x14ac:dyDescent="0.35">
      <c r="I13189" s="63"/>
      <c r="J13189" s="63"/>
    </row>
    <row r="13190" spans="9:10" x14ac:dyDescent="0.35">
      <c r="I13190" s="63"/>
      <c r="J13190" s="63"/>
    </row>
    <row r="13191" spans="9:10" x14ac:dyDescent="0.35">
      <c r="I13191" s="63"/>
      <c r="J13191" s="63"/>
    </row>
    <row r="13192" spans="9:10" x14ac:dyDescent="0.35">
      <c r="I13192" s="63"/>
      <c r="J13192" s="63"/>
    </row>
    <row r="13193" spans="9:10" x14ac:dyDescent="0.35">
      <c r="I13193" s="63"/>
      <c r="J13193" s="63"/>
    </row>
    <row r="13194" spans="9:10" x14ac:dyDescent="0.35">
      <c r="I13194" s="63"/>
      <c r="J13194" s="63"/>
    </row>
    <row r="13195" spans="9:10" x14ac:dyDescent="0.35">
      <c r="I13195" s="63"/>
      <c r="J13195" s="63"/>
    </row>
    <row r="13196" spans="9:10" x14ac:dyDescent="0.35">
      <c r="I13196" s="63"/>
      <c r="J13196" s="63"/>
    </row>
    <row r="13197" spans="9:10" x14ac:dyDescent="0.35">
      <c r="I13197" s="63"/>
      <c r="J13197" s="63"/>
    </row>
    <row r="13198" spans="9:10" x14ac:dyDescent="0.35">
      <c r="I13198" s="63"/>
      <c r="J13198" s="63"/>
    </row>
    <row r="13199" spans="9:10" x14ac:dyDescent="0.35">
      <c r="I13199" s="63"/>
      <c r="J13199" s="63"/>
    </row>
    <row r="13200" spans="9:10" x14ac:dyDescent="0.35">
      <c r="I13200" s="63"/>
      <c r="J13200" s="63"/>
    </row>
    <row r="13201" spans="9:10" x14ac:dyDescent="0.35">
      <c r="I13201" s="63"/>
      <c r="J13201" s="63"/>
    </row>
    <row r="13202" spans="9:10" x14ac:dyDescent="0.35">
      <c r="I13202" s="63"/>
      <c r="J13202" s="63"/>
    </row>
    <row r="13203" spans="9:10" x14ac:dyDescent="0.35">
      <c r="I13203" s="63"/>
      <c r="J13203" s="63"/>
    </row>
    <row r="13204" spans="9:10" x14ac:dyDescent="0.35">
      <c r="I13204" s="63"/>
      <c r="J13204" s="63"/>
    </row>
    <row r="13205" spans="9:10" x14ac:dyDescent="0.35">
      <c r="I13205" s="63"/>
      <c r="J13205" s="63"/>
    </row>
    <row r="13206" spans="9:10" x14ac:dyDescent="0.35">
      <c r="I13206" s="63"/>
      <c r="J13206" s="63"/>
    </row>
    <row r="13207" spans="9:10" x14ac:dyDescent="0.35">
      <c r="I13207" s="63"/>
      <c r="J13207" s="63"/>
    </row>
    <row r="13208" spans="9:10" x14ac:dyDescent="0.35">
      <c r="I13208" s="63"/>
      <c r="J13208" s="63"/>
    </row>
    <row r="13209" spans="9:10" x14ac:dyDescent="0.35">
      <c r="I13209" s="63"/>
      <c r="J13209" s="63"/>
    </row>
    <row r="13210" spans="9:10" x14ac:dyDescent="0.35">
      <c r="I13210" s="63"/>
      <c r="J13210" s="63"/>
    </row>
    <row r="13211" spans="9:10" x14ac:dyDescent="0.35">
      <c r="I13211" s="63"/>
      <c r="J13211" s="63"/>
    </row>
    <row r="13212" spans="9:10" x14ac:dyDescent="0.35">
      <c r="I13212" s="63"/>
      <c r="J13212" s="63"/>
    </row>
    <row r="13213" spans="9:10" x14ac:dyDescent="0.35">
      <c r="I13213" s="63"/>
      <c r="J13213" s="63"/>
    </row>
    <row r="13214" spans="9:10" x14ac:dyDescent="0.35">
      <c r="I13214" s="63"/>
      <c r="J13214" s="63"/>
    </row>
    <row r="13215" spans="9:10" x14ac:dyDescent="0.35">
      <c r="I13215" s="63"/>
      <c r="J13215" s="63"/>
    </row>
    <row r="13216" spans="9:10" x14ac:dyDescent="0.35">
      <c r="I13216" s="63"/>
      <c r="J13216" s="63"/>
    </row>
    <row r="13217" spans="9:10" x14ac:dyDescent="0.35">
      <c r="I13217" s="63"/>
      <c r="J13217" s="63"/>
    </row>
    <row r="13218" spans="9:10" x14ac:dyDescent="0.35">
      <c r="I13218" s="63"/>
      <c r="J13218" s="63"/>
    </row>
    <row r="13219" spans="9:10" x14ac:dyDescent="0.35">
      <c r="I13219" s="63"/>
      <c r="J13219" s="63"/>
    </row>
    <row r="13220" spans="9:10" x14ac:dyDescent="0.35">
      <c r="I13220" s="63"/>
      <c r="J13220" s="63"/>
    </row>
    <row r="13221" spans="9:10" x14ac:dyDescent="0.35">
      <c r="I13221" s="63"/>
      <c r="J13221" s="63"/>
    </row>
    <row r="13222" spans="9:10" x14ac:dyDescent="0.35">
      <c r="I13222" s="63"/>
      <c r="J13222" s="63"/>
    </row>
    <row r="13223" spans="9:10" x14ac:dyDescent="0.35">
      <c r="I13223" s="63"/>
      <c r="J13223" s="63"/>
    </row>
    <row r="13224" spans="9:10" x14ac:dyDescent="0.35">
      <c r="I13224" s="63"/>
      <c r="J13224" s="63"/>
    </row>
    <row r="13225" spans="9:10" x14ac:dyDescent="0.35">
      <c r="I13225" s="63"/>
      <c r="J13225" s="63"/>
    </row>
    <row r="13226" spans="9:10" x14ac:dyDescent="0.35">
      <c r="I13226" s="63"/>
      <c r="J13226" s="63"/>
    </row>
    <row r="13227" spans="9:10" x14ac:dyDescent="0.35">
      <c r="I13227" s="63"/>
      <c r="J13227" s="63"/>
    </row>
    <row r="13228" spans="9:10" x14ac:dyDescent="0.35">
      <c r="I13228" s="63"/>
      <c r="J13228" s="63"/>
    </row>
    <row r="13229" spans="9:10" x14ac:dyDescent="0.35">
      <c r="I13229" s="63"/>
      <c r="J13229" s="63"/>
    </row>
    <row r="13230" spans="9:10" x14ac:dyDescent="0.35">
      <c r="I13230" s="63"/>
      <c r="J13230" s="63"/>
    </row>
    <row r="13231" spans="9:10" x14ac:dyDescent="0.35">
      <c r="I13231" s="63"/>
      <c r="J13231" s="63"/>
    </row>
    <row r="13232" spans="9:10" x14ac:dyDescent="0.35">
      <c r="I13232" s="63"/>
      <c r="J13232" s="63"/>
    </row>
    <row r="13233" spans="9:10" x14ac:dyDescent="0.35">
      <c r="I13233" s="63"/>
      <c r="J13233" s="63"/>
    </row>
    <row r="13234" spans="9:10" x14ac:dyDescent="0.35">
      <c r="I13234" s="63"/>
      <c r="J13234" s="63"/>
    </row>
    <row r="13235" spans="9:10" x14ac:dyDescent="0.35">
      <c r="I13235" s="63"/>
      <c r="J13235" s="63"/>
    </row>
    <row r="13236" spans="9:10" x14ac:dyDescent="0.35">
      <c r="I13236" s="63"/>
      <c r="J13236" s="63"/>
    </row>
    <row r="13237" spans="9:10" x14ac:dyDescent="0.35">
      <c r="I13237" s="63"/>
      <c r="J13237" s="63"/>
    </row>
    <row r="13238" spans="9:10" x14ac:dyDescent="0.35">
      <c r="I13238" s="63"/>
      <c r="J13238" s="63"/>
    </row>
    <row r="13239" spans="9:10" x14ac:dyDescent="0.35">
      <c r="I13239" s="63"/>
      <c r="J13239" s="63"/>
    </row>
    <row r="13240" spans="9:10" x14ac:dyDescent="0.35">
      <c r="I13240" s="63"/>
      <c r="J13240" s="63"/>
    </row>
    <row r="13241" spans="9:10" x14ac:dyDescent="0.35">
      <c r="I13241" s="63"/>
      <c r="J13241" s="63"/>
    </row>
    <row r="13242" spans="9:10" x14ac:dyDescent="0.35">
      <c r="I13242" s="63"/>
      <c r="J13242" s="63"/>
    </row>
    <row r="13243" spans="9:10" x14ac:dyDescent="0.35">
      <c r="I13243" s="63"/>
      <c r="J13243" s="63"/>
    </row>
    <row r="13244" spans="9:10" x14ac:dyDescent="0.35">
      <c r="I13244" s="63"/>
      <c r="J13244" s="63"/>
    </row>
    <row r="13245" spans="9:10" x14ac:dyDescent="0.35">
      <c r="I13245" s="63"/>
      <c r="J13245" s="63"/>
    </row>
    <row r="13246" spans="9:10" x14ac:dyDescent="0.35">
      <c r="I13246" s="63"/>
      <c r="J13246" s="63"/>
    </row>
    <row r="13247" spans="9:10" x14ac:dyDescent="0.35">
      <c r="I13247" s="63"/>
      <c r="J13247" s="63"/>
    </row>
    <row r="13248" spans="9:10" x14ac:dyDescent="0.35">
      <c r="I13248" s="63"/>
      <c r="J13248" s="63"/>
    </row>
    <row r="13249" spans="9:10" x14ac:dyDescent="0.35">
      <c r="I13249" s="63"/>
      <c r="J13249" s="63"/>
    </row>
    <row r="13250" spans="9:10" x14ac:dyDescent="0.35">
      <c r="I13250" s="63"/>
      <c r="J13250" s="63"/>
    </row>
    <row r="13251" spans="9:10" x14ac:dyDescent="0.35">
      <c r="I13251" s="63"/>
      <c r="J13251" s="63"/>
    </row>
    <row r="13252" spans="9:10" x14ac:dyDescent="0.35">
      <c r="I13252" s="63"/>
      <c r="J13252" s="63"/>
    </row>
    <row r="13253" spans="9:10" x14ac:dyDescent="0.35">
      <c r="I13253" s="63"/>
      <c r="J13253" s="63"/>
    </row>
    <row r="13254" spans="9:10" x14ac:dyDescent="0.35">
      <c r="I13254" s="63"/>
      <c r="J13254" s="63"/>
    </row>
    <row r="13255" spans="9:10" x14ac:dyDescent="0.35">
      <c r="I13255" s="63"/>
      <c r="J13255" s="63"/>
    </row>
    <row r="13256" spans="9:10" x14ac:dyDescent="0.35">
      <c r="I13256" s="63"/>
      <c r="J13256" s="63"/>
    </row>
    <row r="13257" spans="9:10" x14ac:dyDescent="0.35">
      <c r="I13257" s="63"/>
      <c r="J13257" s="63"/>
    </row>
    <row r="13258" spans="9:10" x14ac:dyDescent="0.35">
      <c r="I13258" s="63"/>
      <c r="J13258" s="63"/>
    </row>
    <row r="13259" spans="9:10" x14ac:dyDescent="0.35">
      <c r="I13259" s="63"/>
      <c r="J13259" s="63"/>
    </row>
    <row r="13260" spans="9:10" x14ac:dyDescent="0.35">
      <c r="I13260" s="63"/>
      <c r="J13260" s="63"/>
    </row>
    <row r="13261" spans="9:10" x14ac:dyDescent="0.35">
      <c r="I13261" s="63"/>
      <c r="J13261" s="63"/>
    </row>
    <row r="13262" spans="9:10" x14ac:dyDescent="0.35">
      <c r="I13262" s="63"/>
      <c r="J13262" s="63"/>
    </row>
    <row r="13263" spans="9:10" x14ac:dyDescent="0.35">
      <c r="I13263" s="63"/>
      <c r="J13263" s="63"/>
    </row>
    <row r="13264" spans="9:10" x14ac:dyDescent="0.35">
      <c r="I13264" s="63"/>
      <c r="J13264" s="63"/>
    </row>
    <row r="13265" spans="9:10" x14ac:dyDescent="0.35">
      <c r="I13265" s="63"/>
      <c r="J13265" s="63"/>
    </row>
    <row r="13266" spans="9:10" x14ac:dyDescent="0.35">
      <c r="I13266" s="63"/>
      <c r="J13266" s="63"/>
    </row>
    <row r="13267" spans="9:10" x14ac:dyDescent="0.35">
      <c r="I13267" s="63"/>
      <c r="J13267" s="63"/>
    </row>
    <row r="13268" spans="9:10" x14ac:dyDescent="0.35">
      <c r="I13268" s="63"/>
      <c r="J13268" s="63"/>
    </row>
    <row r="13269" spans="9:10" x14ac:dyDescent="0.35">
      <c r="I13269" s="63"/>
      <c r="J13269" s="63"/>
    </row>
    <row r="13270" spans="9:10" x14ac:dyDescent="0.35">
      <c r="I13270" s="63"/>
      <c r="J13270" s="63"/>
    </row>
    <row r="13271" spans="9:10" x14ac:dyDescent="0.35">
      <c r="I13271" s="63"/>
      <c r="J13271" s="63"/>
    </row>
    <row r="13272" spans="9:10" x14ac:dyDescent="0.35">
      <c r="I13272" s="63"/>
      <c r="J13272" s="63"/>
    </row>
    <row r="13273" spans="9:10" x14ac:dyDescent="0.35">
      <c r="I13273" s="63"/>
      <c r="J13273" s="63"/>
    </row>
    <row r="13274" spans="9:10" x14ac:dyDescent="0.35">
      <c r="I13274" s="63"/>
      <c r="J13274" s="63"/>
    </row>
    <row r="13275" spans="9:10" x14ac:dyDescent="0.35">
      <c r="I13275" s="63"/>
      <c r="J13275" s="63"/>
    </row>
    <row r="13276" spans="9:10" x14ac:dyDescent="0.35">
      <c r="I13276" s="63"/>
      <c r="J13276" s="63"/>
    </row>
    <row r="13277" spans="9:10" x14ac:dyDescent="0.35">
      <c r="I13277" s="63"/>
      <c r="J13277" s="63"/>
    </row>
    <row r="13278" spans="9:10" x14ac:dyDescent="0.35">
      <c r="I13278" s="63"/>
      <c r="J13278" s="63"/>
    </row>
    <row r="13279" spans="9:10" x14ac:dyDescent="0.35">
      <c r="I13279" s="63"/>
      <c r="J13279" s="63"/>
    </row>
    <row r="13280" spans="9:10" x14ac:dyDescent="0.35">
      <c r="I13280" s="63"/>
      <c r="J13280" s="63"/>
    </row>
    <row r="13281" spans="9:10" x14ac:dyDescent="0.35">
      <c r="I13281" s="63"/>
      <c r="J13281" s="63"/>
    </row>
    <row r="13282" spans="9:10" x14ac:dyDescent="0.35">
      <c r="I13282" s="63"/>
      <c r="J13282" s="63"/>
    </row>
    <row r="13283" spans="9:10" x14ac:dyDescent="0.35">
      <c r="I13283" s="63"/>
      <c r="J13283" s="63"/>
    </row>
    <row r="13284" spans="9:10" x14ac:dyDescent="0.35">
      <c r="I13284" s="63"/>
      <c r="J13284" s="63"/>
    </row>
    <row r="13285" spans="9:10" x14ac:dyDescent="0.35">
      <c r="I13285" s="63"/>
      <c r="J13285" s="63"/>
    </row>
    <row r="13286" spans="9:10" x14ac:dyDescent="0.35">
      <c r="I13286" s="63"/>
      <c r="J13286" s="63"/>
    </row>
    <row r="13287" spans="9:10" x14ac:dyDescent="0.35">
      <c r="I13287" s="63"/>
      <c r="J13287" s="63"/>
    </row>
    <row r="13288" spans="9:10" x14ac:dyDescent="0.35">
      <c r="I13288" s="63"/>
      <c r="J13288" s="63"/>
    </row>
    <row r="13289" spans="9:10" x14ac:dyDescent="0.35">
      <c r="I13289" s="63"/>
      <c r="J13289" s="63"/>
    </row>
    <row r="13290" spans="9:10" x14ac:dyDescent="0.35">
      <c r="I13290" s="63"/>
      <c r="J13290" s="63"/>
    </row>
    <row r="13291" spans="9:10" x14ac:dyDescent="0.35">
      <c r="I13291" s="63"/>
      <c r="J13291" s="63"/>
    </row>
    <row r="13292" spans="9:10" x14ac:dyDescent="0.35">
      <c r="I13292" s="63"/>
      <c r="J13292" s="63"/>
    </row>
    <row r="13293" spans="9:10" x14ac:dyDescent="0.35">
      <c r="I13293" s="63"/>
      <c r="J13293" s="63"/>
    </row>
    <row r="13294" spans="9:10" x14ac:dyDescent="0.35">
      <c r="I13294" s="63"/>
      <c r="J13294" s="63"/>
    </row>
    <row r="13295" spans="9:10" x14ac:dyDescent="0.35">
      <c r="I13295" s="63"/>
      <c r="J13295" s="63"/>
    </row>
    <row r="13296" spans="9:10" x14ac:dyDescent="0.35">
      <c r="I13296" s="63"/>
      <c r="J13296" s="63"/>
    </row>
    <row r="13297" spans="9:10" x14ac:dyDescent="0.35">
      <c r="I13297" s="63"/>
      <c r="J13297" s="63"/>
    </row>
    <row r="13298" spans="9:10" x14ac:dyDescent="0.35">
      <c r="I13298" s="63"/>
      <c r="J13298" s="63"/>
    </row>
    <row r="13299" spans="9:10" x14ac:dyDescent="0.35">
      <c r="I13299" s="63"/>
      <c r="J13299" s="63"/>
    </row>
    <row r="13300" spans="9:10" x14ac:dyDescent="0.35">
      <c r="I13300" s="63"/>
      <c r="J13300" s="63"/>
    </row>
    <row r="13301" spans="9:10" x14ac:dyDescent="0.35">
      <c r="I13301" s="63"/>
      <c r="J13301" s="63"/>
    </row>
    <row r="13302" spans="9:10" x14ac:dyDescent="0.35">
      <c r="I13302" s="63"/>
      <c r="J13302" s="63"/>
    </row>
    <row r="13303" spans="9:10" x14ac:dyDescent="0.35">
      <c r="I13303" s="63"/>
      <c r="J13303" s="63"/>
    </row>
    <row r="13304" spans="9:10" x14ac:dyDescent="0.35">
      <c r="I13304" s="63"/>
      <c r="J13304" s="63"/>
    </row>
    <row r="13305" spans="9:10" x14ac:dyDescent="0.35">
      <c r="I13305" s="63"/>
      <c r="J13305" s="63"/>
    </row>
    <row r="13306" spans="9:10" x14ac:dyDescent="0.35">
      <c r="I13306" s="63"/>
      <c r="J13306" s="63"/>
    </row>
    <row r="13307" spans="9:10" x14ac:dyDescent="0.35">
      <c r="I13307" s="63"/>
      <c r="J13307" s="63"/>
    </row>
    <row r="13308" spans="9:10" x14ac:dyDescent="0.35">
      <c r="I13308" s="63"/>
      <c r="J13308" s="63"/>
    </row>
    <row r="13309" spans="9:10" x14ac:dyDescent="0.35">
      <c r="I13309" s="63"/>
      <c r="J13309" s="63"/>
    </row>
    <row r="13310" spans="9:10" x14ac:dyDescent="0.35">
      <c r="I13310" s="63"/>
      <c r="J13310" s="63"/>
    </row>
    <row r="13311" spans="9:10" x14ac:dyDescent="0.35">
      <c r="I13311" s="63"/>
      <c r="J13311" s="63"/>
    </row>
    <row r="13312" spans="9:10" x14ac:dyDescent="0.35">
      <c r="I13312" s="63"/>
      <c r="J13312" s="63"/>
    </row>
    <row r="13313" spans="9:10" x14ac:dyDescent="0.35">
      <c r="I13313" s="63"/>
      <c r="J13313" s="63"/>
    </row>
    <row r="13314" spans="9:10" x14ac:dyDescent="0.35">
      <c r="I13314" s="63"/>
      <c r="J13314" s="63"/>
    </row>
    <row r="13315" spans="9:10" x14ac:dyDescent="0.35">
      <c r="I13315" s="63"/>
      <c r="J13315" s="63"/>
    </row>
    <row r="13316" spans="9:10" x14ac:dyDescent="0.35">
      <c r="I13316" s="63"/>
      <c r="J13316" s="63"/>
    </row>
    <row r="13317" spans="9:10" x14ac:dyDescent="0.35">
      <c r="I13317" s="63"/>
      <c r="J13317" s="63"/>
    </row>
    <row r="13318" spans="9:10" x14ac:dyDescent="0.35">
      <c r="I13318" s="63"/>
      <c r="J13318" s="63"/>
    </row>
    <row r="13319" spans="9:10" x14ac:dyDescent="0.35">
      <c r="I13319" s="63"/>
      <c r="J13319" s="63"/>
    </row>
    <row r="13320" spans="9:10" x14ac:dyDescent="0.35">
      <c r="I13320" s="63"/>
      <c r="J13320" s="63"/>
    </row>
    <row r="13321" spans="9:10" x14ac:dyDescent="0.35">
      <c r="I13321" s="63"/>
      <c r="J13321" s="63"/>
    </row>
    <row r="13322" spans="9:10" x14ac:dyDescent="0.35">
      <c r="I13322" s="63"/>
      <c r="J13322" s="63"/>
    </row>
    <row r="13323" spans="9:10" x14ac:dyDescent="0.35">
      <c r="I13323" s="63"/>
      <c r="J13323" s="63"/>
    </row>
    <row r="13324" spans="9:10" x14ac:dyDescent="0.35">
      <c r="I13324" s="63"/>
      <c r="J13324" s="63"/>
    </row>
    <row r="13325" spans="9:10" x14ac:dyDescent="0.35">
      <c r="I13325" s="63"/>
      <c r="J13325" s="63"/>
    </row>
    <row r="13326" spans="9:10" x14ac:dyDescent="0.35">
      <c r="I13326" s="63"/>
      <c r="J13326" s="63"/>
    </row>
    <row r="13327" spans="9:10" x14ac:dyDescent="0.35">
      <c r="I13327" s="63"/>
      <c r="J13327" s="63"/>
    </row>
    <row r="13328" spans="9:10" x14ac:dyDescent="0.35">
      <c r="I13328" s="63"/>
      <c r="J13328" s="63"/>
    </row>
    <row r="13329" spans="9:10" x14ac:dyDescent="0.35">
      <c r="I13329" s="63"/>
      <c r="J13329" s="63"/>
    </row>
    <row r="13330" spans="9:10" x14ac:dyDescent="0.35">
      <c r="I13330" s="63"/>
      <c r="J13330" s="63"/>
    </row>
    <row r="13331" spans="9:10" x14ac:dyDescent="0.35">
      <c r="I13331" s="63"/>
      <c r="J13331" s="63"/>
    </row>
    <row r="13332" spans="9:10" x14ac:dyDescent="0.35">
      <c r="I13332" s="63"/>
      <c r="J13332" s="63"/>
    </row>
    <row r="13333" spans="9:10" x14ac:dyDescent="0.35">
      <c r="I13333" s="63"/>
      <c r="J13333" s="63"/>
    </row>
    <row r="13334" spans="9:10" x14ac:dyDescent="0.35">
      <c r="I13334" s="63"/>
      <c r="J13334" s="63"/>
    </row>
    <row r="13335" spans="9:10" x14ac:dyDescent="0.35">
      <c r="I13335" s="63"/>
      <c r="J13335" s="63"/>
    </row>
    <row r="13336" spans="9:10" x14ac:dyDescent="0.35">
      <c r="I13336" s="63"/>
      <c r="J13336" s="63"/>
    </row>
    <row r="13337" spans="9:10" x14ac:dyDescent="0.35">
      <c r="I13337" s="63"/>
      <c r="J13337" s="63"/>
    </row>
    <row r="13338" spans="9:10" x14ac:dyDescent="0.35">
      <c r="I13338" s="63"/>
      <c r="J13338" s="63"/>
    </row>
    <row r="13339" spans="9:10" x14ac:dyDescent="0.35">
      <c r="I13339" s="63"/>
      <c r="J13339" s="63"/>
    </row>
    <row r="13340" spans="9:10" x14ac:dyDescent="0.35">
      <c r="I13340" s="63"/>
      <c r="J13340" s="63"/>
    </row>
    <row r="13341" spans="9:10" x14ac:dyDescent="0.35">
      <c r="I13341" s="63"/>
      <c r="J13341" s="63"/>
    </row>
    <row r="13342" spans="9:10" x14ac:dyDescent="0.35">
      <c r="I13342" s="63"/>
      <c r="J13342" s="63"/>
    </row>
    <row r="13343" spans="9:10" x14ac:dyDescent="0.35">
      <c r="I13343" s="63"/>
      <c r="J13343" s="63"/>
    </row>
    <row r="13344" spans="9:10" x14ac:dyDescent="0.35">
      <c r="I13344" s="63"/>
      <c r="J13344" s="63"/>
    </row>
    <row r="13345" spans="9:10" x14ac:dyDescent="0.35">
      <c r="I13345" s="63"/>
      <c r="J13345" s="63"/>
    </row>
    <row r="13346" spans="9:10" x14ac:dyDescent="0.35">
      <c r="I13346" s="63"/>
      <c r="J13346" s="63"/>
    </row>
    <row r="13347" spans="9:10" x14ac:dyDescent="0.35">
      <c r="I13347" s="63"/>
      <c r="J13347" s="63"/>
    </row>
    <row r="13348" spans="9:10" x14ac:dyDescent="0.35">
      <c r="I13348" s="63"/>
      <c r="J13348" s="63"/>
    </row>
    <row r="13349" spans="9:10" x14ac:dyDescent="0.35">
      <c r="I13349" s="63"/>
      <c r="J13349" s="63"/>
    </row>
    <row r="13350" spans="9:10" x14ac:dyDescent="0.35">
      <c r="I13350" s="63"/>
      <c r="J13350" s="63"/>
    </row>
    <row r="13351" spans="9:10" x14ac:dyDescent="0.35">
      <c r="I13351" s="63"/>
      <c r="J13351" s="63"/>
    </row>
    <row r="13352" spans="9:10" x14ac:dyDescent="0.35">
      <c r="I13352" s="63"/>
      <c r="J13352" s="63"/>
    </row>
    <row r="13353" spans="9:10" x14ac:dyDescent="0.35">
      <c r="I13353" s="63"/>
      <c r="J13353" s="63"/>
    </row>
    <row r="13354" spans="9:10" x14ac:dyDescent="0.35">
      <c r="I13354" s="63"/>
      <c r="J13354" s="63"/>
    </row>
    <row r="13355" spans="9:10" x14ac:dyDescent="0.35">
      <c r="I13355" s="63"/>
      <c r="J13355" s="63"/>
    </row>
    <row r="13356" spans="9:10" x14ac:dyDescent="0.35">
      <c r="I13356" s="63"/>
      <c r="J13356" s="63"/>
    </row>
    <row r="13357" spans="9:10" x14ac:dyDescent="0.35">
      <c r="I13357" s="63"/>
      <c r="J13357" s="63"/>
    </row>
    <row r="13358" spans="9:10" x14ac:dyDescent="0.35">
      <c r="I13358" s="63"/>
      <c r="J13358" s="63"/>
    </row>
    <row r="13359" spans="9:10" x14ac:dyDescent="0.35">
      <c r="I13359" s="63"/>
      <c r="J13359" s="63"/>
    </row>
    <row r="13360" spans="9:10" x14ac:dyDescent="0.35">
      <c r="I13360" s="63"/>
      <c r="J13360" s="63"/>
    </row>
    <row r="13361" spans="9:10" x14ac:dyDescent="0.35">
      <c r="I13361" s="63"/>
      <c r="J13361" s="63"/>
    </row>
    <row r="13362" spans="9:10" x14ac:dyDescent="0.35">
      <c r="I13362" s="63"/>
      <c r="J13362" s="63"/>
    </row>
    <row r="13363" spans="9:10" x14ac:dyDescent="0.35">
      <c r="I13363" s="63"/>
      <c r="J13363" s="63"/>
    </row>
    <row r="13364" spans="9:10" x14ac:dyDescent="0.35">
      <c r="I13364" s="63"/>
      <c r="J13364" s="63"/>
    </row>
    <row r="13365" spans="9:10" x14ac:dyDescent="0.35">
      <c r="I13365" s="63"/>
      <c r="J13365" s="63"/>
    </row>
    <row r="13366" spans="9:10" x14ac:dyDescent="0.35">
      <c r="I13366" s="63"/>
      <c r="J13366" s="63"/>
    </row>
    <row r="13367" spans="9:10" x14ac:dyDescent="0.35">
      <c r="I13367" s="63"/>
      <c r="J13367" s="63"/>
    </row>
    <row r="13368" spans="9:10" x14ac:dyDescent="0.35">
      <c r="I13368" s="63"/>
      <c r="J13368" s="63"/>
    </row>
    <row r="13369" spans="9:10" x14ac:dyDescent="0.35">
      <c r="I13369" s="63"/>
      <c r="J13369" s="63"/>
    </row>
    <row r="13370" spans="9:10" x14ac:dyDescent="0.35">
      <c r="I13370" s="63"/>
      <c r="J13370" s="63"/>
    </row>
    <row r="13371" spans="9:10" x14ac:dyDescent="0.35">
      <c r="I13371" s="63"/>
      <c r="J13371" s="63"/>
    </row>
    <row r="13372" spans="9:10" x14ac:dyDescent="0.35">
      <c r="I13372" s="63"/>
      <c r="J13372" s="63"/>
    </row>
    <row r="13373" spans="9:10" x14ac:dyDescent="0.35">
      <c r="I13373" s="63"/>
      <c r="J13373" s="63"/>
    </row>
    <row r="13374" spans="9:10" x14ac:dyDescent="0.35">
      <c r="I13374" s="63"/>
      <c r="J13374" s="63"/>
    </row>
    <row r="13375" spans="9:10" x14ac:dyDescent="0.35">
      <c r="I13375" s="63"/>
      <c r="J13375" s="63"/>
    </row>
    <row r="13376" spans="9:10" x14ac:dyDescent="0.35">
      <c r="I13376" s="63"/>
      <c r="J13376" s="63"/>
    </row>
    <row r="13377" spans="9:10" x14ac:dyDescent="0.35">
      <c r="I13377" s="63"/>
      <c r="J13377" s="63"/>
    </row>
    <row r="13378" spans="9:10" x14ac:dyDescent="0.35">
      <c r="I13378" s="63"/>
      <c r="J13378" s="63"/>
    </row>
    <row r="13379" spans="9:10" x14ac:dyDescent="0.35">
      <c r="I13379" s="63"/>
      <c r="J13379" s="63"/>
    </row>
    <row r="13380" spans="9:10" x14ac:dyDescent="0.35">
      <c r="I13380" s="63"/>
      <c r="J13380" s="63"/>
    </row>
    <row r="13381" spans="9:10" x14ac:dyDescent="0.35">
      <c r="I13381" s="63"/>
      <c r="J13381" s="63"/>
    </row>
    <row r="13382" spans="9:10" x14ac:dyDescent="0.35">
      <c r="I13382" s="63"/>
      <c r="J13382" s="63"/>
    </row>
    <row r="13383" spans="9:10" x14ac:dyDescent="0.35">
      <c r="I13383" s="63"/>
      <c r="J13383" s="63"/>
    </row>
    <row r="13384" spans="9:10" x14ac:dyDescent="0.35">
      <c r="I13384" s="63"/>
      <c r="J13384" s="63"/>
    </row>
    <row r="13385" spans="9:10" x14ac:dyDescent="0.35">
      <c r="I13385" s="63"/>
      <c r="J13385" s="63"/>
    </row>
    <row r="13386" spans="9:10" x14ac:dyDescent="0.35">
      <c r="I13386" s="63"/>
      <c r="J13386" s="63"/>
    </row>
    <row r="13387" spans="9:10" x14ac:dyDescent="0.35">
      <c r="I13387" s="63"/>
      <c r="J13387" s="63"/>
    </row>
    <row r="13388" spans="9:10" x14ac:dyDescent="0.35">
      <c r="I13388" s="63"/>
      <c r="J13388" s="63"/>
    </row>
    <row r="13389" spans="9:10" x14ac:dyDescent="0.35">
      <c r="I13389" s="63"/>
      <c r="J13389" s="63"/>
    </row>
    <row r="13390" spans="9:10" x14ac:dyDescent="0.35">
      <c r="I13390" s="63"/>
      <c r="J13390" s="63"/>
    </row>
    <row r="13391" spans="9:10" x14ac:dyDescent="0.35">
      <c r="I13391" s="63"/>
      <c r="J13391" s="63"/>
    </row>
    <row r="13392" spans="9:10" x14ac:dyDescent="0.35">
      <c r="I13392" s="63"/>
      <c r="J13392" s="63"/>
    </row>
    <row r="13393" spans="9:10" x14ac:dyDescent="0.35">
      <c r="I13393" s="63"/>
      <c r="J13393" s="63"/>
    </row>
    <row r="13394" spans="9:10" x14ac:dyDescent="0.35">
      <c r="I13394" s="63"/>
      <c r="J13394" s="63"/>
    </row>
    <row r="13395" spans="9:10" x14ac:dyDescent="0.35">
      <c r="I13395" s="63"/>
      <c r="J13395" s="63"/>
    </row>
    <row r="13396" spans="9:10" x14ac:dyDescent="0.35">
      <c r="I13396" s="63"/>
      <c r="J13396" s="63"/>
    </row>
    <row r="13397" spans="9:10" x14ac:dyDescent="0.35">
      <c r="I13397" s="63"/>
      <c r="J13397" s="63"/>
    </row>
    <row r="13398" spans="9:10" x14ac:dyDescent="0.35">
      <c r="I13398" s="63"/>
      <c r="J13398" s="63"/>
    </row>
    <row r="13399" spans="9:10" x14ac:dyDescent="0.35">
      <c r="I13399" s="63"/>
      <c r="J13399" s="63"/>
    </row>
    <row r="13400" spans="9:10" x14ac:dyDescent="0.35">
      <c r="I13400" s="63"/>
      <c r="J13400" s="63"/>
    </row>
    <row r="13401" spans="9:10" x14ac:dyDescent="0.35">
      <c r="I13401" s="63"/>
      <c r="J13401" s="63"/>
    </row>
    <row r="13402" spans="9:10" x14ac:dyDescent="0.35">
      <c r="I13402" s="63"/>
      <c r="J13402" s="63"/>
    </row>
    <row r="13403" spans="9:10" x14ac:dyDescent="0.35">
      <c r="I13403" s="63"/>
      <c r="J13403" s="63"/>
    </row>
    <row r="13404" spans="9:10" x14ac:dyDescent="0.35">
      <c r="I13404" s="63"/>
      <c r="J13404" s="63"/>
    </row>
    <row r="13405" spans="9:10" x14ac:dyDescent="0.35">
      <c r="I13405" s="63"/>
      <c r="J13405" s="63"/>
    </row>
    <row r="13406" spans="9:10" x14ac:dyDescent="0.35">
      <c r="I13406" s="63"/>
      <c r="J13406" s="63"/>
    </row>
    <row r="13407" spans="9:10" x14ac:dyDescent="0.35">
      <c r="I13407" s="63"/>
      <c r="J13407" s="63"/>
    </row>
    <row r="13408" spans="9:10" x14ac:dyDescent="0.35">
      <c r="I13408" s="63"/>
      <c r="J13408" s="63"/>
    </row>
    <row r="13409" spans="9:10" x14ac:dyDescent="0.35">
      <c r="I13409" s="63"/>
      <c r="J13409" s="63"/>
    </row>
    <row r="13410" spans="9:10" x14ac:dyDescent="0.35">
      <c r="I13410" s="63"/>
      <c r="J13410" s="63"/>
    </row>
    <row r="13411" spans="9:10" x14ac:dyDescent="0.35">
      <c r="I13411" s="63"/>
      <c r="J13411" s="63"/>
    </row>
    <row r="13412" spans="9:10" x14ac:dyDescent="0.35">
      <c r="I13412" s="63"/>
      <c r="J13412" s="63"/>
    </row>
    <row r="13413" spans="9:10" x14ac:dyDescent="0.35">
      <c r="I13413" s="63"/>
      <c r="J13413" s="63"/>
    </row>
    <row r="13414" spans="9:10" x14ac:dyDescent="0.35">
      <c r="I13414" s="63"/>
      <c r="J13414" s="63"/>
    </row>
    <row r="13415" spans="9:10" x14ac:dyDescent="0.35">
      <c r="I13415" s="63"/>
      <c r="J13415" s="63"/>
    </row>
    <row r="13416" spans="9:10" x14ac:dyDescent="0.35">
      <c r="I13416" s="63"/>
      <c r="J13416" s="63"/>
    </row>
    <row r="13417" spans="9:10" x14ac:dyDescent="0.35">
      <c r="I13417" s="63"/>
      <c r="J13417" s="63"/>
    </row>
    <row r="13418" spans="9:10" x14ac:dyDescent="0.35">
      <c r="I13418" s="63"/>
      <c r="J13418" s="63"/>
    </row>
    <row r="13419" spans="9:10" x14ac:dyDescent="0.35">
      <c r="I13419" s="63"/>
      <c r="J13419" s="63"/>
    </row>
    <row r="13420" spans="9:10" x14ac:dyDescent="0.35">
      <c r="I13420" s="63"/>
      <c r="J13420" s="63"/>
    </row>
    <row r="13421" spans="9:10" x14ac:dyDescent="0.35">
      <c r="I13421" s="63"/>
      <c r="J13421" s="63"/>
    </row>
    <row r="13422" spans="9:10" x14ac:dyDescent="0.35">
      <c r="I13422" s="63"/>
      <c r="J13422" s="63"/>
    </row>
    <row r="13423" spans="9:10" x14ac:dyDescent="0.35">
      <c r="I13423" s="63"/>
      <c r="J13423" s="63"/>
    </row>
    <row r="13424" spans="9:10" x14ac:dyDescent="0.35">
      <c r="I13424" s="63"/>
      <c r="J13424" s="63"/>
    </row>
    <row r="13425" spans="9:10" x14ac:dyDescent="0.35">
      <c r="I13425" s="63"/>
      <c r="J13425" s="63"/>
    </row>
    <row r="13426" spans="9:10" x14ac:dyDescent="0.35">
      <c r="I13426" s="63"/>
      <c r="J13426" s="63"/>
    </row>
    <row r="13427" spans="9:10" x14ac:dyDescent="0.35">
      <c r="I13427" s="63"/>
      <c r="J13427" s="63"/>
    </row>
    <row r="13428" spans="9:10" x14ac:dyDescent="0.35">
      <c r="I13428" s="63"/>
      <c r="J13428" s="63"/>
    </row>
    <row r="13429" spans="9:10" x14ac:dyDescent="0.35">
      <c r="I13429" s="63"/>
      <c r="J13429" s="63"/>
    </row>
    <row r="13430" spans="9:10" x14ac:dyDescent="0.35">
      <c r="I13430" s="63"/>
      <c r="J13430" s="63"/>
    </row>
    <row r="13431" spans="9:10" x14ac:dyDescent="0.35">
      <c r="I13431" s="63"/>
      <c r="J13431" s="63"/>
    </row>
    <row r="13432" spans="9:10" x14ac:dyDescent="0.35">
      <c r="I13432" s="63"/>
      <c r="J13432" s="63"/>
    </row>
    <row r="13433" spans="9:10" x14ac:dyDescent="0.35">
      <c r="I13433" s="63"/>
      <c r="J13433" s="63"/>
    </row>
    <row r="13434" spans="9:10" x14ac:dyDescent="0.35">
      <c r="I13434" s="63"/>
      <c r="J13434" s="63"/>
    </row>
    <row r="13435" spans="9:10" x14ac:dyDescent="0.35">
      <c r="I13435" s="63"/>
      <c r="J13435" s="63"/>
    </row>
    <row r="13436" spans="9:10" x14ac:dyDescent="0.35">
      <c r="I13436" s="63"/>
      <c r="J13436" s="63"/>
    </row>
    <row r="13437" spans="9:10" x14ac:dyDescent="0.35">
      <c r="I13437" s="63"/>
      <c r="J13437" s="63"/>
    </row>
    <row r="13438" spans="9:10" x14ac:dyDescent="0.35">
      <c r="I13438" s="63"/>
      <c r="J13438" s="63"/>
    </row>
    <row r="13439" spans="9:10" x14ac:dyDescent="0.35">
      <c r="I13439" s="63"/>
      <c r="J13439" s="63"/>
    </row>
    <row r="13440" spans="9:10" x14ac:dyDescent="0.35">
      <c r="I13440" s="63"/>
      <c r="J13440" s="63"/>
    </row>
    <row r="13441" spans="9:10" x14ac:dyDescent="0.35">
      <c r="I13441" s="63"/>
      <c r="J13441" s="63"/>
    </row>
    <row r="13442" spans="9:10" x14ac:dyDescent="0.35">
      <c r="I13442" s="63"/>
      <c r="J13442" s="63"/>
    </row>
    <row r="13443" spans="9:10" x14ac:dyDescent="0.35">
      <c r="I13443" s="63"/>
      <c r="J13443" s="63"/>
    </row>
    <row r="13444" spans="9:10" x14ac:dyDescent="0.35">
      <c r="I13444" s="63"/>
      <c r="J13444" s="63"/>
    </row>
    <row r="13445" spans="9:10" x14ac:dyDescent="0.35">
      <c r="I13445" s="63"/>
      <c r="J13445" s="63"/>
    </row>
    <row r="13446" spans="9:10" x14ac:dyDescent="0.35">
      <c r="I13446" s="63"/>
      <c r="J13446" s="63"/>
    </row>
    <row r="13447" spans="9:10" x14ac:dyDescent="0.35">
      <c r="I13447" s="63"/>
      <c r="J13447" s="63"/>
    </row>
    <row r="13448" spans="9:10" x14ac:dyDescent="0.35">
      <c r="I13448" s="63"/>
      <c r="J13448" s="63"/>
    </row>
    <row r="13449" spans="9:10" x14ac:dyDescent="0.35">
      <c r="I13449" s="63"/>
      <c r="J13449" s="63"/>
    </row>
    <row r="13450" spans="9:10" x14ac:dyDescent="0.35">
      <c r="I13450" s="63"/>
      <c r="J13450" s="63"/>
    </row>
    <row r="13451" spans="9:10" x14ac:dyDescent="0.35">
      <c r="I13451" s="63"/>
      <c r="J13451" s="63"/>
    </row>
    <row r="13452" spans="9:10" x14ac:dyDescent="0.35">
      <c r="I13452" s="63"/>
      <c r="J13452" s="63"/>
    </row>
    <row r="13453" spans="9:10" x14ac:dyDescent="0.35">
      <c r="I13453" s="63"/>
      <c r="J13453" s="63"/>
    </row>
    <row r="13454" spans="9:10" x14ac:dyDescent="0.35">
      <c r="I13454" s="63"/>
      <c r="J13454" s="63"/>
    </row>
    <row r="13455" spans="9:10" x14ac:dyDescent="0.35">
      <c r="I13455" s="63"/>
      <c r="J13455" s="63"/>
    </row>
    <row r="13456" spans="9:10" x14ac:dyDescent="0.35">
      <c r="I13456" s="63"/>
      <c r="J13456" s="63"/>
    </row>
    <row r="13457" spans="9:10" x14ac:dyDescent="0.35">
      <c r="I13457" s="63"/>
      <c r="J13457" s="63"/>
    </row>
    <row r="13458" spans="9:10" x14ac:dyDescent="0.35">
      <c r="I13458" s="63"/>
      <c r="J13458" s="63"/>
    </row>
    <row r="13459" spans="9:10" x14ac:dyDescent="0.35">
      <c r="I13459" s="63"/>
      <c r="J13459" s="63"/>
    </row>
    <row r="13460" spans="9:10" x14ac:dyDescent="0.35">
      <c r="I13460" s="63"/>
      <c r="J13460" s="63"/>
    </row>
    <row r="13461" spans="9:10" x14ac:dyDescent="0.35">
      <c r="I13461" s="63"/>
      <c r="J13461" s="63"/>
    </row>
    <row r="13462" spans="9:10" x14ac:dyDescent="0.35">
      <c r="I13462" s="63"/>
      <c r="J13462" s="63"/>
    </row>
    <row r="13463" spans="9:10" x14ac:dyDescent="0.35">
      <c r="I13463" s="63"/>
      <c r="J13463" s="63"/>
    </row>
    <row r="13464" spans="9:10" x14ac:dyDescent="0.35">
      <c r="I13464" s="63"/>
      <c r="J13464" s="63"/>
    </row>
    <row r="13465" spans="9:10" x14ac:dyDescent="0.35">
      <c r="I13465" s="63"/>
      <c r="J13465" s="63"/>
    </row>
    <row r="13466" spans="9:10" x14ac:dyDescent="0.35">
      <c r="I13466" s="63"/>
      <c r="J13466" s="63"/>
    </row>
    <row r="13467" spans="9:10" x14ac:dyDescent="0.35">
      <c r="I13467" s="63"/>
      <c r="J13467" s="63"/>
    </row>
    <row r="13468" spans="9:10" x14ac:dyDescent="0.35">
      <c r="I13468" s="63"/>
      <c r="J13468" s="63"/>
    </row>
    <row r="13469" spans="9:10" x14ac:dyDescent="0.35">
      <c r="I13469" s="63"/>
      <c r="J13469" s="63"/>
    </row>
    <row r="13470" spans="9:10" x14ac:dyDescent="0.35">
      <c r="I13470" s="63"/>
      <c r="J13470" s="63"/>
    </row>
    <row r="13471" spans="9:10" x14ac:dyDescent="0.35">
      <c r="I13471" s="63"/>
      <c r="J13471" s="63"/>
    </row>
    <row r="13472" spans="9:10" x14ac:dyDescent="0.35">
      <c r="I13472" s="63"/>
      <c r="J13472" s="63"/>
    </row>
    <row r="13473" spans="9:10" x14ac:dyDescent="0.35">
      <c r="I13473" s="63"/>
      <c r="J13473" s="63"/>
    </row>
    <row r="13474" spans="9:10" x14ac:dyDescent="0.35">
      <c r="I13474" s="63"/>
      <c r="J13474" s="63"/>
    </row>
    <row r="13475" spans="9:10" x14ac:dyDescent="0.35">
      <c r="I13475" s="63"/>
      <c r="J13475" s="63"/>
    </row>
    <row r="13476" spans="9:10" x14ac:dyDescent="0.35">
      <c r="I13476" s="63"/>
      <c r="J13476" s="63"/>
    </row>
    <row r="13477" spans="9:10" x14ac:dyDescent="0.35">
      <c r="I13477" s="63"/>
      <c r="J13477" s="63"/>
    </row>
    <row r="13478" spans="9:10" x14ac:dyDescent="0.35">
      <c r="I13478" s="63"/>
      <c r="J13478" s="63"/>
    </row>
    <row r="13479" spans="9:10" x14ac:dyDescent="0.35">
      <c r="I13479" s="63"/>
      <c r="J13479" s="63"/>
    </row>
    <row r="13480" spans="9:10" x14ac:dyDescent="0.35">
      <c r="I13480" s="63"/>
      <c r="J13480" s="63"/>
    </row>
    <row r="13481" spans="9:10" x14ac:dyDescent="0.35">
      <c r="I13481" s="63"/>
      <c r="J13481" s="63"/>
    </row>
    <row r="13482" spans="9:10" x14ac:dyDescent="0.35">
      <c r="I13482" s="63"/>
      <c r="J13482" s="63"/>
    </row>
    <row r="13483" spans="9:10" x14ac:dyDescent="0.35">
      <c r="I13483" s="63"/>
      <c r="J13483" s="63"/>
    </row>
    <row r="13484" spans="9:10" x14ac:dyDescent="0.35">
      <c r="I13484" s="63"/>
      <c r="J13484" s="63"/>
    </row>
    <row r="13485" spans="9:10" x14ac:dyDescent="0.35">
      <c r="I13485" s="63"/>
      <c r="J13485" s="63"/>
    </row>
    <row r="13486" spans="9:10" x14ac:dyDescent="0.35">
      <c r="I13486" s="63"/>
      <c r="J13486" s="63"/>
    </row>
    <row r="13487" spans="9:10" x14ac:dyDescent="0.35">
      <c r="I13487" s="63"/>
      <c r="J13487" s="63"/>
    </row>
    <row r="13488" spans="9:10" x14ac:dyDescent="0.35">
      <c r="I13488" s="63"/>
      <c r="J13488" s="63"/>
    </row>
    <row r="13489" spans="9:10" x14ac:dyDescent="0.35">
      <c r="I13489" s="63"/>
      <c r="J13489" s="63"/>
    </row>
    <row r="13490" spans="9:10" x14ac:dyDescent="0.35">
      <c r="I13490" s="63"/>
      <c r="J13490" s="63"/>
    </row>
    <row r="13491" spans="9:10" x14ac:dyDescent="0.35">
      <c r="I13491" s="63"/>
      <c r="J13491" s="63"/>
    </row>
    <row r="13492" spans="9:10" x14ac:dyDescent="0.35">
      <c r="I13492" s="63"/>
      <c r="J13492" s="63"/>
    </row>
    <row r="13493" spans="9:10" x14ac:dyDescent="0.35">
      <c r="I13493" s="63"/>
      <c r="J13493" s="63"/>
    </row>
    <row r="13494" spans="9:10" x14ac:dyDescent="0.35">
      <c r="I13494" s="63"/>
      <c r="J13494" s="63"/>
    </row>
    <row r="13495" spans="9:10" x14ac:dyDescent="0.35">
      <c r="I13495" s="63"/>
      <c r="J13495" s="63"/>
    </row>
    <row r="13496" spans="9:10" x14ac:dyDescent="0.35">
      <c r="I13496" s="63"/>
      <c r="J13496" s="63"/>
    </row>
    <row r="13497" spans="9:10" x14ac:dyDescent="0.35">
      <c r="I13497" s="63"/>
      <c r="J13497" s="63"/>
    </row>
    <row r="13498" spans="9:10" x14ac:dyDescent="0.35">
      <c r="I13498" s="63"/>
      <c r="J13498" s="63"/>
    </row>
    <row r="13499" spans="9:10" x14ac:dyDescent="0.35">
      <c r="I13499" s="63"/>
      <c r="J13499" s="63"/>
    </row>
    <row r="13500" spans="9:10" x14ac:dyDescent="0.35">
      <c r="I13500" s="63"/>
      <c r="J13500" s="63"/>
    </row>
    <row r="13501" spans="9:10" x14ac:dyDescent="0.35">
      <c r="I13501" s="63"/>
      <c r="J13501" s="63"/>
    </row>
    <row r="13502" spans="9:10" x14ac:dyDescent="0.35">
      <c r="I13502" s="63"/>
      <c r="J13502" s="63"/>
    </row>
    <row r="13503" spans="9:10" x14ac:dyDescent="0.35">
      <c r="I13503" s="63"/>
      <c r="J13503" s="63"/>
    </row>
    <row r="13504" spans="9:10" x14ac:dyDescent="0.35">
      <c r="I13504" s="63"/>
      <c r="J13504" s="63"/>
    </row>
    <row r="13505" spans="9:10" x14ac:dyDescent="0.35">
      <c r="I13505" s="63"/>
      <c r="J13505" s="63"/>
    </row>
    <row r="13506" spans="9:10" x14ac:dyDescent="0.35">
      <c r="I13506" s="63"/>
      <c r="J13506" s="63"/>
    </row>
    <row r="13507" spans="9:10" x14ac:dyDescent="0.35">
      <c r="I13507" s="63"/>
      <c r="J13507" s="63"/>
    </row>
    <row r="13508" spans="9:10" x14ac:dyDescent="0.35">
      <c r="I13508" s="63"/>
      <c r="J13508" s="63"/>
    </row>
    <row r="13509" spans="9:10" x14ac:dyDescent="0.35">
      <c r="I13509" s="63"/>
      <c r="J13509" s="63"/>
    </row>
    <row r="13510" spans="9:10" x14ac:dyDescent="0.35">
      <c r="I13510" s="63"/>
      <c r="J13510" s="63"/>
    </row>
    <row r="13511" spans="9:10" x14ac:dyDescent="0.35">
      <c r="I13511" s="63"/>
      <c r="J13511" s="63"/>
    </row>
    <row r="13512" spans="9:10" x14ac:dyDescent="0.35">
      <c r="I13512" s="63"/>
      <c r="J13512" s="63"/>
    </row>
    <row r="13513" spans="9:10" x14ac:dyDescent="0.35">
      <c r="I13513" s="63"/>
      <c r="J13513" s="63"/>
    </row>
    <row r="13514" spans="9:10" x14ac:dyDescent="0.35">
      <c r="I13514" s="63"/>
      <c r="J13514" s="63"/>
    </row>
    <row r="13515" spans="9:10" x14ac:dyDescent="0.35">
      <c r="I13515" s="63"/>
      <c r="J13515" s="63"/>
    </row>
    <row r="13516" spans="9:10" x14ac:dyDescent="0.35">
      <c r="I13516" s="63"/>
      <c r="J13516" s="63"/>
    </row>
    <row r="13517" spans="9:10" x14ac:dyDescent="0.35">
      <c r="I13517" s="63"/>
      <c r="J13517" s="63"/>
    </row>
    <row r="13518" spans="9:10" x14ac:dyDescent="0.35">
      <c r="I13518" s="63"/>
      <c r="J13518" s="63"/>
    </row>
    <row r="13519" spans="9:10" x14ac:dyDescent="0.35">
      <c r="I13519" s="63"/>
      <c r="J13519" s="63"/>
    </row>
    <row r="13520" spans="9:10" x14ac:dyDescent="0.35">
      <c r="I13520" s="63"/>
      <c r="J13520" s="63"/>
    </row>
    <row r="13521" spans="9:10" x14ac:dyDescent="0.35">
      <c r="I13521" s="63"/>
      <c r="J13521" s="63"/>
    </row>
    <row r="13522" spans="9:10" x14ac:dyDescent="0.35">
      <c r="I13522" s="63"/>
      <c r="J13522" s="63"/>
    </row>
    <row r="13523" spans="9:10" x14ac:dyDescent="0.35">
      <c r="I13523" s="63"/>
      <c r="J13523" s="63"/>
    </row>
    <row r="13524" spans="9:10" x14ac:dyDescent="0.35">
      <c r="I13524" s="63"/>
      <c r="J13524" s="63"/>
    </row>
    <row r="13525" spans="9:10" x14ac:dyDescent="0.35">
      <c r="I13525" s="63"/>
      <c r="J13525" s="63"/>
    </row>
    <row r="13526" spans="9:10" x14ac:dyDescent="0.35">
      <c r="I13526" s="63"/>
      <c r="J13526" s="63"/>
    </row>
    <row r="13527" spans="9:10" x14ac:dyDescent="0.35">
      <c r="I13527" s="63"/>
      <c r="J13527" s="63"/>
    </row>
    <row r="13528" spans="9:10" x14ac:dyDescent="0.35">
      <c r="I13528" s="63"/>
      <c r="J13528" s="63"/>
    </row>
    <row r="13529" spans="9:10" x14ac:dyDescent="0.35">
      <c r="I13529" s="63"/>
      <c r="J13529" s="63"/>
    </row>
    <row r="13530" spans="9:10" x14ac:dyDescent="0.35">
      <c r="I13530" s="63"/>
      <c r="J13530" s="63"/>
    </row>
    <row r="13531" spans="9:10" x14ac:dyDescent="0.35">
      <c r="I13531" s="63"/>
      <c r="J13531" s="63"/>
    </row>
    <row r="13532" spans="9:10" x14ac:dyDescent="0.35">
      <c r="I13532" s="63"/>
      <c r="J13532" s="63"/>
    </row>
    <row r="13533" spans="9:10" x14ac:dyDescent="0.35">
      <c r="I13533" s="63"/>
      <c r="J13533" s="63"/>
    </row>
    <row r="13534" spans="9:10" x14ac:dyDescent="0.35">
      <c r="I13534" s="63"/>
      <c r="J13534" s="63"/>
    </row>
    <row r="13535" spans="9:10" x14ac:dyDescent="0.35">
      <c r="I13535" s="63"/>
      <c r="J13535" s="63"/>
    </row>
    <row r="13536" spans="9:10" x14ac:dyDescent="0.35">
      <c r="I13536" s="63"/>
      <c r="J13536" s="63"/>
    </row>
    <row r="13537" spans="9:10" x14ac:dyDescent="0.35">
      <c r="I13537" s="63"/>
      <c r="J13537" s="63"/>
    </row>
    <row r="13538" spans="9:10" x14ac:dyDescent="0.35">
      <c r="I13538" s="63"/>
      <c r="J13538" s="63"/>
    </row>
    <row r="13539" spans="9:10" x14ac:dyDescent="0.35">
      <c r="I13539" s="63"/>
      <c r="J13539" s="63"/>
    </row>
    <row r="13540" spans="9:10" x14ac:dyDescent="0.35">
      <c r="I13540" s="63"/>
      <c r="J13540" s="63"/>
    </row>
    <row r="13541" spans="9:10" x14ac:dyDescent="0.35">
      <c r="I13541" s="63"/>
      <c r="J13541" s="63"/>
    </row>
    <row r="13542" spans="9:10" x14ac:dyDescent="0.35">
      <c r="I13542" s="63"/>
      <c r="J13542" s="63"/>
    </row>
    <row r="13543" spans="9:10" x14ac:dyDescent="0.35">
      <c r="I13543" s="63"/>
      <c r="J13543" s="63"/>
    </row>
    <row r="13544" spans="9:10" x14ac:dyDescent="0.35">
      <c r="I13544" s="63"/>
      <c r="J13544" s="63"/>
    </row>
    <row r="13545" spans="9:10" x14ac:dyDescent="0.35">
      <c r="I13545" s="63"/>
      <c r="J13545" s="63"/>
    </row>
    <row r="13546" spans="9:10" x14ac:dyDescent="0.35">
      <c r="I13546" s="63"/>
      <c r="J13546" s="63"/>
    </row>
    <row r="13547" spans="9:10" x14ac:dyDescent="0.35">
      <c r="I13547" s="63"/>
      <c r="J13547" s="63"/>
    </row>
    <row r="13548" spans="9:10" x14ac:dyDescent="0.35">
      <c r="I13548" s="63"/>
      <c r="J13548" s="63"/>
    </row>
    <row r="13549" spans="9:10" x14ac:dyDescent="0.35">
      <c r="I13549" s="63"/>
      <c r="J13549" s="63"/>
    </row>
    <row r="13550" spans="9:10" x14ac:dyDescent="0.35">
      <c r="I13550" s="63"/>
      <c r="J13550" s="63"/>
    </row>
    <row r="13551" spans="9:10" x14ac:dyDescent="0.35">
      <c r="I13551" s="63"/>
      <c r="J13551" s="63"/>
    </row>
    <row r="13552" spans="9:10" x14ac:dyDescent="0.35">
      <c r="I13552" s="63"/>
      <c r="J13552" s="63"/>
    </row>
    <row r="13553" spans="9:10" x14ac:dyDescent="0.35">
      <c r="I13553" s="63"/>
      <c r="J13553" s="63"/>
    </row>
    <row r="13554" spans="9:10" x14ac:dyDescent="0.35">
      <c r="I13554" s="63"/>
      <c r="J13554" s="63"/>
    </row>
    <row r="13555" spans="9:10" x14ac:dyDescent="0.35">
      <c r="I13555" s="63"/>
      <c r="J13555" s="63"/>
    </row>
    <row r="13556" spans="9:10" x14ac:dyDescent="0.35">
      <c r="I13556" s="63"/>
      <c r="J13556" s="63"/>
    </row>
    <row r="13557" spans="9:10" x14ac:dyDescent="0.35">
      <c r="I13557" s="63"/>
      <c r="J13557" s="63"/>
    </row>
    <row r="13558" spans="9:10" x14ac:dyDescent="0.35">
      <c r="I13558" s="63"/>
      <c r="J13558" s="63"/>
    </row>
    <row r="13559" spans="9:10" x14ac:dyDescent="0.35">
      <c r="I13559" s="63"/>
      <c r="J13559" s="63"/>
    </row>
    <row r="13560" spans="9:10" x14ac:dyDescent="0.35">
      <c r="I13560" s="63"/>
      <c r="J13560" s="63"/>
    </row>
    <row r="13561" spans="9:10" x14ac:dyDescent="0.35">
      <c r="I13561" s="63"/>
      <c r="J13561" s="63"/>
    </row>
    <row r="13562" spans="9:10" x14ac:dyDescent="0.35">
      <c r="I13562" s="63"/>
      <c r="J13562" s="63"/>
    </row>
    <row r="13563" spans="9:10" x14ac:dyDescent="0.35">
      <c r="I13563" s="63"/>
      <c r="J13563" s="63"/>
    </row>
    <row r="13564" spans="9:10" x14ac:dyDescent="0.35">
      <c r="I13564" s="63"/>
      <c r="J13564" s="63"/>
    </row>
    <row r="13565" spans="9:10" x14ac:dyDescent="0.35">
      <c r="I13565" s="63"/>
      <c r="J13565" s="63"/>
    </row>
    <row r="13566" spans="9:10" x14ac:dyDescent="0.35">
      <c r="I13566" s="63"/>
      <c r="J13566" s="63"/>
    </row>
    <row r="13567" spans="9:10" x14ac:dyDescent="0.35">
      <c r="I13567" s="63"/>
      <c r="J13567" s="63"/>
    </row>
    <row r="13568" spans="9:10" x14ac:dyDescent="0.35">
      <c r="I13568" s="63"/>
      <c r="J13568" s="63"/>
    </row>
    <row r="13569" spans="9:10" x14ac:dyDescent="0.35">
      <c r="I13569" s="63"/>
      <c r="J13569" s="63"/>
    </row>
    <row r="13570" spans="9:10" x14ac:dyDescent="0.35">
      <c r="I13570" s="63"/>
      <c r="J13570" s="63"/>
    </row>
    <row r="13571" spans="9:10" x14ac:dyDescent="0.35">
      <c r="I13571" s="63"/>
      <c r="J13571" s="63"/>
    </row>
    <row r="13572" spans="9:10" x14ac:dyDescent="0.35">
      <c r="I13572" s="63"/>
      <c r="J13572" s="63"/>
    </row>
    <row r="13573" spans="9:10" x14ac:dyDescent="0.35">
      <c r="I13573" s="63"/>
      <c r="J13573" s="63"/>
    </row>
    <row r="13574" spans="9:10" x14ac:dyDescent="0.35">
      <c r="I13574" s="63"/>
      <c r="J13574" s="63"/>
    </row>
    <row r="13575" spans="9:10" x14ac:dyDescent="0.35">
      <c r="I13575" s="63"/>
      <c r="J13575" s="63"/>
    </row>
    <row r="13576" spans="9:10" x14ac:dyDescent="0.35">
      <c r="I13576" s="63"/>
      <c r="J13576" s="63"/>
    </row>
    <row r="13577" spans="9:10" x14ac:dyDescent="0.35">
      <c r="I13577" s="63"/>
      <c r="J13577" s="63"/>
    </row>
    <row r="13578" spans="9:10" x14ac:dyDescent="0.35">
      <c r="I13578" s="63"/>
      <c r="J13578" s="63"/>
    </row>
    <row r="13579" spans="9:10" x14ac:dyDescent="0.35">
      <c r="I13579" s="63"/>
      <c r="J13579" s="63"/>
    </row>
    <row r="13580" spans="9:10" x14ac:dyDescent="0.35">
      <c r="I13580" s="63"/>
      <c r="J13580" s="63"/>
    </row>
    <row r="13581" spans="9:10" x14ac:dyDescent="0.35">
      <c r="I13581" s="63"/>
      <c r="J13581" s="63"/>
    </row>
    <row r="13582" spans="9:10" x14ac:dyDescent="0.35">
      <c r="I13582" s="63"/>
      <c r="J13582" s="63"/>
    </row>
    <row r="13583" spans="9:10" x14ac:dyDescent="0.35">
      <c r="I13583" s="63"/>
      <c r="J13583" s="63"/>
    </row>
    <row r="13584" spans="9:10" x14ac:dyDescent="0.35">
      <c r="I13584" s="63"/>
      <c r="J13584" s="63"/>
    </row>
    <row r="13585" spans="9:10" x14ac:dyDescent="0.35">
      <c r="I13585" s="63"/>
      <c r="J13585" s="63"/>
    </row>
    <row r="13586" spans="9:10" x14ac:dyDescent="0.35">
      <c r="I13586" s="63"/>
      <c r="J13586" s="63"/>
    </row>
    <row r="13587" spans="9:10" x14ac:dyDescent="0.35">
      <c r="I13587" s="63"/>
      <c r="J13587" s="63"/>
    </row>
    <row r="13588" spans="9:10" x14ac:dyDescent="0.35">
      <c r="I13588" s="63"/>
      <c r="J13588" s="63"/>
    </row>
    <row r="13589" spans="9:10" x14ac:dyDescent="0.35">
      <c r="I13589" s="63"/>
      <c r="J13589" s="63"/>
    </row>
    <row r="13590" spans="9:10" x14ac:dyDescent="0.35">
      <c r="I13590" s="63"/>
      <c r="J13590" s="63"/>
    </row>
    <row r="13591" spans="9:10" x14ac:dyDescent="0.35">
      <c r="I13591" s="63"/>
      <c r="J13591" s="63"/>
    </row>
    <row r="13592" spans="9:10" x14ac:dyDescent="0.35">
      <c r="I13592" s="63"/>
      <c r="J13592" s="63"/>
    </row>
    <row r="13593" spans="9:10" x14ac:dyDescent="0.35">
      <c r="I13593" s="63"/>
      <c r="J13593" s="63"/>
    </row>
    <row r="13594" spans="9:10" x14ac:dyDescent="0.35">
      <c r="I13594" s="63"/>
      <c r="J13594" s="63"/>
    </row>
    <row r="13595" spans="9:10" x14ac:dyDescent="0.35">
      <c r="I13595" s="63"/>
      <c r="J13595" s="63"/>
    </row>
    <row r="13596" spans="9:10" x14ac:dyDescent="0.35">
      <c r="I13596" s="63"/>
      <c r="J13596" s="63"/>
    </row>
    <row r="13597" spans="9:10" x14ac:dyDescent="0.35">
      <c r="I13597" s="63"/>
      <c r="J13597" s="63"/>
    </row>
    <row r="13598" spans="9:10" x14ac:dyDescent="0.35">
      <c r="I13598" s="63"/>
      <c r="J13598" s="63"/>
    </row>
    <row r="13599" spans="9:10" x14ac:dyDescent="0.35">
      <c r="I13599" s="63"/>
      <c r="J13599" s="63"/>
    </row>
    <row r="13600" spans="9:10" x14ac:dyDescent="0.35">
      <c r="I13600" s="63"/>
      <c r="J13600" s="63"/>
    </row>
    <row r="13601" spans="9:10" x14ac:dyDescent="0.35">
      <c r="I13601" s="63"/>
      <c r="J13601" s="63"/>
    </row>
    <row r="13602" spans="9:10" x14ac:dyDescent="0.35">
      <c r="I13602" s="63"/>
      <c r="J13602" s="63"/>
    </row>
    <row r="13603" spans="9:10" x14ac:dyDescent="0.35">
      <c r="I13603" s="63"/>
      <c r="J13603" s="63"/>
    </row>
    <row r="13604" spans="9:10" x14ac:dyDescent="0.35">
      <c r="I13604" s="63"/>
      <c r="J13604" s="63"/>
    </row>
    <row r="13605" spans="9:10" x14ac:dyDescent="0.35">
      <c r="I13605" s="63"/>
      <c r="J13605" s="63"/>
    </row>
    <row r="13606" spans="9:10" x14ac:dyDescent="0.35">
      <c r="I13606" s="63"/>
      <c r="J13606" s="63"/>
    </row>
    <row r="13607" spans="9:10" x14ac:dyDescent="0.35">
      <c r="I13607" s="63"/>
      <c r="J13607" s="63"/>
    </row>
    <row r="13608" spans="9:10" x14ac:dyDescent="0.35">
      <c r="I13608" s="63"/>
      <c r="J13608" s="63"/>
    </row>
    <row r="13609" spans="9:10" x14ac:dyDescent="0.35">
      <c r="I13609" s="63"/>
      <c r="J13609" s="63"/>
    </row>
    <row r="13610" spans="9:10" x14ac:dyDescent="0.35">
      <c r="I13610" s="63"/>
      <c r="J13610" s="63"/>
    </row>
    <row r="13611" spans="9:10" x14ac:dyDescent="0.35">
      <c r="I13611" s="63"/>
      <c r="J13611" s="63"/>
    </row>
    <row r="13612" spans="9:10" x14ac:dyDescent="0.35">
      <c r="I13612" s="63"/>
      <c r="J13612" s="63"/>
    </row>
    <row r="13613" spans="9:10" x14ac:dyDescent="0.35">
      <c r="I13613" s="63"/>
      <c r="J13613" s="63"/>
    </row>
    <row r="13614" spans="9:10" x14ac:dyDescent="0.35">
      <c r="I13614" s="63"/>
      <c r="J13614" s="63"/>
    </row>
    <row r="13615" spans="9:10" x14ac:dyDescent="0.35">
      <c r="I13615" s="63"/>
      <c r="J13615" s="63"/>
    </row>
    <row r="13616" spans="9:10" x14ac:dyDescent="0.35">
      <c r="I13616" s="63"/>
      <c r="J13616" s="63"/>
    </row>
    <row r="13617" spans="9:10" x14ac:dyDescent="0.35">
      <c r="I13617" s="63"/>
      <c r="J13617" s="63"/>
    </row>
    <row r="13618" spans="9:10" x14ac:dyDescent="0.35">
      <c r="I13618" s="63"/>
      <c r="J13618" s="63"/>
    </row>
    <row r="13619" spans="9:10" x14ac:dyDescent="0.35">
      <c r="I13619" s="63"/>
      <c r="J13619" s="63"/>
    </row>
    <row r="13620" spans="9:10" x14ac:dyDescent="0.35">
      <c r="I13620" s="63"/>
      <c r="J13620" s="63"/>
    </row>
    <row r="13621" spans="9:10" x14ac:dyDescent="0.35">
      <c r="I13621" s="63"/>
      <c r="J13621" s="63"/>
    </row>
    <row r="13622" spans="9:10" x14ac:dyDescent="0.35">
      <c r="I13622" s="63"/>
      <c r="J13622" s="63"/>
    </row>
    <row r="13623" spans="9:10" x14ac:dyDescent="0.35">
      <c r="I13623" s="63"/>
      <c r="J13623" s="63"/>
    </row>
    <row r="13624" spans="9:10" x14ac:dyDescent="0.35">
      <c r="I13624" s="63"/>
      <c r="J13624" s="63"/>
    </row>
    <row r="13625" spans="9:10" x14ac:dyDescent="0.35">
      <c r="I13625" s="63"/>
      <c r="J13625" s="63"/>
    </row>
    <row r="13626" spans="9:10" x14ac:dyDescent="0.35">
      <c r="I13626" s="63"/>
      <c r="J13626" s="63"/>
    </row>
    <row r="13627" spans="9:10" x14ac:dyDescent="0.35">
      <c r="I13627" s="63"/>
      <c r="J13627" s="63"/>
    </row>
    <row r="13628" spans="9:10" x14ac:dyDescent="0.35">
      <c r="I13628" s="63"/>
      <c r="J13628" s="63"/>
    </row>
    <row r="13629" spans="9:10" x14ac:dyDescent="0.35">
      <c r="I13629" s="63"/>
      <c r="J13629" s="63"/>
    </row>
    <row r="13630" spans="9:10" x14ac:dyDescent="0.35">
      <c r="I13630" s="63"/>
      <c r="J13630" s="63"/>
    </row>
    <row r="13631" spans="9:10" x14ac:dyDescent="0.35">
      <c r="I13631" s="63"/>
      <c r="J13631" s="63"/>
    </row>
    <row r="13632" spans="9:10" x14ac:dyDescent="0.35">
      <c r="I13632" s="63"/>
      <c r="J13632" s="63"/>
    </row>
    <row r="13633" spans="9:10" x14ac:dyDescent="0.35">
      <c r="I13633" s="63"/>
      <c r="J13633" s="63"/>
    </row>
    <row r="13634" spans="9:10" x14ac:dyDescent="0.35">
      <c r="I13634" s="63"/>
      <c r="J13634" s="63"/>
    </row>
    <row r="13635" spans="9:10" x14ac:dyDescent="0.35">
      <c r="I13635" s="63"/>
      <c r="J13635" s="63"/>
    </row>
    <row r="13636" spans="9:10" x14ac:dyDescent="0.35">
      <c r="I13636" s="63"/>
      <c r="J13636" s="63"/>
    </row>
    <row r="13637" spans="9:10" x14ac:dyDescent="0.35">
      <c r="I13637" s="63"/>
      <c r="J13637" s="63"/>
    </row>
    <row r="13638" spans="9:10" x14ac:dyDescent="0.35">
      <c r="I13638" s="63"/>
      <c r="J13638" s="63"/>
    </row>
    <row r="13639" spans="9:10" x14ac:dyDescent="0.35">
      <c r="I13639" s="63"/>
      <c r="J13639" s="63"/>
    </row>
    <row r="13640" spans="9:10" x14ac:dyDescent="0.35">
      <c r="I13640" s="63"/>
      <c r="J13640" s="63"/>
    </row>
    <row r="13641" spans="9:10" x14ac:dyDescent="0.35">
      <c r="I13641" s="63"/>
      <c r="J13641" s="63"/>
    </row>
    <row r="13642" spans="9:10" x14ac:dyDescent="0.35">
      <c r="I13642" s="63"/>
      <c r="J13642" s="63"/>
    </row>
    <row r="13643" spans="9:10" x14ac:dyDescent="0.35">
      <c r="I13643" s="63"/>
      <c r="J13643" s="63"/>
    </row>
    <row r="13644" spans="9:10" x14ac:dyDescent="0.35">
      <c r="I13644" s="63"/>
      <c r="J13644" s="63"/>
    </row>
    <row r="13645" spans="9:10" x14ac:dyDescent="0.35">
      <c r="I13645" s="63"/>
      <c r="J13645" s="63"/>
    </row>
    <row r="13646" spans="9:10" x14ac:dyDescent="0.35">
      <c r="I13646" s="63"/>
      <c r="J13646" s="63"/>
    </row>
    <row r="13647" spans="9:10" x14ac:dyDescent="0.35">
      <c r="I13647" s="63"/>
      <c r="J13647" s="63"/>
    </row>
    <row r="13648" spans="9:10" x14ac:dyDescent="0.35">
      <c r="I13648" s="63"/>
      <c r="J13648" s="63"/>
    </row>
    <row r="13649" spans="9:10" x14ac:dyDescent="0.35">
      <c r="I13649" s="63"/>
      <c r="J13649" s="63"/>
    </row>
    <row r="13650" spans="9:10" x14ac:dyDescent="0.35">
      <c r="I13650" s="63"/>
      <c r="J13650" s="63"/>
    </row>
    <row r="13651" spans="9:10" x14ac:dyDescent="0.35">
      <c r="I13651" s="63"/>
      <c r="J13651" s="63"/>
    </row>
    <row r="13652" spans="9:10" x14ac:dyDescent="0.35">
      <c r="I13652" s="63"/>
      <c r="J13652" s="63"/>
    </row>
    <row r="13653" spans="9:10" x14ac:dyDescent="0.35">
      <c r="I13653" s="63"/>
      <c r="J13653" s="63"/>
    </row>
    <row r="13654" spans="9:10" x14ac:dyDescent="0.35">
      <c r="I13654" s="63"/>
      <c r="J13654" s="63"/>
    </row>
    <row r="13655" spans="9:10" x14ac:dyDescent="0.35">
      <c r="I13655" s="63"/>
      <c r="J13655" s="63"/>
    </row>
    <row r="13656" spans="9:10" x14ac:dyDescent="0.35">
      <c r="I13656" s="63"/>
      <c r="J13656" s="63"/>
    </row>
    <row r="13657" spans="9:10" x14ac:dyDescent="0.35">
      <c r="I13657" s="63"/>
      <c r="J13657" s="63"/>
    </row>
    <row r="13658" spans="9:10" x14ac:dyDescent="0.35">
      <c r="I13658" s="63"/>
      <c r="J13658" s="63"/>
    </row>
    <row r="13659" spans="9:10" x14ac:dyDescent="0.35">
      <c r="I13659" s="63"/>
      <c r="J13659" s="63"/>
    </row>
    <row r="13660" spans="9:10" x14ac:dyDescent="0.35">
      <c r="I13660" s="63"/>
      <c r="J13660" s="63"/>
    </row>
    <row r="13661" spans="9:10" x14ac:dyDescent="0.35">
      <c r="I13661" s="63"/>
      <c r="J13661" s="63"/>
    </row>
    <row r="13662" spans="9:10" x14ac:dyDescent="0.35">
      <c r="I13662" s="63"/>
      <c r="J13662" s="63"/>
    </row>
    <row r="13663" spans="9:10" x14ac:dyDescent="0.35">
      <c r="I13663" s="63"/>
      <c r="J13663" s="63"/>
    </row>
    <row r="13664" spans="9:10" x14ac:dyDescent="0.35">
      <c r="I13664" s="63"/>
      <c r="J13664" s="63"/>
    </row>
    <row r="13665" spans="9:10" x14ac:dyDescent="0.35">
      <c r="I13665" s="63"/>
      <c r="J13665" s="63"/>
    </row>
    <row r="13666" spans="9:10" x14ac:dyDescent="0.35">
      <c r="I13666" s="63"/>
      <c r="J13666" s="63"/>
    </row>
    <row r="13667" spans="9:10" x14ac:dyDescent="0.35">
      <c r="I13667" s="63"/>
      <c r="J13667" s="63"/>
    </row>
    <row r="13668" spans="9:10" x14ac:dyDescent="0.35">
      <c r="I13668" s="63"/>
      <c r="J13668" s="63"/>
    </row>
    <row r="13669" spans="9:10" x14ac:dyDescent="0.35">
      <c r="I13669" s="63"/>
      <c r="J13669" s="63"/>
    </row>
    <row r="13670" spans="9:10" x14ac:dyDescent="0.35">
      <c r="I13670" s="63"/>
      <c r="J13670" s="63"/>
    </row>
    <row r="13671" spans="9:10" x14ac:dyDescent="0.35">
      <c r="I13671" s="63"/>
      <c r="J13671" s="63"/>
    </row>
    <row r="13672" spans="9:10" x14ac:dyDescent="0.35">
      <c r="I13672" s="63"/>
      <c r="J13672" s="63"/>
    </row>
    <row r="13673" spans="9:10" x14ac:dyDescent="0.35">
      <c r="I13673" s="63"/>
      <c r="J13673" s="63"/>
    </row>
    <row r="13674" spans="9:10" x14ac:dyDescent="0.35">
      <c r="I13674" s="63"/>
      <c r="J13674" s="63"/>
    </row>
    <row r="13675" spans="9:10" x14ac:dyDescent="0.35">
      <c r="I13675" s="63"/>
      <c r="J13675" s="63"/>
    </row>
    <row r="13676" spans="9:10" x14ac:dyDescent="0.35">
      <c r="I13676" s="63"/>
      <c r="J13676" s="63"/>
    </row>
    <row r="13677" spans="9:10" x14ac:dyDescent="0.35">
      <c r="I13677" s="63"/>
      <c r="J13677" s="63"/>
    </row>
    <row r="13678" spans="9:10" x14ac:dyDescent="0.35">
      <c r="I13678" s="63"/>
      <c r="J13678" s="63"/>
    </row>
    <row r="13679" spans="9:10" x14ac:dyDescent="0.35">
      <c r="I13679" s="63"/>
      <c r="J13679" s="63"/>
    </row>
    <row r="13680" spans="9:10" x14ac:dyDescent="0.35">
      <c r="I13680" s="63"/>
      <c r="J13680" s="63"/>
    </row>
    <row r="13681" spans="9:10" x14ac:dyDescent="0.35">
      <c r="I13681" s="63"/>
      <c r="J13681" s="63"/>
    </row>
    <row r="13682" spans="9:10" x14ac:dyDescent="0.35">
      <c r="I13682" s="63"/>
      <c r="J13682" s="63"/>
    </row>
    <row r="13683" spans="9:10" x14ac:dyDescent="0.35">
      <c r="I13683" s="63"/>
      <c r="J13683" s="63"/>
    </row>
    <row r="13684" spans="9:10" x14ac:dyDescent="0.35">
      <c r="I13684" s="63"/>
      <c r="J13684" s="63"/>
    </row>
    <row r="13685" spans="9:10" x14ac:dyDescent="0.35">
      <c r="I13685" s="63"/>
      <c r="J13685" s="63"/>
    </row>
    <row r="13686" spans="9:10" x14ac:dyDescent="0.35">
      <c r="I13686" s="63"/>
      <c r="J13686" s="63"/>
    </row>
    <row r="13687" spans="9:10" x14ac:dyDescent="0.35">
      <c r="I13687" s="63"/>
      <c r="J13687" s="63"/>
    </row>
    <row r="13688" spans="9:10" x14ac:dyDescent="0.35">
      <c r="I13688" s="63"/>
      <c r="J13688" s="63"/>
    </row>
    <row r="13689" spans="9:10" x14ac:dyDescent="0.35">
      <c r="I13689" s="63"/>
      <c r="J13689" s="63"/>
    </row>
    <row r="13690" spans="9:10" x14ac:dyDescent="0.35">
      <c r="I13690" s="63"/>
      <c r="J13690" s="63"/>
    </row>
    <row r="13691" spans="9:10" x14ac:dyDescent="0.35">
      <c r="I13691" s="63"/>
      <c r="J13691" s="63"/>
    </row>
    <row r="13692" spans="9:10" x14ac:dyDescent="0.35">
      <c r="I13692" s="63"/>
      <c r="J13692" s="63"/>
    </row>
    <row r="13693" spans="9:10" x14ac:dyDescent="0.35">
      <c r="I13693" s="63"/>
      <c r="J13693" s="63"/>
    </row>
    <row r="13694" spans="9:10" x14ac:dyDescent="0.35">
      <c r="I13694" s="63"/>
      <c r="J13694" s="63"/>
    </row>
    <row r="13695" spans="9:10" x14ac:dyDescent="0.35">
      <c r="I13695" s="63"/>
      <c r="J13695" s="63"/>
    </row>
    <row r="13696" spans="9:10" x14ac:dyDescent="0.35">
      <c r="I13696" s="63"/>
      <c r="J13696" s="63"/>
    </row>
    <row r="13697" spans="9:10" x14ac:dyDescent="0.35">
      <c r="I13697" s="63"/>
      <c r="J13697" s="63"/>
    </row>
    <row r="13698" spans="9:10" x14ac:dyDescent="0.35">
      <c r="I13698" s="63"/>
      <c r="J13698" s="63"/>
    </row>
    <row r="13699" spans="9:10" x14ac:dyDescent="0.35">
      <c r="I13699" s="63"/>
      <c r="J13699" s="63"/>
    </row>
    <row r="13700" spans="9:10" x14ac:dyDescent="0.35">
      <c r="I13700" s="63"/>
      <c r="J13700" s="63"/>
    </row>
    <row r="13701" spans="9:10" x14ac:dyDescent="0.35">
      <c r="I13701" s="63"/>
      <c r="J13701" s="63"/>
    </row>
    <row r="13702" spans="9:10" x14ac:dyDescent="0.35">
      <c r="I13702" s="63"/>
      <c r="J13702" s="63"/>
    </row>
    <row r="13703" spans="9:10" x14ac:dyDescent="0.35">
      <c r="I13703" s="63"/>
      <c r="J13703" s="63"/>
    </row>
    <row r="13704" spans="9:10" x14ac:dyDescent="0.35">
      <c r="I13704" s="63"/>
      <c r="J13704" s="63"/>
    </row>
    <row r="13705" spans="9:10" x14ac:dyDescent="0.35">
      <c r="I13705" s="63"/>
      <c r="J13705" s="63"/>
    </row>
    <row r="13706" spans="9:10" x14ac:dyDescent="0.35">
      <c r="I13706" s="63"/>
      <c r="J13706" s="63"/>
    </row>
    <row r="13707" spans="9:10" x14ac:dyDescent="0.35">
      <c r="I13707" s="63"/>
      <c r="J13707" s="63"/>
    </row>
    <row r="13708" spans="9:10" x14ac:dyDescent="0.35">
      <c r="I13708" s="63"/>
      <c r="J13708" s="63"/>
    </row>
    <row r="13709" spans="9:10" x14ac:dyDescent="0.35">
      <c r="I13709" s="63"/>
      <c r="J13709" s="63"/>
    </row>
    <row r="13710" spans="9:10" x14ac:dyDescent="0.35">
      <c r="I13710" s="63"/>
      <c r="J13710" s="63"/>
    </row>
    <row r="13711" spans="9:10" x14ac:dyDescent="0.35">
      <c r="I13711" s="63"/>
      <c r="J13711" s="63"/>
    </row>
    <row r="13712" spans="9:10" x14ac:dyDescent="0.35">
      <c r="I13712" s="63"/>
      <c r="J13712" s="63"/>
    </row>
    <row r="13713" spans="9:10" x14ac:dyDescent="0.35">
      <c r="I13713" s="63"/>
      <c r="J13713" s="63"/>
    </row>
    <row r="13714" spans="9:10" x14ac:dyDescent="0.35">
      <c r="I13714" s="63"/>
      <c r="J13714" s="63"/>
    </row>
    <row r="13715" spans="9:10" x14ac:dyDescent="0.35">
      <c r="I13715" s="63"/>
      <c r="J13715" s="63"/>
    </row>
    <row r="13716" spans="9:10" x14ac:dyDescent="0.35">
      <c r="I13716" s="63"/>
      <c r="J13716" s="63"/>
    </row>
    <row r="13717" spans="9:10" x14ac:dyDescent="0.35">
      <c r="I13717" s="63"/>
      <c r="J13717" s="63"/>
    </row>
    <row r="13718" spans="9:10" x14ac:dyDescent="0.35">
      <c r="I13718" s="63"/>
      <c r="J13718" s="63"/>
    </row>
    <row r="13719" spans="9:10" x14ac:dyDescent="0.35">
      <c r="I13719" s="63"/>
      <c r="J13719" s="63"/>
    </row>
    <row r="13720" spans="9:10" x14ac:dyDescent="0.35">
      <c r="I13720" s="63"/>
      <c r="J13720" s="63"/>
    </row>
    <row r="13721" spans="9:10" x14ac:dyDescent="0.35">
      <c r="I13721" s="63"/>
      <c r="J13721" s="63"/>
    </row>
    <row r="13722" spans="9:10" x14ac:dyDescent="0.35">
      <c r="I13722" s="63"/>
      <c r="J13722" s="63"/>
    </row>
    <row r="13723" spans="9:10" x14ac:dyDescent="0.35">
      <c r="I13723" s="63"/>
      <c r="J13723" s="63"/>
    </row>
    <row r="13724" spans="9:10" x14ac:dyDescent="0.35">
      <c r="I13724" s="63"/>
      <c r="J13724" s="63"/>
    </row>
    <row r="13725" spans="9:10" x14ac:dyDescent="0.35">
      <c r="I13725" s="63"/>
      <c r="J13725" s="63"/>
    </row>
    <row r="13726" spans="9:10" x14ac:dyDescent="0.35">
      <c r="I13726" s="63"/>
      <c r="J13726" s="63"/>
    </row>
    <row r="13727" spans="9:10" x14ac:dyDescent="0.35">
      <c r="I13727" s="63"/>
      <c r="J13727" s="63"/>
    </row>
    <row r="13728" spans="9:10" x14ac:dyDescent="0.35">
      <c r="I13728" s="63"/>
      <c r="J13728" s="63"/>
    </row>
    <row r="13729" spans="9:10" x14ac:dyDescent="0.35">
      <c r="I13729" s="63"/>
      <c r="J13729" s="63"/>
    </row>
    <row r="13730" spans="9:10" x14ac:dyDescent="0.35">
      <c r="I13730" s="63"/>
      <c r="J13730" s="63"/>
    </row>
    <row r="13731" spans="9:10" x14ac:dyDescent="0.35">
      <c r="I13731" s="63"/>
      <c r="J13731" s="63"/>
    </row>
    <row r="13732" spans="9:10" x14ac:dyDescent="0.35">
      <c r="I13732" s="63"/>
      <c r="J13732" s="63"/>
    </row>
    <row r="13733" spans="9:10" x14ac:dyDescent="0.35">
      <c r="I13733" s="63"/>
      <c r="J13733" s="63"/>
    </row>
    <row r="13734" spans="9:10" x14ac:dyDescent="0.35">
      <c r="I13734" s="63"/>
      <c r="J13734" s="63"/>
    </row>
    <row r="13735" spans="9:10" x14ac:dyDescent="0.35">
      <c r="I13735" s="63"/>
      <c r="J13735" s="63"/>
    </row>
    <row r="13736" spans="9:10" x14ac:dyDescent="0.35">
      <c r="I13736" s="63"/>
      <c r="J13736" s="63"/>
    </row>
    <row r="13737" spans="9:10" x14ac:dyDescent="0.35">
      <c r="I13737" s="63"/>
      <c r="J13737" s="63"/>
    </row>
    <row r="13738" spans="9:10" x14ac:dyDescent="0.35">
      <c r="I13738" s="63"/>
      <c r="J13738" s="63"/>
    </row>
    <row r="13739" spans="9:10" x14ac:dyDescent="0.35">
      <c r="I13739" s="63"/>
      <c r="J13739" s="63"/>
    </row>
    <row r="13740" spans="9:10" x14ac:dyDescent="0.35">
      <c r="I13740" s="63"/>
      <c r="J13740" s="63"/>
    </row>
    <row r="13741" spans="9:10" x14ac:dyDescent="0.35">
      <c r="I13741" s="63"/>
      <c r="J13741" s="63"/>
    </row>
    <row r="13742" spans="9:10" x14ac:dyDescent="0.35">
      <c r="I13742" s="63"/>
      <c r="J13742" s="63"/>
    </row>
    <row r="13743" spans="9:10" x14ac:dyDescent="0.35">
      <c r="I13743" s="63"/>
      <c r="J13743" s="63"/>
    </row>
    <row r="13744" spans="9:10" x14ac:dyDescent="0.35">
      <c r="I13744" s="63"/>
      <c r="J13744" s="63"/>
    </row>
    <row r="13745" spans="9:10" x14ac:dyDescent="0.35">
      <c r="I13745" s="63"/>
      <c r="J13745" s="63"/>
    </row>
    <row r="13746" spans="9:10" x14ac:dyDescent="0.35">
      <c r="I13746" s="63"/>
      <c r="J13746" s="63"/>
    </row>
    <row r="13747" spans="9:10" x14ac:dyDescent="0.35">
      <c r="I13747" s="63"/>
      <c r="J13747" s="63"/>
    </row>
    <row r="13748" spans="9:10" x14ac:dyDescent="0.35">
      <c r="I13748" s="63"/>
      <c r="J13748" s="63"/>
    </row>
    <row r="13749" spans="9:10" x14ac:dyDescent="0.35">
      <c r="I13749" s="63"/>
      <c r="J13749" s="63"/>
    </row>
    <row r="13750" spans="9:10" x14ac:dyDescent="0.35">
      <c r="I13750" s="63"/>
      <c r="J13750" s="63"/>
    </row>
    <row r="13751" spans="9:10" x14ac:dyDescent="0.35">
      <c r="I13751" s="63"/>
      <c r="J13751" s="63"/>
    </row>
    <row r="13752" spans="9:10" x14ac:dyDescent="0.35">
      <c r="I13752" s="63"/>
      <c r="J13752" s="63"/>
    </row>
    <row r="13753" spans="9:10" x14ac:dyDescent="0.35">
      <c r="I13753" s="63"/>
      <c r="J13753" s="63"/>
    </row>
    <row r="13754" spans="9:10" x14ac:dyDescent="0.35">
      <c r="I13754" s="63"/>
      <c r="J13754" s="63"/>
    </row>
    <row r="13755" spans="9:10" x14ac:dyDescent="0.35">
      <c r="I13755" s="63"/>
      <c r="J13755" s="63"/>
    </row>
    <row r="13756" spans="9:10" x14ac:dyDescent="0.35">
      <c r="I13756" s="63"/>
      <c r="J13756" s="63"/>
    </row>
    <row r="13757" spans="9:10" x14ac:dyDescent="0.35">
      <c r="I13757" s="63"/>
      <c r="J13757" s="63"/>
    </row>
    <row r="13758" spans="9:10" x14ac:dyDescent="0.35">
      <c r="I13758" s="63"/>
      <c r="J13758" s="63"/>
    </row>
    <row r="13759" spans="9:10" x14ac:dyDescent="0.35">
      <c r="I13759" s="63"/>
      <c r="J13759" s="63"/>
    </row>
    <row r="13760" spans="9:10" x14ac:dyDescent="0.35">
      <c r="I13760" s="63"/>
      <c r="J13760" s="63"/>
    </row>
    <row r="13761" spans="9:10" x14ac:dyDescent="0.35">
      <c r="I13761" s="63"/>
      <c r="J13761" s="63"/>
    </row>
    <row r="13762" spans="9:10" x14ac:dyDescent="0.35">
      <c r="I13762" s="63"/>
      <c r="J13762" s="63"/>
    </row>
    <row r="13763" spans="9:10" x14ac:dyDescent="0.35">
      <c r="I13763" s="63"/>
      <c r="J13763" s="63"/>
    </row>
    <row r="13764" spans="9:10" x14ac:dyDescent="0.35">
      <c r="I13764" s="63"/>
      <c r="J13764" s="63"/>
    </row>
    <row r="13765" spans="9:10" x14ac:dyDescent="0.35">
      <c r="I13765" s="63"/>
      <c r="J13765" s="63"/>
    </row>
    <row r="13766" spans="9:10" x14ac:dyDescent="0.35">
      <c r="I13766" s="63"/>
      <c r="J13766" s="63"/>
    </row>
    <row r="13767" spans="9:10" x14ac:dyDescent="0.35">
      <c r="I13767" s="63"/>
      <c r="J13767" s="63"/>
    </row>
    <row r="13768" spans="9:10" x14ac:dyDescent="0.35">
      <c r="I13768" s="63"/>
      <c r="J13768" s="63"/>
    </row>
    <row r="13769" spans="9:10" x14ac:dyDescent="0.35">
      <c r="I13769" s="63"/>
      <c r="J13769" s="63"/>
    </row>
    <row r="13770" spans="9:10" x14ac:dyDescent="0.35">
      <c r="I13770" s="63"/>
      <c r="J13770" s="63"/>
    </row>
    <row r="13771" spans="9:10" x14ac:dyDescent="0.35">
      <c r="I13771" s="63"/>
      <c r="J13771" s="63"/>
    </row>
    <row r="13772" spans="9:10" x14ac:dyDescent="0.35">
      <c r="I13772" s="63"/>
      <c r="J13772" s="63"/>
    </row>
    <row r="13773" spans="9:10" x14ac:dyDescent="0.35">
      <c r="I13773" s="63"/>
      <c r="J13773" s="63"/>
    </row>
    <row r="13774" spans="9:10" x14ac:dyDescent="0.35">
      <c r="I13774" s="63"/>
      <c r="J13774" s="63"/>
    </row>
    <row r="13775" spans="9:10" x14ac:dyDescent="0.35">
      <c r="I13775" s="63"/>
      <c r="J13775" s="63"/>
    </row>
    <row r="13776" spans="9:10" x14ac:dyDescent="0.35">
      <c r="I13776" s="63"/>
      <c r="J13776" s="63"/>
    </row>
    <row r="13777" spans="9:10" x14ac:dyDescent="0.35">
      <c r="I13777" s="63"/>
      <c r="J13777" s="63"/>
    </row>
    <row r="13778" spans="9:10" x14ac:dyDescent="0.35">
      <c r="I13778" s="63"/>
      <c r="J13778" s="63"/>
    </row>
    <row r="13779" spans="9:10" x14ac:dyDescent="0.35">
      <c r="I13779" s="63"/>
      <c r="J13779" s="63"/>
    </row>
    <row r="13780" spans="9:10" x14ac:dyDescent="0.35">
      <c r="I13780" s="63"/>
      <c r="J13780" s="63"/>
    </row>
    <row r="13781" spans="9:10" x14ac:dyDescent="0.35">
      <c r="I13781" s="63"/>
      <c r="J13781" s="63"/>
    </row>
    <row r="13782" spans="9:10" x14ac:dyDescent="0.35">
      <c r="I13782" s="63"/>
      <c r="J13782" s="63"/>
    </row>
    <row r="13783" spans="9:10" x14ac:dyDescent="0.35">
      <c r="I13783" s="63"/>
      <c r="J13783" s="63"/>
    </row>
    <row r="13784" spans="9:10" x14ac:dyDescent="0.35">
      <c r="I13784" s="63"/>
      <c r="J13784" s="63"/>
    </row>
    <row r="13785" spans="9:10" x14ac:dyDescent="0.35">
      <c r="I13785" s="63"/>
      <c r="J13785" s="63"/>
    </row>
    <row r="13786" spans="9:10" x14ac:dyDescent="0.35">
      <c r="I13786" s="63"/>
      <c r="J13786" s="63"/>
    </row>
    <row r="13787" spans="9:10" x14ac:dyDescent="0.35">
      <c r="I13787" s="63"/>
      <c r="J13787" s="63"/>
    </row>
    <row r="13788" spans="9:10" x14ac:dyDescent="0.35">
      <c r="I13788" s="63"/>
      <c r="J13788" s="63"/>
    </row>
    <row r="13789" spans="9:10" x14ac:dyDescent="0.35">
      <c r="I13789" s="63"/>
      <c r="J13789" s="63"/>
    </row>
    <row r="13790" spans="9:10" x14ac:dyDescent="0.35">
      <c r="I13790" s="63"/>
      <c r="J13790" s="63"/>
    </row>
    <row r="13791" spans="9:10" x14ac:dyDescent="0.35">
      <c r="I13791" s="63"/>
      <c r="J13791" s="63"/>
    </row>
    <row r="13792" spans="9:10" x14ac:dyDescent="0.35">
      <c r="I13792" s="63"/>
      <c r="J13792" s="63"/>
    </row>
    <row r="13793" spans="9:10" x14ac:dyDescent="0.35">
      <c r="I13793" s="63"/>
      <c r="J13793" s="63"/>
    </row>
    <row r="13794" spans="9:10" x14ac:dyDescent="0.35">
      <c r="I13794" s="63"/>
      <c r="J13794" s="63"/>
    </row>
    <row r="13795" spans="9:10" x14ac:dyDescent="0.35">
      <c r="I13795" s="63"/>
      <c r="J13795" s="63"/>
    </row>
    <row r="13796" spans="9:10" x14ac:dyDescent="0.35">
      <c r="I13796" s="63"/>
      <c r="J13796" s="63"/>
    </row>
    <row r="13797" spans="9:10" x14ac:dyDescent="0.35">
      <c r="I13797" s="63"/>
      <c r="J13797" s="63"/>
    </row>
    <row r="13798" spans="9:10" x14ac:dyDescent="0.35">
      <c r="I13798" s="63"/>
      <c r="J13798" s="63"/>
    </row>
    <row r="13799" spans="9:10" x14ac:dyDescent="0.35">
      <c r="I13799" s="63"/>
      <c r="J13799" s="63"/>
    </row>
    <row r="13800" spans="9:10" x14ac:dyDescent="0.35">
      <c r="I13800" s="63"/>
      <c r="J13800" s="63"/>
    </row>
    <row r="13801" spans="9:10" x14ac:dyDescent="0.35">
      <c r="I13801" s="63"/>
      <c r="J13801" s="63"/>
    </row>
    <row r="13802" spans="9:10" x14ac:dyDescent="0.35">
      <c r="I13802" s="63"/>
      <c r="J13802" s="63"/>
    </row>
    <row r="13803" spans="9:10" x14ac:dyDescent="0.35">
      <c r="I13803" s="63"/>
      <c r="J13803" s="63"/>
    </row>
    <row r="13804" spans="9:10" x14ac:dyDescent="0.35">
      <c r="I13804" s="63"/>
      <c r="J13804" s="63"/>
    </row>
    <row r="13805" spans="9:10" x14ac:dyDescent="0.35">
      <c r="I13805" s="63"/>
      <c r="J13805" s="63"/>
    </row>
    <row r="13806" spans="9:10" x14ac:dyDescent="0.35">
      <c r="I13806" s="63"/>
      <c r="J13806" s="63"/>
    </row>
    <row r="13807" spans="9:10" x14ac:dyDescent="0.35">
      <c r="I13807" s="63"/>
      <c r="J13807" s="63"/>
    </row>
    <row r="13808" spans="9:10" x14ac:dyDescent="0.35">
      <c r="I13808" s="63"/>
      <c r="J13808" s="63"/>
    </row>
    <row r="13809" spans="9:10" x14ac:dyDescent="0.35">
      <c r="I13809" s="63"/>
      <c r="J13809" s="63"/>
    </row>
    <row r="13810" spans="9:10" x14ac:dyDescent="0.35">
      <c r="I13810" s="63"/>
      <c r="J13810" s="63"/>
    </row>
    <row r="13811" spans="9:10" x14ac:dyDescent="0.35">
      <c r="I13811" s="63"/>
      <c r="J13811" s="63"/>
    </row>
    <row r="13812" spans="9:10" x14ac:dyDescent="0.35">
      <c r="I13812" s="63"/>
      <c r="J13812" s="63"/>
    </row>
    <row r="13813" spans="9:10" x14ac:dyDescent="0.35">
      <c r="I13813" s="63"/>
      <c r="J13813" s="63"/>
    </row>
    <row r="13814" spans="9:10" x14ac:dyDescent="0.35">
      <c r="I13814" s="63"/>
      <c r="J13814" s="63"/>
    </row>
    <row r="13815" spans="9:10" x14ac:dyDescent="0.35">
      <c r="I13815" s="63"/>
      <c r="J13815" s="63"/>
    </row>
    <row r="13816" spans="9:10" x14ac:dyDescent="0.35">
      <c r="I13816" s="63"/>
      <c r="J13816" s="63"/>
    </row>
    <row r="13817" spans="9:10" x14ac:dyDescent="0.35">
      <c r="I13817" s="63"/>
      <c r="J13817" s="63"/>
    </row>
    <row r="13818" spans="9:10" x14ac:dyDescent="0.35">
      <c r="I13818" s="63"/>
      <c r="J13818" s="63"/>
    </row>
    <row r="13819" spans="9:10" x14ac:dyDescent="0.35">
      <c r="I13819" s="63"/>
      <c r="J13819" s="63"/>
    </row>
    <row r="13820" spans="9:10" x14ac:dyDescent="0.35">
      <c r="I13820" s="63"/>
      <c r="J13820" s="63"/>
    </row>
    <row r="13821" spans="9:10" x14ac:dyDescent="0.35">
      <c r="I13821" s="63"/>
      <c r="J13821" s="63"/>
    </row>
    <row r="13822" spans="9:10" x14ac:dyDescent="0.35">
      <c r="I13822" s="63"/>
      <c r="J13822" s="63"/>
    </row>
    <row r="13823" spans="9:10" x14ac:dyDescent="0.35">
      <c r="I13823" s="63"/>
      <c r="J13823" s="63"/>
    </row>
    <row r="13824" spans="9:10" x14ac:dyDescent="0.35">
      <c r="I13824" s="63"/>
      <c r="J13824" s="63"/>
    </row>
    <row r="13825" spans="9:10" x14ac:dyDescent="0.35">
      <c r="I13825" s="63"/>
      <c r="J13825" s="63"/>
    </row>
    <row r="13826" spans="9:10" x14ac:dyDescent="0.35">
      <c r="I13826" s="63"/>
      <c r="J13826" s="63"/>
    </row>
    <row r="13827" spans="9:10" x14ac:dyDescent="0.35">
      <c r="I13827" s="63"/>
      <c r="J13827" s="63"/>
    </row>
    <row r="13828" spans="9:10" x14ac:dyDescent="0.35">
      <c r="I13828" s="63"/>
      <c r="J13828" s="63"/>
    </row>
    <row r="13829" spans="9:10" x14ac:dyDescent="0.35">
      <c r="I13829" s="63"/>
      <c r="J13829" s="63"/>
    </row>
    <row r="13830" spans="9:10" x14ac:dyDescent="0.35">
      <c r="I13830" s="63"/>
      <c r="J13830" s="63"/>
    </row>
    <row r="13831" spans="9:10" x14ac:dyDescent="0.35">
      <c r="I13831" s="63"/>
      <c r="J13831" s="63"/>
    </row>
    <row r="13832" spans="9:10" x14ac:dyDescent="0.35">
      <c r="I13832" s="63"/>
      <c r="J13832" s="63"/>
    </row>
    <row r="13833" spans="9:10" x14ac:dyDescent="0.35">
      <c r="I13833" s="63"/>
      <c r="J13833" s="63"/>
    </row>
    <row r="13834" spans="9:10" x14ac:dyDescent="0.35">
      <c r="I13834" s="63"/>
      <c r="J13834" s="63"/>
    </row>
    <row r="13835" spans="9:10" x14ac:dyDescent="0.35">
      <c r="I13835" s="63"/>
      <c r="J13835" s="63"/>
    </row>
    <row r="13836" spans="9:10" x14ac:dyDescent="0.35">
      <c r="I13836" s="63"/>
      <c r="J13836" s="63"/>
    </row>
    <row r="13837" spans="9:10" x14ac:dyDescent="0.35">
      <c r="I13837" s="63"/>
      <c r="J13837" s="63"/>
    </row>
    <row r="13838" spans="9:10" x14ac:dyDescent="0.35">
      <c r="I13838" s="63"/>
      <c r="J13838" s="63"/>
    </row>
    <row r="13839" spans="9:10" x14ac:dyDescent="0.35">
      <c r="I13839" s="63"/>
      <c r="J13839" s="63"/>
    </row>
    <row r="13840" spans="9:10" x14ac:dyDescent="0.35">
      <c r="I13840" s="63"/>
      <c r="J13840" s="63"/>
    </row>
    <row r="13841" spans="9:10" x14ac:dyDescent="0.35">
      <c r="I13841" s="63"/>
      <c r="J13841" s="63"/>
    </row>
    <row r="13842" spans="9:10" x14ac:dyDescent="0.35">
      <c r="I13842" s="63"/>
      <c r="J13842" s="63"/>
    </row>
    <row r="13843" spans="9:10" x14ac:dyDescent="0.35">
      <c r="I13843" s="63"/>
      <c r="J13843" s="63"/>
    </row>
    <row r="13844" spans="9:10" x14ac:dyDescent="0.35">
      <c r="I13844" s="63"/>
      <c r="J13844" s="63"/>
    </row>
    <row r="13845" spans="9:10" x14ac:dyDescent="0.35">
      <c r="I13845" s="63"/>
      <c r="J13845" s="63"/>
    </row>
    <row r="13846" spans="9:10" x14ac:dyDescent="0.35">
      <c r="I13846" s="63"/>
      <c r="J13846" s="63"/>
    </row>
    <row r="13847" spans="9:10" x14ac:dyDescent="0.35">
      <c r="I13847" s="63"/>
      <c r="J13847" s="63"/>
    </row>
    <row r="13848" spans="9:10" x14ac:dyDescent="0.35">
      <c r="I13848" s="63"/>
      <c r="J13848" s="63"/>
    </row>
    <row r="13849" spans="9:10" x14ac:dyDescent="0.35">
      <c r="I13849" s="63"/>
      <c r="J13849" s="63"/>
    </row>
    <row r="13850" spans="9:10" x14ac:dyDescent="0.35">
      <c r="I13850" s="63"/>
      <c r="J13850" s="63"/>
    </row>
    <row r="13851" spans="9:10" x14ac:dyDescent="0.35">
      <c r="I13851" s="63"/>
      <c r="J13851" s="63"/>
    </row>
    <row r="13852" spans="9:10" x14ac:dyDescent="0.35">
      <c r="I13852" s="63"/>
      <c r="J13852" s="63"/>
    </row>
    <row r="13853" spans="9:10" x14ac:dyDescent="0.35">
      <c r="I13853" s="63"/>
      <c r="J13853" s="63"/>
    </row>
    <row r="13854" spans="9:10" x14ac:dyDescent="0.35">
      <c r="I13854" s="63"/>
      <c r="J13854" s="63"/>
    </row>
    <row r="13855" spans="9:10" x14ac:dyDescent="0.35">
      <c r="I13855" s="63"/>
      <c r="J13855" s="63"/>
    </row>
    <row r="13856" spans="9:10" x14ac:dyDescent="0.35">
      <c r="I13856" s="63"/>
      <c r="J13856" s="63"/>
    </row>
    <row r="13857" spans="9:10" x14ac:dyDescent="0.35">
      <c r="I13857" s="63"/>
      <c r="J13857" s="63"/>
    </row>
    <row r="13858" spans="9:10" x14ac:dyDescent="0.35">
      <c r="I13858" s="63"/>
      <c r="J13858" s="63"/>
    </row>
    <row r="13859" spans="9:10" x14ac:dyDescent="0.35">
      <c r="I13859" s="63"/>
      <c r="J13859" s="63"/>
    </row>
    <row r="13860" spans="9:10" x14ac:dyDescent="0.35">
      <c r="I13860" s="63"/>
      <c r="J13860" s="63"/>
    </row>
    <row r="13861" spans="9:10" x14ac:dyDescent="0.35">
      <c r="I13861" s="63"/>
      <c r="J13861" s="63"/>
    </row>
    <row r="13862" spans="9:10" x14ac:dyDescent="0.35">
      <c r="I13862" s="63"/>
      <c r="J13862" s="63"/>
    </row>
    <row r="13863" spans="9:10" x14ac:dyDescent="0.35">
      <c r="I13863" s="63"/>
      <c r="J13863" s="63"/>
    </row>
    <row r="13864" spans="9:10" x14ac:dyDescent="0.35">
      <c r="I13864" s="63"/>
      <c r="J13864" s="63"/>
    </row>
    <row r="13865" spans="9:10" x14ac:dyDescent="0.35">
      <c r="I13865" s="63"/>
      <c r="J13865" s="63"/>
    </row>
    <row r="13866" spans="9:10" x14ac:dyDescent="0.35">
      <c r="I13866" s="63"/>
      <c r="J13866" s="63"/>
    </row>
    <row r="13867" spans="9:10" x14ac:dyDescent="0.35">
      <c r="I13867" s="63"/>
      <c r="J13867" s="63"/>
    </row>
    <row r="13868" spans="9:10" x14ac:dyDescent="0.35">
      <c r="I13868" s="63"/>
      <c r="J13868" s="63"/>
    </row>
    <row r="13869" spans="9:10" x14ac:dyDescent="0.35">
      <c r="I13869" s="63"/>
      <c r="J13869" s="63"/>
    </row>
    <row r="13870" spans="9:10" x14ac:dyDescent="0.35">
      <c r="I13870" s="63"/>
      <c r="J13870" s="63"/>
    </row>
    <row r="13871" spans="9:10" x14ac:dyDescent="0.35">
      <c r="I13871" s="63"/>
      <c r="J13871" s="63"/>
    </row>
    <row r="13872" spans="9:10" x14ac:dyDescent="0.35">
      <c r="I13872" s="63"/>
      <c r="J13872" s="63"/>
    </row>
    <row r="13873" spans="9:10" x14ac:dyDescent="0.35">
      <c r="I13873" s="63"/>
      <c r="J13873" s="63"/>
    </row>
    <row r="13874" spans="9:10" x14ac:dyDescent="0.35">
      <c r="I13874" s="63"/>
      <c r="J13874" s="63"/>
    </row>
    <row r="13875" spans="9:10" x14ac:dyDescent="0.35">
      <c r="I13875" s="63"/>
      <c r="J13875" s="63"/>
    </row>
    <row r="13876" spans="9:10" x14ac:dyDescent="0.35">
      <c r="I13876" s="63"/>
      <c r="J13876" s="63"/>
    </row>
    <row r="13877" spans="9:10" x14ac:dyDescent="0.35">
      <c r="I13877" s="63"/>
      <c r="J13877" s="63"/>
    </row>
    <row r="13878" spans="9:10" x14ac:dyDescent="0.35">
      <c r="I13878" s="63"/>
      <c r="J13878" s="63"/>
    </row>
    <row r="13879" spans="9:10" x14ac:dyDescent="0.35">
      <c r="I13879" s="63"/>
      <c r="J13879" s="63"/>
    </row>
    <row r="13880" spans="9:10" x14ac:dyDescent="0.35">
      <c r="I13880" s="63"/>
      <c r="J13880" s="63"/>
    </row>
    <row r="13881" spans="9:10" x14ac:dyDescent="0.35">
      <c r="I13881" s="63"/>
      <c r="J13881" s="63"/>
    </row>
    <row r="13882" spans="9:10" x14ac:dyDescent="0.35">
      <c r="I13882" s="63"/>
      <c r="J13882" s="63"/>
    </row>
    <row r="13883" spans="9:10" x14ac:dyDescent="0.35">
      <c r="I13883" s="63"/>
      <c r="J13883" s="63"/>
    </row>
    <row r="13884" spans="9:10" x14ac:dyDescent="0.35">
      <c r="I13884" s="63"/>
      <c r="J13884" s="63"/>
    </row>
    <row r="13885" spans="9:10" x14ac:dyDescent="0.35">
      <c r="I13885" s="63"/>
      <c r="J13885" s="63"/>
    </row>
    <row r="13886" spans="9:10" x14ac:dyDescent="0.35">
      <c r="I13886" s="63"/>
      <c r="J13886" s="63"/>
    </row>
    <row r="13887" spans="9:10" x14ac:dyDescent="0.35">
      <c r="I13887" s="63"/>
      <c r="J13887" s="63"/>
    </row>
    <row r="13888" spans="9:10" x14ac:dyDescent="0.35">
      <c r="I13888" s="63"/>
      <c r="J13888" s="63"/>
    </row>
    <row r="13889" spans="9:10" x14ac:dyDescent="0.35">
      <c r="I13889" s="63"/>
      <c r="J13889" s="63"/>
    </row>
    <row r="13890" spans="9:10" x14ac:dyDescent="0.35">
      <c r="I13890" s="63"/>
      <c r="J13890" s="63"/>
    </row>
    <row r="13891" spans="9:10" x14ac:dyDescent="0.35">
      <c r="I13891" s="63"/>
      <c r="J13891" s="63"/>
    </row>
    <row r="13892" spans="9:10" x14ac:dyDescent="0.35">
      <c r="I13892" s="63"/>
      <c r="J13892" s="63"/>
    </row>
    <row r="13893" spans="9:10" x14ac:dyDescent="0.35">
      <c r="I13893" s="63"/>
      <c r="J13893" s="63"/>
    </row>
    <row r="13894" spans="9:10" x14ac:dyDescent="0.35">
      <c r="I13894" s="63"/>
      <c r="J13894" s="63"/>
    </row>
    <row r="13895" spans="9:10" x14ac:dyDescent="0.35">
      <c r="I13895" s="63"/>
      <c r="J13895" s="63"/>
    </row>
    <row r="13896" spans="9:10" x14ac:dyDescent="0.35">
      <c r="I13896" s="63"/>
      <c r="J13896" s="63"/>
    </row>
    <row r="13897" spans="9:10" x14ac:dyDescent="0.35">
      <c r="I13897" s="63"/>
      <c r="J13897" s="63"/>
    </row>
    <row r="13898" spans="9:10" x14ac:dyDescent="0.35">
      <c r="I13898" s="63"/>
      <c r="J13898" s="63"/>
    </row>
    <row r="13899" spans="9:10" x14ac:dyDescent="0.35">
      <c r="I13899" s="63"/>
      <c r="J13899" s="63"/>
    </row>
    <row r="13900" spans="9:10" x14ac:dyDescent="0.35">
      <c r="I13900" s="63"/>
      <c r="J13900" s="63"/>
    </row>
    <row r="13901" spans="9:10" x14ac:dyDescent="0.35">
      <c r="I13901" s="63"/>
      <c r="J13901" s="63"/>
    </row>
    <row r="13902" spans="9:10" x14ac:dyDescent="0.35">
      <c r="I13902" s="63"/>
      <c r="J13902" s="63"/>
    </row>
    <row r="13903" spans="9:10" x14ac:dyDescent="0.35">
      <c r="I13903" s="63"/>
      <c r="J13903" s="63"/>
    </row>
    <row r="13904" spans="9:10" x14ac:dyDescent="0.35">
      <c r="I13904" s="63"/>
      <c r="J13904" s="63"/>
    </row>
    <row r="13905" spans="9:10" x14ac:dyDescent="0.35">
      <c r="I13905" s="63"/>
      <c r="J13905" s="63"/>
    </row>
    <row r="13906" spans="9:10" x14ac:dyDescent="0.35">
      <c r="I13906" s="63"/>
      <c r="J13906" s="63"/>
    </row>
    <row r="13907" spans="9:10" x14ac:dyDescent="0.35">
      <c r="I13907" s="63"/>
      <c r="J13907" s="63"/>
    </row>
    <row r="13908" spans="9:10" x14ac:dyDescent="0.35">
      <c r="I13908" s="63"/>
      <c r="J13908" s="63"/>
    </row>
    <row r="13909" spans="9:10" x14ac:dyDescent="0.35">
      <c r="I13909" s="63"/>
      <c r="J13909" s="63"/>
    </row>
    <row r="13910" spans="9:10" x14ac:dyDescent="0.35">
      <c r="I13910" s="63"/>
      <c r="J13910" s="63"/>
    </row>
    <row r="13911" spans="9:10" x14ac:dyDescent="0.35">
      <c r="I13911" s="63"/>
      <c r="J13911" s="63"/>
    </row>
    <row r="13912" spans="9:10" x14ac:dyDescent="0.35">
      <c r="I13912" s="63"/>
      <c r="J13912" s="63"/>
    </row>
    <row r="13913" spans="9:10" x14ac:dyDescent="0.35">
      <c r="I13913" s="63"/>
      <c r="J13913" s="63"/>
    </row>
    <row r="13914" spans="9:10" x14ac:dyDescent="0.35">
      <c r="I13914" s="63"/>
      <c r="J13914" s="63"/>
    </row>
    <row r="13915" spans="9:10" x14ac:dyDescent="0.35">
      <c r="I13915" s="63"/>
      <c r="J13915" s="63"/>
    </row>
    <row r="13916" spans="9:10" x14ac:dyDescent="0.35">
      <c r="I13916" s="63"/>
      <c r="J13916" s="63"/>
    </row>
    <row r="13917" spans="9:10" x14ac:dyDescent="0.35">
      <c r="I13917" s="63"/>
      <c r="J13917" s="63"/>
    </row>
    <row r="13918" spans="9:10" x14ac:dyDescent="0.35">
      <c r="I13918" s="63"/>
      <c r="J13918" s="63"/>
    </row>
    <row r="13919" spans="9:10" x14ac:dyDescent="0.35">
      <c r="I13919" s="63"/>
      <c r="J13919" s="63"/>
    </row>
    <row r="13920" spans="9:10" x14ac:dyDescent="0.35">
      <c r="I13920" s="63"/>
      <c r="J13920" s="63"/>
    </row>
    <row r="13921" spans="9:10" x14ac:dyDescent="0.35">
      <c r="I13921" s="63"/>
      <c r="J13921" s="63"/>
    </row>
    <row r="13922" spans="9:10" x14ac:dyDescent="0.35">
      <c r="I13922" s="63"/>
      <c r="J13922" s="63"/>
    </row>
    <row r="13923" spans="9:10" x14ac:dyDescent="0.35">
      <c r="I13923" s="63"/>
      <c r="J13923" s="63"/>
    </row>
    <row r="13924" spans="9:10" x14ac:dyDescent="0.35">
      <c r="I13924" s="63"/>
      <c r="J13924" s="63"/>
    </row>
    <row r="13925" spans="9:10" x14ac:dyDescent="0.35">
      <c r="I13925" s="63"/>
      <c r="J13925" s="63"/>
    </row>
    <row r="13926" spans="9:10" x14ac:dyDescent="0.35">
      <c r="I13926" s="63"/>
      <c r="J13926" s="63"/>
    </row>
    <row r="13927" spans="9:10" x14ac:dyDescent="0.35">
      <c r="I13927" s="63"/>
      <c r="J13927" s="63"/>
    </row>
    <row r="13928" spans="9:10" x14ac:dyDescent="0.35">
      <c r="I13928" s="63"/>
      <c r="J13928" s="63"/>
    </row>
    <row r="13929" spans="9:10" x14ac:dyDescent="0.35">
      <c r="I13929" s="63"/>
      <c r="J13929" s="63"/>
    </row>
    <row r="13930" spans="9:10" x14ac:dyDescent="0.35">
      <c r="I13930" s="63"/>
      <c r="J13930" s="63"/>
    </row>
    <row r="13931" spans="9:10" x14ac:dyDescent="0.35">
      <c r="I13931" s="63"/>
      <c r="J13931" s="63"/>
    </row>
    <row r="13932" spans="9:10" x14ac:dyDescent="0.35">
      <c r="I13932" s="63"/>
      <c r="J13932" s="63"/>
    </row>
    <row r="13933" spans="9:10" x14ac:dyDescent="0.35">
      <c r="I13933" s="63"/>
      <c r="J13933" s="63"/>
    </row>
    <row r="13934" spans="9:10" x14ac:dyDescent="0.35">
      <c r="I13934" s="63"/>
      <c r="J13934" s="63"/>
    </row>
    <row r="13935" spans="9:10" x14ac:dyDescent="0.35">
      <c r="I13935" s="63"/>
      <c r="J13935" s="63"/>
    </row>
    <row r="13936" spans="9:10" x14ac:dyDescent="0.35">
      <c r="I13936" s="63"/>
      <c r="J13936" s="63"/>
    </row>
    <row r="13937" spans="9:10" x14ac:dyDescent="0.35">
      <c r="I13937" s="63"/>
      <c r="J13937" s="63"/>
    </row>
    <row r="13938" spans="9:10" x14ac:dyDescent="0.35">
      <c r="I13938" s="63"/>
      <c r="J13938" s="63"/>
    </row>
    <row r="13939" spans="9:10" x14ac:dyDescent="0.35">
      <c r="I13939" s="63"/>
      <c r="J13939" s="63"/>
    </row>
    <row r="13940" spans="9:10" x14ac:dyDescent="0.35">
      <c r="I13940" s="63"/>
      <c r="J13940" s="63"/>
    </row>
    <row r="13941" spans="9:10" x14ac:dyDescent="0.35">
      <c r="I13941" s="63"/>
      <c r="J13941" s="63"/>
    </row>
    <row r="13942" spans="9:10" x14ac:dyDescent="0.35">
      <c r="I13942" s="63"/>
      <c r="J13942" s="63"/>
    </row>
    <row r="13943" spans="9:10" x14ac:dyDescent="0.35">
      <c r="I13943" s="63"/>
      <c r="J13943" s="63"/>
    </row>
    <row r="13944" spans="9:10" x14ac:dyDescent="0.35">
      <c r="I13944" s="63"/>
      <c r="J13944" s="63"/>
    </row>
    <row r="13945" spans="9:10" x14ac:dyDescent="0.35">
      <c r="I13945" s="63"/>
      <c r="J13945" s="63"/>
    </row>
    <row r="13946" spans="9:10" x14ac:dyDescent="0.35">
      <c r="I13946" s="63"/>
      <c r="J13946" s="63"/>
    </row>
    <row r="13947" spans="9:10" x14ac:dyDescent="0.35">
      <c r="I13947" s="63"/>
      <c r="J13947" s="63"/>
    </row>
    <row r="13948" spans="9:10" x14ac:dyDescent="0.35">
      <c r="I13948" s="63"/>
      <c r="J13948" s="63"/>
    </row>
    <row r="13949" spans="9:10" x14ac:dyDescent="0.35">
      <c r="I13949" s="63"/>
      <c r="J13949" s="63"/>
    </row>
    <row r="13950" spans="9:10" x14ac:dyDescent="0.35">
      <c r="I13950" s="63"/>
      <c r="J13950" s="63"/>
    </row>
    <row r="13951" spans="9:10" x14ac:dyDescent="0.35">
      <c r="I13951" s="63"/>
      <c r="J13951" s="63"/>
    </row>
    <row r="13952" spans="9:10" x14ac:dyDescent="0.35">
      <c r="I13952" s="63"/>
      <c r="J13952" s="63"/>
    </row>
    <row r="13953" spans="9:10" x14ac:dyDescent="0.35">
      <c r="I13953" s="63"/>
      <c r="J13953" s="63"/>
    </row>
    <row r="13954" spans="9:10" x14ac:dyDescent="0.35">
      <c r="I13954" s="63"/>
      <c r="J13954" s="63"/>
    </row>
    <row r="13955" spans="9:10" x14ac:dyDescent="0.35">
      <c r="I13955" s="63"/>
      <c r="J13955" s="63"/>
    </row>
    <row r="13956" spans="9:10" x14ac:dyDescent="0.35">
      <c r="I13956" s="63"/>
      <c r="J13956" s="63"/>
    </row>
    <row r="13957" spans="9:10" x14ac:dyDescent="0.35">
      <c r="I13957" s="63"/>
      <c r="J13957" s="63"/>
    </row>
    <row r="13958" spans="9:10" x14ac:dyDescent="0.35">
      <c r="I13958" s="63"/>
      <c r="J13958" s="63"/>
    </row>
    <row r="13959" spans="9:10" x14ac:dyDescent="0.35">
      <c r="I13959" s="63"/>
      <c r="J13959" s="63"/>
    </row>
    <row r="13960" spans="9:10" x14ac:dyDescent="0.35">
      <c r="I13960" s="63"/>
      <c r="J13960" s="63"/>
    </row>
    <row r="13961" spans="9:10" x14ac:dyDescent="0.35">
      <c r="I13961" s="63"/>
      <c r="J13961" s="63"/>
    </row>
    <row r="13962" spans="9:10" x14ac:dyDescent="0.35">
      <c r="I13962" s="63"/>
      <c r="J13962" s="63"/>
    </row>
    <row r="13963" spans="9:10" x14ac:dyDescent="0.35">
      <c r="I13963" s="63"/>
      <c r="J13963" s="63"/>
    </row>
    <row r="13964" spans="9:10" x14ac:dyDescent="0.35">
      <c r="I13964" s="63"/>
      <c r="J13964" s="63"/>
    </row>
    <row r="13965" spans="9:10" x14ac:dyDescent="0.35">
      <c r="I13965" s="63"/>
      <c r="J13965" s="63"/>
    </row>
    <row r="13966" spans="9:10" x14ac:dyDescent="0.35">
      <c r="I13966" s="63"/>
      <c r="J13966" s="63"/>
    </row>
    <row r="13967" spans="9:10" x14ac:dyDescent="0.35">
      <c r="I13967" s="63"/>
      <c r="J13967" s="63"/>
    </row>
    <row r="13968" spans="9:10" x14ac:dyDescent="0.35">
      <c r="I13968" s="63"/>
      <c r="J13968" s="63"/>
    </row>
    <row r="13969" spans="9:10" x14ac:dyDescent="0.35">
      <c r="I13969" s="63"/>
      <c r="J13969" s="63"/>
    </row>
    <row r="13970" spans="9:10" x14ac:dyDescent="0.35">
      <c r="I13970" s="63"/>
      <c r="J13970" s="63"/>
    </row>
    <row r="13971" spans="9:10" x14ac:dyDescent="0.35">
      <c r="I13971" s="63"/>
      <c r="J13971" s="63"/>
    </row>
    <row r="13972" spans="9:10" x14ac:dyDescent="0.35">
      <c r="I13972" s="63"/>
      <c r="J13972" s="63"/>
    </row>
    <row r="13973" spans="9:10" x14ac:dyDescent="0.35">
      <c r="I13973" s="63"/>
      <c r="J13973" s="63"/>
    </row>
    <row r="13974" spans="9:10" x14ac:dyDescent="0.35">
      <c r="I13974" s="63"/>
      <c r="J13974" s="63"/>
    </row>
    <row r="13975" spans="9:10" x14ac:dyDescent="0.35">
      <c r="I13975" s="63"/>
      <c r="J13975" s="63"/>
    </row>
    <row r="13976" spans="9:10" x14ac:dyDescent="0.35">
      <c r="I13976" s="63"/>
      <c r="J13976" s="63"/>
    </row>
    <row r="13977" spans="9:10" x14ac:dyDescent="0.35">
      <c r="I13977" s="63"/>
      <c r="J13977" s="63"/>
    </row>
    <row r="13978" spans="9:10" x14ac:dyDescent="0.35">
      <c r="I13978" s="63"/>
      <c r="J13978" s="63"/>
    </row>
    <row r="13979" spans="9:10" x14ac:dyDescent="0.35">
      <c r="I13979" s="63"/>
      <c r="J13979" s="63"/>
    </row>
    <row r="13980" spans="9:10" x14ac:dyDescent="0.35">
      <c r="I13980" s="63"/>
      <c r="J13980" s="63"/>
    </row>
    <row r="13981" spans="9:10" x14ac:dyDescent="0.35">
      <c r="I13981" s="63"/>
      <c r="J13981" s="63"/>
    </row>
    <row r="13982" spans="9:10" x14ac:dyDescent="0.35">
      <c r="I13982" s="63"/>
      <c r="J13982" s="63"/>
    </row>
    <row r="13983" spans="9:10" x14ac:dyDescent="0.35">
      <c r="I13983" s="63"/>
      <c r="J13983" s="63"/>
    </row>
    <row r="13984" spans="9:10" x14ac:dyDescent="0.35">
      <c r="I13984" s="63"/>
      <c r="J13984" s="63"/>
    </row>
    <row r="13985" spans="9:10" x14ac:dyDescent="0.35">
      <c r="I13985" s="63"/>
      <c r="J13985" s="63"/>
    </row>
    <row r="13986" spans="9:10" x14ac:dyDescent="0.35">
      <c r="I13986" s="63"/>
      <c r="J13986" s="63"/>
    </row>
    <row r="13987" spans="9:10" x14ac:dyDescent="0.35">
      <c r="I13987" s="63"/>
      <c r="J13987" s="63"/>
    </row>
    <row r="13988" spans="9:10" x14ac:dyDescent="0.35">
      <c r="I13988" s="63"/>
      <c r="J13988" s="63"/>
    </row>
    <row r="13989" spans="9:10" x14ac:dyDescent="0.35">
      <c r="I13989" s="63"/>
      <c r="J13989" s="63"/>
    </row>
    <row r="13990" spans="9:10" x14ac:dyDescent="0.35">
      <c r="I13990" s="63"/>
      <c r="J13990" s="63"/>
    </row>
    <row r="13991" spans="9:10" x14ac:dyDescent="0.35">
      <c r="I13991" s="63"/>
      <c r="J13991" s="63"/>
    </row>
    <row r="13992" spans="9:10" x14ac:dyDescent="0.35">
      <c r="I13992" s="63"/>
      <c r="J13992" s="63"/>
    </row>
    <row r="13993" spans="9:10" x14ac:dyDescent="0.35">
      <c r="I13993" s="63"/>
      <c r="J13993" s="63"/>
    </row>
    <row r="13994" spans="9:10" x14ac:dyDescent="0.35">
      <c r="I13994" s="63"/>
      <c r="J13994" s="63"/>
    </row>
    <row r="13995" spans="9:10" x14ac:dyDescent="0.35">
      <c r="I13995" s="63"/>
      <c r="J13995" s="63"/>
    </row>
    <row r="13996" spans="9:10" x14ac:dyDescent="0.35">
      <c r="I13996" s="63"/>
      <c r="J13996" s="63"/>
    </row>
    <row r="13997" spans="9:10" x14ac:dyDescent="0.35">
      <c r="I13997" s="63"/>
      <c r="J13997" s="63"/>
    </row>
    <row r="13998" spans="9:10" x14ac:dyDescent="0.35">
      <c r="I13998" s="63"/>
      <c r="J13998" s="63"/>
    </row>
    <row r="13999" spans="9:10" x14ac:dyDescent="0.35">
      <c r="I13999" s="63"/>
      <c r="J13999" s="63"/>
    </row>
    <row r="14000" spans="9:10" x14ac:dyDescent="0.35">
      <c r="I14000" s="63"/>
      <c r="J14000" s="63"/>
    </row>
    <row r="14001" spans="9:10" x14ac:dyDescent="0.35">
      <c r="I14001" s="63"/>
      <c r="J14001" s="63"/>
    </row>
    <row r="14002" spans="9:10" x14ac:dyDescent="0.35">
      <c r="I14002" s="63"/>
      <c r="J14002" s="63"/>
    </row>
    <row r="14003" spans="9:10" x14ac:dyDescent="0.35">
      <c r="I14003" s="63"/>
      <c r="J14003" s="63"/>
    </row>
    <row r="14004" spans="9:10" x14ac:dyDescent="0.35">
      <c r="I14004" s="63"/>
      <c r="J14004" s="63"/>
    </row>
    <row r="14005" spans="9:10" x14ac:dyDescent="0.35">
      <c r="I14005" s="63"/>
      <c r="J14005" s="63"/>
    </row>
    <row r="14006" spans="9:10" x14ac:dyDescent="0.35">
      <c r="I14006" s="63"/>
      <c r="J14006" s="63"/>
    </row>
    <row r="14007" spans="9:10" x14ac:dyDescent="0.35">
      <c r="I14007" s="63"/>
      <c r="J14007" s="63"/>
    </row>
    <row r="14008" spans="9:10" x14ac:dyDescent="0.35">
      <c r="I14008" s="63"/>
      <c r="J14008" s="63"/>
    </row>
    <row r="14009" spans="9:10" x14ac:dyDescent="0.35">
      <c r="I14009" s="63"/>
      <c r="J14009" s="63"/>
    </row>
    <row r="14010" spans="9:10" x14ac:dyDescent="0.35">
      <c r="I14010" s="63"/>
      <c r="J14010" s="63"/>
    </row>
    <row r="14011" spans="9:10" x14ac:dyDescent="0.35">
      <c r="I14011" s="63"/>
      <c r="J14011" s="63"/>
    </row>
    <row r="14012" spans="9:10" x14ac:dyDescent="0.35">
      <c r="I14012" s="63"/>
      <c r="J14012" s="63"/>
    </row>
    <row r="14013" spans="9:10" x14ac:dyDescent="0.35">
      <c r="I14013" s="63"/>
      <c r="J14013" s="63"/>
    </row>
    <row r="14014" spans="9:10" x14ac:dyDescent="0.35">
      <c r="I14014" s="63"/>
      <c r="J14014" s="63"/>
    </row>
    <row r="14015" spans="9:10" x14ac:dyDescent="0.35">
      <c r="I14015" s="63"/>
      <c r="J14015" s="63"/>
    </row>
    <row r="14016" spans="9:10" x14ac:dyDescent="0.35">
      <c r="I14016" s="63"/>
      <c r="J14016" s="63"/>
    </row>
    <row r="14017" spans="9:10" x14ac:dyDescent="0.35">
      <c r="I14017" s="63"/>
      <c r="J14017" s="63"/>
    </row>
    <row r="14018" spans="9:10" x14ac:dyDescent="0.35">
      <c r="I14018" s="63"/>
      <c r="J14018" s="63"/>
    </row>
    <row r="14019" spans="9:10" x14ac:dyDescent="0.35">
      <c r="I14019" s="63"/>
      <c r="J14019" s="63"/>
    </row>
    <row r="14020" spans="9:10" x14ac:dyDescent="0.35">
      <c r="I14020" s="63"/>
      <c r="J14020" s="63"/>
    </row>
    <row r="14021" spans="9:10" x14ac:dyDescent="0.35">
      <c r="I14021" s="63"/>
      <c r="J14021" s="63"/>
    </row>
    <row r="14022" spans="9:10" x14ac:dyDescent="0.35">
      <c r="I14022" s="63"/>
      <c r="J14022" s="63"/>
    </row>
    <row r="14023" spans="9:10" x14ac:dyDescent="0.35">
      <c r="I14023" s="63"/>
      <c r="J14023" s="63"/>
    </row>
    <row r="14024" spans="9:10" x14ac:dyDescent="0.35">
      <c r="I14024" s="63"/>
      <c r="J14024" s="63"/>
    </row>
    <row r="14025" spans="9:10" x14ac:dyDescent="0.35">
      <c r="I14025" s="63"/>
      <c r="J14025" s="63"/>
    </row>
    <row r="14026" spans="9:10" x14ac:dyDescent="0.35">
      <c r="I14026" s="63"/>
      <c r="J14026" s="63"/>
    </row>
    <row r="14027" spans="9:10" x14ac:dyDescent="0.35">
      <c r="I14027" s="63"/>
      <c r="J14027" s="63"/>
    </row>
    <row r="14028" spans="9:10" x14ac:dyDescent="0.35">
      <c r="I14028" s="63"/>
      <c r="J14028" s="63"/>
    </row>
    <row r="14029" spans="9:10" x14ac:dyDescent="0.35">
      <c r="I14029" s="63"/>
      <c r="J14029" s="63"/>
    </row>
    <row r="14030" spans="9:10" x14ac:dyDescent="0.35">
      <c r="I14030" s="63"/>
      <c r="J14030" s="63"/>
    </row>
    <row r="14031" spans="9:10" x14ac:dyDescent="0.35">
      <c r="I14031" s="63"/>
      <c r="J14031" s="63"/>
    </row>
    <row r="14032" spans="9:10" x14ac:dyDescent="0.35">
      <c r="I14032" s="63"/>
      <c r="J14032" s="63"/>
    </row>
    <row r="14033" spans="9:10" x14ac:dyDescent="0.35">
      <c r="I14033" s="63"/>
      <c r="J14033" s="63"/>
    </row>
    <row r="14034" spans="9:10" x14ac:dyDescent="0.35">
      <c r="I14034" s="63"/>
      <c r="J14034" s="63"/>
    </row>
    <row r="14035" spans="9:10" x14ac:dyDescent="0.35">
      <c r="I14035" s="63"/>
      <c r="J14035" s="63"/>
    </row>
    <row r="14036" spans="9:10" x14ac:dyDescent="0.35">
      <c r="I14036" s="63"/>
      <c r="J14036" s="63"/>
    </row>
    <row r="14037" spans="9:10" x14ac:dyDescent="0.35">
      <c r="I14037" s="63"/>
      <c r="J14037" s="63"/>
    </row>
    <row r="14038" spans="9:10" x14ac:dyDescent="0.35">
      <c r="I14038" s="63"/>
      <c r="J14038" s="63"/>
    </row>
    <row r="14039" spans="9:10" x14ac:dyDescent="0.35">
      <c r="I14039" s="63"/>
      <c r="J14039" s="63"/>
    </row>
    <row r="14040" spans="9:10" x14ac:dyDescent="0.35">
      <c r="I14040" s="63"/>
      <c r="J14040" s="63"/>
    </row>
    <row r="14041" spans="9:10" x14ac:dyDescent="0.35">
      <c r="I14041" s="63"/>
      <c r="J14041" s="63"/>
    </row>
    <row r="14042" spans="9:10" x14ac:dyDescent="0.35">
      <c r="I14042" s="63"/>
      <c r="J14042" s="63"/>
    </row>
    <row r="14043" spans="9:10" x14ac:dyDescent="0.35">
      <c r="I14043" s="63"/>
      <c r="J14043" s="63"/>
    </row>
    <row r="14044" spans="9:10" x14ac:dyDescent="0.35">
      <c r="I14044" s="63"/>
      <c r="J14044" s="63"/>
    </row>
    <row r="14045" spans="9:10" x14ac:dyDescent="0.35">
      <c r="I14045" s="63"/>
      <c r="J14045" s="63"/>
    </row>
    <row r="14046" spans="9:10" x14ac:dyDescent="0.35">
      <c r="I14046" s="63"/>
      <c r="J14046" s="63"/>
    </row>
    <row r="14047" spans="9:10" x14ac:dyDescent="0.35">
      <c r="I14047" s="63"/>
      <c r="J14047" s="63"/>
    </row>
    <row r="14048" spans="9:10" x14ac:dyDescent="0.35">
      <c r="I14048" s="63"/>
      <c r="J14048" s="63"/>
    </row>
    <row r="14049" spans="9:10" x14ac:dyDescent="0.35">
      <c r="I14049" s="63"/>
      <c r="J14049" s="63"/>
    </row>
    <row r="14050" spans="9:10" x14ac:dyDescent="0.35">
      <c r="I14050" s="63"/>
      <c r="J14050" s="63"/>
    </row>
    <row r="14051" spans="9:10" x14ac:dyDescent="0.35">
      <c r="I14051" s="63"/>
      <c r="J14051" s="63"/>
    </row>
    <row r="14052" spans="9:10" x14ac:dyDescent="0.35">
      <c r="I14052" s="63"/>
      <c r="J14052" s="63"/>
    </row>
    <row r="14053" spans="9:10" x14ac:dyDescent="0.35">
      <c r="I14053" s="63"/>
      <c r="J14053" s="63"/>
    </row>
    <row r="14054" spans="9:10" x14ac:dyDescent="0.35">
      <c r="I14054" s="63"/>
      <c r="J14054" s="63"/>
    </row>
    <row r="14055" spans="9:10" x14ac:dyDescent="0.35">
      <c r="I14055" s="63"/>
      <c r="J14055" s="63"/>
    </row>
    <row r="14056" spans="9:10" x14ac:dyDescent="0.35">
      <c r="I14056" s="63"/>
      <c r="J14056" s="63"/>
    </row>
    <row r="14057" spans="9:10" x14ac:dyDescent="0.35">
      <c r="I14057" s="63"/>
      <c r="J14057" s="63"/>
    </row>
    <row r="14058" spans="9:10" x14ac:dyDescent="0.35">
      <c r="I14058" s="63"/>
      <c r="J14058" s="63"/>
    </row>
    <row r="14059" spans="9:10" x14ac:dyDescent="0.35">
      <c r="I14059" s="63"/>
      <c r="J14059" s="63"/>
    </row>
    <row r="14060" spans="9:10" x14ac:dyDescent="0.35">
      <c r="I14060" s="63"/>
      <c r="J14060" s="63"/>
    </row>
    <row r="14061" spans="9:10" x14ac:dyDescent="0.35">
      <c r="I14061" s="63"/>
      <c r="J14061" s="63"/>
    </row>
    <row r="14062" spans="9:10" x14ac:dyDescent="0.35">
      <c r="I14062" s="63"/>
      <c r="J14062" s="63"/>
    </row>
    <row r="14063" spans="9:10" x14ac:dyDescent="0.35">
      <c r="I14063" s="63"/>
      <c r="J14063" s="63"/>
    </row>
    <row r="14064" spans="9:10" x14ac:dyDescent="0.35">
      <c r="I14064" s="63"/>
      <c r="J14064" s="63"/>
    </row>
    <row r="14065" spans="9:10" x14ac:dyDescent="0.35">
      <c r="I14065" s="63"/>
      <c r="J14065" s="63"/>
    </row>
    <row r="14066" spans="9:10" x14ac:dyDescent="0.35">
      <c r="I14066" s="63"/>
      <c r="J14066" s="63"/>
    </row>
    <row r="14067" spans="9:10" x14ac:dyDescent="0.35">
      <c r="I14067" s="63"/>
      <c r="J14067" s="63"/>
    </row>
    <row r="14068" spans="9:10" x14ac:dyDescent="0.35">
      <c r="I14068" s="63"/>
      <c r="J14068" s="63"/>
    </row>
    <row r="14069" spans="9:10" x14ac:dyDescent="0.35">
      <c r="I14069" s="63"/>
      <c r="J14069" s="63"/>
    </row>
    <row r="14070" spans="9:10" x14ac:dyDescent="0.35">
      <c r="I14070" s="63"/>
      <c r="J14070" s="63"/>
    </row>
    <row r="14071" spans="9:10" x14ac:dyDescent="0.35">
      <c r="I14071" s="63"/>
      <c r="J14071" s="63"/>
    </row>
    <row r="14072" spans="9:10" x14ac:dyDescent="0.35">
      <c r="I14072" s="63"/>
      <c r="J14072" s="63"/>
    </row>
    <row r="14073" spans="9:10" x14ac:dyDescent="0.35">
      <c r="I14073" s="63"/>
      <c r="J14073" s="63"/>
    </row>
    <row r="14074" spans="9:10" x14ac:dyDescent="0.35">
      <c r="I14074" s="63"/>
      <c r="J14074" s="63"/>
    </row>
    <row r="14075" spans="9:10" x14ac:dyDescent="0.35">
      <c r="I14075" s="63"/>
      <c r="J14075" s="63"/>
    </row>
    <row r="14076" spans="9:10" x14ac:dyDescent="0.35">
      <c r="I14076" s="63"/>
      <c r="J14076" s="63"/>
    </row>
    <row r="14077" spans="9:10" x14ac:dyDescent="0.35">
      <c r="I14077" s="63"/>
      <c r="J14077" s="63"/>
    </row>
    <row r="14078" spans="9:10" x14ac:dyDescent="0.35">
      <c r="I14078" s="63"/>
      <c r="J14078" s="63"/>
    </row>
    <row r="14079" spans="9:10" x14ac:dyDescent="0.35">
      <c r="I14079" s="63"/>
      <c r="J14079" s="63"/>
    </row>
    <row r="14080" spans="9:10" x14ac:dyDescent="0.35">
      <c r="I14080" s="63"/>
      <c r="J14080" s="63"/>
    </row>
    <row r="14081" spans="9:10" x14ac:dyDescent="0.35">
      <c r="I14081" s="63"/>
      <c r="J14081" s="63"/>
    </row>
    <row r="14082" spans="9:10" x14ac:dyDescent="0.35">
      <c r="I14082" s="63"/>
      <c r="J14082" s="63"/>
    </row>
    <row r="14083" spans="9:10" x14ac:dyDescent="0.35">
      <c r="I14083" s="63"/>
      <c r="J14083" s="63"/>
    </row>
    <row r="14084" spans="9:10" x14ac:dyDescent="0.35">
      <c r="I14084" s="63"/>
      <c r="J14084" s="63"/>
    </row>
    <row r="14085" spans="9:10" x14ac:dyDescent="0.35">
      <c r="I14085" s="63"/>
      <c r="J14085" s="63"/>
    </row>
    <row r="14086" spans="9:10" x14ac:dyDescent="0.35">
      <c r="I14086" s="63"/>
      <c r="J14086" s="63"/>
    </row>
    <row r="14087" spans="9:10" x14ac:dyDescent="0.35">
      <c r="I14087" s="63"/>
      <c r="J14087" s="63"/>
    </row>
    <row r="14088" spans="9:10" x14ac:dyDescent="0.35">
      <c r="I14088" s="63"/>
      <c r="J14088" s="63"/>
    </row>
    <row r="14089" spans="9:10" x14ac:dyDescent="0.35">
      <c r="I14089" s="63"/>
      <c r="J14089" s="63"/>
    </row>
    <row r="14090" spans="9:10" x14ac:dyDescent="0.35">
      <c r="I14090" s="63"/>
      <c r="J14090" s="63"/>
    </row>
    <row r="14091" spans="9:10" x14ac:dyDescent="0.35">
      <c r="I14091" s="63"/>
      <c r="J14091" s="63"/>
    </row>
    <row r="14092" spans="9:10" x14ac:dyDescent="0.35">
      <c r="I14092" s="63"/>
      <c r="J14092" s="63"/>
    </row>
    <row r="14093" spans="9:10" x14ac:dyDescent="0.35">
      <c r="I14093" s="63"/>
      <c r="J14093" s="63"/>
    </row>
    <row r="14094" spans="9:10" x14ac:dyDescent="0.35">
      <c r="I14094" s="63"/>
      <c r="J14094" s="63"/>
    </row>
    <row r="14095" spans="9:10" x14ac:dyDescent="0.35">
      <c r="I14095" s="63"/>
      <c r="J14095" s="63"/>
    </row>
    <row r="14096" spans="9:10" x14ac:dyDescent="0.35">
      <c r="I14096" s="63"/>
      <c r="J14096" s="63"/>
    </row>
    <row r="14097" spans="9:10" x14ac:dyDescent="0.35">
      <c r="I14097" s="63"/>
      <c r="J14097" s="63"/>
    </row>
    <row r="14098" spans="9:10" x14ac:dyDescent="0.35">
      <c r="I14098" s="63"/>
      <c r="J14098" s="63"/>
    </row>
    <row r="14099" spans="9:10" x14ac:dyDescent="0.35">
      <c r="I14099" s="63"/>
      <c r="J14099" s="63"/>
    </row>
    <row r="14100" spans="9:10" x14ac:dyDescent="0.35">
      <c r="I14100" s="63"/>
      <c r="J14100" s="63"/>
    </row>
    <row r="14101" spans="9:10" x14ac:dyDescent="0.35">
      <c r="I14101" s="63"/>
      <c r="J14101" s="63"/>
    </row>
    <row r="14102" spans="9:10" x14ac:dyDescent="0.35">
      <c r="I14102" s="63"/>
      <c r="J14102" s="63"/>
    </row>
    <row r="14103" spans="9:10" x14ac:dyDescent="0.35">
      <c r="I14103" s="63"/>
      <c r="J14103" s="63"/>
    </row>
    <row r="14104" spans="9:10" x14ac:dyDescent="0.35">
      <c r="I14104" s="63"/>
      <c r="J14104" s="63"/>
    </row>
    <row r="14105" spans="9:10" x14ac:dyDescent="0.35">
      <c r="I14105" s="63"/>
      <c r="J14105" s="63"/>
    </row>
    <row r="14106" spans="9:10" x14ac:dyDescent="0.35">
      <c r="I14106" s="63"/>
      <c r="J14106" s="63"/>
    </row>
    <row r="14107" spans="9:10" x14ac:dyDescent="0.35">
      <c r="I14107" s="63"/>
      <c r="J14107" s="63"/>
    </row>
    <row r="14108" spans="9:10" x14ac:dyDescent="0.35">
      <c r="I14108" s="63"/>
      <c r="J14108" s="63"/>
    </row>
    <row r="14109" spans="9:10" x14ac:dyDescent="0.35">
      <c r="I14109" s="63"/>
      <c r="J14109" s="63"/>
    </row>
    <row r="14110" spans="9:10" x14ac:dyDescent="0.35">
      <c r="I14110" s="63"/>
      <c r="J14110" s="63"/>
    </row>
    <row r="14111" spans="9:10" x14ac:dyDescent="0.35">
      <c r="I14111" s="63"/>
      <c r="J14111" s="63"/>
    </row>
    <row r="14112" spans="9:10" x14ac:dyDescent="0.35">
      <c r="I14112" s="63"/>
      <c r="J14112" s="63"/>
    </row>
    <row r="14113" spans="9:10" x14ac:dyDescent="0.35">
      <c r="I14113" s="63"/>
      <c r="J14113" s="63"/>
    </row>
    <row r="14114" spans="9:10" x14ac:dyDescent="0.35">
      <c r="I14114" s="63"/>
      <c r="J14114" s="63"/>
    </row>
    <row r="14115" spans="9:10" x14ac:dyDescent="0.35">
      <c r="I14115" s="63"/>
      <c r="J14115" s="63"/>
    </row>
    <row r="14116" spans="9:10" x14ac:dyDescent="0.35">
      <c r="I14116" s="63"/>
      <c r="J14116" s="63"/>
    </row>
    <row r="14117" spans="9:10" x14ac:dyDescent="0.35">
      <c r="I14117" s="63"/>
      <c r="J14117" s="63"/>
    </row>
    <row r="14118" spans="9:10" x14ac:dyDescent="0.35">
      <c r="I14118" s="63"/>
      <c r="J14118" s="63"/>
    </row>
    <row r="14119" spans="9:10" x14ac:dyDescent="0.35">
      <c r="I14119" s="63"/>
      <c r="J14119" s="63"/>
    </row>
    <row r="14120" spans="9:10" x14ac:dyDescent="0.35">
      <c r="I14120" s="63"/>
      <c r="J14120" s="63"/>
    </row>
    <row r="14121" spans="9:10" x14ac:dyDescent="0.35">
      <c r="I14121" s="63"/>
      <c r="J14121" s="63"/>
    </row>
    <row r="14122" spans="9:10" x14ac:dyDescent="0.35">
      <c r="I14122" s="63"/>
      <c r="J14122" s="63"/>
    </row>
    <row r="14123" spans="9:10" x14ac:dyDescent="0.35">
      <c r="I14123" s="63"/>
      <c r="J14123" s="63"/>
    </row>
    <row r="14124" spans="9:10" x14ac:dyDescent="0.35">
      <c r="I14124" s="63"/>
      <c r="J14124" s="63"/>
    </row>
    <row r="14125" spans="9:10" x14ac:dyDescent="0.35">
      <c r="I14125" s="63"/>
      <c r="J14125" s="63"/>
    </row>
    <row r="14126" spans="9:10" x14ac:dyDescent="0.35">
      <c r="I14126" s="63"/>
      <c r="J14126" s="63"/>
    </row>
    <row r="14127" spans="9:10" x14ac:dyDescent="0.35">
      <c r="I14127" s="63"/>
      <c r="J14127" s="63"/>
    </row>
    <row r="14128" spans="9:10" x14ac:dyDescent="0.35">
      <c r="I14128" s="63"/>
      <c r="J14128" s="63"/>
    </row>
    <row r="14129" spans="9:10" x14ac:dyDescent="0.35">
      <c r="I14129" s="63"/>
      <c r="J14129" s="63"/>
    </row>
    <row r="14130" spans="9:10" x14ac:dyDescent="0.35">
      <c r="I14130" s="63"/>
      <c r="J14130" s="63"/>
    </row>
    <row r="14131" spans="9:10" x14ac:dyDescent="0.35">
      <c r="I14131" s="63"/>
      <c r="J14131" s="63"/>
    </row>
    <row r="14132" spans="9:10" x14ac:dyDescent="0.35">
      <c r="I14132" s="63"/>
      <c r="J14132" s="63"/>
    </row>
    <row r="14133" spans="9:10" x14ac:dyDescent="0.35">
      <c r="I14133" s="63"/>
      <c r="J14133" s="63"/>
    </row>
    <row r="14134" spans="9:10" x14ac:dyDescent="0.35">
      <c r="I14134" s="63"/>
      <c r="J14134" s="63"/>
    </row>
    <row r="14135" spans="9:10" x14ac:dyDescent="0.35">
      <c r="I14135" s="63"/>
      <c r="J14135" s="63"/>
    </row>
    <row r="14136" spans="9:10" x14ac:dyDescent="0.35">
      <c r="I14136" s="63"/>
      <c r="J14136" s="63"/>
    </row>
    <row r="14137" spans="9:10" x14ac:dyDescent="0.35">
      <c r="I14137" s="63"/>
      <c r="J14137" s="63"/>
    </row>
    <row r="14138" spans="9:10" x14ac:dyDescent="0.35">
      <c r="I14138" s="63"/>
      <c r="J14138" s="63"/>
    </row>
    <row r="14139" spans="9:10" x14ac:dyDescent="0.35">
      <c r="I14139" s="63"/>
      <c r="J14139" s="63"/>
    </row>
    <row r="14140" spans="9:10" x14ac:dyDescent="0.35">
      <c r="I14140" s="63"/>
      <c r="J14140" s="63"/>
    </row>
    <row r="14141" spans="9:10" x14ac:dyDescent="0.35">
      <c r="I14141" s="63"/>
      <c r="J14141" s="63"/>
    </row>
    <row r="14142" spans="9:10" x14ac:dyDescent="0.35">
      <c r="I14142" s="63"/>
      <c r="J14142" s="63"/>
    </row>
    <row r="14143" spans="9:10" x14ac:dyDescent="0.35">
      <c r="I14143" s="63"/>
      <c r="J14143" s="63"/>
    </row>
    <row r="14144" spans="9:10" x14ac:dyDescent="0.35">
      <c r="I14144" s="63"/>
      <c r="J14144" s="63"/>
    </row>
    <row r="14145" spans="9:10" x14ac:dyDescent="0.35">
      <c r="I14145" s="63"/>
      <c r="J14145" s="63"/>
    </row>
    <row r="14146" spans="9:10" x14ac:dyDescent="0.35">
      <c r="I14146" s="63"/>
      <c r="J14146" s="63"/>
    </row>
    <row r="14147" spans="9:10" x14ac:dyDescent="0.35">
      <c r="I14147" s="63"/>
      <c r="J14147" s="63"/>
    </row>
    <row r="14148" spans="9:10" x14ac:dyDescent="0.35">
      <c r="I14148" s="63"/>
      <c r="J14148" s="63"/>
    </row>
    <row r="14149" spans="9:10" x14ac:dyDescent="0.35">
      <c r="I14149" s="63"/>
      <c r="J14149" s="63"/>
    </row>
    <row r="14150" spans="9:10" x14ac:dyDescent="0.35">
      <c r="I14150" s="63"/>
      <c r="J14150" s="63"/>
    </row>
    <row r="14151" spans="9:10" x14ac:dyDescent="0.35">
      <c r="I14151" s="63"/>
      <c r="J14151" s="63"/>
    </row>
    <row r="14152" spans="9:10" x14ac:dyDescent="0.35">
      <c r="I14152" s="63"/>
      <c r="J14152" s="63"/>
    </row>
    <row r="14153" spans="9:10" x14ac:dyDescent="0.35">
      <c r="I14153" s="63"/>
      <c r="J14153" s="63"/>
    </row>
    <row r="14154" spans="9:10" x14ac:dyDescent="0.35">
      <c r="I14154" s="63"/>
      <c r="J14154" s="63"/>
    </row>
    <row r="14155" spans="9:10" x14ac:dyDescent="0.35">
      <c r="I14155" s="63"/>
      <c r="J14155" s="63"/>
    </row>
    <row r="14156" spans="9:10" x14ac:dyDescent="0.35">
      <c r="I14156" s="63"/>
      <c r="J14156" s="63"/>
    </row>
    <row r="14157" spans="9:10" x14ac:dyDescent="0.35">
      <c r="I14157" s="63"/>
      <c r="J14157" s="63"/>
    </row>
    <row r="14158" spans="9:10" x14ac:dyDescent="0.35">
      <c r="I14158" s="63"/>
      <c r="J14158" s="63"/>
    </row>
    <row r="14159" spans="9:10" x14ac:dyDescent="0.35">
      <c r="I14159" s="63"/>
      <c r="J14159" s="63"/>
    </row>
    <row r="14160" spans="9:10" x14ac:dyDescent="0.35">
      <c r="I14160" s="63"/>
      <c r="J14160" s="63"/>
    </row>
    <row r="14161" spans="9:10" x14ac:dyDescent="0.35">
      <c r="I14161" s="63"/>
      <c r="J14161" s="63"/>
    </row>
    <row r="14162" spans="9:10" x14ac:dyDescent="0.35">
      <c r="I14162" s="63"/>
      <c r="J14162" s="63"/>
    </row>
    <row r="14163" spans="9:10" x14ac:dyDescent="0.35">
      <c r="I14163" s="63"/>
      <c r="J14163" s="63"/>
    </row>
    <row r="14164" spans="9:10" x14ac:dyDescent="0.35">
      <c r="I14164" s="63"/>
      <c r="J14164" s="63"/>
    </row>
    <row r="14165" spans="9:10" x14ac:dyDescent="0.35">
      <c r="I14165" s="63"/>
      <c r="J14165" s="63"/>
    </row>
    <row r="14166" spans="9:10" x14ac:dyDescent="0.35">
      <c r="I14166" s="63"/>
      <c r="J14166" s="63"/>
    </row>
    <row r="14167" spans="9:10" x14ac:dyDescent="0.35">
      <c r="I14167" s="63"/>
      <c r="J14167" s="63"/>
    </row>
    <row r="14168" spans="9:10" x14ac:dyDescent="0.35">
      <c r="I14168" s="63"/>
      <c r="J14168" s="63"/>
    </row>
    <row r="14169" spans="9:10" x14ac:dyDescent="0.35">
      <c r="I14169" s="63"/>
      <c r="J14169" s="63"/>
    </row>
    <row r="14170" spans="9:10" x14ac:dyDescent="0.35">
      <c r="I14170" s="63"/>
      <c r="J14170" s="63"/>
    </row>
    <row r="14171" spans="9:10" x14ac:dyDescent="0.35">
      <c r="I14171" s="63"/>
      <c r="J14171" s="63"/>
    </row>
    <row r="14172" spans="9:10" x14ac:dyDescent="0.35">
      <c r="I14172" s="63"/>
      <c r="J14172" s="63"/>
    </row>
    <row r="14173" spans="9:10" x14ac:dyDescent="0.35">
      <c r="I14173" s="63"/>
      <c r="J14173" s="63"/>
    </row>
    <row r="14174" spans="9:10" x14ac:dyDescent="0.35">
      <c r="I14174" s="63"/>
      <c r="J14174" s="63"/>
    </row>
    <row r="14175" spans="9:10" x14ac:dyDescent="0.35">
      <c r="I14175" s="63"/>
      <c r="J14175" s="63"/>
    </row>
    <row r="14176" spans="9:10" x14ac:dyDescent="0.35">
      <c r="I14176" s="63"/>
      <c r="J14176" s="63"/>
    </row>
    <row r="14177" spans="9:10" x14ac:dyDescent="0.35">
      <c r="I14177" s="63"/>
      <c r="J14177" s="63"/>
    </row>
    <row r="14178" spans="9:10" x14ac:dyDescent="0.35">
      <c r="I14178" s="63"/>
      <c r="J14178" s="63"/>
    </row>
    <row r="14179" spans="9:10" x14ac:dyDescent="0.35">
      <c r="I14179" s="63"/>
      <c r="J14179" s="63"/>
    </row>
    <row r="14180" spans="9:10" x14ac:dyDescent="0.35">
      <c r="I14180" s="63"/>
      <c r="J14180" s="63"/>
    </row>
    <row r="14181" spans="9:10" x14ac:dyDescent="0.35">
      <c r="I14181" s="63"/>
      <c r="J14181" s="63"/>
    </row>
    <row r="14182" spans="9:10" x14ac:dyDescent="0.35">
      <c r="I14182" s="63"/>
      <c r="J14182" s="63"/>
    </row>
    <row r="14183" spans="9:10" x14ac:dyDescent="0.35">
      <c r="I14183" s="63"/>
      <c r="J14183" s="63"/>
    </row>
    <row r="14184" spans="9:10" x14ac:dyDescent="0.35">
      <c r="I14184" s="63"/>
      <c r="J14184" s="63"/>
    </row>
    <row r="14185" spans="9:10" x14ac:dyDescent="0.35">
      <c r="I14185" s="63"/>
      <c r="J14185" s="63"/>
    </row>
    <row r="14186" spans="9:10" x14ac:dyDescent="0.35">
      <c r="I14186" s="63"/>
      <c r="J14186" s="63"/>
    </row>
    <row r="14187" spans="9:10" x14ac:dyDescent="0.35">
      <c r="I14187" s="63"/>
      <c r="J14187" s="63"/>
    </row>
    <row r="14188" spans="9:10" x14ac:dyDescent="0.35">
      <c r="I14188" s="63"/>
      <c r="J14188" s="63"/>
    </row>
    <row r="14189" spans="9:10" x14ac:dyDescent="0.35">
      <c r="I14189" s="63"/>
      <c r="J14189" s="63"/>
    </row>
    <row r="14190" spans="9:10" x14ac:dyDescent="0.35">
      <c r="I14190" s="63"/>
      <c r="J14190" s="63"/>
    </row>
    <row r="14191" spans="9:10" x14ac:dyDescent="0.35">
      <c r="I14191" s="63"/>
      <c r="J14191" s="63"/>
    </row>
    <row r="14192" spans="9:10" x14ac:dyDescent="0.35">
      <c r="I14192" s="63"/>
      <c r="J14192" s="63"/>
    </row>
    <row r="14193" spans="9:10" x14ac:dyDescent="0.35">
      <c r="I14193" s="63"/>
      <c r="J14193" s="63"/>
    </row>
    <row r="14194" spans="9:10" x14ac:dyDescent="0.35">
      <c r="I14194" s="63"/>
      <c r="J14194" s="63"/>
    </row>
    <row r="14195" spans="9:10" x14ac:dyDescent="0.35">
      <c r="I14195" s="63"/>
      <c r="J14195" s="63"/>
    </row>
    <row r="14196" spans="9:10" x14ac:dyDescent="0.35">
      <c r="I14196" s="63"/>
      <c r="J14196" s="63"/>
    </row>
    <row r="14197" spans="9:10" x14ac:dyDescent="0.35">
      <c r="I14197" s="63"/>
      <c r="J14197" s="63"/>
    </row>
    <row r="14198" spans="9:10" x14ac:dyDescent="0.35">
      <c r="I14198" s="63"/>
      <c r="J14198" s="63"/>
    </row>
    <row r="14199" spans="9:10" x14ac:dyDescent="0.35">
      <c r="I14199" s="63"/>
      <c r="J14199" s="63"/>
    </row>
    <row r="14200" spans="9:10" x14ac:dyDescent="0.35">
      <c r="I14200" s="63"/>
      <c r="J14200" s="63"/>
    </row>
    <row r="14201" spans="9:10" x14ac:dyDescent="0.35">
      <c r="I14201" s="63"/>
      <c r="J14201" s="63"/>
    </row>
    <row r="14202" spans="9:10" x14ac:dyDescent="0.35">
      <c r="I14202" s="63"/>
      <c r="J14202" s="63"/>
    </row>
    <row r="14203" spans="9:10" x14ac:dyDescent="0.35">
      <c r="I14203" s="63"/>
      <c r="J14203" s="63"/>
    </row>
    <row r="14204" spans="9:10" x14ac:dyDescent="0.35">
      <c r="I14204" s="63"/>
      <c r="J14204" s="63"/>
    </row>
    <row r="14205" spans="9:10" x14ac:dyDescent="0.35">
      <c r="I14205" s="63"/>
      <c r="J14205" s="63"/>
    </row>
    <row r="14206" spans="9:10" x14ac:dyDescent="0.35">
      <c r="I14206" s="63"/>
      <c r="J14206" s="63"/>
    </row>
    <row r="14207" spans="9:10" x14ac:dyDescent="0.35">
      <c r="I14207" s="63"/>
      <c r="J14207" s="63"/>
    </row>
    <row r="14208" spans="9:10" x14ac:dyDescent="0.35">
      <c r="I14208" s="63"/>
      <c r="J14208" s="63"/>
    </row>
    <row r="14209" spans="9:10" x14ac:dyDescent="0.35">
      <c r="I14209" s="63"/>
      <c r="J14209" s="63"/>
    </row>
    <row r="14210" spans="9:10" x14ac:dyDescent="0.35">
      <c r="I14210" s="63"/>
      <c r="J14210" s="63"/>
    </row>
    <row r="14211" spans="9:10" x14ac:dyDescent="0.35">
      <c r="I14211" s="63"/>
      <c r="J14211" s="63"/>
    </row>
    <row r="14212" spans="9:10" x14ac:dyDescent="0.35">
      <c r="I14212" s="63"/>
      <c r="J14212" s="63"/>
    </row>
    <row r="14213" spans="9:10" x14ac:dyDescent="0.35">
      <c r="I14213" s="63"/>
      <c r="J14213" s="63"/>
    </row>
    <row r="14214" spans="9:10" x14ac:dyDescent="0.35">
      <c r="I14214" s="63"/>
      <c r="J14214" s="63"/>
    </row>
    <row r="14215" spans="9:10" x14ac:dyDescent="0.35">
      <c r="I14215" s="63"/>
      <c r="J14215" s="63"/>
    </row>
    <row r="14216" spans="9:10" x14ac:dyDescent="0.35">
      <c r="I14216" s="63"/>
      <c r="J14216" s="63"/>
    </row>
    <row r="14217" spans="9:10" x14ac:dyDescent="0.35">
      <c r="I14217" s="63"/>
      <c r="J14217" s="63"/>
    </row>
    <row r="14218" spans="9:10" x14ac:dyDescent="0.35">
      <c r="I14218" s="63"/>
      <c r="J14218" s="63"/>
    </row>
    <row r="14219" spans="9:10" x14ac:dyDescent="0.35">
      <c r="I14219" s="63"/>
      <c r="J14219" s="63"/>
    </row>
    <row r="14220" spans="9:10" x14ac:dyDescent="0.35">
      <c r="I14220" s="63"/>
      <c r="J14220" s="63"/>
    </row>
    <row r="14221" spans="9:10" x14ac:dyDescent="0.35">
      <c r="I14221" s="63"/>
      <c r="J14221" s="63"/>
    </row>
    <row r="14222" spans="9:10" x14ac:dyDescent="0.35">
      <c r="I14222" s="63"/>
      <c r="J14222" s="63"/>
    </row>
    <row r="14223" spans="9:10" x14ac:dyDescent="0.35">
      <c r="I14223" s="63"/>
      <c r="J14223" s="63"/>
    </row>
    <row r="14224" spans="9:10" x14ac:dyDescent="0.35">
      <c r="I14224" s="63"/>
      <c r="J14224" s="63"/>
    </row>
    <row r="14225" spans="9:10" x14ac:dyDescent="0.35">
      <c r="I14225" s="63"/>
      <c r="J14225" s="63"/>
    </row>
    <row r="14226" spans="9:10" x14ac:dyDescent="0.35">
      <c r="I14226" s="63"/>
      <c r="J14226" s="63"/>
    </row>
    <row r="14227" spans="9:10" x14ac:dyDescent="0.35">
      <c r="I14227" s="63"/>
      <c r="J14227" s="63"/>
    </row>
    <row r="14228" spans="9:10" x14ac:dyDescent="0.35">
      <c r="I14228" s="63"/>
      <c r="J14228" s="63"/>
    </row>
    <row r="14229" spans="9:10" x14ac:dyDescent="0.35">
      <c r="I14229" s="63"/>
      <c r="J14229" s="63"/>
    </row>
    <row r="14230" spans="9:10" x14ac:dyDescent="0.35">
      <c r="I14230" s="63"/>
      <c r="J14230" s="63"/>
    </row>
    <row r="14231" spans="9:10" x14ac:dyDescent="0.35">
      <c r="I14231" s="63"/>
      <c r="J14231" s="63"/>
    </row>
    <row r="14232" spans="9:10" x14ac:dyDescent="0.35">
      <c r="I14232" s="63"/>
      <c r="J14232" s="63"/>
    </row>
    <row r="14233" spans="9:10" x14ac:dyDescent="0.35">
      <c r="I14233" s="63"/>
      <c r="J14233" s="63"/>
    </row>
    <row r="14234" spans="9:10" x14ac:dyDescent="0.35">
      <c r="I14234" s="63"/>
      <c r="J14234" s="63"/>
    </row>
    <row r="14235" spans="9:10" x14ac:dyDescent="0.35">
      <c r="I14235" s="63"/>
      <c r="J14235" s="63"/>
    </row>
    <row r="14236" spans="9:10" x14ac:dyDescent="0.35">
      <c r="I14236" s="63"/>
      <c r="J14236" s="63"/>
    </row>
    <row r="14237" spans="9:10" x14ac:dyDescent="0.35">
      <c r="I14237" s="63"/>
      <c r="J14237" s="63"/>
    </row>
    <row r="14238" spans="9:10" x14ac:dyDescent="0.35">
      <c r="I14238" s="63"/>
      <c r="J14238" s="63"/>
    </row>
    <row r="14239" spans="9:10" x14ac:dyDescent="0.35">
      <c r="I14239" s="63"/>
      <c r="J14239" s="63"/>
    </row>
    <row r="14240" spans="9:10" x14ac:dyDescent="0.35">
      <c r="I14240" s="63"/>
      <c r="J14240" s="63"/>
    </row>
    <row r="14241" spans="9:10" x14ac:dyDescent="0.35">
      <c r="I14241" s="63"/>
      <c r="J14241" s="63"/>
    </row>
    <row r="14242" spans="9:10" x14ac:dyDescent="0.35">
      <c r="I14242" s="63"/>
      <c r="J14242" s="63"/>
    </row>
    <row r="14243" spans="9:10" x14ac:dyDescent="0.35">
      <c r="I14243" s="63"/>
      <c r="J14243" s="63"/>
    </row>
    <row r="14244" spans="9:10" x14ac:dyDescent="0.35">
      <c r="I14244" s="63"/>
      <c r="J14244" s="63"/>
    </row>
    <row r="14245" spans="9:10" x14ac:dyDescent="0.35">
      <c r="I14245" s="63"/>
      <c r="J14245" s="63"/>
    </row>
    <row r="14246" spans="9:10" x14ac:dyDescent="0.35">
      <c r="I14246" s="63"/>
      <c r="J14246" s="63"/>
    </row>
    <row r="14247" spans="9:10" x14ac:dyDescent="0.35">
      <c r="I14247" s="63"/>
      <c r="J14247" s="63"/>
    </row>
    <row r="14248" spans="9:10" x14ac:dyDescent="0.35">
      <c r="I14248" s="63"/>
      <c r="J14248" s="63"/>
    </row>
    <row r="14249" spans="9:10" x14ac:dyDescent="0.35">
      <c r="I14249" s="63"/>
      <c r="J14249" s="63"/>
    </row>
    <row r="14250" spans="9:10" x14ac:dyDescent="0.35">
      <c r="I14250" s="63"/>
      <c r="J14250" s="63"/>
    </row>
    <row r="14251" spans="9:10" x14ac:dyDescent="0.35">
      <c r="I14251" s="63"/>
      <c r="J14251" s="63"/>
    </row>
    <row r="14252" spans="9:10" x14ac:dyDescent="0.35">
      <c r="I14252" s="63"/>
      <c r="J14252" s="63"/>
    </row>
    <row r="14253" spans="9:10" x14ac:dyDescent="0.35">
      <c r="I14253" s="63"/>
      <c r="J14253" s="63"/>
    </row>
    <row r="14254" spans="9:10" x14ac:dyDescent="0.35">
      <c r="I14254" s="63"/>
      <c r="J14254" s="63"/>
    </row>
    <row r="14255" spans="9:10" x14ac:dyDescent="0.35">
      <c r="I14255" s="63"/>
      <c r="J14255" s="63"/>
    </row>
    <row r="14256" spans="9:10" x14ac:dyDescent="0.35">
      <c r="I14256" s="63"/>
      <c r="J14256" s="63"/>
    </row>
    <row r="14257" spans="9:10" x14ac:dyDescent="0.35">
      <c r="I14257" s="63"/>
      <c r="J14257" s="63"/>
    </row>
    <row r="14258" spans="9:10" x14ac:dyDescent="0.35">
      <c r="I14258" s="63"/>
      <c r="J14258" s="63"/>
    </row>
    <row r="14259" spans="9:10" x14ac:dyDescent="0.35">
      <c r="I14259" s="63"/>
      <c r="J14259" s="63"/>
    </row>
    <row r="14260" spans="9:10" x14ac:dyDescent="0.35">
      <c r="I14260" s="63"/>
      <c r="J14260" s="63"/>
    </row>
    <row r="14261" spans="9:10" x14ac:dyDescent="0.35">
      <c r="I14261" s="63"/>
      <c r="J14261" s="63"/>
    </row>
    <row r="14262" spans="9:10" x14ac:dyDescent="0.35">
      <c r="I14262" s="63"/>
      <c r="J14262" s="63"/>
    </row>
    <row r="14263" spans="9:10" x14ac:dyDescent="0.35">
      <c r="I14263" s="63"/>
      <c r="J14263" s="63"/>
    </row>
    <row r="14264" spans="9:10" x14ac:dyDescent="0.35">
      <c r="I14264" s="63"/>
      <c r="J14264" s="63"/>
    </row>
    <row r="14265" spans="9:10" x14ac:dyDescent="0.35">
      <c r="I14265" s="63"/>
      <c r="J14265" s="63"/>
    </row>
    <row r="14266" spans="9:10" x14ac:dyDescent="0.35">
      <c r="I14266" s="63"/>
      <c r="J14266" s="63"/>
    </row>
    <row r="14267" spans="9:10" x14ac:dyDescent="0.35">
      <c r="I14267" s="63"/>
      <c r="J14267" s="63"/>
    </row>
    <row r="14268" spans="9:10" x14ac:dyDescent="0.35">
      <c r="I14268" s="63"/>
      <c r="J14268" s="63"/>
    </row>
    <row r="14269" spans="9:10" x14ac:dyDescent="0.35">
      <c r="I14269" s="63"/>
      <c r="J14269" s="63"/>
    </row>
    <row r="14270" spans="9:10" x14ac:dyDescent="0.35">
      <c r="I14270" s="63"/>
      <c r="J14270" s="63"/>
    </row>
    <row r="14271" spans="9:10" x14ac:dyDescent="0.35">
      <c r="I14271" s="63"/>
      <c r="J14271" s="63"/>
    </row>
    <row r="14272" spans="9:10" x14ac:dyDescent="0.35">
      <c r="I14272" s="63"/>
      <c r="J14272" s="63"/>
    </row>
    <row r="14273" spans="9:10" x14ac:dyDescent="0.35">
      <c r="I14273" s="63"/>
      <c r="J14273" s="63"/>
    </row>
    <row r="14274" spans="9:10" x14ac:dyDescent="0.35">
      <c r="I14274" s="63"/>
      <c r="J14274" s="63"/>
    </row>
    <row r="14275" spans="9:10" x14ac:dyDescent="0.35">
      <c r="I14275" s="63"/>
      <c r="J14275" s="63"/>
    </row>
    <row r="14276" spans="9:10" x14ac:dyDescent="0.35">
      <c r="I14276" s="63"/>
      <c r="J14276" s="63"/>
    </row>
    <row r="14277" spans="9:10" x14ac:dyDescent="0.35">
      <c r="I14277" s="63"/>
      <c r="J14277" s="63"/>
    </row>
    <row r="14278" spans="9:10" x14ac:dyDescent="0.35">
      <c r="I14278" s="63"/>
      <c r="J14278" s="63"/>
    </row>
    <row r="14279" spans="9:10" x14ac:dyDescent="0.35">
      <c r="I14279" s="63"/>
      <c r="J14279" s="63"/>
    </row>
    <row r="14280" spans="9:10" x14ac:dyDescent="0.35">
      <c r="I14280" s="63"/>
      <c r="J14280" s="63"/>
    </row>
    <row r="14281" spans="9:10" x14ac:dyDescent="0.35">
      <c r="I14281" s="63"/>
      <c r="J14281" s="63"/>
    </row>
    <row r="14282" spans="9:10" x14ac:dyDescent="0.35">
      <c r="I14282" s="63"/>
      <c r="J14282" s="63"/>
    </row>
    <row r="14283" spans="9:10" x14ac:dyDescent="0.35">
      <c r="I14283" s="63"/>
      <c r="J14283" s="63"/>
    </row>
    <row r="14284" spans="9:10" x14ac:dyDescent="0.35">
      <c r="I14284" s="63"/>
      <c r="J14284" s="63"/>
    </row>
    <row r="14285" spans="9:10" x14ac:dyDescent="0.35">
      <c r="I14285" s="63"/>
      <c r="J14285" s="63"/>
    </row>
    <row r="14286" spans="9:10" x14ac:dyDescent="0.35">
      <c r="I14286" s="63"/>
      <c r="J14286" s="63"/>
    </row>
    <row r="14287" spans="9:10" x14ac:dyDescent="0.35">
      <c r="I14287" s="63"/>
      <c r="J14287" s="63"/>
    </row>
    <row r="14288" spans="9:10" x14ac:dyDescent="0.35">
      <c r="I14288" s="63"/>
      <c r="J14288" s="63"/>
    </row>
    <row r="14289" spans="9:10" x14ac:dyDescent="0.35">
      <c r="I14289" s="63"/>
      <c r="J14289" s="63"/>
    </row>
    <row r="14290" spans="9:10" x14ac:dyDescent="0.35">
      <c r="I14290" s="63"/>
      <c r="J14290" s="63"/>
    </row>
    <row r="14291" spans="9:10" x14ac:dyDescent="0.35">
      <c r="I14291" s="63"/>
      <c r="J14291" s="63"/>
    </row>
    <row r="14292" spans="9:10" x14ac:dyDescent="0.35">
      <c r="I14292" s="63"/>
      <c r="J14292" s="63"/>
    </row>
    <row r="14293" spans="9:10" x14ac:dyDescent="0.35">
      <c r="I14293" s="63"/>
      <c r="J14293" s="63"/>
    </row>
    <row r="14294" spans="9:10" x14ac:dyDescent="0.35">
      <c r="I14294" s="63"/>
      <c r="J14294" s="63"/>
    </row>
    <row r="14295" spans="9:10" x14ac:dyDescent="0.35">
      <c r="I14295" s="63"/>
      <c r="J14295" s="63"/>
    </row>
    <row r="14296" spans="9:10" x14ac:dyDescent="0.35">
      <c r="I14296" s="63"/>
      <c r="J14296" s="63"/>
    </row>
    <row r="14297" spans="9:10" x14ac:dyDescent="0.35">
      <c r="I14297" s="63"/>
      <c r="J14297" s="63"/>
    </row>
    <row r="14298" spans="9:10" x14ac:dyDescent="0.35">
      <c r="I14298" s="63"/>
      <c r="J14298" s="63"/>
    </row>
    <row r="14299" spans="9:10" x14ac:dyDescent="0.35">
      <c r="I14299" s="63"/>
      <c r="J14299" s="63"/>
    </row>
    <row r="14300" spans="9:10" x14ac:dyDescent="0.35">
      <c r="I14300" s="63"/>
      <c r="J14300" s="63"/>
    </row>
    <row r="14301" spans="9:10" x14ac:dyDescent="0.35">
      <c r="I14301" s="63"/>
      <c r="J14301" s="63"/>
    </row>
    <row r="14302" spans="9:10" x14ac:dyDescent="0.35">
      <c r="I14302" s="63"/>
      <c r="J14302" s="63"/>
    </row>
    <row r="14303" spans="9:10" x14ac:dyDescent="0.35">
      <c r="I14303" s="63"/>
      <c r="J14303" s="63"/>
    </row>
    <row r="14304" spans="9:10" x14ac:dyDescent="0.35">
      <c r="I14304" s="63"/>
      <c r="J14304" s="63"/>
    </row>
    <row r="14305" spans="9:10" x14ac:dyDescent="0.35">
      <c r="I14305" s="63"/>
      <c r="J14305" s="63"/>
    </row>
    <row r="14306" spans="9:10" x14ac:dyDescent="0.35">
      <c r="I14306" s="63"/>
      <c r="J14306" s="63"/>
    </row>
    <row r="14307" spans="9:10" x14ac:dyDescent="0.35">
      <c r="I14307" s="63"/>
      <c r="J14307" s="63"/>
    </row>
    <row r="14308" spans="9:10" x14ac:dyDescent="0.35">
      <c r="I14308" s="63"/>
      <c r="J14308" s="63"/>
    </row>
    <row r="14309" spans="9:10" x14ac:dyDescent="0.35">
      <c r="I14309" s="63"/>
      <c r="J14309" s="63"/>
    </row>
    <row r="14310" spans="9:10" x14ac:dyDescent="0.35">
      <c r="I14310" s="63"/>
      <c r="J14310" s="63"/>
    </row>
    <row r="14311" spans="9:10" x14ac:dyDescent="0.35">
      <c r="I14311" s="63"/>
      <c r="J14311" s="63"/>
    </row>
    <row r="14312" spans="9:10" x14ac:dyDescent="0.35">
      <c r="I14312" s="63"/>
      <c r="J14312" s="63"/>
    </row>
    <row r="14313" spans="9:10" x14ac:dyDescent="0.35">
      <c r="I14313" s="63"/>
      <c r="J14313" s="63"/>
    </row>
    <row r="14314" spans="9:10" x14ac:dyDescent="0.35">
      <c r="I14314" s="63"/>
      <c r="J14314" s="63"/>
    </row>
    <row r="14315" spans="9:10" x14ac:dyDescent="0.35">
      <c r="I14315" s="63"/>
      <c r="J14315" s="63"/>
    </row>
    <row r="14316" spans="9:10" x14ac:dyDescent="0.35">
      <c r="I14316" s="63"/>
      <c r="J14316" s="63"/>
    </row>
    <row r="14317" spans="9:10" x14ac:dyDescent="0.35">
      <c r="I14317" s="63"/>
      <c r="J14317" s="63"/>
    </row>
    <row r="14318" spans="9:10" x14ac:dyDescent="0.35">
      <c r="I14318" s="63"/>
      <c r="J14318" s="63"/>
    </row>
    <row r="14319" spans="9:10" x14ac:dyDescent="0.35">
      <c r="I14319" s="63"/>
      <c r="J14319" s="63"/>
    </row>
    <row r="14320" spans="9:10" x14ac:dyDescent="0.35">
      <c r="I14320" s="63"/>
      <c r="J14320" s="63"/>
    </row>
    <row r="14321" spans="9:10" x14ac:dyDescent="0.35">
      <c r="I14321" s="63"/>
      <c r="J14321" s="63"/>
    </row>
    <row r="14322" spans="9:10" x14ac:dyDescent="0.35">
      <c r="I14322" s="63"/>
      <c r="J14322" s="63"/>
    </row>
    <row r="14323" spans="9:10" x14ac:dyDescent="0.35">
      <c r="I14323" s="63"/>
      <c r="J14323" s="63"/>
    </row>
    <row r="14324" spans="9:10" x14ac:dyDescent="0.35">
      <c r="I14324" s="63"/>
      <c r="J14324" s="63"/>
    </row>
    <row r="14325" spans="9:10" x14ac:dyDescent="0.35">
      <c r="I14325" s="63"/>
      <c r="J14325" s="63"/>
    </row>
    <row r="14326" spans="9:10" x14ac:dyDescent="0.35">
      <c r="I14326" s="63"/>
      <c r="J14326" s="63"/>
    </row>
    <row r="14327" spans="9:10" x14ac:dyDescent="0.35">
      <c r="I14327" s="63"/>
      <c r="J14327" s="63"/>
    </row>
    <row r="14328" spans="9:10" x14ac:dyDescent="0.35">
      <c r="I14328" s="63"/>
      <c r="J14328" s="63"/>
    </row>
    <row r="14329" spans="9:10" x14ac:dyDescent="0.35">
      <c r="I14329" s="63"/>
      <c r="J14329" s="63"/>
    </row>
    <row r="14330" spans="9:10" x14ac:dyDescent="0.35">
      <c r="I14330" s="63"/>
      <c r="J14330" s="63"/>
    </row>
    <row r="14331" spans="9:10" x14ac:dyDescent="0.35">
      <c r="I14331" s="63"/>
      <c r="J14331" s="63"/>
    </row>
    <row r="14332" spans="9:10" x14ac:dyDescent="0.35">
      <c r="I14332" s="63"/>
      <c r="J14332" s="63"/>
    </row>
    <row r="14333" spans="9:10" x14ac:dyDescent="0.35">
      <c r="I14333" s="63"/>
      <c r="J14333" s="63"/>
    </row>
    <row r="14334" spans="9:10" x14ac:dyDescent="0.35">
      <c r="I14334" s="63"/>
      <c r="J14334" s="63"/>
    </row>
    <row r="14335" spans="9:10" x14ac:dyDescent="0.35">
      <c r="I14335" s="63"/>
      <c r="J14335" s="63"/>
    </row>
    <row r="14336" spans="9:10" x14ac:dyDescent="0.35">
      <c r="I14336" s="63"/>
      <c r="J14336" s="63"/>
    </row>
    <row r="14337" spans="9:10" x14ac:dyDescent="0.35">
      <c r="I14337" s="63"/>
      <c r="J14337" s="63"/>
    </row>
    <row r="14338" spans="9:10" x14ac:dyDescent="0.35">
      <c r="I14338" s="63"/>
      <c r="J14338" s="63"/>
    </row>
    <row r="14339" spans="9:10" x14ac:dyDescent="0.35">
      <c r="I14339" s="63"/>
      <c r="J14339" s="63"/>
    </row>
    <row r="14340" spans="9:10" x14ac:dyDescent="0.35">
      <c r="I14340" s="63"/>
      <c r="J14340" s="63"/>
    </row>
    <row r="14341" spans="9:10" x14ac:dyDescent="0.35">
      <c r="I14341" s="63"/>
      <c r="J14341" s="63"/>
    </row>
    <row r="14342" spans="9:10" x14ac:dyDescent="0.35">
      <c r="I14342" s="63"/>
      <c r="J14342" s="63"/>
    </row>
    <row r="14343" spans="9:10" x14ac:dyDescent="0.35">
      <c r="I14343" s="63"/>
      <c r="J14343" s="63"/>
    </row>
    <row r="14344" spans="9:10" x14ac:dyDescent="0.35">
      <c r="I14344" s="63"/>
      <c r="J14344" s="63"/>
    </row>
    <row r="14345" spans="9:10" x14ac:dyDescent="0.35">
      <c r="I14345" s="63"/>
      <c r="J14345" s="63"/>
    </row>
    <row r="14346" spans="9:10" x14ac:dyDescent="0.35">
      <c r="I14346" s="63"/>
      <c r="J14346" s="63"/>
    </row>
    <row r="14347" spans="9:10" x14ac:dyDescent="0.35">
      <c r="I14347" s="63"/>
      <c r="J14347" s="63"/>
    </row>
    <row r="14348" spans="9:10" x14ac:dyDescent="0.35">
      <c r="I14348" s="63"/>
      <c r="J14348" s="63"/>
    </row>
    <row r="14349" spans="9:10" x14ac:dyDescent="0.35">
      <c r="I14349" s="63"/>
      <c r="J14349" s="63"/>
    </row>
    <row r="14350" spans="9:10" x14ac:dyDescent="0.35">
      <c r="I14350" s="63"/>
      <c r="J14350" s="63"/>
    </row>
    <row r="14351" spans="9:10" x14ac:dyDescent="0.35">
      <c r="I14351" s="63"/>
      <c r="J14351" s="63"/>
    </row>
    <row r="14352" spans="9:10" x14ac:dyDescent="0.35">
      <c r="I14352" s="63"/>
      <c r="J14352" s="63"/>
    </row>
    <row r="14353" spans="9:10" x14ac:dyDescent="0.35">
      <c r="I14353" s="63"/>
      <c r="J14353" s="63"/>
    </row>
    <row r="14354" spans="9:10" x14ac:dyDescent="0.35">
      <c r="I14354" s="63"/>
      <c r="J14354" s="63"/>
    </row>
    <row r="14355" spans="9:10" x14ac:dyDescent="0.35">
      <c r="I14355" s="63"/>
      <c r="J14355" s="63"/>
    </row>
    <row r="14356" spans="9:10" x14ac:dyDescent="0.35">
      <c r="I14356" s="63"/>
      <c r="J14356" s="63"/>
    </row>
    <row r="14357" spans="9:10" x14ac:dyDescent="0.35">
      <c r="I14357" s="63"/>
      <c r="J14357" s="63"/>
    </row>
    <row r="14358" spans="9:10" x14ac:dyDescent="0.35">
      <c r="I14358" s="63"/>
      <c r="J14358" s="63"/>
    </row>
    <row r="14359" spans="9:10" x14ac:dyDescent="0.35">
      <c r="I14359" s="63"/>
      <c r="J14359" s="63"/>
    </row>
    <row r="14360" spans="9:10" x14ac:dyDescent="0.35">
      <c r="I14360" s="63"/>
      <c r="J14360" s="63"/>
    </row>
    <row r="14361" spans="9:10" x14ac:dyDescent="0.35">
      <c r="I14361" s="63"/>
      <c r="J14361" s="63"/>
    </row>
    <row r="14362" spans="9:10" x14ac:dyDescent="0.35">
      <c r="I14362" s="63"/>
      <c r="J14362" s="63"/>
    </row>
    <row r="14363" spans="9:10" x14ac:dyDescent="0.35">
      <c r="I14363" s="63"/>
      <c r="J14363" s="63"/>
    </row>
    <row r="14364" spans="9:10" x14ac:dyDescent="0.35">
      <c r="I14364" s="63"/>
      <c r="J14364" s="63"/>
    </row>
    <row r="14365" spans="9:10" x14ac:dyDescent="0.35">
      <c r="I14365" s="63"/>
      <c r="J14365" s="63"/>
    </row>
    <row r="14366" spans="9:10" x14ac:dyDescent="0.35">
      <c r="I14366" s="63"/>
      <c r="J14366" s="63"/>
    </row>
    <row r="14367" spans="9:10" x14ac:dyDescent="0.35">
      <c r="I14367" s="63"/>
      <c r="J14367" s="63"/>
    </row>
    <row r="14368" spans="9:10" x14ac:dyDescent="0.35">
      <c r="I14368" s="63"/>
      <c r="J14368" s="63"/>
    </row>
    <row r="14369" spans="9:10" x14ac:dyDescent="0.35">
      <c r="I14369" s="63"/>
      <c r="J14369" s="63"/>
    </row>
    <row r="14370" spans="9:10" x14ac:dyDescent="0.35">
      <c r="I14370" s="63"/>
      <c r="J14370" s="63"/>
    </row>
    <row r="14371" spans="9:10" x14ac:dyDescent="0.35">
      <c r="I14371" s="63"/>
      <c r="J14371" s="63"/>
    </row>
    <row r="14372" spans="9:10" x14ac:dyDescent="0.35">
      <c r="I14372" s="63"/>
      <c r="J14372" s="63"/>
    </row>
    <row r="14373" spans="9:10" x14ac:dyDescent="0.35">
      <c r="I14373" s="63"/>
      <c r="J14373" s="63"/>
    </row>
    <row r="14374" spans="9:10" x14ac:dyDescent="0.35">
      <c r="I14374" s="63"/>
      <c r="J14374" s="63"/>
    </row>
    <row r="14375" spans="9:10" x14ac:dyDescent="0.35">
      <c r="I14375" s="63"/>
      <c r="J14375" s="63"/>
    </row>
    <row r="14376" spans="9:10" x14ac:dyDescent="0.35">
      <c r="I14376" s="63"/>
      <c r="J14376" s="63"/>
    </row>
    <row r="14377" spans="9:10" x14ac:dyDescent="0.35">
      <c r="I14377" s="63"/>
      <c r="J14377" s="63"/>
    </row>
    <row r="14378" spans="9:10" x14ac:dyDescent="0.35">
      <c r="I14378" s="63"/>
      <c r="J14378" s="63"/>
    </row>
    <row r="14379" spans="9:10" x14ac:dyDescent="0.35">
      <c r="I14379" s="63"/>
      <c r="J14379" s="63"/>
    </row>
    <row r="14380" spans="9:10" x14ac:dyDescent="0.35">
      <c r="I14380" s="63"/>
      <c r="J14380" s="63"/>
    </row>
    <row r="14381" spans="9:10" x14ac:dyDescent="0.35">
      <c r="I14381" s="63"/>
      <c r="J14381" s="63"/>
    </row>
    <row r="14382" spans="9:10" x14ac:dyDescent="0.35">
      <c r="I14382" s="63"/>
      <c r="J14382" s="63"/>
    </row>
    <row r="14383" spans="9:10" x14ac:dyDescent="0.35">
      <c r="I14383" s="63"/>
      <c r="J14383" s="63"/>
    </row>
    <row r="14384" spans="9:10" x14ac:dyDescent="0.35">
      <c r="I14384" s="63"/>
      <c r="J14384" s="63"/>
    </row>
    <row r="14385" spans="9:10" x14ac:dyDescent="0.35">
      <c r="I14385" s="63"/>
      <c r="J14385" s="63"/>
    </row>
    <row r="14386" spans="9:10" x14ac:dyDescent="0.35">
      <c r="I14386" s="63"/>
      <c r="J14386" s="63"/>
    </row>
    <row r="14387" spans="9:10" x14ac:dyDescent="0.35">
      <c r="I14387" s="63"/>
      <c r="J14387" s="63"/>
    </row>
    <row r="14388" spans="9:10" x14ac:dyDescent="0.35">
      <c r="I14388" s="63"/>
      <c r="J14388" s="63"/>
    </row>
    <row r="14389" spans="9:10" x14ac:dyDescent="0.35">
      <c r="I14389" s="63"/>
      <c r="J14389" s="63"/>
    </row>
    <row r="14390" spans="9:10" x14ac:dyDescent="0.35">
      <c r="I14390" s="63"/>
      <c r="J14390" s="63"/>
    </row>
    <row r="14391" spans="9:10" x14ac:dyDescent="0.35">
      <c r="I14391" s="63"/>
      <c r="J14391" s="63"/>
    </row>
    <row r="14392" spans="9:10" x14ac:dyDescent="0.35">
      <c r="I14392" s="63"/>
      <c r="J14392" s="63"/>
    </row>
    <row r="14393" spans="9:10" x14ac:dyDescent="0.35">
      <c r="I14393" s="63"/>
      <c r="J14393" s="63"/>
    </row>
    <row r="14394" spans="9:10" x14ac:dyDescent="0.35">
      <c r="I14394" s="63"/>
      <c r="J14394" s="63"/>
    </row>
    <row r="14395" spans="9:10" x14ac:dyDescent="0.35">
      <c r="I14395" s="63"/>
      <c r="J14395" s="63"/>
    </row>
    <row r="14396" spans="9:10" x14ac:dyDescent="0.35">
      <c r="I14396" s="63"/>
      <c r="J14396" s="63"/>
    </row>
    <row r="14397" spans="9:10" x14ac:dyDescent="0.35">
      <c r="I14397" s="63"/>
      <c r="J14397" s="63"/>
    </row>
    <row r="14398" spans="9:10" x14ac:dyDescent="0.35">
      <c r="I14398" s="63"/>
      <c r="J14398" s="63"/>
    </row>
    <row r="14399" spans="9:10" x14ac:dyDescent="0.35">
      <c r="I14399" s="63"/>
      <c r="J14399" s="63"/>
    </row>
    <row r="14400" spans="9:10" x14ac:dyDescent="0.35">
      <c r="I14400" s="63"/>
      <c r="J14400" s="63"/>
    </row>
    <row r="14401" spans="9:10" x14ac:dyDescent="0.35">
      <c r="I14401" s="63"/>
      <c r="J14401" s="63"/>
    </row>
    <row r="14402" spans="9:10" x14ac:dyDescent="0.35">
      <c r="I14402" s="63"/>
      <c r="J14402" s="63"/>
    </row>
    <row r="14403" spans="9:10" x14ac:dyDescent="0.35">
      <c r="I14403" s="63"/>
      <c r="J14403" s="63"/>
    </row>
    <row r="14404" spans="9:10" x14ac:dyDescent="0.35">
      <c r="I14404" s="63"/>
      <c r="J14404" s="63"/>
    </row>
    <row r="14405" spans="9:10" x14ac:dyDescent="0.35">
      <c r="I14405" s="63"/>
      <c r="J14405" s="63"/>
    </row>
    <row r="14406" spans="9:10" x14ac:dyDescent="0.35">
      <c r="I14406" s="63"/>
      <c r="J14406" s="63"/>
    </row>
    <row r="14407" spans="9:10" x14ac:dyDescent="0.35">
      <c r="I14407" s="63"/>
      <c r="J14407" s="63"/>
    </row>
    <row r="14408" spans="9:10" x14ac:dyDescent="0.35">
      <c r="I14408" s="63"/>
      <c r="J14408" s="63"/>
    </row>
    <row r="14409" spans="9:10" x14ac:dyDescent="0.35">
      <c r="I14409" s="63"/>
      <c r="J14409" s="63"/>
    </row>
    <row r="14410" spans="9:10" x14ac:dyDescent="0.35">
      <c r="I14410" s="63"/>
      <c r="J14410" s="63"/>
    </row>
    <row r="14411" spans="9:10" x14ac:dyDescent="0.35">
      <c r="I14411" s="63"/>
      <c r="J14411" s="63"/>
    </row>
    <row r="14412" spans="9:10" x14ac:dyDescent="0.35">
      <c r="I14412" s="63"/>
      <c r="J14412" s="63"/>
    </row>
    <row r="14413" spans="9:10" x14ac:dyDescent="0.35">
      <c r="I14413" s="63"/>
      <c r="J14413" s="63"/>
    </row>
    <row r="14414" spans="9:10" x14ac:dyDescent="0.35">
      <c r="I14414" s="63"/>
      <c r="J14414" s="63"/>
    </row>
    <row r="14415" spans="9:10" x14ac:dyDescent="0.35">
      <c r="I14415" s="63"/>
      <c r="J14415" s="63"/>
    </row>
    <row r="14416" spans="9:10" x14ac:dyDescent="0.35">
      <c r="I14416" s="63"/>
      <c r="J14416" s="63"/>
    </row>
    <row r="14417" spans="9:10" x14ac:dyDescent="0.35">
      <c r="I14417" s="63"/>
      <c r="J14417" s="63"/>
    </row>
    <row r="14418" spans="9:10" x14ac:dyDescent="0.35">
      <c r="I14418" s="63"/>
      <c r="J14418" s="63"/>
    </row>
    <row r="14419" spans="9:10" x14ac:dyDescent="0.35">
      <c r="I14419" s="63"/>
      <c r="J14419" s="63"/>
    </row>
    <row r="14420" spans="9:10" x14ac:dyDescent="0.35">
      <c r="I14420" s="63"/>
      <c r="J14420" s="63"/>
    </row>
    <row r="14421" spans="9:10" x14ac:dyDescent="0.35">
      <c r="I14421" s="63"/>
      <c r="J14421" s="63"/>
    </row>
    <row r="14422" spans="9:10" x14ac:dyDescent="0.35">
      <c r="I14422" s="63"/>
      <c r="J14422" s="63"/>
    </row>
    <row r="14423" spans="9:10" x14ac:dyDescent="0.35">
      <c r="I14423" s="63"/>
      <c r="J14423" s="63"/>
    </row>
    <row r="14424" spans="9:10" x14ac:dyDescent="0.35">
      <c r="I14424" s="63"/>
      <c r="J14424" s="63"/>
    </row>
    <row r="14425" spans="9:10" x14ac:dyDescent="0.35">
      <c r="I14425" s="63"/>
      <c r="J14425" s="63"/>
    </row>
    <row r="14426" spans="9:10" x14ac:dyDescent="0.35">
      <c r="I14426" s="63"/>
      <c r="J14426" s="63"/>
    </row>
    <row r="14427" spans="9:10" x14ac:dyDescent="0.35">
      <c r="I14427" s="63"/>
      <c r="J14427" s="63"/>
    </row>
    <row r="14428" spans="9:10" x14ac:dyDescent="0.35">
      <c r="I14428" s="63"/>
      <c r="J14428" s="63"/>
    </row>
    <row r="14429" spans="9:10" x14ac:dyDescent="0.35">
      <c r="I14429" s="63"/>
      <c r="J14429" s="63"/>
    </row>
    <row r="14430" spans="9:10" x14ac:dyDescent="0.35">
      <c r="I14430" s="63"/>
      <c r="J14430" s="63"/>
    </row>
    <row r="14431" spans="9:10" x14ac:dyDescent="0.35">
      <c r="I14431" s="63"/>
      <c r="J14431" s="63"/>
    </row>
    <row r="14432" spans="9:10" x14ac:dyDescent="0.35">
      <c r="I14432" s="63"/>
      <c r="J14432" s="63"/>
    </row>
    <row r="14433" spans="9:10" x14ac:dyDescent="0.35">
      <c r="I14433" s="63"/>
      <c r="J14433" s="63"/>
    </row>
    <row r="14434" spans="9:10" x14ac:dyDescent="0.35">
      <c r="I14434" s="63"/>
      <c r="J14434" s="63"/>
    </row>
    <row r="14435" spans="9:10" x14ac:dyDescent="0.35">
      <c r="I14435" s="63"/>
      <c r="J14435" s="63"/>
    </row>
    <row r="14436" spans="9:10" x14ac:dyDescent="0.35">
      <c r="I14436" s="63"/>
      <c r="J14436" s="63"/>
    </row>
    <row r="14437" spans="9:10" x14ac:dyDescent="0.35">
      <c r="I14437" s="63"/>
      <c r="J14437" s="63"/>
    </row>
    <row r="14438" spans="9:10" x14ac:dyDescent="0.35">
      <c r="I14438" s="63"/>
      <c r="J14438" s="63"/>
    </row>
    <row r="14439" spans="9:10" x14ac:dyDescent="0.35">
      <c r="I14439" s="63"/>
      <c r="J14439" s="63"/>
    </row>
    <row r="14440" spans="9:10" x14ac:dyDescent="0.35">
      <c r="I14440" s="63"/>
      <c r="J14440" s="63"/>
    </row>
    <row r="14441" spans="9:10" x14ac:dyDescent="0.35">
      <c r="I14441" s="63"/>
      <c r="J14441" s="63"/>
    </row>
    <row r="14442" spans="9:10" x14ac:dyDescent="0.35">
      <c r="I14442" s="63"/>
      <c r="J14442" s="63"/>
    </row>
    <row r="14443" spans="9:10" x14ac:dyDescent="0.35">
      <c r="I14443" s="63"/>
      <c r="J14443" s="63"/>
    </row>
    <row r="14444" spans="9:10" x14ac:dyDescent="0.35">
      <c r="I14444" s="63"/>
      <c r="J14444" s="63"/>
    </row>
    <row r="14445" spans="9:10" x14ac:dyDescent="0.35">
      <c r="I14445" s="63"/>
      <c r="J14445" s="63"/>
    </row>
    <row r="14446" spans="9:10" x14ac:dyDescent="0.35">
      <c r="I14446" s="63"/>
      <c r="J14446" s="63"/>
    </row>
    <row r="14447" spans="9:10" x14ac:dyDescent="0.35">
      <c r="I14447" s="63"/>
      <c r="J14447" s="63"/>
    </row>
    <row r="14448" spans="9:10" x14ac:dyDescent="0.35">
      <c r="I14448" s="63"/>
      <c r="J14448" s="63"/>
    </row>
    <row r="14449" spans="9:10" x14ac:dyDescent="0.35">
      <c r="I14449" s="63"/>
      <c r="J14449" s="63"/>
    </row>
    <row r="14450" spans="9:10" x14ac:dyDescent="0.35">
      <c r="I14450" s="63"/>
      <c r="J14450" s="63"/>
    </row>
    <row r="14451" spans="9:10" x14ac:dyDescent="0.35">
      <c r="I14451" s="63"/>
      <c r="J14451" s="63"/>
    </row>
    <row r="14452" spans="9:10" x14ac:dyDescent="0.35">
      <c r="I14452" s="63"/>
      <c r="J14452" s="63"/>
    </row>
    <row r="14453" spans="9:10" x14ac:dyDescent="0.35">
      <c r="I14453" s="63"/>
      <c r="J14453" s="63"/>
    </row>
    <row r="14454" spans="9:10" x14ac:dyDescent="0.35">
      <c r="I14454" s="63"/>
      <c r="J14454" s="63"/>
    </row>
    <row r="14455" spans="9:10" x14ac:dyDescent="0.35">
      <c r="I14455" s="63"/>
      <c r="J14455" s="63"/>
    </row>
    <row r="14456" spans="9:10" x14ac:dyDescent="0.35">
      <c r="I14456" s="63"/>
      <c r="J14456" s="63"/>
    </row>
    <row r="14457" spans="9:10" x14ac:dyDescent="0.35">
      <c r="I14457" s="63"/>
      <c r="J14457" s="63"/>
    </row>
    <row r="14458" spans="9:10" x14ac:dyDescent="0.35">
      <c r="I14458" s="63"/>
      <c r="J14458" s="63"/>
    </row>
    <row r="14459" spans="9:10" x14ac:dyDescent="0.35">
      <c r="I14459" s="63"/>
      <c r="J14459" s="63"/>
    </row>
    <row r="14460" spans="9:10" x14ac:dyDescent="0.35">
      <c r="I14460" s="63"/>
      <c r="J14460" s="63"/>
    </row>
    <row r="14461" spans="9:10" x14ac:dyDescent="0.35">
      <c r="I14461" s="63"/>
      <c r="J14461" s="63"/>
    </row>
    <row r="14462" spans="9:10" x14ac:dyDescent="0.35">
      <c r="I14462" s="63"/>
      <c r="J14462" s="63"/>
    </row>
    <row r="14463" spans="9:10" x14ac:dyDescent="0.35">
      <c r="I14463" s="63"/>
      <c r="J14463" s="63"/>
    </row>
    <row r="14464" spans="9:10" x14ac:dyDescent="0.35">
      <c r="I14464" s="63"/>
      <c r="J14464" s="63"/>
    </row>
    <row r="14465" spans="9:10" x14ac:dyDescent="0.35">
      <c r="I14465" s="63"/>
      <c r="J14465" s="63"/>
    </row>
    <row r="14466" spans="9:10" x14ac:dyDescent="0.35">
      <c r="I14466" s="63"/>
      <c r="J14466" s="63"/>
    </row>
    <row r="14467" spans="9:10" x14ac:dyDescent="0.35">
      <c r="I14467" s="63"/>
      <c r="J14467" s="63"/>
    </row>
    <row r="14468" spans="9:10" x14ac:dyDescent="0.35">
      <c r="I14468" s="63"/>
      <c r="J14468" s="63"/>
    </row>
    <row r="14469" spans="9:10" x14ac:dyDescent="0.35">
      <c r="I14469" s="63"/>
      <c r="J14469" s="63"/>
    </row>
    <row r="14470" spans="9:10" x14ac:dyDescent="0.35">
      <c r="I14470" s="63"/>
      <c r="J14470" s="63"/>
    </row>
    <row r="14471" spans="9:10" x14ac:dyDescent="0.35">
      <c r="I14471" s="63"/>
      <c r="J14471" s="63"/>
    </row>
    <row r="14472" spans="9:10" x14ac:dyDescent="0.35">
      <c r="I14472" s="63"/>
      <c r="J14472" s="63"/>
    </row>
    <row r="14473" spans="9:10" x14ac:dyDescent="0.35">
      <c r="I14473" s="63"/>
      <c r="J14473" s="63"/>
    </row>
    <row r="14474" spans="9:10" x14ac:dyDescent="0.35">
      <c r="I14474" s="63"/>
      <c r="J14474" s="63"/>
    </row>
    <row r="14475" spans="9:10" x14ac:dyDescent="0.35">
      <c r="I14475" s="63"/>
      <c r="J14475" s="63"/>
    </row>
    <row r="14476" spans="9:10" x14ac:dyDescent="0.35">
      <c r="I14476" s="63"/>
      <c r="J14476" s="63"/>
    </row>
    <row r="14477" spans="9:10" x14ac:dyDescent="0.35">
      <c r="I14477" s="63"/>
      <c r="J14477" s="63"/>
    </row>
    <row r="14478" spans="9:10" x14ac:dyDescent="0.35">
      <c r="I14478" s="63"/>
      <c r="J14478" s="63"/>
    </row>
    <row r="14479" spans="9:10" x14ac:dyDescent="0.35">
      <c r="I14479" s="63"/>
      <c r="J14479" s="63"/>
    </row>
    <row r="14480" spans="9:10" x14ac:dyDescent="0.35">
      <c r="I14480" s="63"/>
      <c r="J14480" s="63"/>
    </row>
    <row r="14481" spans="9:10" x14ac:dyDescent="0.35">
      <c r="I14481" s="63"/>
      <c r="J14481" s="63"/>
    </row>
    <row r="14482" spans="9:10" x14ac:dyDescent="0.35">
      <c r="I14482" s="63"/>
      <c r="J14482" s="63"/>
    </row>
    <row r="14483" spans="9:10" x14ac:dyDescent="0.35">
      <c r="I14483" s="63"/>
      <c r="J14483" s="63"/>
    </row>
    <row r="14484" spans="9:10" x14ac:dyDescent="0.35">
      <c r="I14484" s="63"/>
      <c r="J14484" s="63"/>
    </row>
    <row r="14485" spans="9:10" x14ac:dyDescent="0.35">
      <c r="I14485" s="63"/>
      <c r="J14485" s="63"/>
    </row>
    <row r="14486" spans="9:10" x14ac:dyDescent="0.35">
      <c r="I14486" s="63"/>
      <c r="J14486" s="63"/>
    </row>
    <row r="14487" spans="9:10" x14ac:dyDescent="0.35">
      <c r="I14487" s="63"/>
      <c r="J14487" s="63"/>
    </row>
    <row r="14488" spans="9:10" x14ac:dyDescent="0.35">
      <c r="I14488" s="63"/>
      <c r="J14488" s="63"/>
    </row>
    <row r="14489" spans="9:10" x14ac:dyDescent="0.35">
      <c r="I14489" s="63"/>
      <c r="J14489" s="63"/>
    </row>
    <row r="14490" spans="9:10" x14ac:dyDescent="0.35">
      <c r="I14490" s="63"/>
      <c r="J14490" s="63"/>
    </row>
    <row r="14491" spans="9:10" x14ac:dyDescent="0.35">
      <c r="I14491" s="63"/>
      <c r="J14491" s="63"/>
    </row>
    <row r="14492" spans="9:10" x14ac:dyDescent="0.35">
      <c r="I14492" s="63"/>
      <c r="J14492" s="63"/>
    </row>
    <row r="14493" spans="9:10" x14ac:dyDescent="0.35">
      <c r="I14493" s="63"/>
      <c r="J14493" s="63"/>
    </row>
    <row r="14494" spans="9:10" x14ac:dyDescent="0.35">
      <c r="I14494" s="63"/>
      <c r="J14494" s="63"/>
    </row>
    <row r="14495" spans="9:10" x14ac:dyDescent="0.35">
      <c r="I14495" s="63"/>
      <c r="J14495" s="63"/>
    </row>
    <row r="14496" spans="9:10" x14ac:dyDescent="0.35">
      <c r="I14496" s="63"/>
      <c r="J14496" s="63"/>
    </row>
    <row r="14497" spans="9:10" x14ac:dyDescent="0.35">
      <c r="I14497" s="63"/>
      <c r="J14497" s="63"/>
    </row>
    <row r="14498" spans="9:10" x14ac:dyDescent="0.35">
      <c r="I14498" s="63"/>
      <c r="J14498" s="63"/>
    </row>
    <row r="14499" spans="9:10" x14ac:dyDescent="0.35">
      <c r="I14499" s="63"/>
      <c r="J14499" s="63"/>
    </row>
    <row r="14500" spans="9:10" x14ac:dyDescent="0.35">
      <c r="I14500" s="63"/>
      <c r="J14500" s="63"/>
    </row>
    <row r="14501" spans="9:10" x14ac:dyDescent="0.35">
      <c r="I14501" s="63"/>
      <c r="J14501" s="63"/>
    </row>
    <row r="14502" spans="9:10" x14ac:dyDescent="0.35">
      <c r="I14502" s="63"/>
      <c r="J14502" s="63"/>
    </row>
    <row r="14503" spans="9:10" x14ac:dyDescent="0.35">
      <c r="I14503" s="63"/>
      <c r="J14503" s="63"/>
    </row>
    <row r="14504" spans="9:10" x14ac:dyDescent="0.35">
      <c r="I14504" s="63"/>
      <c r="J14504" s="63"/>
    </row>
    <row r="14505" spans="9:10" x14ac:dyDescent="0.35">
      <c r="I14505" s="63"/>
      <c r="J14505" s="63"/>
    </row>
    <row r="14506" spans="9:10" x14ac:dyDescent="0.35">
      <c r="I14506" s="63"/>
      <c r="J14506" s="63"/>
    </row>
    <row r="14507" spans="9:10" x14ac:dyDescent="0.35">
      <c r="I14507" s="63"/>
      <c r="J14507" s="63"/>
    </row>
    <row r="14508" spans="9:10" x14ac:dyDescent="0.35">
      <c r="I14508" s="63"/>
      <c r="J14508" s="63"/>
    </row>
    <row r="14509" spans="9:10" x14ac:dyDescent="0.35">
      <c r="I14509" s="63"/>
      <c r="J14509" s="63"/>
    </row>
    <row r="14510" spans="9:10" x14ac:dyDescent="0.35">
      <c r="I14510" s="63"/>
      <c r="J14510" s="63"/>
    </row>
    <row r="14511" spans="9:10" x14ac:dyDescent="0.35">
      <c r="I14511" s="63"/>
      <c r="J14511" s="63"/>
    </row>
    <row r="14512" spans="9:10" x14ac:dyDescent="0.35">
      <c r="I14512" s="63"/>
      <c r="J14512" s="63"/>
    </row>
    <row r="14513" spans="9:10" x14ac:dyDescent="0.35">
      <c r="I14513" s="63"/>
      <c r="J14513" s="63"/>
    </row>
    <row r="14514" spans="9:10" x14ac:dyDescent="0.35">
      <c r="I14514" s="63"/>
      <c r="J14514" s="63"/>
    </row>
    <row r="14515" spans="9:10" x14ac:dyDescent="0.35">
      <c r="I14515" s="63"/>
      <c r="J14515" s="63"/>
    </row>
    <row r="14516" spans="9:10" x14ac:dyDescent="0.35">
      <c r="I14516" s="63"/>
      <c r="J14516" s="63"/>
    </row>
    <row r="14517" spans="9:10" x14ac:dyDescent="0.35">
      <c r="I14517" s="63"/>
      <c r="J14517" s="63"/>
    </row>
    <row r="14518" spans="9:10" x14ac:dyDescent="0.35">
      <c r="I14518" s="63"/>
      <c r="J14518" s="63"/>
    </row>
    <row r="14519" spans="9:10" x14ac:dyDescent="0.35">
      <c r="I14519" s="63"/>
      <c r="J14519" s="63"/>
    </row>
    <row r="14520" spans="9:10" x14ac:dyDescent="0.35">
      <c r="I14520" s="63"/>
      <c r="J14520" s="63"/>
    </row>
    <row r="14521" spans="9:10" x14ac:dyDescent="0.35">
      <c r="I14521" s="63"/>
      <c r="J14521" s="63"/>
    </row>
    <row r="14522" spans="9:10" x14ac:dyDescent="0.35">
      <c r="I14522" s="63"/>
      <c r="J14522" s="63"/>
    </row>
    <row r="14523" spans="9:10" x14ac:dyDescent="0.35">
      <c r="I14523" s="63"/>
      <c r="J14523" s="63"/>
    </row>
    <row r="14524" spans="9:10" x14ac:dyDescent="0.35">
      <c r="I14524" s="63"/>
      <c r="J14524" s="63"/>
    </row>
    <row r="14525" spans="9:10" x14ac:dyDescent="0.35">
      <c r="I14525" s="63"/>
      <c r="J14525" s="63"/>
    </row>
    <row r="14526" spans="9:10" x14ac:dyDescent="0.35">
      <c r="I14526" s="63"/>
      <c r="J14526" s="63"/>
    </row>
    <row r="14527" spans="9:10" x14ac:dyDescent="0.35">
      <c r="I14527" s="63"/>
      <c r="J14527" s="63"/>
    </row>
    <row r="14528" spans="9:10" x14ac:dyDescent="0.35">
      <c r="I14528" s="63"/>
      <c r="J14528" s="63"/>
    </row>
    <row r="14529" spans="9:10" x14ac:dyDescent="0.35">
      <c r="I14529" s="63"/>
      <c r="J14529" s="63"/>
    </row>
    <row r="14530" spans="9:10" x14ac:dyDescent="0.35">
      <c r="I14530" s="63"/>
      <c r="J14530" s="63"/>
    </row>
    <row r="14531" spans="9:10" x14ac:dyDescent="0.35">
      <c r="I14531" s="63"/>
      <c r="J14531" s="63"/>
    </row>
    <row r="14532" spans="9:10" x14ac:dyDescent="0.35">
      <c r="I14532" s="63"/>
      <c r="J14532" s="63"/>
    </row>
    <row r="14533" spans="9:10" x14ac:dyDescent="0.35">
      <c r="I14533" s="63"/>
      <c r="J14533" s="63"/>
    </row>
    <row r="14534" spans="9:10" x14ac:dyDescent="0.35">
      <c r="I14534" s="63"/>
      <c r="J14534" s="63"/>
    </row>
    <row r="14535" spans="9:10" x14ac:dyDescent="0.35">
      <c r="I14535" s="63"/>
      <c r="J14535" s="63"/>
    </row>
    <row r="14536" spans="9:10" x14ac:dyDescent="0.35">
      <c r="I14536" s="63"/>
      <c r="J14536" s="63"/>
    </row>
    <row r="14537" spans="9:10" x14ac:dyDescent="0.35">
      <c r="I14537" s="63"/>
      <c r="J14537" s="63"/>
    </row>
    <row r="14538" spans="9:10" x14ac:dyDescent="0.35">
      <c r="I14538" s="63"/>
      <c r="J14538" s="63"/>
    </row>
    <row r="14539" spans="9:10" x14ac:dyDescent="0.35">
      <c r="I14539" s="63"/>
      <c r="J14539" s="63"/>
    </row>
    <row r="14540" spans="9:10" x14ac:dyDescent="0.35">
      <c r="I14540" s="63"/>
      <c r="J14540" s="63"/>
    </row>
    <row r="14541" spans="9:10" x14ac:dyDescent="0.35">
      <c r="I14541" s="63"/>
      <c r="J14541" s="63"/>
    </row>
    <row r="14542" spans="9:10" x14ac:dyDescent="0.35">
      <c r="I14542" s="63"/>
      <c r="J14542" s="63"/>
    </row>
    <row r="14543" spans="9:10" x14ac:dyDescent="0.35">
      <c r="I14543" s="63"/>
      <c r="J14543" s="63"/>
    </row>
    <row r="14544" spans="9:10" x14ac:dyDescent="0.35">
      <c r="I14544" s="63"/>
      <c r="J14544" s="63"/>
    </row>
    <row r="14545" spans="9:10" x14ac:dyDescent="0.35">
      <c r="I14545" s="63"/>
      <c r="J14545" s="63"/>
    </row>
    <row r="14546" spans="9:10" x14ac:dyDescent="0.35">
      <c r="I14546" s="63"/>
      <c r="J14546" s="63"/>
    </row>
    <row r="14547" spans="9:10" x14ac:dyDescent="0.35">
      <c r="I14547" s="63"/>
      <c r="J14547" s="63"/>
    </row>
    <row r="14548" spans="9:10" x14ac:dyDescent="0.35">
      <c r="I14548" s="63"/>
      <c r="J14548" s="63"/>
    </row>
    <row r="14549" spans="9:10" x14ac:dyDescent="0.35">
      <c r="I14549" s="63"/>
      <c r="J14549" s="63"/>
    </row>
    <row r="14550" spans="9:10" x14ac:dyDescent="0.35">
      <c r="I14550" s="63"/>
      <c r="J14550" s="63"/>
    </row>
    <row r="14551" spans="9:10" x14ac:dyDescent="0.35">
      <c r="I14551" s="63"/>
      <c r="J14551" s="63"/>
    </row>
    <row r="14552" spans="9:10" x14ac:dyDescent="0.35">
      <c r="I14552" s="63"/>
      <c r="J14552" s="63"/>
    </row>
    <row r="14553" spans="9:10" x14ac:dyDescent="0.35">
      <c r="I14553" s="63"/>
      <c r="J14553" s="63"/>
    </row>
    <row r="14554" spans="9:10" x14ac:dyDescent="0.35">
      <c r="I14554" s="63"/>
      <c r="J14554" s="63"/>
    </row>
    <row r="14555" spans="9:10" x14ac:dyDescent="0.35">
      <c r="I14555" s="63"/>
      <c r="J14555" s="63"/>
    </row>
    <row r="14556" spans="9:10" x14ac:dyDescent="0.35">
      <c r="I14556" s="63"/>
      <c r="J14556" s="63"/>
    </row>
    <row r="14557" spans="9:10" x14ac:dyDescent="0.35">
      <c r="I14557" s="63"/>
      <c r="J14557" s="63"/>
    </row>
    <row r="14558" spans="9:10" x14ac:dyDescent="0.35">
      <c r="I14558" s="63"/>
      <c r="J14558" s="63"/>
    </row>
    <row r="14559" spans="9:10" x14ac:dyDescent="0.35">
      <c r="I14559" s="63"/>
      <c r="J14559" s="63"/>
    </row>
    <row r="14560" spans="9:10" x14ac:dyDescent="0.35">
      <c r="I14560" s="63"/>
      <c r="J14560" s="63"/>
    </row>
    <row r="14561" spans="9:10" x14ac:dyDescent="0.35">
      <c r="I14561" s="63"/>
      <c r="J14561" s="63"/>
    </row>
    <row r="14562" spans="9:10" x14ac:dyDescent="0.35">
      <c r="I14562" s="63"/>
      <c r="J14562" s="63"/>
    </row>
    <row r="14563" spans="9:10" x14ac:dyDescent="0.35">
      <c r="I14563" s="63"/>
      <c r="J14563" s="63"/>
    </row>
    <row r="14564" spans="9:10" x14ac:dyDescent="0.35">
      <c r="I14564" s="63"/>
      <c r="J14564" s="63"/>
    </row>
    <row r="14565" spans="9:10" x14ac:dyDescent="0.35">
      <c r="I14565" s="63"/>
      <c r="J14565" s="63"/>
    </row>
    <row r="14566" spans="9:10" x14ac:dyDescent="0.35">
      <c r="I14566" s="63"/>
      <c r="J14566" s="63"/>
    </row>
    <row r="14567" spans="9:10" x14ac:dyDescent="0.35">
      <c r="I14567" s="63"/>
      <c r="J14567" s="63"/>
    </row>
    <row r="14568" spans="9:10" x14ac:dyDescent="0.35">
      <c r="I14568" s="63"/>
      <c r="J14568" s="63"/>
    </row>
    <row r="14569" spans="9:10" x14ac:dyDescent="0.35">
      <c r="I14569" s="63"/>
      <c r="J14569" s="63"/>
    </row>
    <row r="14570" spans="9:10" x14ac:dyDescent="0.35">
      <c r="I14570" s="63"/>
      <c r="J14570" s="63"/>
    </row>
    <row r="14571" spans="9:10" x14ac:dyDescent="0.35">
      <c r="I14571" s="63"/>
      <c r="J14571" s="63"/>
    </row>
    <row r="14572" spans="9:10" x14ac:dyDescent="0.35">
      <c r="I14572" s="63"/>
      <c r="J14572" s="63"/>
    </row>
    <row r="14573" spans="9:10" x14ac:dyDescent="0.35">
      <c r="I14573" s="63"/>
      <c r="J14573" s="63"/>
    </row>
    <row r="14574" spans="9:10" x14ac:dyDescent="0.35">
      <c r="I14574" s="63"/>
      <c r="J14574" s="63"/>
    </row>
    <row r="14575" spans="9:10" x14ac:dyDescent="0.35">
      <c r="I14575" s="63"/>
      <c r="J14575" s="63"/>
    </row>
    <row r="14576" spans="9:10" x14ac:dyDescent="0.35">
      <c r="I14576" s="63"/>
      <c r="J14576" s="63"/>
    </row>
    <row r="14577" spans="9:10" x14ac:dyDescent="0.35">
      <c r="I14577" s="63"/>
      <c r="J14577" s="63"/>
    </row>
    <row r="14578" spans="9:10" x14ac:dyDescent="0.35">
      <c r="I14578" s="63"/>
      <c r="J14578" s="63"/>
    </row>
    <row r="14579" spans="9:10" x14ac:dyDescent="0.35">
      <c r="I14579" s="63"/>
      <c r="J14579" s="63"/>
    </row>
    <row r="14580" spans="9:10" x14ac:dyDescent="0.35">
      <c r="I14580" s="63"/>
      <c r="J14580" s="63"/>
    </row>
    <row r="14581" spans="9:10" x14ac:dyDescent="0.35">
      <c r="I14581" s="63"/>
      <c r="J14581" s="63"/>
    </row>
    <row r="14582" spans="9:10" x14ac:dyDescent="0.35">
      <c r="I14582" s="63"/>
      <c r="J14582" s="63"/>
    </row>
    <row r="14583" spans="9:10" x14ac:dyDescent="0.35">
      <c r="I14583" s="63"/>
      <c r="J14583" s="63"/>
    </row>
    <row r="14584" spans="9:10" x14ac:dyDescent="0.35">
      <c r="I14584" s="63"/>
      <c r="J14584" s="63"/>
    </row>
    <row r="14585" spans="9:10" x14ac:dyDescent="0.35">
      <c r="I14585" s="63"/>
      <c r="J14585" s="63"/>
    </row>
    <row r="14586" spans="9:10" x14ac:dyDescent="0.35">
      <c r="I14586" s="63"/>
      <c r="J14586" s="63"/>
    </row>
    <row r="14587" spans="9:10" x14ac:dyDescent="0.35">
      <c r="I14587" s="63"/>
      <c r="J14587" s="63"/>
    </row>
    <row r="14588" spans="9:10" x14ac:dyDescent="0.35">
      <c r="I14588" s="63"/>
      <c r="J14588" s="63"/>
    </row>
    <row r="14589" spans="9:10" x14ac:dyDescent="0.35">
      <c r="I14589" s="63"/>
      <c r="J14589" s="63"/>
    </row>
    <row r="14590" spans="9:10" x14ac:dyDescent="0.35">
      <c r="I14590" s="63"/>
      <c r="J14590" s="63"/>
    </row>
    <row r="14591" spans="9:10" x14ac:dyDescent="0.35">
      <c r="I14591" s="63"/>
      <c r="J14591" s="63"/>
    </row>
    <row r="14592" spans="9:10" x14ac:dyDescent="0.35">
      <c r="I14592" s="63"/>
      <c r="J14592" s="63"/>
    </row>
    <row r="14593" spans="9:10" x14ac:dyDescent="0.35">
      <c r="I14593" s="63"/>
      <c r="J14593" s="63"/>
    </row>
    <row r="14594" spans="9:10" x14ac:dyDescent="0.35">
      <c r="I14594" s="63"/>
      <c r="J14594" s="63"/>
    </row>
    <row r="14595" spans="9:10" x14ac:dyDescent="0.35">
      <c r="I14595" s="63"/>
      <c r="J14595" s="63"/>
    </row>
    <row r="14596" spans="9:10" x14ac:dyDescent="0.35">
      <c r="I14596" s="63"/>
      <c r="J14596" s="63"/>
    </row>
    <row r="14597" spans="9:10" x14ac:dyDescent="0.35">
      <c r="I14597" s="63"/>
      <c r="J14597" s="63"/>
    </row>
    <row r="14598" spans="9:10" x14ac:dyDescent="0.35">
      <c r="I14598" s="63"/>
      <c r="J14598" s="63"/>
    </row>
    <row r="14599" spans="9:10" x14ac:dyDescent="0.35">
      <c r="I14599" s="63"/>
      <c r="J14599" s="63"/>
    </row>
    <row r="14600" spans="9:10" x14ac:dyDescent="0.35">
      <c r="I14600" s="63"/>
      <c r="J14600" s="63"/>
    </row>
    <row r="14601" spans="9:10" x14ac:dyDescent="0.35">
      <c r="I14601" s="63"/>
      <c r="J14601" s="63"/>
    </row>
    <row r="14602" spans="9:10" x14ac:dyDescent="0.35">
      <c r="I14602" s="63"/>
      <c r="J14602" s="63"/>
    </row>
    <row r="14603" spans="9:10" x14ac:dyDescent="0.35">
      <c r="I14603" s="63"/>
      <c r="J14603" s="63"/>
    </row>
    <row r="14604" spans="9:10" x14ac:dyDescent="0.35">
      <c r="I14604" s="63"/>
      <c r="J14604" s="63"/>
    </row>
    <row r="14605" spans="9:10" x14ac:dyDescent="0.35">
      <c r="I14605" s="63"/>
      <c r="J14605" s="63"/>
    </row>
    <row r="14606" spans="9:10" x14ac:dyDescent="0.35">
      <c r="I14606" s="63"/>
      <c r="J14606" s="63"/>
    </row>
    <row r="14607" spans="9:10" x14ac:dyDescent="0.35">
      <c r="I14607" s="63"/>
      <c r="J14607" s="63"/>
    </row>
    <row r="14608" spans="9:10" x14ac:dyDescent="0.35">
      <c r="I14608" s="63"/>
      <c r="J14608" s="63"/>
    </row>
    <row r="14609" spans="9:10" x14ac:dyDescent="0.35">
      <c r="I14609" s="63"/>
      <c r="J14609" s="63"/>
    </row>
    <row r="14610" spans="9:10" x14ac:dyDescent="0.35">
      <c r="I14610" s="63"/>
      <c r="J14610" s="63"/>
    </row>
    <row r="14611" spans="9:10" x14ac:dyDescent="0.35">
      <c r="I14611" s="63"/>
      <c r="J14611" s="63"/>
    </row>
    <row r="14612" spans="9:10" x14ac:dyDescent="0.35">
      <c r="I14612" s="63"/>
      <c r="J14612" s="63"/>
    </row>
    <row r="14613" spans="9:10" x14ac:dyDescent="0.35">
      <c r="I14613" s="63"/>
      <c r="J14613" s="63"/>
    </row>
    <row r="14614" spans="9:10" x14ac:dyDescent="0.35">
      <c r="I14614" s="63"/>
      <c r="J14614" s="63"/>
    </row>
    <row r="14615" spans="9:10" x14ac:dyDescent="0.35">
      <c r="I14615" s="63"/>
      <c r="J14615" s="63"/>
    </row>
    <row r="14616" spans="9:10" x14ac:dyDescent="0.35">
      <c r="I14616" s="63"/>
      <c r="J14616" s="63"/>
    </row>
    <row r="14617" spans="9:10" x14ac:dyDescent="0.35">
      <c r="I14617" s="63"/>
      <c r="J14617" s="63"/>
    </row>
    <row r="14618" spans="9:10" x14ac:dyDescent="0.35">
      <c r="I14618" s="63"/>
      <c r="J14618" s="63"/>
    </row>
    <row r="14619" spans="9:10" x14ac:dyDescent="0.35">
      <c r="I14619" s="63"/>
      <c r="J14619" s="63"/>
    </row>
    <row r="14620" spans="9:10" x14ac:dyDescent="0.35">
      <c r="I14620" s="63"/>
      <c r="J14620" s="63"/>
    </row>
    <row r="14621" spans="9:10" x14ac:dyDescent="0.35">
      <c r="I14621" s="63"/>
      <c r="J14621" s="63"/>
    </row>
    <row r="14622" spans="9:10" x14ac:dyDescent="0.35">
      <c r="I14622" s="63"/>
      <c r="J14622" s="63"/>
    </row>
    <row r="14623" spans="9:10" x14ac:dyDescent="0.35">
      <c r="I14623" s="63"/>
      <c r="J14623" s="63"/>
    </row>
    <row r="14624" spans="9:10" x14ac:dyDescent="0.35">
      <c r="I14624" s="63"/>
      <c r="J14624" s="63"/>
    </row>
    <row r="14625" spans="9:10" x14ac:dyDescent="0.35">
      <c r="I14625" s="63"/>
      <c r="J14625" s="63"/>
    </row>
    <row r="14626" spans="9:10" x14ac:dyDescent="0.35">
      <c r="I14626" s="63"/>
      <c r="J14626" s="63"/>
    </row>
    <row r="14627" spans="9:10" x14ac:dyDescent="0.35">
      <c r="I14627" s="63"/>
      <c r="J14627" s="63"/>
    </row>
    <row r="14628" spans="9:10" x14ac:dyDescent="0.35">
      <c r="I14628" s="63"/>
      <c r="J14628" s="63"/>
    </row>
    <row r="14629" spans="9:10" x14ac:dyDescent="0.35">
      <c r="I14629" s="63"/>
      <c r="J14629" s="63"/>
    </row>
    <row r="14630" spans="9:10" x14ac:dyDescent="0.35">
      <c r="I14630" s="63"/>
      <c r="J14630" s="63"/>
    </row>
    <row r="14631" spans="9:10" x14ac:dyDescent="0.35">
      <c r="I14631" s="63"/>
      <c r="J14631" s="63"/>
    </row>
    <row r="14632" spans="9:10" x14ac:dyDescent="0.35">
      <c r="I14632" s="63"/>
      <c r="J14632" s="63"/>
    </row>
    <row r="14633" spans="9:10" x14ac:dyDescent="0.35">
      <c r="I14633" s="63"/>
      <c r="J14633" s="63"/>
    </row>
    <row r="14634" spans="9:10" x14ac:dyDescent="0.35">
      <c r="I14634" s="63"/>
      <c r="J14634" s="63"/>
    </row>
    <row r="14635" spans="9:10" x14ac:dyDescent="0.35">
      <c r="I14635" s="63"/>
      <c r="J14635" s="63"/>
    </row>
    <row r="14636" spans="9:10" x14ac:dyDescent="0.35">
      <c r="I14636" s="63"/>
      <c r="J14636" s="63"/>
    </row>
    <row r="14637" spans="9:10" x14ac:dyDescent="0.35">
      <c r="I14637" s="63"/>
      <c r="J14637" s="63"/>
    </row>
    <row r="14638" spans="9:10" x14ac:dyDescent="0.35">
      <c r="I14638" s="63"/>
      <c r="J14638" s="63"/>
    </row>
    <row r="14639" spans="9:10" x14ac:dyDescent="0.35">
      <c r="I14639" s="63"/>
      <c r="J14639" s="63"/>
    </row>
    <row r="14640" spans="9:10" x14ac:dyDescent="0.35">
      <c r="I14640" s="63"/>
      <c r="J14640" s="63"/>
    </row>
    <row r="14641" spans="9:10" x14ac:dyDescent="0.35">
      <c r="I14641" s="63"/>
      <c r="J14641" s="63"/>
    </row>
    <row r="14642" spans="9:10" x14ac:dyDescent="0.35">
      <c r="I14642" s="63"/>
      <c r="J14642" s="63"/>
    </row>
    <row r="14643" spans="9:10" x14ac:dyDescent="0.35">
      <c r="I14643" s="63"/>
      <c r="J14643" s="63"/>
    </row>
    <row r="14644" spans="9:10" x14ac:dyDescent="0.35">
      <c r="I14644" s="63"/>
      <c r="J14644" s="63"/>
    </row>
    <row r="14645" spans="9:10" x14ac:dyDescent="0.35">
      <c r="I14645" s="63"/>
      <c r="J14645" s="63"/>
    </row>
    <row r="14646" spans="9:10" x14ac:dyDescent="0.35">
      <c r="I14646" s="63"/>
      <c r="J14646" s="63"/>
    </row>
    <row r="14647" spans="9:10" x14ac:dyDescent="0.35">
      <c r="I14647" s="63"/>
      <c r="J14647" s="63"/>
    </row>
    <row r="14648" spans="9:10" x14ac:dyDescent="0.35">
      <c r="I14648" s="63"/>
      <c r="J14648" s="63"/>
    </row>
    <row r="14649" spans="9:10" x14ac:dyDescent="0.35">
      <c r="I14649" s="63"/>
      <c r="J14649" s="63"/>
    </row>
    <row r="14650" spans="9:10" x14ac:dyDescent="0.35">
      <c r="I14650" s="63"/>
      <c r="J14650" s="63"/>
    </row>
    <row r="14651" spans="9:10" x14ac:dyDescent="0.35">
      <c r="I14651" s="63"/>
      <c r="J14651" s="63"/>
    </row>
    <row r="14652" spans="9:10" x14ac:dyDescent="0.35">
      <c r="I14652" s="63"/>
      <c r="J14652" s="63"/>
    </row>
    <row r="14653" spans="9:10" x14ac:dyDescent="0.35">
      <c r="I14653" s="63"/>
      <c r="J14653" s="63"/>
    </row>
    <row r="14654" spans="9:10" x14ac:dyDescent="0.35">
      <c r="I14654" s="63"/>
      <c r="J14654" s="63"/>
    </row>
    <row r="14655" spans="9:10" x14ac:dyDescent="0.35">
      <c r="I14655" s="63"/>
      <c r="J14655" s="63"/>
    </row>
    <row r="14656" spans="9:10" x14ac:dyDescent="0.35">
      <c r="I14656" s="63"/>
      <c r="J14656" s="63"/>
    </row>
    <row r="14657" spans="9:10" x14ac:dyDescent="0.35">
      <c r="I14657" s="63"/>
      <c r="J14657" s="63"/>
    </row>
    <row r="14658" spans="9:10" x14ac:dyDescent="0.35">
      <c r="I14658" s="63"/>
      <c r="J14658" s="63"/>
    </row>
    <row r="14659" spans="9:10" x14ac:dyDescent="0.35">
      <c r="I14659" s="63"/>
      <c r="J14659" s="63"/>
    </row>
    <row r="14660" spans="9:10" x14ac:dyDescent="0.35">
      <c r="I14660" s="63"/>
      <c r="J14660" s="63"/>
    </row>
    <row r="14661" spans="9:10" x14ac:dyDescent="0.35">
      <c r="I14661" s="63"/>
      <c r="J14661" s="63"/>
    </row>
    <row r="14662" spans="9:10" x14ac:dyDescent="0.35">
      <c r="I14662" s="63"/>
      <c r="J14662" s="63"/>
    </row>
    <row r="14663" spans="9:10" x14ac:dyDescent="0.35">
      <c r="I14663" s="63"/>
      <c r="J14663" s="63"/>
    </row>
    <row r="14664" spans="9:10" x14ac:dyDescent="0.35">
      <c r="I14664" s="63"/>
      <c r="J14664" s="63"/>
    </row>
    <row r="14665" spans="9:10" x14ac:dyDescent="0.35">
      <c r="I14665" s="63"/>
      <c r="J14665" s="63"/>
    </row>
    <row r="14666" spans="9:10" x14ac:dyDescent="0.35">
      <c r="I14666" s="63"/>
      <c r="J14666" s="63"/>
    </row>
    <row r="14667" spans="9:10" x14ac:dyDescent="0.35">
      <c r="I14667" s="63"/>
      <c r="J14667" s="63"/>
    </row>
    <row r="14668" spans="9:10" x14ac:dyDescent="0.35">
      <c r="I14668" s="63"/>
      <c r="J14668" s="63"/>
    </row>
    <row r="14669" spans="9:10" x14ac:dyDescent="0.35">
      <c r="I14669" s="63"/>
      <c r="J14669" s="63"/>
    </row>
    <row r="14670" spans="9:10" x14ac:dyDescent="0.35">
      <c r="I14670" s="63"/>
      <c r="J14670" s="63"/>
    </row>
    <row r="14671" spans="9:10" x14ac:dyDescent="0.35">
      <c r="I14671" s="63"/>
      <c r="J14671" s="63"/>
    </row>
    <row r="14672" spans="9:10" x14ac:dyDescent="0.35">
      <c r="I14672" s="63"/>
      <c r="J14672" s="63"/>
    </row>
    <row r="14673" spans="9:10" x14ac:dyDescent="0.35">
      <c r="I14673" s="63"/>
      <c r="J14673" s="63"/>
    </row>
    <row r="14674" spans="9:10" x14ac:dyDescent="0.35">
      <c r="I14674" s="63"/>
      <c r="J14674" s="63"/>
    </row>
    <row r="14675" spans="9:10" x14ac:dyDescent="0.35">
      <c r="I14675" s="63"/>
      <c r="J14675" s="63"/>
    </row>
    <row r="14676" spans="9:10" x14ac:dyDescent="0.35">
      <c r="I14676" s="63"/>
      <c r="J14676" s="63"/>
    </row>
    <row r="14677" spans="9:10" x14ac:dyDescent="0.35">
      <c r="I14677" s="63"/>
      <c r="J14677" s="63"/>
    </row>
    <row r="14678" spans="9:10" x14ac:dyDescent="0.35">
      <c r="I14678" s="63"/>
      <c r="J14678" s="63"/>
    </row>
    <row r="14679" spans="9:10" x14ac:dyDescent="0.35">
      <c r="I14679" s="63"/>
      <c r="J14679" s="63"/>
    </row>
    <row r="14680" spans="9:10" x14ac:dyDescent="0.35">
      <c r="I14680" s="63"/>
      <c r="J14680" s="63"/>
    </row>
    <row r="14681" spans="9:10" x14ac:dyDescent="0.35">
      <c r="I14681" s="63"/>
      <c r="J14681" s="63"/>
    </row>
    <row r="14682" spans="9:10" x14ac:dyDescent="0.35">
      <c r="I14682" s="63"/>
      <c r="J14682" s="63"/>
    </row>
    <row r="14683" spans="9:10" x14ac:dyDescent="0.35">
      <c r="I14683" s="63"/>
      <c r="J14683" s="63"/>
    </row>
    <row r="14684" spans="9:10" x14ac:dyDescent="0.35">
      <c r="I14684" s="63"/>
      <c r="J14684" s="63"/>
    </row>
    <row r="14685" spans="9:10" x14ac:dyDescent="0.35">
      <c r="I14685" s="63"/>
      <c r="J14685" s="63"/>
    </row>
    <row r="14686" spans="9:10" x14ac:dyDescent="0.35">
      <c r="I14686" s="63"/>
      <c r="J14686" s="63"/>
    </row>
    <row r="14687" spans="9:10" x14ac:dyDescent="0.35">
      <c r="I14687" s="63"/>
      <c r="J14687" s="63"/>
    </row>
    <row r="14688" spans="9:10" x14ac:dyDescent="0.35">
      <c r="I14688" s="63"/>
      <c r="J14688" s="63"/>
    </row>
    <row r="14689" spans="9:10" x14ac:dyDescent="0.35">
      <c r="I14689" s="63"/>
      <c r="J14689" s="63"/>
    </row>
    <row r="14690" spans="9:10" x14ac:dyDescent="0.35">
      <c r="I14690" s="63"/>
      <c r="J14690" s="63"/>
    </row>
    <row r="14691" spans="9:10" x14ac:dyDescent="0.35">
      <c r="I14691" s="63"/>
      <c r="J14691" s="63"/>
    </row>
    <row r="14692" spans="9:10" x14ac:dyDescent="0.35">
      <c r="I14692" s="63"/>
      <c r="J14692" s="63"/>
    </row>
    <row r="14693" spans="9:10" x14ac:dyDescent="0.35">
      <c r="I14693" s="63"/>
      <c r="J14693" s="63"/>
    </row>
    <row r="14694" spans="9:10" x14ac:dyDescent="0.35">
      <c r="I14694" s="63"/>
      <c r="J14694" s="63"/>
    </row>
    <row r="14695" spans="9:10" x14ac:dyDescent="0.35">
      <c r="I14695" s="63"/>
      <c r="J14695" s="63"/>
    </row>
    <row r="14696" spans="9:10" x14ac:dyDescent="0.35">
      <c r="I14696" s="63"/>
      <c r="J14696" s="63"/>
    </row>
    <row r="14697" spans="9:10" x14ac:dyDescent="0.35">
      <c r="I14697" s="63"/>
      <c r="J14697" s="63"/>
    </row>
    <row r="14698" spans="9:10" x14ac:dyDescent="0.35">
      <c r="I14698" s="63"/>
      <c r="J14698" s="63"/>
    </row>
    <row r="14699" spans="9:10" x14ac:dyDescent="0.35">
      <c r="I14699" s="63"/>
      <c r="J14699" s="63"/>
    </row>
    <row r="14700" spans="9:10" x14ac:dyDescent="0.35">
      <c r="I14700" s="63"/>
      <c r="J14700" s="63"/>
    </row>
    <row r="14701" spans="9:10" x14ac:dyDescent="0.35">
      <c r="I14701" s="63"/>
      <c r="J14701" s="63"/>
    </row>
    <row r="14702" spans="9:10" x14ac:dyDescent="0.35">
      <c r="I14702" s="63"/>
      <c r="J14702" s="63"/>
    </row>
    <row r="14703" spans="9:10" x14ac:dyDescent="0.35">
      <c r="I14703" s="63"/>
      <c r="J14703" s="63"/>
    </row>
    <row r="14704" spans="9:10" x14ac:dyDescent="0.35">
      <c r="I14704" s="63"/>
      <c r="J14704" s="63"/>
    </row>
    <row r="14705" spans="9:10" x14ac:dyDescent="0.35">
      <c r="I14705" s="63"/>
      <c r="J14705" s="63"/>
    </row>
    <row r="14706" spans="9:10" x14ac:dyDescent="0.35">
      <c r="I14706" s="63"/>
      <c r="J14706" s="63"/>
    </row>
    <row r="14707" spans="9:10" x14ac:dyDescent="0.35">
      <c r="I14707" s="63"/>
      <c r="J14707" s="63"/>
    </row>
    <row r="14708" spans="9:10" x14ac:dyDescent="0.35">
      <c r="I14708" s="63"/>
      <c r="J14708" s="63"/>
    </row>
    <row r="14709" spans="9:10" x14ac:dyDescent="0.35">
      <c r="I14709" s="63"/>
      <c r="J14709" s="63"/>
    </row>
    <row r="14710" spans="9:10" x14ac:dyDescent="0.35">
      <c r="I14710" s="63"/>
      <c r="J14710" s="63"/>
    </row>
    <row r="14711" spans="9:10" x14ac:dyDescent="0.35">
      <c r="I14711" s="63"/>
      <c r="J14711" s="63"/>
    </row>
    <row r="14712" spans="9:10" x14ac:dyDescent="0.35">
      <c r="I14712" s="63"/>
      <c r="J14712" s="63"/>
    </row>
    <row r="14713" spans="9:10" x14ac:dyDescent="0.35">
      <c r="I14713" s="63"/>
      <c r="J14713" s="63"/>
    </row>
    <row r="14714" spans="9:10" x14ac:dyDescent="0.35">
      <c r="I14714" s="63"/>
      <c r="J14714" s="63"/>
    </row>
    <row r="14715" spans="9:10" x14ac:dyDescent="0.35">
      <c r="I14715" s="63"/>
      <c r="J14715" s="63"/>
    </row>
    <row r="14716" spans="9:10" x14ac:dyDescent="0.35">
      <c r="I14716" s="63"/>
      <c r="J14716" s="63"/>
    </row>
    <row r="14717" spans="9:10" x14ac:dyDescent="0.35">
      <c r="I14717" s="63"/>
      <c r="J14717" s="63"/>
    </row>
    <row r="14718" spans="9:10" x14ac:dyDescent="0.35">
      <c r="I14718" s="63"/>
      <c r="J14718" s="63"/>
    </row>
    <row r="14719" spans="9:10" x14ac:dyDescent="0.35">
      <c r="I14719" s="63"/>
      <c r="J14719" s="63"/>
    </row>
    <row r="14720" spans="9:10" x14ac:dyDescent="0.35">
      <c r="I14720" s="63"/>
      <c r="J14720" s="63"/>
    </row>
    <row r="14721" spans="9:10" x14ac:dyDescent="0.35">
      <c r="I14721" s="63"/>
      <c r="J14721" s="63"/>
    </row>
    <row r="14722" spans="9:10" x14ac:dyDescent="0.35">
      <c r="I14722" s="63"/>
      <c r="J14722" s="63"/>
    </row>
    <row r="14723" spans="9:10" x14ac:dyDescent="0.35">
      <c r="I14723" s="63"/>
      <c r="J14723" s="63"/>
    </row>
    <row r="14724" spans="9:10" x14ac:dyDescent="0.35">
      <c r="I14724" s="63"/>
      <c r="J14724" s="63"/>
    </row>
    <row r="14725" spans="9:10" x14ac:dyDescent="0.35">
      <c r="I14725" s="63"/>
      <c r="J14725" s="63"/>
    </row>
    <row r="14726" spans="9:10" x14ac:dyDescent="0.35">
      <c r="I14726" s="63"/>
      <c r="J14726" s="63"/>
    </row>
    <row r="14727" spans="9:10" x14ac:dyDescent="0.35">
      <c r="I14727" s="63"/>
      <c r="J14727" s="63"/>
    </row>
    <row r="14728" spans="9:10" x14ac:dyDescent="0.35">
      <c r="I14728" s="63"/>
      <c r="J14728" s="63"/>
    </row>
    <row r="14729" spans="9:10" x14ac:dyDescent="0.35">
      <c r="I14729" s="63"/>
      <c r="J14729" s="63"/>
    </row>
    <row r="14730" spans="9:10" x14ac:dyDescent="0.35">
      <c r="I14730" s="63"/>
      <c r="J14730" s="63"/>
    </row>
    <row r="14731" spans="9:10" x14ac:dyDescent="0.35">
      <c r="I14731" s="63"/>
      <c r="J14731" s="63"/>
    </row>
    <row r="14732" spans="9:10" x14ac:dyDescent="0.35">
      <c r="I14732" s="63"/>
      <c r="J14732" s="63"/>
    </row>
    <row r="14733" spans="9:10" x14ac:dyDescent="0.35">
      <c r="I14733" s="63"/>
      <c r="J14733" s="63"/>
    </row>
    <row r="14734" spans="9:10" x14ac:dyDescent="0.35">
      <c r="I14734" s="63"/>
      <c r="J14734" s="63"/>
    </row>
    <row r="14735" spans="9:10" x14ac:dyDescent="0.35">
      <c r="I14735" s="63"/>
      <c r="J14735" s="63"/>
    </row>
    <row r="14736" spans="9:10" x14ac:dyDescent="0.35">
      <c r="I14736" s="63"/>
      <c r="J14736" s="63"/>
    </row>
    <row r="14737" spans="9:10" x14ac:dyDescent="0.35">
      <c r="I14737" s="63"/>
      <c r="J14737" s="63"/>
    </row>
    <row r="14738" spans="9:10" x14ac:dyDescent="0.35">
      <c r="I14738" s="63"/>
      <c r="J14738" s="63"/>
    </row>
    <row r="14739" spans="9:10" x14ac:dyDescent="0.35">
      <c r="I14739" s="63"/>
      <c r="J14739" s="63"/>
    </row>
    <row r="14740" spans="9:10" x14ac:dyDescent="0.35">
      <c r="I14740" s="63"/>
      <c r="J14740" s="63"/>
    </row>
    <row r="14741" spans="9:10" x14ac:dyDescent="0.35">
      <c r="I14741" s="63"/>
      <c r="J14741" s="63"/>
    </row>
    <row r="14742" spans="9:10" x14ac:dyDescent="0.35">
      <c r="I14742" s="63"/>
      <c r="J14742" s="63"/>
    </row>
    <row r="14743" spans="9:10" x14ac:dyDescent="0.35">
      <c r="I14743" s="63"/>
      <c r="J14743" s="63"/>
    </row>
    <row r="14744" spans="9:10" x14ac:dyDescent="0.35">
      <c r="I14744" s="63"/>
      <c r="J14744" s="63"/>
    </row>
    <row r="14745" spans="9:10" x14ac:dyDescent="0.35">
      <c r="I14745" s="63"/>
      <c r="J14745" s="63"/>
    </row>
    <row r="14746" spans="9:10" x14ac:dyDescent="0.35">
      <c r="I14746" s="63"/>
      <c r="J14746" s="63"/>
    </row>
    <row r="14747" spans="9:10" x14ac:dyDescent="0.35">
      <c r="I14747" s="63"/>
      <c r="J14747" s="63"/>
    </row>
    <row r="14748" spans="9:10" x14ac:dyDescent="0.35">
      <c r="I14748" s="63"/>
      <c r="J14748" s="63"/>
    </row>
    <row r="14749" spans="9:10" x14ac:dyDescent="0.35">
      <c r="I14749" s="63"/>
      <c r="J14749" s="63"/>
    </row>
    <row r="14750" spans="9:10" x14ac:dyDescent="0.35">
      <c r="I14750" s="63"/>
      <c r="J14750" s="63"/>
    </row>
    <row r="14751" spans="9:10" x14ac:dyDescent="0.35">
      <c r="I14751" s="63"/>
      <c r="J14751" s="63"/>
    </row>
    <row r="14752" spans="9:10" x14ac:dyDescent="0.35">
      <c r="I14752" s="63"/>
      <c r="J14752" s="63"/>
    </row>
    <row r="14753" spans="9:10" x14ac:dyDescent="0.35">
      <c r="I14753" s="63"/>
      <c r="J14753" s="63"/>
    </row>
    <row r="14754" spans="9:10" x14ac:dyDescent="0.35">
      <c r="I14754" s="63"/>
      <c r="J14754" s="63"/>
    </row>
    <row r="14755" spans="9:10" x14ac:dyDescent="0.35">
      <c r="I14755" s="63"/>
      <c r="J14755" s="63"/>
    </row>
    <row r="14756" spans="9:10" x14ac:dyDescent="0.35">
      <c r="I14756" s="63"/>
      <c r="J14756" s="63"/>
    </row>
    <row r="14757" spans="9:10" x14ac:dyDescent="0.35">
      <c r="I14757" s="63"/>
      <c r="J14757" s="63"/>
    </row>
    <row r="14758" spans="9:10" x14ac:dyDescent="0.35">
      <c r="I14758" s="63"/>
      <c r="J14758" s="63"/>
    </row>
    <row r="14759" spans="9:10" x14ac:dyDescent="0.35">
      <c r="I14759" s="63"/>
      <c r="J14759" s="63"/>
    </row>
    <row r="14760" spans="9:10" x14ac:dyDescent="0.35">
      <c r="I14760" s="63"/>
      <c r="J14760" s="63"/>
    </row>
    <row r="14761" spans="9:10" x14ac:dyDescent="0.35">
      <c r="I14761" s="63"/>
      <c r="J14761" s="63"/>
    </row>
    <row r="14762" spans="9:10" x14ac:dyDescent="0.35">
      <c r="I14762" s="63"/>
      <c r="J14762" s="63"/>
    </row>
    <row r="14763" spans="9:10" x14ac:dyDescent="0.35">
      <c r="I14763" s="63"/>
      <c r="J14763" s="63"/>
    </row>
    <row r="14764" spans="9:10" x14ac:dyDescent="0.35">
      <c r="I14764" s="63"/>
      <c r="J14764" s="63"/>
    </row>
    <row r="14765" spans="9:10" x14ac:dyDescent="0.35">
      <c r="I14765" s="63"/>
      <c r="J14765" s="63"/>
    </row>
    <row r="14766" spans="9:10" x14ac:dyDescent="0.35">
      <c r="I14766" s="63"/>
      <c r="J14766" s="63"/>
    </row>
    <row r="14767" spans="9:10" x14ac:dyDescent="0.35">
      <c r="I14767" s="63"/>
      <c r="J14767" s="63"/>
    </row>
    <row r="14768" spans="9:10" x14ac:dyDescent="0.35">
      <c r="I14768" s="63"/>
      <c r="J14768" s="63"/>
    </row>
    <row r="14769" spans="9:10" x14ac:dyDescent="0.35">
      <c r="I14769" s="63"/>
      <c r="J14769" s="63"/>
    </row>
    <row r="14770" spans="9:10" x14ac:dyDescent="0.35">
      <c r="I14770" s="63"/>
      <c r="J14770" s="63"/>
    </row>
    <row r="14771" spans="9:10" x14ac:dyDescent="0.35">
      <c r="I14771" s="63"/>
      <c r="J14771" s="63"/>
    </row>
    <row r="14772" spans="9:10" x14ac:dyDescent="0.35">
      <c r="I14772" s="63"/>
      <c r="J14772" s="63"/>
    </row>
    <row r="14773" spans="9:10" x14ac:dyDescent="0.35">
      <c r="I14773" s="63"/>
      <c r="J14773" s="63"/>
    </row>
    <row r="14774" spans="9:10" x14ac:dyDescent="0.35">
      <c r="I14774" s="63"/>
      <c r="J14774" s="63"/>
    </row>
    <row r="14775" spans="9:10" x14ac:dyDescent="0.35">
      <c r="I14775" s="63"/>
      <c r="J14775" s="63"/>
    </row>
    <row r="14776" spans="9:10" x14ac:dyDescent="0.35">
      <c r="I14776" s="63"/>
      <c r="J14776" s="63"/>
    </row>
    <row r="14777" spans="9:10" x14ac:dyDescent="0.35">
      <c r="I14777" s="63"/>
      <c r="J14777" s="63"/>
    </row>
    <row r="14778" spans="9:10" x14ac:dyDescent="0.35">
      <c r="I14778" s="63"/>
      <c r="J14778" s="63"/>
    </row>
    <row r="14779" spans="9:10" x14ac:dyDescent="0.35">
      <c r="I14779" s="63"/>
      <c r="J14779" s="63"/>
    </row>
    <row r="14780" spans="9:10" x14ac:dyDescent="0.35">
      <c r="I14780" s="63"/>
      <c r="J14780" s="63"/>
    </row>
    <row r="14781" spans="9:10" x14ac:dyDescent="0.35">
      <c r="I14781" s="63"/>
      <c r="J14781" s="63"/>
    </row>
    <row r="14782" spans="9:10" x14ac:dyDescent="0.35">
      <c r="I14782" s="63"/>
      <c r="J14782" s="63"/>
    </row>
    <row r="14783" spans="9:10" x14ac:dyDescent="0.35">
      <c r="I14783" s="63"/>
      <c r="J14783" s="63"/>
    </row>
    <row r="14784" spans="9:10" x14ac:dyDescent="0.35">
      <c r="I14784" s="63"/>
      <c r="J14784" s="63"/>
    </row>
    <row r="14785" spans="9:10" x14ac:dyDescent="0.35">
      <c r="I14785" s="63"/>
      <c r="J14785" s="63"/>
    </row>
    <row r="14786" spans="9:10" x14ac:dyDescent="0.35">
      <c r="I14786" s="63"/>
      <c r="J14786" s="63"/>
    </row>
    <row r="14787" spans="9:10" x14ac:dyDescent="0.35">
      <c r="I14787" s="63"/>
      <c r="J14787" s="63"/>
    </row>
    <row r="14788" spans="9:10" x14ac:dyDescent="0.35">
      <c r="I14788" s="63"/>
      <c r="J14788" s="63"/>
    </row>
    <row r="14789" spans="9:10" x14ac:dyDescent="0.35">
      <c r="I14789" s="63"/>
      <c r="J14789" s="63"/>
    </row>
    <row r="14790" spans="9:10" x14ac:dyDescent="0.35">
      <c r="I14790" s="63"/>
      <c r="J14790" s="63"/>
    </row>
    <row r="14791" spans="9:10" x14ac:dyDescent="0.35">
      <c r="I14791" s="63"/>
      <c r="J14791" s="63"/>
    </row>
    <row r="14792" spans="9:10" x14ac:dyDescent="0.35">
      <c r="I14792" s="63"/>
      <c r="J14792" s="63"/>
    </row>
    <row r="14793" spans="9:10" x14ac:dyDescent="0.35">
      <c r="I14793" s="63"/>
      <c r="J14793" s="63"/>
    </row>
    <row r="14794" spans="9:10" x14ac:dyDescent="0.35">
      <c r="I14794" s="63"/>
      <c r="J14794" s="63"/>
    </row>
    <row r="14795" spans="9:10" x14ac:dyDescent="0.35">
      <c r="I14795" s="63"/>
      <c r="J14795" s="63"/>
    </row>
    <row r="14796" spans="9:10" x14ac:dyDescent="0.35">
      <c r="I14796" s="63"/>
      <c r="J14796" s="63"/>
    </row>
    <row r="14797" spans="9:10" x14ac:dyDescent="0.35">
      <c r="I14797" s="63"/>
      <c r="J14797" s="63"/>
    </row>
    <row r="14798" spans="9:10" x14ac:dyDescent="0.35">
      <c r="I14798" s="63"/>
      <c r="J14798" s="63"/>
    </row>
    <row r="14799" spans="9:10" x14ac:dyDescent="0.35">
      <c r="I14799" s="63"/>
      <c r="J14799" s="63"/>
    </row>
    <row r="14800" spans="9:10" x14ac:dyDescent="0.35">
      <c r="I14800" s="63"/>
      <c r="J14800" s="63"/>
    </row>
    <row r="14801" spans="9:10" x14ac:dyDescent="0.35">
      <c r="I14801" s="63"/>
      <c r="J14801" s="63"/>
    </row>
    <row r="14802" spans="9:10" x14ac:dyDescent="0.35">
      <c r="I14802" s="63"/>
      <c r="J14802" s="63"/>
    </row>
    <row r="14803" spans="9:10" x14ac:dyDescent="0.35">
      <c r="I14803" s="63"/>
      <c r="J14803" s="63"/>
    </row>
    <row r="14804" spans="9:10" x14ac:dyDescent="0.35">
      <c r="I14804" s="63"/>
      <c r="J14804" s="63"/>
    </row>
    <row r="14805" spans="9:10" x14ac:dyDescent="0.35">
      <c r="I14805" s="63"/>
      <c r="J14805" s="63"/>
    </row>
    <row r="14806" spans="9:10" x14ac:dyDescent="0.35">
      <c r="I14806" s="63"/>
      <c r="J14806" s="63"/>
    </row>
    <row r="14807" spans="9:10" x14ac:dyDescent="0.35">
      <c r="I14807" s="63"/>
      <c r="J14807" s="63"/>
    </row>
    <row r="14808" spans="9:10" x14ac:dyDescent="0.35">
      <c r="I14808" s="63"/>
      <c r="J14808" s="63"/>
    </row>
    <row r="14809" spans="9:10" x14ac:dyDescent="0.35">
      <c r="I14809" s="63"/>
      <c r="J14809" s="63"/>
    </row>
    <row r="14810" spans="9:10" x14ac:dyDescent="0.35">
      <c r="I14810" s="63"/>
      <c r="J14810" s="63"/>
    </row>
    <row r="14811" spans="9:10" x14ac:dyDescent="0.35">
      <c r="I14811" s="63"/>
      <c r="J14811" s="63"/>
    </row>
    <row r="14812" spans="9:10" x14ac:dyDescent="0.35">
      <c r="I14812" s="63"/>
      <c r="J14812" s="63"/>
    </row>
    <row r="14813" spans="9:10" x14ac:dyDescent="0.35">
      <c r="I14813" s="63"/>
      <c r="J14813" s="63"/>
    </row>
    <row r="14814" spans="9:10" x14ac:dyDescent="0.35">
      <c r="I14814" s="63"/>
      <c r="J14814" s="63"/>
    </row>
    <row r="14815" spans="9:10" x14ac:dyDescent="0.35">
      <c r="I14815" s="63"/>
      <c r="J14815" s="63"/>
    </row>
    <row r="14816" spans="9:10" x14ac:dyDescent="0.35">
      <c r="I14816" s="63"/>
      <c r="J14816" s="63"/>
    </row>
    <row r="14817" spans="9:10" x14ac:dyDescent="0.35">
      <c r="I14817" s="63"/>
      <c r="J14817" s="63"/>
    </row>
    <row r="14818" spans="9:10" x14ac:dyDescent="0.35">
      <c r="I14818" s="63"/>
      <c r="J14818" s="63"/>
    </row>
    <row r="14819" spans="9:10" x14ac:dyDescent="0.35">
      <c r="I14819" s="63"/>
      <c r="J14819" s="63"/>
    </row>
    <row r="14820" spans="9:10" x14ac:dyDescent="0.35">
      <c r="I14820" s="63"/>
      <c r="J14820" s="63"/>
    </row>
    <row r="14821" spans="9:10" x14ac:dyDescent="0.35">
      <c r="I14821" s="63"/>
      <c r="J14821" s="63"/>
    </row>
    <row r="14822" spans="9:10" x14ac:dyDescent="0.35">
      <c r="I14822" s="63"/>
      <c r="J14822" s="63"/>
    </row>
    <row r="14823" spans="9:10" x14ac:dyDescent="0.35">
      <c r="I14823" s="63"/>
      <c r="J14823" s="63"/>
    </row>
    <row r="14824" spans="9:10" x14ac:dyDescent="0.35">
      <c r="I14824" s="63"/>
      <c r="J14824" s="63"/>
    </row>
    <row r="14825" spans="9:10" x14ac:dyDescent="0.35">
      <c r="I14825" s="63"/>
      <c r="J14825" s="63"/>
    </row>
    <row r="14826" spans="9:10" x14ac:dyDescent="0.35">
      <c r="I14826" s="63"/>
      <c r="J14826" s="63"/>
    </row>
    <row r="14827" spans="9:10" x14ac:dyDescent="0.35">
      <c r="I14827" s="63"/>
      <c r="J14827" s="63"/>
    </row>
    <row r="14828" spans="9:10" x14ac:dyDescent="0.35">
      <c r="I14828" s="63"/>
      <c r="J14828" s="63"/>
    </row>
    <row r="14829" spans="9:10" x14ac:dyDescent="0.35">
      <c r="I14829" s="63"/>
      <c r="J14829" s="63"/>
    </row>
    <row r="14830" spans="9:10" x14ac:dyDescent="0.35">
      <c r="I14830" s="63"/>
      <c r="J14830" s="63"/>
    </row>
    <row r="14831" spans="9:10" x14ac:dyDescent="0.35">
      <c r="I14831" s="63"/>
      <c r="J14831" s="63"/>
    </row>
    <row r="14832" spans="9:10" x14ac:dyDescent="0.35">
      <c r="I14832" s="63"/>
      <c r="J14832" s="63"/>
    </row>
    <row r="14833" spans="9:10" x14ac:dyDescent="0.35">
      <c r="I14833" s="63"/>
      <c r="J14833" s="63"/>
    </row>
    <row r="14834" spans="9:10" x14ac:dyDescent="0.35">
      <c r="I14834" s="63"/>
      <c r="J14834" s="63"/>
    </row>
    <row r="14835" spans="9:10" x14ac:dyDescent="0.35">
      <c r="I14835" s="63"/>
      <c r="J14835" s="63"/>
    </row>
    <row r="14836" spans="9:10" x14ac:dyDescent="0.35">
      <c r="I14836" s="63"/>
      <c r="J14836" s="63"/>
    </row>
    <row r="14837" spans="9:10" x14ac:dyDescent="0.35">
      <c r="I14837" s="63"/>
      <c r="J14837" s="63"/>
    </row>
    <row r="14838" spans="9:10" x14ac:dyDescent="0.35">
      <c r="I14838" s="63"/>
      <c r="J14838" s="63"/>
    </row>
    <row r="14839" spans="9:10" x14ac:dyDescent="0.35">
      <c r="I14839" s="63"/>
      <c r="J14839" s="63"/>
    </row>
    <row r="14840" spans="9:10" x14ac:dyDescent="0.35">
      <c r="I14840" s="63"/>
      <c r="J14840" s="63"/>
    </row>
    <row r="14841" spans="9:10" x14ac:dyDescent="0.35">
      <c r="I14841" s="63"/>
      <c r="J14841" s="63"/>
    </row>
    <row r="14842" spans="9:10" x14ac:dyDescent="0.35">
      <c r="I14842" s="63"/>
      <c r="J14842" s="63"/>
    </row>
    <row r="14843" spans="9:10" x14ac:dyDescent="0.35">
      <c r="I14843" s="63"/>
      <c r="J14843" s="63"/>
    </row>
    <row r="14844" spans="9:10" x14ac:dyDescent="0.35">
      <c r="I14844" s="63"/>
      <c r="J14844" s="63"/>
    </row>
    <row r="14845" spans="9:10" x14ac:dyDescent="0.35">
      <c r="I14845" s="63"/>
      <c r="J14845" s="63"/>
    </row>
    <row r="14846" spans="9:10" x14ac:dyDescent="0.35">
      <c r="I14846" s="63"/>
      <c r="J14846" s="63"/>
    </row>
    <row r="14847" spans="9:10" x14ac:dyDescent="0.35">
      <c r="I14847" s="63"/>
      <c r="J14847" s="63"/>
    </row>
    <row r="14848" spans="9:10" x14ac:dyDescent="0.35">
      <c r="I14848" s="63"/>
      <c r="J14848" s="63"/>
    </row>
    <row r="14849" spans="9:10" x14ac:dyDescent="0.35">
      <c r="I14849" s="63"/>
      <c r="J14849" s="63"/>
    </row>
    <row r="14850" spans="9:10" x14ac:dyDescent="0.35">
      <c r="I14850" s="63"/>
      <c r="J14850" s="63"/>
    </row>
    <row r="14851" spans="9:10" x14ac:dyDescent="0.35">
      <c r="I14851" s="63"/>
      <c r="J14851" s="63"/>
    </row>
    <row r="14852" spans="9:10" x14ac:dyDescent="0.35">
      <c r="I14852" s="63"/>
      <c r="J14852" s="63"/>
    </row>
    <row r="14853" spans="9:10" x14ac:dyDescent="0.35">
      <c r="I14853" s="63"/>
      <c r="J14853" s="63"/>
    </row>
    <row r="14854" spans="9:10" x14ac:dyDescent="0.35">
      <c r="I14854" s="63"/>
      <c r="J14854" s="63"/>
    </row>
    <row r="14855" spans="9:10" x14ac:dyDescent="0.35">
      <c r="I14855" s="63"/>
      <c r="J14855" s="63"/>
    </row>
    <row r="14856" spans="9:10" x14ac:dyDescent="0.35">
      <c r="I14856" s="63"/>
      <c r="J14856" s="63"/>
    </row>
    <row r="14857" spans="9:10" x14ac:dyDescent="0.35">
      <c r="I14857" s="63"/>
      <c r="J14857" s="63"/>
    </row>
    <row r="14858" spans="9:10" x14ac:dyDescent="0.35">
      <c r="I14858" s="63"/>
      <c r="J14858" s="63"/>
    </row>
    <row r="14859" spans="9:10" x14ac:dyDescent="0.35">
      <c r="I14859" s="63"/>
      <c r="J14859" s="63"/>
    </row>
    <row r="14860" spans="9:10" x14ac:dyDescent="0.35">
      <c r="I14860" s="63"/>
      <c r="J14860" s="63"/>
    </row>
    <row r="14861" spans="9:10" x14ac:dyDescent="0.35">
      <c r="I14861" s="63"/>
      <c r="J14861" s="63"/>
    </row>
    <row r="14862" spans="9:10" x14ac:dyDescent="0.35">
      <c r="I14862" s="63"/>
      <c r="J14862" s="63"/>
    </row>
    <row r="14863" spans="9:10" x14ac:dyDescent="0.35">
      <c r="I14863" s="63"/>
      <c r="J14863" s="63"/>
    </row>
    <row r="14864" spans="9:10" x14ac:dyDescent="0.35">
      <c r="I14864" s="63"/>
      <c r="J14864" s="63"/>
    </row>
    <row r="14865" spans="9:10" x14ac:dyDescent="0.35">
      <c r="I14865" s="63"/>
      <c r="J14865" s="63"/>
    </row>
    <row r="14866" spans="9:10" x14ac:dyDescent="0.35">
      <c r="I14866" s="63"/>
      <c r="J14866" s="63"/>
    </row>
    <row r="14867" spans="9:10" x14ac:dyDescent="0.35">
      <c r="I14867" s="63"/>
      <c r="J14867" s="63"/>
    </row>
    <row r="14868" spans="9:10" x14ac:dyDescent="0.35">
      <c r="I14868" s="63"/>
      <c r="J14868" s="63"/>
    </row>
    <row r="14869" spans="9:10" x14ac:dyDescent="0.35">
      <c r="I14869" s="63"/>
      <c r="J14869" s="63"/>
    </row>
    <row r="14870" spans="9:10" x14ac:dyDescent="0.35">
      <c r="I14870" s="63"/>
      <c r="J14870" s="63"/>
    </row>
    <row r="14871" spans="9:10" x14ac:dyDescent="0.35">
      <c r="I14871" s="63"/>
      <c r="J14871" s="63"/>
    </row>
    <row r="14872" spans="9:10" x14ac:dyDescent="0.35">
      <c r="I14872" s="63"/>
      <c r="J14872" s="63"/>
    </row>
    <row r="14873" spans="9:10" x14ac:dyDescent="0.35">
      <c r="I14873" s="63"/>
      <c r="J14873" s="63"/>
    </row>
    <row r="14874" spans="9:10" x14ac:dyDescent="0.35">
      <c r="I14874" s="63"/>
      <c r="J14874" s="63"/>
    </row>
    <row r="14875" spans="9:10" x14ac:dyDescent="0.35">
      <c r="I14875" s="63"/>
      <c r="J14875" s="63"/>
    </row>
    <row r="14876" spans="9:10" x14ac:dyDescent="0.35">
      <c r="I14876" s="63"/>
      <c r="J14876" s="63"/>
    </row>
    <row r="14877" spans="9:10" x14ac:dyDescent="0.35">
      <c r="I14877" s="63"/>
      <c r="J14877" s="63"/>
    </row>
    <row r="14878" spans="9:10" x14ac:dyDescent="0.35">
      <c r="I14878" s="63"/>
      <c r="J14878" s="63"/>
    </row>
    <row r="14879" spans="9:10" x14ac:dyDescent="0.35">
      <c r="I14879" s="63"/>
      <c r="J14879" s="63"/>
    </row>
    <row r="14880" spans="9:10" x14ac:dyDescent="0.35">
      <c r="I14880" s="63"/>
      <c r="J14880" s="63"/>
    </row>
    <row r="14881" spans="9:10" x14ac:dyDescent="0.35">
      <c r="I14881" s="63"/>
      <c r="J14881" s="63"/>
    </row>
    <row r="14882" spans="9:10" x14ac:dyDescent="0.35">
      <c r="I14882" s="63"/>
      <c r="J14882" s="63"/>
    </row>
    <row r="14883" spans="9:10" x14ac:dyDescent="0.35">
      <c r="I14883" s="63"/>
      <c r="J14883" s="63"/>
    </row>
    <row r="14884" spans="9:10" x14ac:dyDescent="0.35">
      <c r="I14884" s="63"/>
      <c r="J14884" s="63"/>
    </row>
    <row r="14885" spans="9:10" x14ac:dyDescent="0.35">
      <c r="I14885" s="63"/>
      <c r="J14885" s="63"/>
    </row>
    <row r="14886" spans="9:10" x14ac:dyDescent="0.35">
      <c r="I14886" s="63"/>
      <c r="J14886" s="63"/>
    </row>
    <row r="14887" spans="9:10" x14ac:dyDescent="0.35">
      <c r="I14887" s="63"/>
      <c r="J14887" s="63"/>
    </row>
    <row r="14888" spans="9:10" x14ac:dyDescent="0.35">
      <c r="I14888" s="63"/>
      <c r="J14888" s="63"/>
    </row>
    <row r="14889" spans="9:10" x14ac:dyDescent="0.35">
      <c r="I14889" s="63"/>
      <c r="J14889" s="63"/>
    </row>
    <row r="14890" spans="9:10" x14ac:dyDescent="0.35">
      <c r="I14890" s="63"/>
      <c r="J14890" s="63"/>
    </row>
    <row r="14891" spans="9:10" x14ac:dyDescent="0.35">
      <c r="I14891" s="63"/>
      <c r="J14891" s="63"/>
    </row>
    <row r="14892" spans="9:10" x14ac:dyDescent="0.35">
      <c r="I14892" s="63"/>
      <c r="J14892" s="63"/>
    </row>
    <row r="14893" spans="9:10" x14ac:dyDescent="0.35">
      <c r="I14893" s="63"/>
      <c r="J14893" s="63"/>
    </row>
    <row r="14894" spans="9:10" x14ac:dyDescent="0.35">
      <c r="I14894" s="63"/>
      <c r="J14894" s="63"/>
    </row>
    <row r="14895" spans="9:10" x14ac:dyDescent="0.35">
      <c r="I14895" s="63"/>
      <c r="J14895" s="63"/>
    </row>
    <row r="14896" spans="9:10" x14ac:dyDescent="0.35">
      <c r="I14896" s="63"/>
      <c r="J14896" s="63"/>
    </row>
    <row r="14897" spans="9:10" x14ac:dyDescent="0.35">
      <c r="I14897" s="63"/>
      <c r="J14897" s="63"/>
    </row>
    <row r="14898" spans="9:10" x14ac:dyDescent="0.35">
      <c r="I14898" s="63"/>
      <c r="J14898" s="63"/>
    </row>
    <row r="14899" spans="9:10" x14ac:dyDescent="0.35">
      <c r="I14899" s="63"/>
      <c r="J14899" s="63"/>
    </row>
    <row r="14900" spans="9:10" x14ac:dyDescent="0.35">
      <c r="I14900" s="63"/>
      <c r="J14900" s="63"/>
    </row>
    <row r="14901" spans="9:10" x14ac:dyDescent="0.35">
      <c r="I14901" s="63"/>
      <c r="J14901" s="63"/>
    </row>
    <row r="14902" spans="9:10" x14ac:dyDescent="0.35">
      <c r="I14902" s="63"/>
      <c r="J14902" s="63"/>
    </row>
    <row r="14903" spans="9:10" x14ac:dyDescent="0.35">
      <c r="I14903" s="63"/>
      <c r="J14903" s="63"/>
    </row>
    <row r="14904" spans="9:10" x14ac:dyDescent="0.35">
      <c r="I14904" s="63"/>
      <c r="J14904" s="63"/>
    </row>
    <row r="14905" spans="9:10" x14ac:dyDescent="0.35">
      <c r="I14905" s="63"/>
      <c r="J14905" s="63"/>
    </row>
    <row r="14906" spans="9:10" x14ac:dyDescent="0.35">
      <c r="I14906" s="63"/>
      <c r="J14906" s="63"/>
    </row>
    <row r="14907" spans="9:10" x14ac:dyDescent="0.35">
      <c r="I14907" s="63"/>
      <c r="J14907" s="63"/>
    </row>
    <row r="14908" spans="9:10" x14ac:dyDescent="0.35">
      <c r="I14908" s="63"/>
      <c r="J14908" s="63"/>
    </row>
    <row r="14909" spans="9:10" x14ac:dyDescent="0.35">
      <c r="I14909" s="63"/>
      <c r="J14909" s="63"/>
    </row>
    <row r="14910" spans="9:10" x14ac:dyDescent="0.35">
      <c r="I14910" s="63"/>
      <c r="J14910" s="63"/>
    </row>
    <row r="14911" spans="9:10" x14ac:dyDescent="0.35">
      <c r="I14911" s="63"/>
      <c r="J14911" s="63"/>
    </row>
    <row r="14912" spans="9:10" x14ac:dyDescent="0.35">
      <c r="I14912" s="63"/>
      <c r="J14912" s="63"/>
    </row>
    <row r="14913" spans="9:10" x14ac:dyDescent="0.35">
      <c r="I14913" s="63"/>
      <c r="J14913" s="63"/>
    </row>
    <row r="14914" spans="9:10" x14ac:dyDescent="0.35">
      <c r="I14914" s="63"/>
      <c r="J14914" s="63"/>
    </row>
    <row r="14915" spans="9:10" x14ac:dyDescent="0.35">
      <c r="I14915" s="63"/>
      <c r="J14915" s="63"/>
    </row>
    <row r="14916" spans="9:10" x14ac:dyDescent="0.35">
      <c r="I14916" s="63"/>
      <c r="J14916" s="63"/>
    </row>
    <row r="14917" spans="9:10" x14ac:dyDescent="0.35">
      <c r="I14917" s="63"/>
      <c r="J14917" s="63"/>
    </row>
    <row r="14918" spans="9:10" x14ac:dyDescent="0.35">
      <c r="I14918" s="63"/>
      <c r="J14918" s="63"/>
    </row>
    <row r="14919" spans="9:10" x14ac:dyDescent="0.35">
      <c r="I14919" s="63"/>
      <c r="J14919" s="63"/>
    </row>
    <row r="14920" spans="9:10" x14ac:dyDescent="0.35">
      <c r="I14920" s="63"/>
      <c r="J14920" s="63"/>
    </row>
    <row r="14921" spans="9:10" x14ac:dyDescent="0.35">
      <c r="I14921" s="63"/>
      <c r="J14921" s="63"/>
    </row>
    <row r="14922" spans="9:10" x14ac:dyDescent="0.35">
      <c r="I14922" s="63"/>
      <c r="J14922" s="63"/>
    </row>
    <row r="14923" spans="9:10" x14ac:dyDescent="0.35">
      <c r="I14923" s="63"/>
      <c r="J14923" s="63"/>
    </row>
    <row r="14924" spans="9:10" x14ac:dyDescent="0.35">
      <c r="I14924" s="63"/>
      <c r="J14924" s="63"/>
    </row>
    <row r="14925" spans="9:10" x14ac:dyDescent="0.35">
      <c r="I14925" s="63"/>
      <c r="J14925" s="63"/>
    </row>
    <row r="14926" spans="9:10" x14ac:dyDescent="0.35">
      <c r="I14926" s="63"/>
      <c r="J14926" s="63"/>
    </row>
    <row r="14927" spans="9:10" x14ac:dyDescent="0.35">
      <c r="I14927" s="63"/>
      <c r="J14927" s="63"/>
    </row>
    <row r="14928" spans="9:10" x14ac:dyDescent="0.35">
      <c r="I14928" s="63"/>
      <c r="J14928" s="63"/>
    </row>
    <row r="14929" spans="9:10" x14ac:dyDescent="0.35">
      <c r="I14929" s="63"/>
      <c r="J14929" s="63"/>
    </row>
    <row r="14930" spans="9:10" x14ac:dyDescent="0.35">
      <c r="I14930" s="63"/>
      <c r="J14930" s="63"/>
    </row>
    <row r="14931" spans="9:10" x14ac:dyDescent="0.35">
      <c r="I14931" s="63"/>
      <c r="J14931" s="63"/>
    </row>
    <row r="14932" spans="9:10" x14ac:dyDescent="0.35">
      <c r="I14932" s="63"/>
      <c r="J14932" s="63"/>
    </row>
    <row r="14933" spans="9:10" x14ac:dyDescent="0.35">
      <c r="I14933" s="63"/>
      <c r="J14933" s="63"/>
    </row>
    <row r="14934" spans="9:10" x14ac:dyDescent="0.35">
      <c r="I14934" s="63"/>
      <c r="J14934" s="63"/>
    </row>
    <row r="14935" spans="9:10" x14ac:dyDescent="0.35">
      <c r="I14935" s="63"/>
      <c r="J14935" s="63"/>
    </row>
    <row r="14936" spans="9:10" x14ac:dyDescent="0.35">
      <c r="I14936" s="63"/>
      <c r="J14936" s="63"/>
    </row>
    <row r="14937" spans="9:10" x14ac:dyDescent="0.35">
      <c r="I14937" s="63"/>
      <c r="J14937" s="63"/>
    </row>
    <row r="14938" spans="9:10" x14ac:dyDescent="0.35">
      <c r="I14938" s="63"/>
      <c r="J14938" s="63"/>
    </row>
    <row r="14939" spans="9:10" x14ac:dyDescent="0.35">
      <c r="I14939" s="63"/>
      <c r="J14939" s="63"/>
    </row>
    <row r="14940" spans="9:10" x14ac:dyDescent="0.35">
      <c r="I14940" s="63"/>
      <c r="J14940" s="63"/>
    </row>
    <row r="14941" spans="9:10" x14ac:dyDescent="0.35">
      <c r="I14941" s="63"/>
      <c r="J14941" s="63"/>
    </row>
    <row r="14942" spans="9:10" x14ac:dyDescent="0.35">
      <c r="I14942" s="63"/>
      <c r="J14942" s="63"/>
    </row>
    <row r="14943" spans="9:10" x14ac:dyDescent="0.35">
      <c r="I14943" s="63"/>
      <c r="J14943" s="63"/>
    </row>
    <row r="14944" spans="9:10" x14ac:dyDescent="0.35">
      <c r="I14944" s="63"/>
      <c r="J14944" s="63"/>
    </row>
    <row r="14945" spans="9:10" x14ac:dyDescent="0.35">
      <c r="I14945" s="63"/>
      <c r="J14945" s="63"/>
    </row>
    <row r="14946" spans="9:10" x14ac:dyDescent="0.35">
      <c r="I14946" s="63"/>
      <c r="J14946" s="63"/>
    </row>
    <row r="14947" spans="9:10" x14ac:dyDescent="0.35">
      <c r="I14947" s="63"/>
      <c r="J14947" s="63"/>
    </row>
    <row r="14948" spans="9:10" x14ac:dyDescent="0.35">
      <c r="I14948" s="63"/>
      <c r="J14948" s="63"/>
    </row>
    <row r="14949" spans="9:10" x14ac:dyDescent="0.35">
      <c r="I14949" s="63"/>
      <c r="J14949" s="63"/>
    </row>
    <row r="14950" spans="9:10" x14ac:dyDescent="0.35">
      <c r="I14950" s="63"/>
      <c r="J14950" s="63"/>
    </row>
    <row r="14951" spans="9:10" x14ac:dyDescent="0.35">
      <c r="I14951" s="63"/>
      <c r="J14951" s="63"/>
    </row>
    <row r="14952" spans="9:10" x14ac:dyDescent="0.35">
      <c r="I14952" s="63"/>
      <c r="J14952" s="63"/>
    </row>
    <row r="14953" spans="9:10" x14ac:dyDescent="0.35">
      <c r="I14953" s="63"/>
      <c r="J14953" s="63"/>
    </row>
    <row r="14954" spans="9:10" x14ac:dyDescent="0.35">
      <c r="I14954" s="63"/>
      <c r="J14954" s="63"/>
    </row>
    <row r="14955" spans="9:10" x14ac:dyDescent="0.35">
      <c r="I14955" s="63"/>
      <c r="J14955" s="63"/>
    </row>
    <row r="14956" spans="9:10" x14ac:dyDescent="0.35">
      <c r="I14956" s="63"/>
      <c r="J14956" s="63"/>
    </row>
    <row r="14957" spans="9:10" x14ac:dyDescent="0.35">
      <c r="I14957" s="63"/>
      <c r="J14957" s="63"/>
    </row>
    <row r="14958" spans="9:10" x14ac:dyDescent="0.35">
      <c r="I14958" s="63"/>
      <c r="J14958" s="63"/>
    </row>
    <row r="14959" spans="9:10" x14ac:dyDescent="0.35">
      <c r="I14959" s="63"/>
      <c r="J14959" s="63"/>
    </row>
    <row r="14960" spans="9:10" x14ac:dyDescent="0.35">
      <c r="I14960" s="63"/>
      <c r="J14960" s="63"/>
    </row>
    <row r="14961" spans="9:10" x14ac:dyDescent="0.35">
      <c r="I14961" s="63"/>
      <c r="J14961" s="63"/>
    </row>
    <row r="14962" spans="9:10" x14ac:dyDescent="0.35">
      <c r="I14962" s="63"/>
      <c r="J14962" s="63"/>
    </row>
    <row r="14963" spans="9:10" x14ac:dyDescent="0.35">
      <c r="I14963" s="63"/>
      <c r="J14963" s="63"/>
    </row>
    <row r="14964" spans="9:10" x14ac:dyDescent="0.35">
      <c r="I14964" s="63"/>
      <c r="J14964" s="63"/>
    </row>
    <row r="14965" spans="9:10" x14ac:dyDescent="0.35">
      <c r="I14965" s="63"/>
      <c r="J14965" s="63"/>
    </row>
    <row r="14966" spans="9:10" x14ac:dyDescent="0.35">
      <c r="I14966" s="63"/>
      <c r="J14966" s="63"/>
    </row>
    <row r="14967" spans="9:10" x14ac:dyDescent="0.35">
      <c r="I14967" s="63"/>
      <c r="J14967" s="63"/>
    </row>
    <row r="14968" spans="9:10" x14ac:dyDescent="0.35">
      <c r="I14968" s="63"/>
      <c r="J14968" s="63"/>
    </row>
    <row r="14969" spans="9:10" x14ac:dyDescent="0.35">
      <c r="I14969" s="63"/>
      <c r="J14969" s="63"/>
    </row>
    <row r="14970" spans="9:10" x14ac:dyDescent="0.35">
      <c r="I14970" s="63"/>
      <c r="J14970" s="63"/>
    </row>
    <row r="14971" spans="9:10" x14ac:dyDescent="0.35">
      <c r="I14971" s="63"/>
      <c r="J14971" s="63"/>
    </row>
    <row r="14972" spans="9:10" x14ac:dyDescent="0.35">
      <c r="I14972" s="63"/>
      <c r="J14972" s="63"/>
    </row>
    <row r="14973" spans="9:10" x14ac:dyDescent="0.35">
      <c r="I14973" s="63"/>
      <c r="J14973" s="63"/>
    </row>
    <row r="14974" spans="9:10" x14ac:dyDescent="0.35">
      <c r="I14974" s="63"/>
      <c r="J14974" s="63"/>
    </row>
    <row r="14975" spans="9:10" x14ac:dyDescent="0.35">
      <c r="I14975" s="63"/>
      <c r="J14975" s="63"/>
    </row>
    <row r="14976" spans="9:10" x14ac:dyDescent="0.35">
      <c r="I14976" s="63"/>
      <c r="J14976" s="63"/>
    </row>
    <row r="14977" spans="9:10" x14ac:dyDescent="0.35">
      <c r="I14977" s="63"/>
      <c r="J14977" s="63"/>
    </row>
    <row r="14978" spans="9:10" x14ac:dyDescent="0.35">
      <c r="I14978" s="63"/>
      <c r="J14978" s="63"/>
    </row>
    <row r="14979" spans="9:10" x14ac:dyDescent="0.35">
      <c r="I14979" s="63"/>
      <c r="J14979" s="63"/>
    </row>
    <row r="14980" spans="9:10" x14ac:dyDescent="0.35">
      <c r="I14980" s="63"/>
      <c r="J14980" s="63"/>
    </row>
    <row r="14981" spans="9:10" x14ac:dyDescent="0.35">
      <c r="I14981" s="63"/>
      <c r="J14981" s="63"/>
    </row>
    <row r="14982" spans="9:10" x14ac:dyDescent="0.35">
      <c r="I14982" s="63"/>
      <c r="J14982" s="63"/>
    </row>
    <row r="14983" spans="9:10" x14ac:dyDescent="0.35">
      <c r="I14983" s="63"/>
      <c r="J14983" s="63"/>
    </row>
    <row r="14984" spans="9:10" x14ac:dyDescent="0.35">
      <c r="I14984" s="63"/>
      <c r="J14984" s="63"/>
    </row>
    <row r="14985" spans="9:10" x14ac:dyDescent="0.35">
      <c r="I14985" s="63"/>
      <c r="J14985" s="63"/>
    </row>
    <row r="14986" spans="9:10" x14ac:dyDescent="0.35">
      <c r="I14986" s="63"/>
      <c r="J14986" s="63"/>
    </row>
    <row r="14987" spans="9:10" x14ac:dyDescent="0.35">
      <c r="I14987" s="63"/>
      <c r="J14987" s="63"/>
    </row>
    <row r="14988" spans="9:10" x14ac:dyDescent="0.35">
      <c r="I14988" s="63"/>
      <c r="J14988" s="63"/>
    </row>
    <row r="14989" spans="9:10" x14ac:dyDescent="0.35">
      <c r="I14989" s="63"/>
      <c r="J14989" s="63"/>
    </row>
    <row r="14990" spans="9:10" x14ac:dyDescent="0.35">
      <c r="I14990" s="63"/>
      <c r="J14990" s="63"/>
    </row>
    <row r="14991" spans="9:10" x14ac:dyDescent="0.35">
      <c r="I14991" s="63"/>
      <c r="J14991" s="63"/>
    </row>
    <row r="14992" spans="9:10" x14ac:dyDescent="0.35">
      <c r="I14992" s="63"/>
      <c r="J14992" s="63"/>
    </row>
    <row r="14993" spans="9:10" x14ac:dyDescent="0.35">
      <c r="I14993" s="63"/>
      <c r="J14993" s="63"/>
    </row>
    <row r="14994" spans="9:10" x14ac:dyDescent="0.35">
      <c r="I14994" s="63"/>
      <c r="J14994" s="63"/>
    </row>
    <row r="14995" spans="9:10" x14ac:dyDescent="0.35">
      <c r="I14995" s="63"/>
      <c r="J14995" s="63"/>
    </row>
    <row r="14996" spans="9:10" x14ac:dyDescent="0.35">
      <c r="I14996" s="63"/>
      <c r="J14996" s="63"/>
    </row>
    <row r="14997" spans="9:10" x14ac:dyDescent="0.35">
      <c r="I14997" s="63"/>
      <c r="J14997" s="63"/>
    </row>
    <row r="14998" spans="9:10" x14ac:dyDescent="0.35">
      <c r="I14998" s="63"/>
      <c r="J14998" s="63"/>
    </row>
    <row r="14999" spans="9:10" x14ac:dyDescent="0.35">
      <c r="I14999" s="63"/>
      <c r="J14999" s="63"/>
    </row>
    <row r="15000" spans="9:10" x14ac:dyDescent="0.35">
      <c r="I15000" s="63"/>
      <c r="J15000" s="63"/>
    </row>
    <row r="15001" spans="9:10" x14ac:dyDescent="0.35">
      <c r="I15001" s="63"/>
      <c r="J15001" s="63"/>
    </row>
    <row r="15002" spans="9:10" x14ac:dyDescent="0.35">
      <c r="I15002" s="63"/>
      <c r="J15002" s="63"/>
    </row>
    <row r="15003" spans="9:10" x14ac:dyDescent="0.35">
      <c r="I15003" s="63"/>
      <c r="J15003" s="63"/>
    </row>
    <row r="15004" spans="9:10" x14ac:dyDescent="0.35">
      <c r="I15004" s="63"/>
      <c r="J15004" s="63"/>
    </row>
    <row r="15005" spans="9:10" x14ac:dyDescent="0.35">
      <c r="I15005" s="63"/>
      <c r="J15005" s="63"/>
    </row>
    <row r="15006" spans="9:10" x14ac:dyDescent="0.35">
      <c r="I15006" s="63"/>
      <c r="J15006" s="63"/>
    </row>
    <row r="15007" spans="9:10" x14ac:dyDescent="0.35">
      <c r="I15007" s="63"/>
      <c r="J15007" s="63"/>
    </row>
    <row r="15008" spans="9:10" x14ac:dyDescent="0.35">
      <c r="I15008" s="63"/>
      <c r="J15008" s="63"/>
    </row>
    <row r="15009" spans="9:10" x14ac:dyDescent="0.35">
      <c r="I15009" s="63"/>
      <c r="J15009" s="63"/>
    </row>
    <row r="15010" spans="9:10" x14ac:dyDescent="0.35">
      <c r="I15010" s="63"/>
      <c r="J15010" s="63"/>
    </row>
    <row r="15011" spans="9:10" x14ac:dyDescent="0.35">
      <c r="I15011" s="63"/>
      <c r="J15011" s="63"/>
    </row>
    <row r="15012" spans="9:10" x14ac:dyDescent="0.35">
      <c r="I15012" s="63"/>
      <c r="J15012" s="63"/>
    </row>
    <row r="15013" spans="9:10" x14ac:dyDescent="0.35">
      <c r="I15013" s="63"/>
      <c r="J15013" s="63"/>
    </row>
    <row r="15014" spans="9:10" x14ac:dyDescent="0.35">
      <c r="I15014" s="63"/>
      <c r="J15014" s="63"/>
    </row>
    <row r="15015" spans="9:10" x14ac:dyDescent="0.35">
      <c r="I15015" s="63"/>
      <c r="J15015" s="63"/>
    </row>
    <row r="15016" spans="9:10" x14ac:dyDescent="0.35">
      <c r="I15016" s="63"/>
      <c r="J15016" s="63"/>
    </row>
    <row r="15017" spans="9:10" x14ac:dyDescent="0.35">
      <c r="I15017" s="63"/>
      <c r="J15017" s="63"/>
    </row>
    <row r="15018" spans="9:10" x14ac:dyDescent="0.35">
      <c r="I15018" s="63"/>
      <c r="J15018" s="63"/>
    </row>
    <row r="15019" spans="9:10" x14ac:dyDescent="0.35">
      <c r="I15019" s="63"/>
      <c r="J15019" s="63"/>
    </row>
    <row r="15020" spans="9:10" x14ac:dyDescent="0.35">
      <c r="I15020" s="63"/>
      <c r="J15020" s="63"/>
    </row>
    <row r="15021" spans="9:10" x14ac:dyDescent="0.35">
      <c r="I15021" s="63"/>
      <c r="J15021" s="63"/>
    </row>
    <row r="15022" spans="9:10" x14ac:dyDescent="0.35">
      <c r="I15022" s="63"/>
      <c r="J15022" s="63"/>
    </row>
    <row r="15023" spans="9:10" x14ac:dyDescent="0.35">
      <c r="I15023" s="63"/>
      <c r="J15023" s="63"/>
    </row>
    <row r="15024" spans="9:10" x14ac:dyDescent="0.35">
      <c r="I15024" s="63"/>
      <c r="J15024" s="63"/>
    </row>
    <row r="15025" spans="9:10" x14ac:dyDescent="0.35">
      <c r="I15025" s="63"/>
      <c r="J15025" s="63"/>
    </row>
    <row r="15026" spans="9:10" x14ac:dyDescent="0.35">
      <c r="I15026" s="63"/>
      <c r="J15026" s="63"/>
    </row>
    <row r="15027" spans="9:10" x14ac:dyDescent="0.35">
      <c r="I15027" s="63"/>
      <c r="J15027" s="63"/>
    </row>
    <row r="15028" spans="9:10" x14ac:dyDescent="0.35">
      <c r="I15028" s="63"/>
      <c r="J15028" s="63"/>
    </row>
    <row r="15029" spans="9:10" x14ac:dyDescent="0.35">
      <c r="I15029" s="63"/>
      <c r="J15029" s="63"/>
    </row>
    <row r="15030" spans="9:10" x14ac:dyDescent="0.35">
      <c r="I15030" s="63"/>
      <c r="J15030" s="63"/>
    </row>
    <row r="15031" spans="9:10" x14ac:dyDescent="0.35">
      <c r="I15031" s="63"/>
      <c r="J15031" s="63"/>
    </row>
    <row r="15032" spans="9:10" x14ac:dyDescent="0.35">
      <c r="I15032" s="63"/>
      <c r="J15032" s="63"/>
    </row>
    <row r="15033" spans="9:10" x14ac:dyDescent="0.35">
      <c r="I15033" s="63"/>
      <c r="J15033" s="63"/>
    </row>
    <row r="15034" spans="9:10" x14ac:dyDescent="0.35">
      <c r="I15034" s="63"/>
      <c r="J15034" s="63"/>
    </row>
    <row r="15035" spans="9:10" x14ac:dyDescent="0.35">
      <c r="I15035" s="63"/>
      <c r="J15035" s="63"/>
    </row>
    <row r="15036" spans="9:10" x14ac:dyDescent="0.35">
      <c r="I15036" s="63"/>
      <c r="J15036" s="63"/>
    </row>
    <row r="15037" spans="9:10" x14ac:dyDescent="0.35">
      <c r="I15037" s="63"/>
      <c r="J15037" s="63"/>
    </row>
    <row r="15038" spans="9:10" x14ac:dyDescent="0.35">
      <c r="I15038" s="63"/>
      <c r="J15038" s="63"/>
    </row>
    <row r="15039" spans="9:10" x14ac:dyDescent="0.35">
      <c r="I15039" s="63"/>
      <c r="J15039" s="63"/>
    </row>
    <row r="15040" spans="9:10" x14ac:dyDescent="0.35">
      <c r="I15040" s="63"/>
      <c r="J15040" s="63"/>
    </row>
    <row r="15041" spans="9:10" x14ac:dyDescent="0.35">
      <c r="I15041" s="63"/>
      <c r="J15041" s="63"/>
    </row>
    <row r="15042" spans="9:10" x14ac:dyDescent="0.35">
      <c r="I15042" s="63"/>
      <c r="J15042" s="63"/>
    </row>
    <row r="15043" spans="9:10" x14ac:dyDescent="0.35">
      <c r="I15043" s="63"/>
      <c r="J15043" s="63"/>
    </row>
    <row r="15044" spans="9:10" x14ac:dyDescent="0.35">
      <c r="I15044" s="63"/>
      <c r="J15044" s="63"/>
    </row>
    <row r="15045" spans="9:10" x14ac:dyDescent="0.35">
      <c r="I15045" s="63"/>
      <c r="J15045" s="63"/>
    </row>
    <row r="15046" spans="9:10" x14ac:dyDescent="0.35">
      <c r="I15046" s="63"/>
      <c r="J15046" s="63"/>
    </row>
    <row r="15047" spans="9:10" x14ac:dyDescent="0.35">
      <c r="I15047" s="63"/>
      <c r="J15047" s="63"/>
    </row>
    <row r="15048" spans="9:10" x14ac:dyDescent="0.35">
      <c r="I15048" s="63"/>
      <c r="J15048" s="63"/>
    </row>
    <row r="15049" spans="9:10" x14ac:dyDescent="0.35">
      <c r="I15049" s="63"/>
      <c r="J15049" s="63"/>
    </row>
    <row r="15050" spans="9:10" x14ac:dyDescent="0.35">
      <c r="I15050" s="63"/>
      <c r="J15050" s="63"/>
    </row>
    <row r="15051" spans="9:10" x14ac:dyDescent="0.35">
      <c r="I15051" s="63"/>
      <c r="J15051" s="63"/>
    </row>
    <row r="15052" spans="9:10" x14ac:dyDescent="0.35">
      <c r="I15052" s="63"/>
      <c r="J15052" s="63"/>
    </row>
    <row r="15053" spans="9:10" x14ac:dyDescent="0.35">
      <c r="I15053" s="63"/>
      <c r="J15053" s="63"/>
    </row>
    <row r="15054" spans="9:10" x14ac:dyDescent="0.35">
      <c r="I15054" s="63"/>
      <c r="J15054" s="63"/>
    </row>
    <row r="15055" spans="9:10" x14ac:dyDescent="0.35">
      <c r="I15055" s="63"/>
      <c r="J15055" s="63"/>
    </row>
    <row r="15056" spans="9:10" x14ac:dyDescent="0.35">
      <c r="I15056" s="63"/>
      <c r="J15056" s="63"/>
    </row>
    <row r="15057" spans="9:10" x14ac:dyDescent="0.35">
      <c r="I15057" s="63"/>
      <c r="J15057" s="63"/>
    </row>
    <row r="15058" spans="9:10" x14ac:dyDescent="0.35">
      <c r="I15058" s="63"/>
      <c r="J15058" s="63"/>
    </row>
    <row r="15059" spans="9:10" x14ac:dyDescent="0.35">
      <c r="I15059" s="63"/>
      <c r="J15059" s="63"/>
    </row>
    <row r="15060" spans="9:10" x14ac:dyDescent="0.35">
      <c r="I15060" s="63"/>
      <c r="J15060" s="63"/>
    </row>
    <row r="15061" spans="9:10" x14ac:dyDescent="0.35">
      <c r="I15061" s="63"/>
      <c r="J15061" s="63"/>
    </row>
    <row r="15062" spans="9:10" x14ac:dyDescent="0.35">
      <c r="I15062" s="63"/>
      <c r="J15062" s="63"/>
    </row>
    <row r="15063" spans="9:10" x14ac:dyDescent="0.35">
      <c r="I15063" s="63"/>
      <c r="J15063" s="63"/>
    </row>
    <row r="15064" spans="9:10" x14ac:dyDescent="0.35">
      <c r="I15064" s="63"/>
      <c r="J15064" s="63"/>
    </row>
    <row r="15065" spans="9:10" x14ac:dyDescent="0.35">
      <c r="I15065" s="63"/>
      <c r="J15065" s="63"/>
    </row>
    <row r="15066" spans="9:10" x14ac:dyDescent="0.35">
      <c r="I15066" s="63"/>
      <c r="J15066" s="63"/>
    </row>
    <row r="15067" spans="9:10" x14ac:dyDescent="0.35">
      <c r="I15067" s="63"/>
      <c r="J15067" s="63"/>
    </row>
    <row r="15068" spans="9:10" x14ac:dyDescent="0.35">
      <c r="I15068" s="63"/>
      <c r="J15068" s="63"/>
    </row>
    <row r="15069" spans="9:10" x14ac:dyDescent="0.35">
      <c r="I15069" s="63"/>
      <c r="J15069" s="63"/>
    </row>
    <row r="15070" spans="9:10" x14ac:dyDescent="0.35">
      <c r="I15070" s="63"/>
      <c r="J15070" s="63"/>
    </row>
    <row r="15071" spans="9:10" x14ac:dyDescent="0.35">
      <c r="I15071" s="63"/>
      <c r="J15071" s="63"/>
    </row>
    <row r="15072" spans="9:10" x14ac:dyDescent="0.35">
      <c r="I15072" s="63"/>
      <c r="J15072" s="63"/>
    </row>
    <row r="15073" spans="9:10" x14ac:dyDescent="0.35">
      <c r="I15073" s="63"/>
      <c r="J15073" s="63"/>
    </row>
    <row r="15074" spans="9:10" x14ac:dyDescent="0.35">
      <c r="I15074" s="63"/>
      <c r="J15074" s="63"/>
    </row>
    <row r="15075" spans="9:10" x14ac:dyDescent="0.35">
      <c r="I15075" s="63"/>
      <c r="J15075" s="63"/>
    </row>
    <row r="15076" spans="9:10" x14ac:dyDescent="0.35">
      <c r="I15076" s="63"/>
      <c r="J15076" s="63"/>
    </row>
    <row r="15077" spans="9:10" x14ac:dyDescent="0.35">
      <c r="I15077" s="63"/>
      <c r="J15077" s="63"/>
    </row>
    <row r="15078" spans="9:10" x14ac:dyDescent="0.35">
      <c r="I15078" s="63"/>
      <c r="J15078" s="63"/>
    </row>
    <row r="15079" spans="9:10" x14ac:dyDescent="0.35">
      <c r="I15079" s="63"/>
      <c r="J15079" s="63"/>
    </row>
    <row r="15080" spans="9:10" x14ac:dyDescent="0.35">
      <c r="I15080" s="63"/>
      <c r="J15080" s="63"/>
    </row>
    <row r="15081" spans="9:10" x14ac:dyDescent="0.35">
      <c r="I15081" s="63"/>
      <c r="J15081" s="63"/>
    </row>
    <row r="15082" spans="9:10" x14ac:dyDescent="0.35">
      <c r="I15082" s="63"/>
      <c r="J15082" s="63"/>
    </row>
    <row r="15083" spans="9:10" x14ac:dyDescent="0.35">
      <c r="I15083" s="63"/>
      <c r="J15083" s="63"/>
    </row>
    <row r="15084" spans="9:10" x14ac:dyDescent="0.35">
      <c r="I15084" s="63"/>
      <c r="J15084" s="63"/>
    </row>
    <row r="15085" spans="9:10" x14ac:dyDescent="0.35">
      <c r="I15085" s="63"/>
      <c r="J15085" s="63"/>
    </row>
    <row r="15086" spans="9:10" x14ac:dyDescent="0.35">
      <c r="I15086" s="63"/>
      <c r="J15086" s="63"/>
    </row>
    <row r="15087" spans="9:10" x14ac:dyDescent="0.35">
      <c r="I15087" s="63"/>
      <c r="J15087" s="63"/>
    </row>
    <row r="15088" spans="9:10" x14ac:dyDescent="0.35">
      <c r="I15088" s="63"/>
      <c r="J15088" s="63"/>
    </row>
    <row r="15089" spans="9:10" x14ac:dyDescent="0.35">
      <c r="I15089" s="63"/>
      <c r="J15089" s="63"/>
    </row>
    <row r="15090" spans="9:10" x14ac:dyDescent="0.35">
      <c r="I15090" s="63"/>
      <c r="J15090" s="63"/>
    </row>
    <row r="15091" spans="9:10" x14ac:dyDescent="0.35">
      <c r="I15091" s="63"/>
      <c r="J15091" s="63"/>
    </row>
    <row r="15092" spans="9:10" x14ac:dyDescent="0.35">
      <c r="I15092" s="63"/>
      <c r="J15092" s="63"/>
    </row>
    <row r="15093" spans="9:10" x14ac:dyDescent="0.35">
      <c r="I15093" s="63"/>
      <c r="J15093" s="63"/>
    </row>
    <row r="15094" spans="9:10" x14ac:dyDescent="0.35">
      <c r="I15094" s="63"/>
      <c r="J15094" s="63"/>
    </row>
    <row r="15095" spans="9:10" x14ac:dyDescent="0.35">
      <c r="I15095" s="63"/>
      <c r="J15095" s="63"/>
    </row>
    <row r="15096" spans="9:10" x14ac:dyDescent="0.35">
      <c r="I15096" s="63"/>
      <c r="J15096" s="63"/>
    </row>
    <row r="15097" spans="9:10" x14ac:dyDescent="0.35">
      <c r="I15097" s="63"/>
      <c r="J15097" s="63"/>
    </row>
    <row r="15098" spans="9:10" x14ac:dyDescent="0.35">
      <c r="I15098" s="63"/>
      <c r="J15098" s="63"/>
    </row>
    <row r="15099" spans="9:10" x14ac:dyDescent="0.35">
      <c r="I15099" s="63"/>
      <c r="J15099" s="63"/>
    </row>
    <row r="15100" spans="9:10" x14ac:dyDescent="0.35">
      <c r="I15100" s="63"/>
      <c r="J15100" s="63"/>
    </row>
    <row r="15101" spans="9:10" x14ac:dyDescent="0.35">
      <c r="I15101" s="63"/>
      <c r="J15101" s="63"/>
    </row>
    <row r="15102" spans="9:10" x14ac:dyDescent="0.35">
      <c r="I15102" s="63"/>
      <c r="J15102" s="63"/>
    </row>
    <row r="15103" spans="9:10" x14ac:dyDescent="0.35">
      <c r="I15103" s="63"/>
      <c r="J15103" s="63"/>
    </row>
    <row r="15104" spans="9:10" x14ac:dyDescent="0.35">
      <c r="I15104" s="63"/>
      <c r="J15104" s="63"/>
    </row>
    <row r="15105" spans="9:10" x14ac:dyDescent="0.35">
      <c r="I15105" s="63"/>
      <c r="J15105" s="63"/>
    </row>
    <row r="15106" spans="9:10" x14ac:dyDescent="0.35">
      <c r="I15106" s="63"/>
      <c r="J15106" s="63"/>
    </row>
    <row r="15107" spans="9:10" x14ac:dyDescent="0.35">
      <c r="I15107" s="63"/>
      <c r="J15107" s="63"/>
    </row>
    <row r="15108" spans="9:10" x14ac:dyDescent="0.35">
      <c r="I15108" s="63"/>
      <c r="J15108" s="63"/>
    </row>
    <row r="15109" spans="9:10" x14ac:dyDescent="0.35">
      <c r="I15109" s="63"/>
      <c r="J15109" s="63"/>
    </row>
    <row r="15110" spans="9:10" x14ac:dyDescent="0.35">
      <c r="I15110" s="63"/>
      <c r="J15110" s="63"/>
    </row>
    <row r="15111" spans="9:10" x14ac:dyDescent="0.35">
      <c r="I15111" s="63"/>
      <c r="J15111" s="63"/>
    </row>
    <row r="15112" spans="9:10" x14ac:dyDescent="0.35">
      <c r="I15112" s="63"/>
      <c r="J15112" s="63"/>
    </row>
    <row r="15113" spans="9:10" x14ac:dyDescent="0.35">
      <c r="I15113" s="63"/>
      <c r="J15113" s="63"/>
    </row>
    <row r="15114" spans="9:10" x14ac:dyDescent="0.35">
      <c r="I15114" s="63"/>
      <c r="J15114" s="63"/>
    </row>
    <row r="15115" spans="9:10" x14ac:dyDescent="0.35">
      <c r="I15115" s="63"/>
      <c r="J15115" s="63"/>
    </row>
    <row r="15116" spans="9:10" x14ac:dyDescent="0.35">
      <c r="I15116" s="63"/>
      <c r="J15116" s="63"/>
    </row>
    <row r="15117" spans="9:10" x14ac:dyDescent="0.35">
      <c r="I15117" s="63"/>
      <c r="J15117" s="63"/>
    </row>
    <row r="15118" spans="9:10" x14ac:dyDescent="0.35">
      <c r="I15118" s="63"/>
      <c r="J15118" s="63"/>
    </row>
    <row r="15119" spans="9:10" x14ac:dyDescent="0.35">
      <c r="I15119" s="63"/>
      <c r="J15119" s="63"/>
    </row>
    <row r="15120" spans="9:10" x14ac:dyDescent="0.35">
      <c r="I15120" s="63"/>
      <c r="J15120" s="63"/>
    </row>
    <row r="15121" spans="9:10" x14ac:dyDescent="0.35">
      <c r="I15121" s="63"/>
      <c r="J15121" s="63"/>
    </row>
    <row r="15122" spans="9:10" x14ac:dyDescent="0.35">
      <c r="I15122" s="63"/>
      <c r="J15122" s="63"/>
    </row>
    <row r="15123" spans="9:10" x14ac:dyDescent="0.35">
      <c r="I15123" s="63"/>
      <c r="J15123" s="63"/>
    </row>
    <row r="15124" spans="9:10" x14ac:dyDescent="0.35">
      <c r="I15124" s="63"/>
      <c r="J15124" s="63"/>
    </row>
    <row r="15125" spans="9:10" x14ac:dyDescent="0.35">
      <c r="I15125" s="63"/>
      <c r="J15125" s="63"/>
    </row>
    <row r="15126" spans="9:10" x14ac:dyDescent="0.35">
      <c r="I15126" s="63"/>
      <c r="J15126" s="63"/>
    </row>
    <row r="15127" spans="9:10" x14ac:dyDescent="0.35">
      <c r="I15127" s="63"/>
      <c r="J15127" s="63"/>
    </row>
    <row r="15128" spans="9:10" x14ac:dyDescent="0.35">
      <c r="I15128" s="63"/>
      <c r="J15128" s="63"/>
    </row>
    <row r="15129" spans="9:10" x14ac:dyDescent="0.35">
      <c r="I15129" s="63"/>
      <c r="J15129" s="63"/>
    </row>
    <row r="15130" spans="9:10" x14ac:dyDescent="0.35">
      <c r="I15130" s="63"/>
      <c r="J15130" s="63"/>
    </row>
    <row r="15131" spans="9:10" x14ac:dyDescent="0.35">
      <c r="I15131" s="63"/>
      <c r="J15131" s="63"/>
    </row>
    <row r="15132" spans="9:10" x14ac:dyDescent="0.35">
      <c r="I15132" s="63"/>
      <c r="J15132" s="63"/>
    </row>
    <row r="15133" spans="9:10" x14ac:dyDescent="0.35">
      <c r="I15133" s="63"/>
      <c r="J15133" s="63"/>
    </row>
    <row r="15134" spans="9:10" x14ac:dyDescent="0.35">
      <c r="I15134" s="63"/>
      <c r="J15134" s="63"/>
    </row>
    <row r="15135" spans="9:10" x14ac:dyDescent="0.35">
      <c r="I15135" s="63"/>
      <c r="J15135" s="63"/>
    </row>
    <row r="15136" spans="9:10" x14ac:dyDescent="0.35">
      <c r="I15136" s="63"/>
      <c r="J15136" s="63"/>
    </row>
    <row r="15137" spans="9:10" x14ac:dyDescent="0.35">
      <c r="I15137" s="63"/>
      <c r="J15137" s="63"/>
    </row>
    <row r="15138" spans="9:10" x14ac:dyDescent="0.35">
      <c r="I15138" s="63"/>
      <c r="J15138" s="63"/>
    </row>
    <row r="15139" spans="9:10" x14ac:dyDescent="0.35">
      <c r="I15139" s="63"/>
      <c r="J15139" s="63"/>
    </row>
    <row r="15140" spans="9:10" x14ac:dyDescent="0.35">
      <c r="I15140" s="63"/>
      <c r="J15140" s="63"/>
    </row>
    <row r="15141" spans="9:10" x14ac:dyDescent="0.35">
      <c r="I15141" s="63"/>
      <c r="J15141" s="63"/>
    </row>
    <row r="15142" spans="9:10" x14ac:dyDescent="0.35">
      <c r="I15142" s="63"/>
      <c r="J15142" s="63"/>
    </row>
    <row r="15143" spans="9:10" x14ac:dyDescent="0.35">
      <c r="I15143" s="63"/>
      <c r="J15143" s="63"/>
    </row>
    <row r="15144" spans="9:10" x14ac:dyDescent="0.35">
      <c r="I15144" s="63"/>
      <c r="J15144" s="63"/>
    </row>
    <row r="15145" spans="9:10" x14ac:dyDescent="0.35">
      <c r="I15145" s="63"/>
      <c r="J15145" s="63"/>
    </row>
    <row r="15146" spans="9:10" x14ac:dyDescent="0.35">
      <c r="I15146" s="63"/>
      <c r="J15146" s="63"/>
    </row>
    <row r="15147" spans="9:10" x14ac:dyDescent="0.35">
      <c r="I15147" s="63"/>
      <c r="J15147" s="63"/>
    </row>
    <row r="15148" spans="9:10" x14ac:dyDescent="0.35">
      <c r="I15148" s="63"/>
      <c r="J15148" s="63"/>
    </row>
    <row r="15149" spans="9:10" x14ac:dyDescent="0.35">
      <c r="I15149" s="63"/>
      <c r="J15149" s="63"/>
    </row>
    <row r="15150" spans="9:10" x14ac:dyDescent="0.35">
      <c r="I15150" s="63"/>
      <c r="J15150" s="63"/>
    </row>
    <row r="15151" spans="9:10" x14ac:dyDescent="0.35">
      <c r="I15151" s="63"/>
      <c r="J15151" s="63"/>
    </row>
    <row r="15152" spans="9:10" x14ac:dyDescent="0.35">
      <c r="I15152" s="63"/>
      <c r="J15152" s="63"/>
    </row>
    <row r="15153" spans="9:10" x14ac:dyDescent="0.35">
      <c r="I15153" s="63"/>
      <c r="J15153" s="63"/>
    </row>
    <row r="15154" spans="9:10" x14ac:dyDescent="0.35">
      <c r="I15154" s="63"/>
      <c r="J15154" s="63"/>
    </row>
    <row r="15155" spans="9:10" x14ac:dyDescent="0.35">
      <c r="I15155" s="63"/>
      <c r="J15155" s="63"/>
    </row>
    <row r="15156" spans="9:10" x14ac:dyDescent="0.35">
      <c r="I15156" s="63"/>
      <c r="J15156" s="63"/>
    </row>
    <row r="15157" spans="9:10" x14ac:dyDescent="0.35">
      <c r="I15157" s="63"/>
      <c r="J15157" s="63"/>
    </row>
    <row r="15158" spans="9:10" x14ac:dyDescent="0.35">
      <c r="I15158" s="63"/>
      <c r="J15158" s="63"/>
    </row>
    <row r="15159" spans="9:10" x14ac:dyDescent="0.35">
      <c r="I15159" s="63"/>
      <c r="J15159" s="63"/>
    </row>
    <row r="15160" spans="9:10" x14ac:dyDescent="0.35">
      <c r="I15160" s="63"/>
      <c r="J15160" s="63"/>
    </row>
    <row r="15161" spans="9:10" x14ac:dyDescent="0.35">
      <c r="I15161" s="63"/>
      <c r="J15161" s="63"/>
    </row>
    <row r="15162" spans="9:10" x14ac:dyDescent="0.35">
      <c r="I15162" s="63"/>
      <c r="J15162" s="63"/>
    </row>
    <row r="15163" spans="9:10" x14ac:dyDescent="0.35">
      <c r="I15163" s="63"/>
      <c r="J15163" s="63"/>
    </row>
    <row r="15164" spans="9:10" x14ac:dyDescent="0.35">
      <c r="I15164" s="63"/>
      <c r="J15164" s="63"/>
    </row>
    <row r="15165" spans="9:10" x14ac:dyDescent="0.35">
      <c r="I15165" s="63"/>
      <c r="J15165" s="63"/>
    </row>
    <row r="15166" spans="9:10" x14ac:dyDescent="0.35">
      <c r="I15166" s="63"/>
      <c r="J15166" s="63"/>
    </row>
    <row r="15167" spans="9:10" x14ac:dyDescent="0.35">
      <c r="I15167" s="63"/>
      <c r="J15167" s="63"/>
    </row>
    <row r="15168" spans="9:10" x14ac:dyDescent="0.35">
      <c r="I15168" s="63"/>
      <c r="J15168" s="63"/>
    </row>
    <row r="15169" spans="9:10" x14ac:dyDescent="0.35">
      <c r="I15169" s="63"/>
      <c r="J15169" s="63"/>
    </row>
    <row r="15170" spans="9:10" x14ac:dyDescent="0.35">
      <c r="I15170" s="63"/>
      <c r="J15170" s="63"/>
    </row>
    <row r="15171" spans="9:10" x14ac:dyDescent="0.35">
      <c r="I15171" s="63"/>
      <c r="J15171" s="63"/>
    </row>
    <row r="15172" spans="9:10" x14ac:dyDescent="0.35">
      <c r="I15172" s="63"/>
      <c r="J15172" s="63"/>
    </row>
    <row r="15173" spans="9:10" x14ac:dyDescent="0.35">
      <c r="I15173" s="63"/>
      <c r="J15173" s="63"/>
    </row>
    <row r="15174" spans="9:10" x14ac:dyDescent="0.35">
      <c r="I15174" s="63"/>
      <c r="J15174" s="63"/>
    </row>
    <row r="15175" spans="9:10" x14ac:dyDescent="0.35">
      <c r="I15175" s="63"/>
      <c r="J15175" s="63"/>
    </row>
    <row r="15176" spans="9:10" x14ac:dyDescent="0.35">
      <c r="I15176" s="63"/>
      <c r="J15176" s="63"/>
    </row>
    <row r="15177" spans="9:10" x14ac:dyDescent="0.35">
      <c r="I15177" s="63"/>
      <c r="J15177" s="63"/>
    </row>
    <row r="15178" spans="9:10" x14ac:dyDescent="0.35">
      <c r="I15178" s="63"/>
      <c r="J15178" s="63"/>
    </row>
    <row r="15179" spans="9:10" x14ac:dyDescent="0.35">
      <c r="I15179" s="63"/>
      <c r="J15179" s="63"/>
    </row>
    <row r="15180" spans="9:10" x14ac:dyDescent="0.35">
      <c r="I15180" s="63"/>
      <c r="J15180" s="63"/>
    </row>
    <row r="15181" spans="9:10" x14ac:dyDescent="0.35">
      <c r="I15181" s="63"/>
      <c r="J15181" s="63"/>
    </row>
    <row r="15182" spans="9:10" x14ac:dyDescent="0.35">
      <c r="I15182" s="63"/>
      <c r="J15182" s="63"/>
    </row>
    <row r="15183" spans="9:10" x14ac:dyDescent="0.35">
      <c r="I15183" s="63"/>
      <c r="J15183" s="63"/>
    </row>
    <row r="15184" spans="9:10" x14ac:dyDescent="0.35">
      <c r="I15184" s="63"/>
      <c r="J15184" s="63"/>
    </row>
    <row r="15185" spans="9:10" x14ac:dyDescent="0.35">
      <c r="I15185" s="63"/>
      <c r="J15185" s="63"/>
    </row>
    <row r="15186" spans="9:10" x14ac:dyDescent="0.35">
      <c r="I15186" s="63"/>
      <c r="J15186" s="63"/>
    </row>
    <row r="15187" spans="9:10" x14ac:dyDescent="0.35">
      <c r="I15187" s="63"/>
      <c r="J15187" s="63"/>
    </row>
    <row r="15188" spans="9:10" x14ac:dyDescent="0.35">
      <c r="I15188" s="63"/>
      <c r="J15188" s="63"/>
    </row>
    <row r="15189" spans="9:10" x14ac:dyDescent="0.35">
      <c r="I15189" s="63"/>
      <c r="J15189" s="63"/>
    </row>
    <row r="15190" spans="9:10" x14ac:dyDescent="0.35">
      <c r="I15190" s="63"/>
      <c r="J15190" s="63"/>
    </row>
    <row r="15191" spans="9:10" x14ac:dyDescent="0.35">
      <c r="I15191" s="63"/>
      <c r="J15191" s="63"/>
    </row>
    <row r="15192" spans="9:10" x14ac:dyDescent="0.35">
      <c r="I15192" s="63"/>
      <c r="J15192" s="63"/>
    </row>
    <row r="15193" spans="9:10" x14ac:dyDescent="0.35">
      <c r="I15193" s="63"/>
      <c r="J15193" s="63"/>
    </row>
    <row r="15194" spans="9:10" x14ac:dyDescent="0.35">
      <c r="I15194" s="63"/>
      <c r="J15194" s="63"/>
    </row>
    <row r="15195" spans="9:10" x14ac:dyDescent="0.35">
      <c r="I15195" s="63"/>
      <c r="J15195" s="63"/>
    </row>
    <row r="15196" spans="9:10" x14ac:dyDescent="0.35">
      <c r="I15196" s="63"/>
      <c r="J15196" s="63"/>
    </row>
    <row r="15197" spans="9:10" x14ac:dyDescent="0.35">
      <c r="I15197" s="63"/>
      <c r="J15197" s="63"/>
    </row>
    <row r="15198" spans="9:10" x14ac:dyDescent="0.35">
      <c r="I15198" s="63"/>
      <c r="J15198" s="63"/>
    </row>
    <row r="15199" spans="9:10" x14ac:dyDescent="0.35">
      <c r="I15199" s="63"/>
      <c r="J15199" s="63"/>
    </row>
    <row r="15200" spans="9:10" x14ac:dyDescent="0.35">
      <c r="I15200" s="63"/>
      <c r="J15200" s="63"/>
    </row>
    <row r="15201" spans="9:10" x14ac:dyDescent="0.35">
      <c r="I15201" s="63"/>
      <c r="J15201" s="63"/>
    </row>
    <row r="15202" spans="9:10" x14ac:dyDescent="0.35">
      <c r="I15202" s="63"/>
      <c r="J15202" s="63"/>
    </row>
    <row r="15203" spans="9:10" x14ac:dyDescent="0.35">
      <c r="I15203" s="63"/>
      <c r="J15203" s="63"/>
    </row>
    <row r="15204" spans="9:10" x14ac:dyDescent="0.35">
      <c r="I15204" s="63"/>
      <c r="J15204" s="63"/>
    </row>
    <row r="15205" spans="9:10" x14ac:dyDescent="0.35">
      <c r="I15205" s="63"/>
      <c r="J15205" s="63"/>
    </row>
    <row r="15206" spans="9:10" x14ac:dyDescent="0.35">
      <c r="I15206" s="63"/>
      <c r="J15206" s="63"/>
    </row>
    <row r="15207" spans="9:10" x14ac:dyDescent="0.35">
      <c r="I15207" s="63"/>
      <c r="J15207" s="63"/>
    </row>
    <row r="15208" spans="9:10" x14ac:dyDescent="0.35">
      <c r="I15208" s="63"/>
      <c r="J15208" s="63"/>
    </row>
    <row r="15209" spans="9:10" x14ac:dyDescent="0.35">
      <c r="I15209" s="63"/>
      <c r="J15209" s="63"/>
    </row>
    <row r="15210" spans="9:10" x14ac:dyDescent="0.35">
      <c r="I15210" s="63"/>
      <c r="J15210" s="63"/>
    </row>
    <row r="15211" spans="9:10" x14ac:dyDescent="0.35">
      <c r="I15211" s="63"/>
      <c r="J15211" s="63"/>
    </row>
    <row r="15212" spans="9:10" x14ac:dyDescent="0.35">
      <c r="I15212" s="63"/>
      <c r="J15212" s="63"/>
    </row>
    <row r="15213" spans="9:10" x14ac:dyDescent="0.35">
      <c r="I15213" s="63"/>
      <c r="J15213" s="63"/>
    </row>
    <row r="15214" spans="9:10" x14ac:dyDescent="0.35">
      <c r="I15214" s="63"/>
      <c r="J15214" s="63"/>
    </row>
    <row r="15215" spans="9:10" x14ac:dyDescent="0.35">
      <c r="I15215" s="63"/>
      <c r="J15215" s="63"/>
    </row>
    <row r="15216" spans="9:10" x14ac:dyDescent="0.35">
      <c r="I15216" s="63"/>
      <c r="J15216" s="63"/>
    </row>
    <row r="15217" spans="9:10" x14ac:dyDescent="0.35">
      <c r="I15217" s="63"/>
      <c r="J15217" s="63"/>
    </row>
    <row r="15218" spans="9:10" x14ac:dyDescent="0.35">
      <c r="I15218" s="63"/>
      <c r="J15218" s="63"/>
    </row>
    <row r="15219" spans="9:10" x14ac:dyDescent="0.35">
      <c r="I15219" s="63"/>
      <c r="J15219" s="63"/>
    </row>
    <row r="15220" spans="9:10" x14ac:dyDescent="0.35">
      <c r="I15220" s="63"/>
      <c r="J15220" s="63"/>
    </row>
    <row r="15221" spans="9:10" x14ac:dyDescent="0.35">
      <c r="I15221" s="63"/>
      <c r="J15221" s="63"/>
    </row>
    <row r="15222" spans="9:10" x14ac:dyDescent="0.35">
      <c r="I15222" s="63"/>
      <c r="J15222" s="63"/>
    </row>
    <row r="15223" spans="9:10" x14ac:dyDescent="0.35">
      <c r="I15223" s="63"/>
      <c r="J15223" s="63"/>
    </row>
    <row r="15224" spans="9:10" x14ac:dyDescent="0.35">
      <c r="I15224" s="63"/>
      <c r="J15224" s="63"/>
    </row>
    <row r="15225" spans="9:10" x14ac:dyDescent="0.35">
      <c r="I15225" s="63"/>
      <c r="J15225" s="63"/>
    </row>
    <row r="15226" spans="9:10" x14ac:dyDescent="0.35">
      <c r="I15226" s="63"/>
      <c r="J15226" s="63"/>
    </row>
    <row r="15227" spans="9:10" x14ac:dyDescent="0.35">
      <c r="I15227" s="63"/>
      <c r="J15227" s="63"/>
    </row>
    <row r="15228" spans="9:10" x14ac:dyDescent="0.35">
      <c r="I15228" s="63"/>
      <c r="J15228" s="63"/>
    </row>
    <row r="15229" spans="9:10" x14ac:dyDescent="0.35">
      <c r="I15229" s="63"/>
      <c r="J15229" s="63"/>
    </row>
    <row r="15230" spans="9:10" x14ac:dyDescent="0.35">
      <c r="I15230" s="63"/>
      <c r="J15230" s="63"/>
    </row>
    <row r="15231" spans="9:10" x14ac:dyDescent="0.35">
      <c r="I15231" s="63"/>
      <c r="J15231" s="63"/>
    </row>
    <row r="15232" spans="9:10" x14ac:dyDescent="0.35">
      <c r="I15232" s="63"/>
      <c r="J15232" s="63"/>
    </row>
    <row r="15233" spans="9:10" x14ac:dyDescent="0.35">
      <c r="I15233" s="63"/>
      <c r="J15233" s="63"/>
    </row>
    <row r="15234" spans="9:10" x14ac:dyDescent="0.35">
      <c r="I15234" s="63"/>
      <c r="J15234" s="63"/>
    </row>
    <row r="15235" spans="9:10" x14ac:dyDescent="0.35">
      <c r="I15235" s="63"/>
      <c r="J15235" s="63"/>
    </row>
    <row r="15236" spans="9:10" x14ac:dyDescent="0.35">
      <c r="I15236" s="63"/>
      <c r="J15236" s="63"/>
    </row>
    <row r="15237" spans="9:10" x14ac:dyDescent="0.35">
      <c r="I15237" s="63"/>
      <c r="J15237" s="63"/>
    </row>
    <row r="15238" spans="9:10" x14ac:dyDescent="0.35">
      <c r="I15238" s="63"/>
      <c r="J15238" s="63"/>
    </row>
    <row r="15239" spans="9:10" x14ac:dyDescent="0.35">
      <c r="I15239" s="63"/>
      <c r="J15239" s="63"/>
    </row>
    <row r="15240" spans="9:10" x14ac:dyDescent="0.35">
      <c r="I15240" s="63"/>
      <c r="J15240" s="63"/>
    </row>
    <row r="15241" spans="9:10" x14ac:dyDescent="0.35">
      <c r="I15241" s="63"/>
      <c r="J15241" s="63"/>
    </row>
    <row r="15242" spans="9:10" x14ac:dyDescent="0.35">
      <c r="I15242" s="63"/>
      <c r="J15242" s="63"/>
    </row>
    <row r="15243" spans="9:10" x14ac:dyDescent="0.35">
      <c r="I15243" s="63"/>
      <c r="J15243" s="63"/>
    </row>
    <row r="15244" spans="9:10" x14ac:dyDescent="0.35">
      <c r="I15244" s="63"/>
      <c r="J15244" s="63"/>
    </row>
    <row r="15245" spans="9:10" x14ac:dyDescent="0.35">
      <c r="I15245" s="63"/>
      <c r="J15245" s="63"/>
    </row>
    <row r="15246" spans="9:10" x14ac:dyDescent="0.35">
      <c r="I15246" s="63"/>
      <c r="J15246" s="63"/>
    </row>
    <row r="15247" spans="9:10" x14ac:dyDescent="0.35">
      <c r="I15247" s="63"/>
      <c r="J15247" s="63"/>
    </row>
    <row r="15248" spans="9:10" x14ac:dyDescent="0.35">
      <c r="I15248" s="63"/>
      <c r="J15248" s="63"/>
    </row>
    <row r="15249" spans="9:10" x14ac:dyDescent="0.35">
      <c r="I15249" s="63"/>
      <c r="J15249" s="63"/>
    </row>
    <row r="15250" spans="9:10" x14ac:dyDescent="0.35">
      <c r="I15250" s="63"/>
      <c r="J15250" s="63"/>
    </row>
    <row r="15251" spans="9:10" x14ac:dyDescent="0.35">
      <c r="I15251" s="63"/>
      <c r="J15251" s="63"/>
    </row>
    <row r="15252" spans="9:10" x14ac:dyDescent="0.35">
      <c r="I15252" s="63"/>
      <c r="J15252" s="63"/>
    </row>
    <row r="15253" spans="9:10" x14ac:dyDescent="0.35">
      <c r="I15253" s="63"/>
      <c r="J15253" s="63"/>
    </row>
    <row r="15254" spans="9:10" x14ac:dyDescent="0.35">
      <c r="I15254" s="63"/>
      <c r="J15254" s="63"/>
    </row>
    <row r="15255" spans="9:10" x14ac:dyDescent="0.35">
      <c r="I15255" s="63"/>
      <c r="J15255" s="63"/>
    </row>
    <row r="15256" spans="9:10" x14ac:dyDescent="0.35">
      <c r="I15256" s="63"/>
      <c r="J15256" s="63"/>
    </row>
    <row r="15257" spans="9:10" x14ac:dyDescent="0.35">
      <c r="I15257" s="63"/>
      <c r="J15257" s="63"/>
    </row>
    <row r="15258" spans="9:10" x14ac:dyDescent="0.35">
      <c r="I15258" s="63"/>
      <c r="J15258" s="63"/>
    </row>
    <row r="15259" spans="9:10" x14ac:dyDescent="0.35">
      <c r="I15259" s="63"/>
      <c r="J15259" s="63"/>
    </row>
    <row r="15260" spans="9:10" x14ac:dyDescent="0.35">
      <c r="I15260" s="63"/>
      <c r="J15260" s="63"/>
    </row>
    <row r="15261" spans="9:10" x14ac:dyDescent="0.35">
      <c r="I15261" s="63"/>
      <c r="J15261" s="63"/>
    </row>
    <row r="15262" spans="9:10" x14ac:dyDescent="0.35">
      <c r="I15262" s="63"/>
      <c r="J15262" s="63"/>
    </row>
    <row r="15263" spans="9:10" x14ac:dyDescent="0.35">
      <c r="I15263" s="63"/>
      <c r="J15263" s="63"/>
    </row>
    <row r="15264" spans="9:10" x14ac:dyDescent="0.35">
      <c r="I15264" s="63"/>
      <c r="J15264" s="63"/>
    </row>
    <row r="15265" spans="9:10" x14ac:dyDescent="0.35">
      <c r="I15265" s="63"/>
      <c r="J15265" s="63"/>
    </row>
    <row r="15266" spans="9:10" x14ac:dyDescent="0.35">
      <c r="I15266" s="63"/>
      <c r="J15266" s="63"/>
    </row>
    <row r="15267" spans="9:10" x14ac:dyDescent="0.35">
      <c r="I15267" s="63"/>
      <c r="J15267" s="63"/>
    </row>
    <row r="15268" spans="9:10" x14ac:dyDescent="0.35">
      <c r="I15268" s="63"/>
      <c r="J15268" s="63"/>
    </row>
    <row r="15269" spans="9:10" x14ac:dyDescent="0.35">
      <c r="I15269" s="63"/>
      <c r="J15269" s="63"/>
    </row>
    <row r="15270" spans="9:10" x14ac:dyDescent="0.35">
      <c r="I15270" s="63"/>
      <c r="J15270" s="63"/>
    </row>
    <row r="15271" spans="9:10" x14ac:dyDescent="0.35">
      <c r="I15271" s="63"/>
      <c r="J15271" s="63"/>
    </row>
    <row r="15272" spans="9:10" x14ac:dyDescent="0.35">
      <c r="I15272" s="63"/>
      <c r="J15272" s="63"/>
    </row>
    <row r="15273" spans="9:10" x14ac:dyDescent="0.35">
      <c r="I15273" s="63"/>
      <c r="J15273" s="63"/>
    </row>
    <row r="15274" spans="9:10" x14ac:dyDescent="0.35">
      <c r="I15274" s="63"/>
      <c r="J15274" s="63"/>
    </row>
    <row r="15275" spans="9:10" x14ac:dyDescent="0.35">
      <c r="I15275" s="63"/>
      <c r="J15275" s="63"/>
    </row>
    <row r="15276" spans="9:10" x14ac:dyDescent="0.35">
      <c r="I15276" s="63"/>
      <c r="J15276" s="63"/>
    </row>
    <row r="15277" spans="9:10" x14ac:dyDescent="0.35">
      <c r="I15277" s="63"/>
      <c r="J15277" s="63"/>
    </row>
    <row r="15278" spans="9:10" x14ac:dyDescent="0.35">
      <c r="I15278" s="63"/>
      <c r="J15278" s="63"/>
    </row>
    <row r="15279" spans="9:10" x14ac:dyDescent="0.35">
      <c r="I15279" s="63"/>
      <c r="J15279" s="63"/>
    </row>
    <row r="15280" spans="9:10" x14ac:dyDescent="0.35">
      <c r="I15280" s="63"/>
      <c r="J15280" s="63"/>
    </row>
    <row r="15281" spans="9:10" x14ac:dyDescent="0.35">
      <c r="I15281" s="63"/>
      <c r="J15281" s="63"/>
    </row>
    <row r="15282" spans="9:10" x14ac:dyDescent="0.35">
      <c r="I15282" s="63"/>
      <c r="J15282" s="63"/>
    </row>
    <row r="15283" spans="9:10" x14ac:dyDescent="0.35">
      <c r="I15283" s="63"/>
      <c r="J15283" s="63"/>
    </row>
    <row r="15284" spans="9:10" x14ac:dyDescent="0.35">
      <c r="I15284" s="63"/>
      <c r="J15284" s="63"/>
    </row>
    <row r="15285" spans="9:10" x14ac:dyDescent="0.35">
      <c r="I15285" s="63"/>
      <c r="J15285" s="63"/>
    </row>
    <row r="15286" spans="9:10" x14ac:dyDescent="0.35">
      <c r="I15286" s="63"/>
      <c r="J15286" s="63"/>
    </row>
    <row r="15287" spans="9:10" x14ac:dyDescent="0.35">
      <c r="I15287" s="63"/>
      <c r="J15287" s="63"/>
    </row>
    <row r="15288" spans="9:10" x14ac:dyDescent="0.35">
      <c r="I15288" s="63"/>
      <c r="J15288" s="63"/>
    </row>
    <row r="15289" spans="9:10" x14ac:dyDescent="0.35">
      <c r="I15289" s="63"/>
      <c r="J15289" s="63"/>
    </row>
    <row r="15290" spans="9:10" x14ac:dyDescent="0.35">
      <c r="I15290" s="63"/>
      <c r="J15290" s="63"/>
    </row>
    <row r="15291" spans="9:10" x14ac:dyDescent="0.35">
      <c r="I15291" s="63"/>
      <c r="J15291" s="63"/>
    </row>
    <row r="15292" spans="9:10" x14ac:dyDescent="0.35">
      <c r="I15292" s="63"/>
      <c r="J15292" s="63"/>
    </row>
    <row r="15293" spans="9:10" x14ac:dyDescent="0.35">
      <c r="I15293" s="63"/>
      <c r="J15293" s="63"/>
    </row>
    <row r="15294" spans="9:10" x14ac:dyDescent="0.35">
      <c r="I15294" s="63"/>
      <c r="J15294" s="63"/>
    </row>
    <row r="15295" spans="9:10" x14ac:dyDescent="0.35">
      <c r="I15295" s="63"/>
      <c r="J15295" s="63"/>
    </row>
    <row r="15296" spans="9:10" x14ac:dyDescent="0.35">
      <c r="I15296" s="63"/>
      <c r="J15296" s="63"/>
    </row>
    <row r="15297" spans="9:10" x14ac:dyDescent="0.35">
      <c r="I15297" s="63"/>
      <c r="J15297" s="63"/>
    </row>
    <row r="15298" spans="9:10" x14ac:dyDescent="0.35">
      <c r="I15298" s="63"/>
      <c r="J15298" s="63"/>
    </row>
    <row r="15299" spans="9:10" x14ac:dyDescent="0.35">
      <c r="I15299" s="63"/>
      <c r="J15299" s="63"/>
    </row>
    <row r="15300" spans="9:10" x14ac:dyDescent="0.35">
      <c r="I15300" s="63"/>
      <c r="J15300" s="63"/>
    </row>
    <row r="15301" spans="9:10" x14ac:dyDescent="0.35">
      <c r="I15301" s="63"/>
      <c r="J15301" s="63"/>
    </row>
    <row r="15302" spans="9:10" x14ac:dyDescent="0.35">
      <c r="I15302" s="63"/>
      <c r="J15302" s="63"/>
    </row>
    <row r="15303" spans="9:10" x14ac:dyDescent="0.35">
      <c r="I15303" s="63"/>
      <c r="J15303" s="63"/>
    </row>
    <row r="15304" spans="9:10" x14ac:dyDescent="0.35">
      <c r="I15304" s="63"/>
      <c r="J15304" s="63"/>
    </row>
    <row r="15305" spans="9:10" x14ac:dyDescent="0.35">
      <c r="I15305" s="63"/>
      <c r="J15305" s="63"/>
    </row>
    <row r="15306" spans="9:10" x14ac:dyDescent="0.35">
      <c r="I15306" s="63"/>
      <c r="J15306" s="63"/>
    </row>
    <row r="15307" spans="9:10" x14ac:dyDescent="0.35">
      <c r="I15307" s="63"/>
      <c r="J15307" s="63"/>
    </row>
    <row r="15308" spans="9:10" x14ac:dyDescent="0.35">
      <c r="I15308" s="63"/>
      <c r="J15308" s="63"/>
    </row>
    <row r="15309" spans="9:10" x14ac:dyDescent="0.35">
      <c r="I15309" s="63"/>
      <c r="J15309" s="63"/>
    </row>
    <row r="15310" spans="9:10" x14ac:dyDescent="0.35">
      <c r="I15310" s="63"/>
      <c r="J15310" s="63"/>
    </row>
    <row r="15311" spans="9:10" x14ac:dyDescent="0.35">
      <c r="I15311" s="63"/>
      <c r="J15311" s="63"/>
    </row>
    <row r="15312" spans="9:10" x14ac:dyDescent="0.35">
      <c r="I15312" s="63"/>
      <c r="J15312" s="63"/>
    </row>
    <row r="15313" spans="9:10" x14ac:dyDescent="0.35">
      <c r="I15313" s="63"/>
      <c r="J15313" s="63"/>
    </row>
    <row r="15314" spans="9:10" x14ac:dyDescent="0.35">
      <c r="I15314" s="63"/>
      <c r="J15314" s="63"/>
    </row>
    <row r="15315" spans="9:10" x14ac:dyDescent="0.35">
      <c r="I15315" s="63"/>
      <c r="J15315" s="63"/>
    </row>
    <row r="15316" spans="9:10" x14ac:dyDescent="0.35">
      <c r="I15316" s="63"/>
      <c r="J15316" s="63"/>
    </row>
    <row r="15317" spans="9:10" x14ac:dyDescent="0.35">
      <c r="I15317" s="63"/>
      <c r="J15317" s="63"/>
    </row>
    <row r="15318" spans="9:10" x14ac:dyDescent="0.35">
      <c r="I15318" s="63"/>
      <c r="J15318" s="63"/>
    </row>
    <row r="15319" spans="9:10" x14ac:dyDescent="0.35">
      <c r="I15319" s="63"/>
      <c r="J15319" s="63"/>
    </row>
    <row r="15320" spans="9:10" x14ac:dyDescent="0.35">
      <c r="I15320" s="63"/>
      <c r="J15320" s="63"/>
    </row>
    <row r="15321" spans="9:10" x14ac:dyDescent="0.35">
      <c r="I15321" s="63"/>
      <c r="J15321" s="63"/>
    </row>
    <row r="15322" spans="9:10" x14ac:dyDescent="0.35">
      <c r="I15322" s="63"/>
      <c r="J15322" s="63"/>
    </row>
    <row r="15323" spans="9:10" x14ac:dyDescent="0.35">
      <c r="I15323" s="63"/>
      <c r="J15323" s="63"/>
    </row>
    <row r="15324" spans="9:10" x14ac:dyDescent="0.35">
      <c r="I15324" s="63"/>
      <c r="J15324" s="63"/>
    </row>
    <row r="15325" spans="9:10" x14ac:dyDescent="0.35">
      <c r="I15325" s="63"/>
      <c r="J15325" s="63"/>
    </row>
    <row r="15326" spans="9:10" x14ac:dyDescent="0.35">
      <c r="I15326" s="63"/>
      <c r="J15326" s="63"/>
    </row>
    <row r="15327" spans="9:10" x14ac:dyDescent="0.35">
      <c r="I15327" s="63"/>
      <c r="J15327" s="63"/>
    </row>
    <row r="15328" spans="9:10" x14ac:dyDescent="0.35">
      <c r="I15328" s="63"/>
      <c r="J15328" s="63"/>
    </row>
    <row r="15329" spans="9:10" x14ac:dyDescent="0.35">
      <c r="I15329" s="63"/>
      <c r="J15329" s="63"/>
    </row>
    <row r="15330" spans="9:10" x14ac:dyDescent="0.35">
      <c r="I15330" s="63"/>
      <c r="J15330" s="63"/>
    </row>
    <row r="15331" spans="9:10" x14ac:dyDescent="0.35">
      <c r="I15331" s="63"/>
      <c r="J15331" s="63"/>
    </row>
    <row r="15332" spans="9:10" x14ac:dyDescent="0.35">
      <c r="I15332" s="63"/>
      <c r="J15332" s="63"/>
    </row>
    <row r="15333" spans="9:10" x14ac:dyDescent="0.35">
      <c r="I15333" s="63"/>
      <c r="J15333" s="63"/>
    </row>
    <row r="15334" spans="9:10" x14ac:dyDescent="0.35">
      <c r="I15334" s="63"/>
      <c r="J15334" s="63"/>
    </row>
    <row r="15335" spans="9:10" x14ac:dyDescent="0.35">
      <c r="I15335" s="63"/>
      <c r="J15335" s="63"/>
    </row>
    <row r="15336" spans="9:10" x14ac:dyDescent="0.35">
      <c r="I15336" s="63"/>
      <c r="J15336" s="63"/>
    </row>
    <row r="15337" spans="9:10" x14ac:dyDescent="0.35">
      <c r="I15337" s="63"/>
      <c r="J15337" s="63"/>
    </row>
    <row r="15338" spans="9:10" x14ac:dyDescent="0.35">
      <c r="I15338" s="63"/>
      <c r="J15338" s="63"/>
    </row>
    <row r="15339" spans="9:10" x14ac:dyDescent="0.35">
      <c r="I15339" s="63"/>
      <c r="J15339" s="63"/>
    </row>
    <row r="15340" spans="9:10" x14ac:dyDescent="0.35">
      <c r="I15340" s="63"/>
      <c r="J15340" s="63"/>
    </row>
    <row r="15341" spans="9:10" x14ac:dyDescent="0.35">
      <c r="I15341" s="63"/>
      <c r="J15341" s="63"/>
    </row>
    <row r="15342" spans="9:10" x14ac:dyDescent="0.35">
      <c r="I15342" s="63"/>
      <c r="J15342" s="63"/>
    </row>
    <row r="15343" spans="9:10" x14ac:dyDescent="0.35">
      <c r="I15343" s="63"/>
      <c r="J15343" s="63"/>
    </row>
    <row r="15344" spans="9:10" x14ac:dyDescent="0.35">
      <c r="I15344" s="63"/>
      <c r="J15344" s="63"/>
    </row>
    <row r="15345" spans="9:10" x14ac:dyDescent="0.35">
      <c r="I15345" s="63"/>
      <c r="J15345" s="63"/>
    </row>
    <row r="15346" spans="9:10" x14ac:dyDescent="0.35">
      <c r="I15346" s="63"/>
      <c r="J15346" s="63"/>
    </row>
    <row r="15347" spans="9:10" x14ac:dyDescent="0.35">
      <c r="I15347" s="63"/>
      <c r="J15347" s="63"/>
    </row>
    <row r="15348" spans="9:10" x14ac:dyDescent="0.35">
      <c r="I15348" s="63"/>
      <c r="J15348" s="63"/>
    </row>
    <row r="15349" spans="9:10" x14ac:dyDescent="0.35">
      <c r="I15349" s="63"/>
      <c r="J15349" s="63"/>
    </row>
    <row r="15350" spans="9:10" x14ac:dyDescent="0.35">
      <c r="I15350" s="63"/>
      <c r="J15350" s="63"/>
    </row>
    <row r="15351" spans="9:10" x14ac:dyDescent="0.35">
      <c r="I15351" s="63"/>
      <c r="J15351" s="63"/>
    </row>
    <row r="15352" spans="9:10" x14ac:dyDescent="0.35">
      <c r="I15352" s="63"/>
      <c r="J15352" s="63"/>
    </row>
    <row r="15353" spans="9:10" x14ac:dyDescent="0.35">
      <c r="I15353" s="63"/>
      <c r="J15353" s="63"/>
    </row>
    <row r="15354" spans="9:10" x14ac:dyDescent="0.35">
      <c r="I15354" s="63"/>
      <c r="J15354" s="63"/>
    </row>
    <row r="15355" spans="9:10" x14ac:dyDescent="0.35">
      <c r="I15355" s="63"/>
      <c r="J15355" s="63"/>
    </row>
    <row r="15356" spans="9:10" x14ac:dyDescent="0.35">
      <c r="I15356" s="63"/>
      <c r="J15356" s="63"/>
    </row>
    <row r="15357" spans="9:10" x14ac:dyDescent="0.35">
      <c r="I15357" s="63"/>
      <c r="J15357" s="63"/>
    </row>
    <row r="15358" spans="9:10" x14ac:dyDescent="0.35">
      <c r="I15358" s="63"/>
      <c r="J15358" s="63"/>
    </row>
    <row r="15359" spans="9:10" x14ac:dyDescent="0.35">
      <c r="I15359" s="63"/>
      <c r="J15359" s="63"/>
    </row>
    <row r="15360" spans="9:10" x14ac:dyDescent="0.35">
      <c r="I15360" s="63"/>
      <c r="J15360" s="63"/>
    </row>
    <row r="15361" spans="9:10" x14ac:dyDescent="0.35">
      <c r="I15361" s="63"/>
      <c r="J15361" s="63"/>
    </row>
    <row r="15362" spans="9:10" x14ac:dyDescent="0.35">
      <c r="I15362" s="63"/>
      <c r="J15362" s="63"/>
    </row>
    <row r="15363" spans="9:10" x14ac:dyDescent="0.35">
      <c r="I15363" s="63"/>
      <c r="J15363" s="63"/>
    </row>
    <row r="15364" spans="9:10" x14ac:dyDescent="0.35">
      <c r="I15364" s="63"/>
      <c r="J15364" s="63"/>
    </row>
    <row r="15365" spans="9:10" x14ac:dyDescent="0.35">
      <c r="I15365" s="63"/>
      <c r="J15365" s="63"/>
    </row>
    <row r="15366" spans="9:10" x14ac:dyDescent="0.35">
      <c r="I15366" s="63"/>
      <c r="J15366" s="63"/>
    </row>
    <row r="15367" spans="9:10" x14ac:dyDescent="0.35">
      <c r="I15367" s="63"/>
      <c r="J15367" s="63"/>
    </row>
    <row r="15368" spans="9:10" x14ac:dyDescent="0.35">
      <c r="I15368" s="63"/>
      <c r="J15368" s="63"/>
    </row>
    <row r="15369" spans="9:10" x14ac:dyDescent="0.35">
      <c r="I15369" s="63"/>
      <c r="J15369" s="63"/>
    </row>
    <row r="15370" spans="9:10" x14ac:dyDescent="0.35">
      <c r="I15370" s="63"/>
      <c r="J15370" s="63"/>
    </row>
    <row r="15371" spans="9:10" x14ac:dyDescent="0.35">
      <c r="I15371" s="63"/>
      <c r="J15371" s="63"/>
    </row>
    <row r="15372" spans="9:10" x14ac:dyDescent="0.35">
      <c r="I15372" s="63"/>
      <c r="J15372" s="63"/>
    </row>
    <row r="15373" spans="9:10" x14ac:dyDescent="0.35">
      <c r="I15373" s="63"/>
      <c r="J15373" s="63"/>
    </row>
    <row r="15374" spans="9:10" x14ac:dyDescent="0.35">
      <c r="I15374" s="63"/>
      <c r="J15374" s="63"/>
    </row>
    <row r="15375" spans="9:10" x14ac:dyDescent="0.35">
      <c r="I15375" s="63"/>
      <c r="J15375" s="63"/>
    </row>
    <row r="15376" spans="9:10" x14ac:dyDescent="0.35">
      <c r="I15376" s="63"/>
      <c r="J15376" s="63"/>
    </row>
    <row r="15377" spans="9:10" x14ac:dyDescent="0.35">
      <c r="I15377" s="63"/>
      <c r="J15377" s="63"/>
    </row>
    <row r="15378" spans="9:10" x14ac:dyDescent="0.35">
      <c r="I15378" s="63"/>
      <c r="J15378" s="63"/>
    </row>
    <row r="15379" spans="9:10" x14ac:dyDescent="0.35">
      <c r="I15379" s="63"/>
      <c r="J15379" s="63"/>
    </row>
    <row r="15380" spans="9:10" x14ac:dyDescent="0.35">
      <c r="I15380" s="63"/>
      <c r="J15380" s="63"/>
    </row>
    <row r="15381" spans="9:10" x14ac:dyDescent="0.35">
      <c r="I15381" s="63"/>
      <c r="J15381" s="63"/>
    </row>
    <row r="15382" spans="9:10" x14ac:dyDescent="0.35">
      <c r="I15382" s="63"/>
      <c r="J15382" s="63"/>
    </row>
    <row r="15383" spans="9:10" x14ac:dyDescent="0.35">
      <c r="I15383" s="63"/>
      <c r="J15383" s="63"/>
    </row>
    <row r="15384" spans="9:10" x14ac:dyDescent="0.35">
      <c r="I15384" s="63"/>
      <c r="J15384" s="63"/>
    </row>
    <row r="15385" spans="9:10" x14ac:dyDescent="0.35">
      <c r="I15385" s="63"/>
      <c r="J15385" s="63"/>
    </row>
    <row r="15386" spans="9:10" x14ac:dyDescent="0.35">
      <c r="I15386" s="63"/>
      <c r="J15386" s="63"/>
    </row>
    <row r="15387" spans="9:10" x14ac:dyDescent="0.35">
      <c r="I15387" s="63"/>
      <c r="J15387" s="63"/>
    </row>
    <row r="15388" spans="9:10" x14ac:dyDescent="0.35">
      <c r="I15388" s="63"/>
      <c r="J15388" s="63"/>
    </row>
    <row r="15389" spans="9:10" x14ac:dyDescent="0.35">
      <c r="I15389" s="63"/>
      <c r="J15389" s="63"/>
    </row>
    <row r="15390" spans="9:10" x14ac:dyDescent="0.35">
      <c r="I15390" s="63"/>
      <c r="J15390" s="63"/>
    </row>
    <row r="15391" spans="9:10" x14ac:dyDescent="0.35">
      <c r="I15391" s="63"/>
      <c r="J15391" s="63"/>
    </row>
    <row r="15392" spans="9:10" x14ac:dyDescent="0.35">
      <c r="I15392" s="63"/>
      <c r="J15392" s="63"/>
    </row>
    <row r="15393" spans="9:10" x14ac:dyDescent="0.35">
      <c r="I15393" s="63"/>
      <c r="J15393" s="63"/>
    </row>
    <row r="15394" spans="9:10" x14ac:dyDescent="0.35">
      <c r="I15394" s="63"/>
      <c r="J15394" s="63"/>
    </row>
    <row r="15395" spans="9:10" x14ac:dyDescent="0.35">
      <c r="I15395" s="63"/>
      <c r="J15395" s="63"/>
    </row>
    <row r="15396" spans="9:10" x14ac:dyDescent="0.35">
      <c r="I15396" s="63"/>
      <c r="J15396" s="63"/>
    </row>
    <row r="15397" spans="9:10" x14ac:dyDescent="0.35">
      <c r="I15397" s="63"/>
      <c r="J15397" s="63"/>
    </row>
    <row r="15398" spans="9:10" x14ac:dyDescent="0.35">
      <c r="I15398" s="63"/>
      <c r="J15398" s="63"/>
    </row>
    <row r="15399" spans="9:10" x14ac:dyDescent="0.35">
      <c r="I15399" s="63"/>
      <c r="J15399" s="63"/>
    </row>
    <row r="15400" spans="9:10" x14ac:dyDescent="0.35">
      <c r="I15400" s="63"/>
      <c r="J15400" s="63"/>
    </row>
    <row r="15401" spans="9:10" x14ac:dyDescent="0.35">
      <c r="I15401" s="63"/>
      <c r="J15401" s="63"/>
    </row>
    <row r="15402" spans="9:10" x14ac:dyDescent="0.35">
      <c r="I15402" s="63"/>
      <c r="J15402" s="63"/>
    </row>
    <row r="15403" spans="9:10" x14ac:dyDescent="0.35">
      <c r="I15403" s="63"/>
      <c r="J15403" s="63"/>
    </row>
    <row r="15404" spans="9:10" x14ac:dyDescent="0.35">
      <c r="I15404" s="63"/>
      <c r="J15404" s="63"/>
    </row>
    <row r="15405" spans="9:10" x14ac:dyDescent="0.35">
      <c r="I15405" s="63"/>
      <c r="J15405" s="63"/>
    </row>
    <row r="15406" spans="9:10" x14ac:dyDescent="0.35">
      <c r="I15406" s="63"/>
      <c r="J15406" s="63"/>
    </row>
    <row r="15407" spans="9:10" x14ac:dyDescent="0.35">
      <c r="I15407" s="63"/>
      <c r="J15407" s="63"/>
    </row>
    <row r="15408" spans="9:10" x14ac:dyDescent="0.35">
      <c r="I15408" s="63"/>
      <c r="J15408" s="63"/>
    </row>
    <row r="15409" spans="9:10" x14ac:dyDescent="0.35">
      <c r="I15409" s="63"/>
      <c r="J15409" s="63"/>
    </row>
    <row r="15410" spans="9:10" x14ac:dyDescent="0.35">
      <c r="I15410" s="63"/>
      <c r="J15410" s="63"/>
    </row>
    <row r="15411" spans="9:10" x14ac:dyDescent="0.35">
      <c r="I15411" s="63"/>
      <c r="J15411" s="63"/>
    </row>
    <row r="15412" spans="9:10" x14ac:dyDescent="0.35">
      <c r="I15412" s="63"/>
      <c r="J15412" s="63"/>
    </row>
    <row r="15413" spans="9:10" x14ac:dyDescent="0.35">
      <c r="I15413" s="63"/>
      <c r="J15413" s="63"/>
    </row>
    <row r="15414" spans="9:10" x14ac:dyDescent="0.35">
      <c r="I15414" s="63"/>
      <c r="J15414" s="63"/>
    </row>
    <row r="15415" spans="9:10" x14ac:dyDescent="0.35">
      <c r="I15415" s="63"/>
      <c r="J15415" s="63"/>
    </row>
    <row r="15416" spans="9:10" x14ac:dyDescent="0.35">
      <c r="I15416" s="63"/>
      <c r="J15416" s="63"/>
    </row>
    <row r="15417" spans="9:10" x14ac:dyDescent="0.35">
      <c r="I15417" s="63"/>
      <c r="J15417" s="63"/>
    </row>
    <row r="15418" spans="9:10" x14ac:dyDescent="0.35">
      <c r="I15418" s="63"/>
      <c r="J15418" s="63"/>
    </row>
    <row r="15419" spans="9:10" x14ac:dyDescent="0.35">
      <c r="I15419" s="63"/>
      <c r="J15419" s="63"/>
    </row>
    <row r="15420" spans="9:10" x14ac:dyDescent="0.35">
      <c r="I15420" s="63"/>
      <c r="J15420" s="63"/>
    </row>
    <row r="15421" spans="9:10" x14ac:dyDescent="0.35">
      <c r="I15421" s="63"/>
      <c r="J15421" s="63"/>
    </row>
    <row r="15422" spans="9:10" x14ac:dyDescent="0.35">
      <c r="I15422" s="63"/>
      <c r="J15422" s="63"/>
    </row>
    <row r="15423" spans="9:10" x14ac:dyDescent="0.35">
      <c r="I15423" s="63"/>
      <c r="J15423" s="63"/>
    </row>
    <row r="15424" spans="9:10" x14ac:dyDescent="0.35">
      <c r="I15424" s="63"/>
      <c r="J15424" s="63"/>
    </row>
    <row r="15425" spans="9:10" x14ac:dyDescent="0.35">
      <c r="I15425" s="63"/>
      <c r="J15425" s="63"/>
    </row>
    <row r="15426" spans="9:10" x14ac:dyDescent="0.35">
      <c r="I15426" s="63"/>
      <c r="J15426" s="63"/>
    </row>
    <row r="15427" spans="9:10" x14ac:dyDescent="0.35">
      <c r="I15427" s="63"/>
      <c r="J15427" s="63"/>
    </row>
    <row r="15428" spans="9:10" x14ac:dyDescent="0.35">
      <c r="I15428" s="63"/>
      <c r="J15428" s="63"/>
    </row>
    <row r="15429" spans="9:10" x14ac:dyDescent="0.35">
      <c r="I15429" s="63"/>
      <c r="J15429" s="63"/>
    </row>
    <row r="15430" spans="9:10" x14ac:dyDescent="0.35">
      <c r="I15430" s="63"/>
      <c r="J15430" s="63"/>
    </row>
    <row r="15431" spans="9:10" x14ac:dyDescent="0.35">
      <c r="I15431" s="63"/>
      <c r="J15431" s="63"/>
    </row>
    <row r="15432" spans="9:10" x14ac:dyDescent="0.35">
      <c r="I15432" s="63"/>
      <c r="J15432" s="63"/>
    </row>
    <row r="15433" spans="9:10" x14ac:dyDescent="0.35">
      <c r="I15433" s="63"/>
      <c r="J15433" s="63"/>
    </row>
    <row r="15434" spans="9:10" x14ac:dyDescent="0.35">
      <c r="I15434" s="63"/>
      <c r="J15434" s="63"/>
    </row>
    <row r="15435" spans="9:10" x14ac:dyDescent="0.35">
      <c r="I15435" s="63"/>
      <c r="J15435" s="63"/>
    </row>
    <row r="15436" spans="9:10" x14ac:dyDescent="0.35">
      <c r="I15436" s="63"/>
      <c r="J15436" s="63"/>
    </row>
    <row r="15437" spans="9:10" x14ac:dyDescent="0.35">
      <c r="I15437" s="63"/>
      <c r="J15437" s="63"/>
    </row>
    <row r="15438" spans="9:10" x14ac:dyDescent="0.35">
      <c r="I15438" s="63"/>
      <c r="J15438" s="63"/>
    </row>
    <row r="15439" spans="9:10" x14ac:dyDescent="0.35">
      <c r="I15439" s="63"/>
      <c r="J15439" s="63"/>
    </row>
    <row r="15440" spans="9:10" x14ac:dyDescent="0.35">
      <c r="I15440" s="63"/>
      <c r="J15440" s="63"/>
    </row>
    <row r="15441" spans="9:10" x14ac:dyDescent="0.35">
      <c r="I15441" s="63"/>
      <c r="J15441" s="63"/>
    </row>
    <row r="15442" spans="9:10" x14ac:dyDescent="0.35">
      <c r="I15442" s="63"/>
      <c r="J15442" s="63"/>
    </row>
    <row r="15443" spans="9:10" x14ac:dyDescent="0.35">
      <c r="I15443" s="63"/>
      <c r="J15443" s="63"/>
    </row>
    <row r="15444" spans="9:10" x14ac:dyDescent="0.35">
      <c r="I15444" s="63"/>
      <c r="J15444" s="63"/>
    </row>
    <row r="15445" spans="9:10" x14ac:dyDescent="0.35">
      <c r="I15445" s="63"/>
      <c r="J15445" s="63"/>
    </row>
    <row r="15446" spans="9:10" x14ac:dyDescent="0.35">
      <c r="I15446" s="63"/>
      <c r="J15446" s="63"/>
    </row>
    <row r="15447" spans="9:10" x14ac:dyDescent="0.35">
      <c r="I15447" s="63"/>
      <c r="J15447" s="63"/>
    </row>
    <row r="15448" spans="9:10" x14ac:dyDescent="0.35">
      <c r="I15448" s="63"/>
      <c r="J15448" s="63"/>
    </row>
    <row r="15449" spans="9:10" x14ac:dyDescent="0.35">
      <c r="I15449" s="63"/>
      <c r="J15449" s="63"/>
    </row>
    <row r="15450" spans="9:10" x14ac:dyDescent="0.35">
      <c r="I15450" s="63"/>
      <c r="J15450" s="63"/>
    </row>
    <row r="15451" spans="9:10" x14ac:dyDescent="0.35">
      <c r="I15451" s="63"/>
      <c r="J15451" s="63"/>
    </row>
    <row r="15452" spans="9:10" x14ac:dyDescent="0.35">
      <c r="I15452" s="63"/>
      <c r="J15452" s="63"/>
    </row>
    <row r="15453" spans="9:10" x14ac:dyDescent="0.35">
      <c r="I15453" s="63"/>
      <c r="J15453" s="63"/>
    </row>
    <row r="15454" spans="9:10" x14ac:dyDescent="0.35">
      <c r="I15454" s="63"/>
      <c r="J15454" s="63"/>
    </row>
    <row r="15455" spans="9:10" x14ac:dyDescent="0.35">
      <c r="I15455" s="63"/>
      <c r="J15455" s="63"/>
    </row>
    <row r="15456" spans="9:10" x14ac:dyDescent="0.35">
      <c r="I15456" s="63"/>
      <c r="J15456" s="63"/>
    </row>
    <row r="15457" spans="9:10" x14ac:dyDescent="0.35">
      <c r="I15457" s="63"/>
      <c r="J15457" s="63"/>
    </row>
    <row r="15458" spans="9:10" x14ac:dyDescent="0.35">
      <c r="I15458" s="63"/>
      <c r="J15458" s="63"/>
    </row>
    <row r="15459" spans="9:10" x14ac:dyDescent="0.35">
      <c r="I15459" s="63"/>
      <c r="J15459" s="63"/>
    </row>
    <row r="15460" spans="9:10" x14ac:dyDescent="0.35">
      <c r="I15460" s="63"/>
      <c r="J15460" s="63"/>
    </row>
    <row r="15461" spans="9:10" x14ac:dyDescent="0.35">
      <c r="I15461" s="63"/>
      <c r="J15461" s="63"/>
    </row>
    <row r="15462" spans="9:10" x14ac:dyDescent="0.35">
      <c r="I15462" s="63"/>
      <c r="J15462" s="63"/>
    </row>
    <row r="15463" spans="9:10" x14ac:dyDescent="0.35">
      <c r="I15463" s="63"/>
      <c r="J15463" s="63"/>
    </row>
    <row r="15464" spans="9:10" x14ac:dyDescent="0.35">
      <c r="I15464" s="63"/>
      <c r="J15464" s="63"/>
    </row>
    <row r="15465" spans="9:10" x14ac:dyDescent="0.35">
      <c r="I15465" s="63"/>
      <c r="J15465" s="63"/>
    </row>
    <row r="15466" spans="9:10" x14ac:dyDescent="0.35">
      <c r="I15466" s="63"/>
      <c r="J15466" s="63"/>
    </row>
    <row r="15467" spans="9:10" x14ac:dyDescent="0.35">
      <c r="I15467" s="63"/>
      <c r="J15467" s="63"/>
    </row>
    <row r="15468" spans="9:10" x14ac:dyDescent="0.35">
      <c r="I15468" s="63"/>
      <c r="J15468" s="63"/>
    </row>
    <row r="15469" spans="9:10" x14ac:dyDescent="0.35">
      <c r="I15469" s="63"/>
      <c r="J15469" s="63"/>
    </row>
    <row r="15470" spans="9:10" x14ac:dyDescent="0.35">
      <c r="I15470" s="63"/>
      <c r="J15470" s="63"/>
    </row>
    <row r="15471" spans="9:10" x14ac:dyDescent="0.35">
      <c r="I15471" s="63"/>
      <c r="J15471" s="63"/>
    </row>
    <row r="15472" spans="9:10" x14ac:dyDescent="0.35">
      <c r="I15472" s="63"/>
      <c r="J15472" s="63"/>
    </row>
    <row r="15473" spans="9:10" x14ac:dyDescent="0.35">
      <c r="I15473" s="63"/>
      <c r="J15473" s="63"/>
    </row>
    <row r="15474" spans="9:10" x14ac:dyDescent="0.35">
      <c r="I15474" s="63"/>
      <c r="J15474" s="63"/>
    </row>
    <row r="15475" spans="9:10" x14ac:dyDescent="0.35">
      <c r="I15475" s="63"/>
      <c r="J15475" s="63"/>
    </row>
    <row r="15476" spans="9:10" x14ac:dyDescent="0.35">
      <c r="I15476" s="63"/>
      <c r="J15476" s="63"/>
    </row>
    <row r="15477" spans="9:10" x14ac:dyDescent="0.35">
      <c r="I15477" s="63"/>
      <c r="J15477" s="63"/>
    </row>
    <row r="15478" spans="9:10" x14ac:dyDescent="0.35">
      <c r="I15478" s="63"/>
      <c r="J15478" s="63"/>
    </row>
    <row r="15479" spans="9:10" x14ac:dyDescent="0.35">
      <c r="I15479" s="63"/>
      <c r="J15479" s="63"/>
    </row>
    <row r="15480" spans="9:10" x14ac:dyDescent="0.35">
      <c r="I15480" s="63"/>
      <c r="J15480" s="63"/>
    </row>
    <row r="15481" spans="9:10" x14ac:dyDescent="0.35">
      <c r="I15481" s="63"/>
      <c r="J15481" s="63"/>
    </row>
    <row r="15482" spans="9:10" x14ac:dyDescent="0.35">
      <c r="I15482" s="63"/>
      <c r="J15482" s="63"/>
    </row>
    <row r="15483" spans="9:10" x14ac:dyDescent="0.35">
      <c r="I15483" s="63"/>
      <c r="J15483" s="63"/>
    </row>
    <row r="15484" spans="9:10" x14ac:dyDescent="0.35">
      <c r="I15484" s="63"/>
      <c r="J15484" s="63"/>
    </row>
    <row r="15485" spans="9:10" x14ac:dyDescent="0.35">
      <c r="I15485" s="63"/>
      <c r="J15485" s="63"/>
    </row>
    <row r="15486" spans="9:10" x14ac:dyDescent="0.35">
      <c r="I15486" s="63"/>
      <c r="J15486" s="63"/>
    </row>
    <row r="15487" spans="9:10" x14ac:dyDescent="0.35">
      <c r="I15487" s="63"/>
      <c r="J15487" s="63"/>
    </row>
    <row r="15488" spans="9:10" x14ac:dyDescent="0.35">
      <c r="I15488" s="63"/>
      <c r="J15488" s="63"/>
    </row>
    <row r="15489" spans="9:10" x14ac:dyDescent="0.35">
      <c r="I15489" s="63"/>
      <c r="J15489" s="63"/>
    </row>
    <row r="15490" spans="9:10" x14ac:dyDescent="0.35">
      <c r="I15490" s="63"/>
      <c r="J15490" s="63"/>
    </row>
    <row r="15491" spans="9:10" x14ac:dyDescent="0.35">
      <c r="I15491" s="63"/>
      <c r="J15491" s="63"/>
    </row>
    <row r="15492" spans="9:10" x14ac:dyDescent="0.35">
      <c r="I15492" s="63"/>
      <c r="J15492" s="63"/>
    </row>
    <row r="15493" spans="9:10" x14ac:dyDescent="0.35">
      <c r="I15493" s="63"/>
      <c r="J15493" s="63"/>
    </row>
    <row r="15494" spans="9:10" x14ac:dyDescent="0.35">
      <c r="I15494" s="63"/>
      <c r="J15494" s="63"/>
    </row>
    <row r="15495" spans="9:10" x14ac:dyDescent="0.35">
      <c r="I15495" s="63"/>
      <c r="J15495" s="63"/>
    </row>
    <row r="15496" spans="9:10" x14ac:dyDescent="0.35">
      <c r="I15496" s="63"/>
      <c r="J15496" s="63"/>
    </row>
    <row r="15497" spans="9:10" x14ac:dyDescent="0.35">
      <c r="I15497" s="63"/>
      <c r="J15497" s="63"/>
    </row>
    <row r="15498" spans="9:10" x14ac:dyDescent="0.35">
      <c r="I15498" s="63"/>
      <c r="J15498" s="63"/>
    </row>
    <row r="15499" spans="9:10" x14ac:dyDescent="0.35">
      <c r="I15499" s="63"/>
      <c r="J15499" s="63"/>
    </row>
    <row r="15500" spans="9:10" x14ac:dyDescent="0.35">
      <c r="I15500" s="63"/>
      <c r="J15500" s="63"/>
    </row>
    <row r="15501" spans="9:10" x14ac:dyDescent="0.35">
      <c r="I15501" s="63"/>
      <c r="J15501" s="63"/>
    </row>
    <row r="15502" spans="9:10" x14ac:dyDescent="0.35">
      <c r="I15502" s="63"/>
      <c r="J15502" s="63"/>
    </row>
    <row r="15503" spans="9:10" x14ac:dyDescent="0.35">
      <c r="I15503" s="63"/>
      <c r="J15503" s="63"/>
    </row>
    <row r="15504" spans="9:10" x14ac:dyDescent="0.35">
      <c r="I15504" s="63"/>
      <c r="J15504" s="63"/>
    </row>
    <row r="15505" spans="9:10" x14ac:dyDescent="0.35">
      <c r="I15505" s="63"/>
      <c r="J15505" s="63"/>
    </row>
    <row r="15506" spans="9:10" x14ac:dyDescent="0.35">
      <c r="I15506" s="63"/>
      <c r="J15506" s="63"/>
    </row>
    <row r="15507" spans="9:10" x14ac:dyDescent="0.35">
      <c r="I15507" s="63"/>
      <c r="J15507" s="63"/>
    </row>
    <row r="15508" spans="9:10" x14ac:dyDescent="0.35">
      <c r="I15508" s="63"/>
      <c r="J15508" s="63"/>
    </row>
    <row r="15509" spans="9:10" x14ac:dyDescent="0.35">
      <c r="I15509" s="63"/>
      <c r="J15509" s="63"/>
    </row>
    <row r="15510" spans="9:10" x14ac:dyDescent="0.35">
      <c r="I15510" s="63"/>
      <c r="J15510" s="63"/>
    </row>
    <row r="15511" spans="9:10" x14ac:dyDescent="0.35">
      <c r="I15511" s="63"/>
      <c r="J15511" s="63"/>
    </row>
    <row r="15512" spans="9:10" x14ac:dyDescent="0.35">
      <c r="I15512" s="63"/>
      <c r="J15512" s="63"/>
    </row>
    <row r="15513" spans="9:10" x14ac:dyDescent="0.35">
      <c r="I15513" s="63"/>
      <c r="J15513" s="63"/>
    </row>
    <row r="15514" spans="9:10" x14ac:dyDescent="0.35">
      <c r="I15514" s="63"/>
      <c r="J15514" s="63"/>
    </row>
    <row r="15515" spans="9:10" x14ac:dyDescent="0.35">
      <c r="I15515" s="63"/>
      <c r="J15515" s="63"/>
    </row>
    <row r="15516" spans="9:10" x14ac:dyDescent="0.35">
      <c r="I15516" s="63"/>
      <c r="J15516" s="63"/>
    </row>
    <row r="15517" spans="9:10" x14ac:dyDescent="0.35">
      <c r="I15517" s="63"/>
      <c r="J15517" s="63"/>
    </row>
    <row r="15518" spans="9:10" x14ac:dyDescent="0.35">
      <c r="I15518" s="63"/>
      <c r="J15518" s="63"/>
    </row>
    <row r="15519" spans="9:10" x14ac:dyDescent="0.35">
      <c r="I15519" s="63"/>
      <c r="J15519" s="63"/>
    </row>
    <row r="15520" spans="9:10" x14ac:dyDescent="0.35">
      <c r="I15520" s="63"/>
      <c r="J15520" s="63"/>
    </row>
    <row r="15521" spans="9:10" x14ac:dyDescent="0.35">
      <c r="I15521" s="63"/>
      <c r="J15521" s="63"/>
    </row>
    <row r="15522" spans="9:10" x14ac:dyDescent="0.35">
      <c r="I15522" s="63"/>
      <c r="J15522" s="63"/>
    </row>
    <row r="15523" spans="9:10" x14ac:dyDescent="0.35">
      <c r="I15523" s="63"/>
      <c r="J15523" s="63"/>
    </row>
    <row r="15524" spans="9:10" x14ac:dyDescent="0.35">
      <c r="I15524" s="63"/>
      <c r="J15524" s="63"/>
    </row>
    <row r="15525" spans="9:10" x14ac:dyDescent="0.35">
      <c r="I15525" s="63"/>
      <c r="J15525" s="63"/>
    </row>
    <row r="15526" spans="9:10" x14ac:dyDescent="0.35">
      <c r="I15526" s="63"/>
      <c r="J15526" s="63"/>
    </row>
    <row r="15527" spans="9:10" x14ac:dyDescent="0.35">
      <c r="I15527" s="63"/>
      <c r="J15527" s="63"/>
    </row>
    <row r="15528" spans="9:10" x14ac:dyDescent="0.35">
      <c r="I15528" s="63"/>
      <c r="J15528" s="63"/>
    </row>
    <row r="15529" spans="9:10" x14ac:dyDescent="0.35">
      <c r="I15529" s="63"/>
      <c r="J15529" s="63"/>
    </row>
    <row r="15530" spans="9:10" x14ac:dyDescent="0.35">
      <c r="I15530" s="63"/>
      <c r="J15530" s="63"/>
    </row>
    <row r="15531" spans="9:10" x14ac:dyDescent="0.35">
      <c r="I15531" s="63"/>
      <c r="J15531" s="63"/>
    </row>
    <row r="15532" spans="9:10" x14ac:dyDescent="0.35">
      <c r="I15532" s="63"/>
      <c r="J15532" s="63"/>
    </row>
    <row r="15533" spans="9:10" x14ac:dyDescent="0.35">
      <c r="I15533" s="63"/>
      <c r="J15533" s="63"/>
    </row>
    <row r="15534" spans="9:10" x14ac:dyDescent="0.35">
      <c r="I15534" s="63"/>
      <c r="J15534" s="63"/>
    </row>
    <row r="15535" spans="9:10" x14ac:dyDescent="0.35">
      <c r="I15535" s="63"/>
      <c r="J15535" s="63"/>
    </row>
    <row r="15536" spans="9:10" x14ac:dyDescent="0.35">
      <c r="I15536" s="63"/>
      <c r="J15536" s="63"/>
    </row>
    <row r="15537" spans="9:10" x14ac:dyDescent="0.35">
      <c r="I15537" s="63"/>
      <c r="J15537" s="63"/>
    </row>
    <row r="15538" spans="9:10" x14ac:dyDescent="0.35">
      <c r="I15538" s="63"/>
      <c r="J15538" s="63"/>
    </row>
    <row r="15539" spans="9:10" x14ac:dyDescent="0.35">
      <c r="I15539" s="63"/>
      <c r="J15539" s="63"/>
    </row>
    <row r="15540" spans="9:10" x14ac:dyDescent="0.35">
      <c r="I15540" s="63"/>
      <c r="J15540" s="63"/>
    </row>
    <row r="15541" spans="9:10" x14ac:dyDescent="0.35">
      <c r="I15541" s="63"/>
      <c r="J15541" s="63"/>
    </row>
    <row r="15542" spans="9:10" x14ac:dyDescent="0.35">
      <c r="I15542" s="63"/>
      <c r="J15542" s="63"/>
    </row>
    <row r="15543" spans="9:10" x14ac:dyDescent="0.35">
      <c r="I15543" s="63"/>
      <c r="J15543" s="63"/>
    </row>
    <row r="15544" spans="9:10" x14ac:dyDescent="0.35">
      <c r="I15544" s="63"/>
      <c r="J15544" s="63"/>
    </row>
    <row r="15545" spans="9:10" x14ac:dyDescent="0.35">
      <c r="I15545" s="63"/>
      <c r="J15545" s="63"/>
    </row>
    <row r="15546" spans="9:10" x14ac:dyDescent="0.35">
      <c r="I15546" s="63"/>
      <c r="J15546" s="63"/>
    </row>
    <row r="15547" spans="9:10" x14ac:dyDescent="0.35">
      <c r="I15547" s="63"/>
      <c r="J15547" s="63"/>
    </row>
    <row r="15548" spans="9:10" x14ac:dyDescent="0.35">
      <c r="I15548" s="63"/>
      <c r="J15548" s="63"/>
    </row>
    <row r="15549" spans="9:10" x14ac:dyDescent="0.35">
      <c r="I15549" s="63"/>
      <c r="J15549" s="63"/>
    </row>
    <row r="15550" spans="9:10" x14ac:dyDescent="0.35">
      <c r="I15550" s="63"/>
      <c r="J15550" s="63"/>
    </row>
    <row r="15551" spans="9:10" x14ac:dyDescent="0.35">
      <c r="I15551" s="63"/>
      <c r="J15551" s="63"/>
    </row>
    <row r="15552" spans="9:10" x14ac:dyDescent="0.35">
      <c r="I15552" s="63"/>
      <c r="J15552" s="63"/>
    </row>
    <row r="15553" spans="9:10" x14ac:dyDescent="0.35">
      <c r="I15553" s="63"/>
      <c r="J15553" s="63"/>
    </row>
    <row r="15554" spans="9:10" x14ac:dyDescent="0.35">
      <c r="I15554" s="63"/>
      <c r="J15554" s="63"/>
    </row>
    <row r="15555" spans="9:10" x14ac:dyDescent="0.35">
      <c r="I15555" s="63"/>
      <c r="J15555" s="63"/>
    </row>
    <row r="15556" spans="9:10" x14ac:dyDescent="0.35">
      <c r="I15556" s="63"/>
      <c r="J15556" s="63"/>
    </row>
    <row r="15557" spans="9:10" x14ac:dyDescent="0.35">
      <c r="I15557" s="63"/>
      <c r="J15557" s="63"/>
    </row>
    <row r="15558" spans="9:10" x14ac:dyDescent="0.35">
      <c r="I15558" s="63"/>
      <c r="J15558" s="63"/>
    </row>
    <row r="15559" spans="9:10" x14ac:dyDescent="0.35">
      <c r="I15559" s="63"/>
      <c r="J15559" s="63"/>
    </row>
    <row r="15560" spans="9:10" x14ac:dyDescent="0.35">
      <c r="I15560" s="63"/>
      <c r="J15560" s="63"/>
    </row>
    <row r="15561" spans="9:10" x14ac:dyDescent="0.35">
      <c r="I15561" s="63"/>
      <c r="J15561" s="63"/>
    </row>
    <row r="15562" spans="9:10" x14ac:dyDescent="0.35">
      <c r="I15562" s="63"/>
      <c r="J15562" s="63"/>
    </row>
    <row r="15563" spans="9:10" x14ac:dyDescent="0.35">
      <c r="I15563" s="63"/>
      <c r="J15563" s="63"/>
    </row>
    <row r="15564" spans="9:10" x14ac:dyDescent="0.35">
      <c r="I15564" s="63"/>
      <c r="J15564" s="63"/>
    </row>
    <row r="15565" spans="9:10" x14ac:dyDescent="0.35">
      <c r="I15565" s="63"/>
      <c r="J15565" s="63"/>
    </row>
    <row r="15566" spans="9:10" x14ac:dyDescent="0.35">
      <c r="I15566" s="63"/>
      <c r="J15566" s="63"/>
    </row>
    <row r="15567" spans="9:10" x14ac:dyDescent="0.35">
      <c r="I15567" s="63"/>
      <c r="J15567" s="63"/>
    </row>
    <row r="15568" spans="9:10" x14ac:dyDescent="0.35">
      <c r="I15568" s="63"/>
      <c r="J15568" s="63"/>
    </row>
    <row r="15569" spans="9:10" x14ac:dyDescent="0.35">
      <c r="I15569" s="63"/>
      <c r="J15569" s="63"/>
    </row>
    <row r="15570" spans="9:10" x14ac:dyDescent="0.35">
      <c r="I15570" s="63"/>
      <c r="J15570" s="63"/>
    </row>
    <row r="15571" spans="9:10" x14ac:dyDescent="0.35">
      <c r="I15571" s="63"/>
      <c r="J15571" s="63"/>
    </row>
    <row r="15572" spans="9:10" x14ac:dyDescent="0.35">
      <c r="I15572" s="63"/>
      <c r="J15572" s="63"/>
    </row>
    <row r="15573" spans="9:10" x14ac:dyDescent="0.35">
      <c r="I15573" s="63"/>
      <c r="J15573" s="63"/>
    </row>
    <row r="15574" spans="9:10" x14ac:dyDescent="0.35">
      <c r="I15574" s="63"/>
      <c r="J15574" s="63"/>
    </row>
    <row r="15575" spans="9:10" x14ac:dyDescent="0.35">
      <c r="I15575" s="63"/>
      <c r="J15575" s="63"/>
    </row>
    <row r="15576" spans="9:10" x14ac:dyDescent="0.35">
      <c r="I15576" s="63"/>
      <c r="J15576" s="63"/>
    </row>
    <row r="15577" spans="9:10" x14ac:dyDescent="0.35">
      <c r="I15577" s="63"/>
      <c r="J15577" s="63"/>
    </row>
    <row r="15578" spans="9:10" x14ac:dyDescent="0.35">
      <c r="I15578" s="63"/>
      <c r="J15578" s="63"/>
    </row>
    <row r="15579" spans="9:10" x14ac:dyDescent="0.35">
      <c r="I15579" s="63"/>
      <c r="J15579" s="63"/>
    </row>
    <row r="15580" spans="9:10" x14ac:dyDescent="0.35">
      <c r="I15580" s="63"/>
      <c r="J15580" s="63"/>
    </row>
    <row r="15581" spans="9:10" x14ac:dyDescent="0.35">
      <c r="I15581" s="63"/>
      <c r="J15581" s="63"/>
    </row>
    <row r="15582" spans="9:10" x14ac:dyDescent="0.35">
      <c r="I15582" s="63"/>
      <c r="J15582" s="63"/>
    </row>
    <row r="15583" spans="9:10" x14ac:dyDescent="0.35">
      <c r="I15583" s="63"/>
      <c r="J15583" s="63"/>
    </row>
    <row r="15584" spans="9:10" x14ac:dyDescent="0.35">
      <c r="I15584" s="63"/>
      <c r="J15584" s="63"/>
    </row>
    <row r="15585" spans="9:10" x14ac:dyDescent="0.35">
      <c r="I15585" s="63"/>
      <c r="J15585" s="63"/>
    </row>
    <row r="15586" spans="9:10" x14ac:dyDescent="0.35">
      <c r="I15586" s="63"/>
      <c r="J15586" s="63"/>
    </row>
    <row r="15587" spans="9:10" x14ac:dyDescent="0.35">
      <c r="I15587" s="63"/>
      <c r="J15587" s="63"/>
    </row>
    <row r="15588" spans="9:10" x14ac:dyDescent="0.35">
      <c r="I15588" s="63"/>
      <c r="J15588" s="63"/>
    </row>
    <row r="15589" spans="9:10" x14ac:dyDescent="0.35">
      <c r="I15589" s="63"/>
      <c r="J15589" s="63"/>
    </row>
    <row r="15590" spans="9:10" x14ac:dyDescent="0.35">
      <c r="I15590" s="63"/>
      <c r="J15590" s="63"/>
    </row>
    <row r="15591" spans="9:10" x14ac:dyDescent="0.35">
      <c r="I15591" s="63"/>
      <c r="J15591" s="63"/>
    </row>
    <row r="15592" spans="9:10" x14ac:dyDescent="0.35">
      <c r="I15592" s="63"/>
      <c r="J15592" s="63"/>
    </row>
    <row r="15593" spans="9:10" x14ac:dyDescent="0.35">
      <c r="I15593" s="63"/>
      <c r="J15593" s="63"/>
    </row>
    <row r="15594" spans="9:10" x14ac:dyDescent="0.35">
      <c r="I15594" s="63"/>
      <c r="J15594" s="63"/>
    </row>
    <row r="15595" spans="9:10" x14ac:dyDescent="0.35">
      <c r="I15595" s="63"/>
      <c r="J15595" s="63"/>
    </row>
    <row r="15596" spans="9:10" x14ac:dyDescent="0.35">
      <c r="I15596" s="63"/>
      <c r="J15596" s="63"/>
    </row>
    <row r="15597" spans="9:10" x14ac:dyDescent="0.35">
      <c r="I15597" s="63"/>
      <c r="J15597" s="63"/>
    </row>
    <row r="15598" spans="9:10" x14ac:dyDescent="0.35">
      <c r="I15598" s="63"/>
      <c r="J15598" s="63"/>
    </row>
    <row r="15599" spans="9:10" x14ac:dyDescent="0.35">
      <c r="I15599" s="63"/>
      <c r="J15599" s="63"/>
    </row>
    <row r="15600" spans="9:10" x14ac:dyDescent="0.35">
      <c r="I15600" s="63"/>
      <c r="J15600" s="63"/>
    </row>
    <row r="15601" spans="9:10" x14ac:dyDescent="0.35">
      <c r="I15601" s="63"/>
      <c r="J15601" s="63"/>
    </row>
    <row r="15602" spans="9:10" x14ac:dyDescent="0.35">
      <c r="I15602" s="63"/>
      <c r="J15602" s="63"/>
    </row>
    <row r="15603" spans="9:10" x14ac:dyDescent="0.35">
      <c r="I15603" s="63"/>
      <c r="J15603" s="63"/>
    </row>
    <row r="15604" spans="9:10" x14ac:dyDescent="0.35">
      <c r="I15604" s="63"/>
      <c r="J15604" s="63"/>
    </row>
    <row r="15605" spans="9:10" x14ac:dyDescent="0.35">
      <c r="I15605" s="63"/>
      <c r="J15605" s="63"/>
    </row>
    <row r="15606" spans="9:10" x14ac:dyDescent="0.35">
      <c r="I15606" s="63"/>
      <c r="J15606" s="63"/>
    </row>
    <row r="15607" spans="9:10" x14ac:dyDescent="0.35">
      <c r="I15607" s="63"/>
      <c r="J15607" s="63"/>
    </row>
    <row r="15608" spans="9:10" x14ac:dyDescent="0.35">
      <c r="I15608" s="63"/>
      <c r="J15608" s="63"/>
    </row>
    <row r="15609" spans="9:10" x14ac:dyDescent="0.35">
      <c r="I15609" s="63"/>
      <c r="J15609" s="63"/>
    </row>
    <row r="15610" spans="9:10" x14ac:dyDescent="0.35">
      <c r="I15610" s="63"/>
      <c r="J15610" s="63"/>
    </row>
    <row r="15611" spans="9:10" x14ac:dyDescent="0.35">
      <c r="I15611" s="63"/>
      <c r="J15611" s="63"/>
    </row>
    <row r="15612" spans="9:10" x14ac:dyDescent="0.35">
      <c r="I15612" s="63"/>
      <c r="J15612" s="63"/>
    </row>
    <row r="15613" spans="9:10" x14ac:dyDescent="0.35">
      <c r="I15613" s="63"/>
      <c r="J15613" s="63"/>
    </row>
    <row r="15614" spans="9:10" x14ac:dyDescent="0.35">
      <c r="I15614" s="63"/>
      <c r="J15614" s="63"/>
    </row>
    <row r="15615" spans="9:10" x14ac:dyDescent="0.35">
      <c r="I15615" s="63"/>
      <c r="J15615" s="63"/>
    </row>
    <row r="15616" spans="9:10" x14ac:dyDescent="0.35">
      <c r="I15616" s="63"/>
      <c r="J15616" s="63"/>
    </row>
    <row r="15617" spans="9:10" x14ac:dyDescent="0.35">
      <c r="I15617" s="63"/>
      <c r="J15617" s="63"/>
    </row>
    <row r="15618" spans="9:10" x14ac:dyDescent="0.35">
      <c r="I15618" s="63"/>
      <c r="J15618" s="63"/>
    </row>
    <row r="15619" spans="9:10" x14ac:dyDescent="0.35">
      <c r="I15619" s="63"/>
      <c r="J15619" s="63"/>
    </row>
    <row r="15620" spans="9:10" x14ac:dyDescent="0.35">
      <c r="I15620" s="63"/>
      <c r="J15620" s="63"/>
    </row>
    <row r="15621" spans="9:10" x14ac:dyDescent="0.35">
      <c r="I15621" s="63"/>
      <c r="J15621" s="63"/>
    </row>
    <row r="15622" spans="9:10" x14ac:dyDescent="0.35">
      <c r="I15622" s="63"/>
      <c r="J15622" s="63"/>
    </row>
    <row r="15623" spans="9:10" x14ac:dyDescent="0.35">
      <c r="I15623" s="63"/>
      <c r="J15623" s="63"/>
    </row>
    <row r="15624" spans="9:10" x14ac:dyDescent="0.35">
      <c r="I15624" s="63"/>
      <c r="J15624" s="63"/>
    </row>
    <row r="15625" spans="9:10" x14ac:dyDescent="0.35">
      <c r="I15625" s="63"/>
      <c r="J15625" s="63"/>
    </row>
    <row r="15626" spans="9:10" x14ac:dyDescent="0.35">
      <c r="I15626" s="63"/>
      <c r="J15626" s="63"/>
    </row>
    <row r="15627" spans="9:10" x14ac:dyDescent="0.35">
      <c r="I15627" s="63"/>
      <c r="J15627" s="63"/>
    </row>
    <row r="15628" spans="9:10" x14ac:dyDescent="0.35">
      <c r="I15628" s="63"/>
      <c r="J15628" s="63"/>
    </row>
    <row r="15629" spans="9:10" x14ac:dyDescent="0.35">
      <c r="I15629" s="63"/>
      <c r="J15629" s="63"/>
    </row>
    <row r="15630" spans="9:10" x14ac:dyDescent="0.35">
      <c r="I15630" s="63"/>
      <c r="J15630" s="63"/>
    </row>
    <row r="15631" spans="9:10" x14ac:dyDescent="0.35">
      <c r="I15631" s="63"/>
      <c r="J15631" s="63"/>
    </row>
    <row r="15632" spans="9:10" x14ac:dyDescent="0.35">
      <c r="I15632" s="63"/>
      <c r="J15632" s="63"/>
    </row>
    <row r="15633" spans="9:10" x14ac:dyDescent="0.35">
      <c r="I15633" s="63"/>
      <c r="J15633" s="63"/>
    </row>
    <row r="15634" spans="9:10" x14ac:dyDescent="0.35">
      <c r="I15634" s="63"/>
      <c r="J15634" s="63"/>
    </row>
    <row r="15635" spans="9:10" x14ac:dyDescent="0.35">
      <c r="I15635" s="63"/>
      <c r="J15635" s="63"/>
    </row>
    <row r="15636" spans="9:10" x14ac:dyDescent="0.35">
      <c r="I15636" s="63"/>
      <c r="J15636" s="63"/>
    </row>
    <row r="15637" spans="9:10" x14ac:dyDescent="0.35">
      <c r="I15637" s="63"/>
      <c r="J15637" s="63"/>
    </row>
    <row r="15638" spans="9:10" x14ac:dyDescent="0.35">
      <c r="I15638" s="63"/>
      <c r="J15638" s="63"/>
    </row>
    <row r="15639" spans="9:10" x14ac:dyDescent="0.35">
      <c r="I15639" s="63"/>
      <c r="J15639" s="63"/>
    </row>
    <row r="15640" spans="9:10" x14ac:dyDescent="0.35">
      <c r="I15640" s="63"/>
      <c r="J15640" s="63"/>
    </row>
    <row r="15641" spans="9:10" x14ac:dyDescent="0.35">
      <c r="I15641" s="63"/>
      <c r="J15641" s="63"/>
    </row>
    <row r="15642" spans="9:10" x14ac:dyDescent="0.35">
      <c r="I15642" s="63"/>
      <c r="J15642" s="63"/>
    </row>
    <row r="15643" spans="9:10" x14ac:dyDescent="0.35">
      <c r="I15643" s="63"/>
      <c r="J15643" s="63"/>
    </row>
    <row r="15644" spans="9:10" x14ac:dyDescent="0.35">
      <c r="I15644" s="63"/>
      <c r="J15644" s="63"/>
    </row>
    <row r="15645" spans="9:10" x14ac:dyDescent="0.35">
      <c r="I15645" s="63"/>
      <c r="J15645" s="63"/>
    </row>
    <row r="15646" spans="9:10" x14ac:dyDescent="0.35">
      <c r="I15646" s="63"/>
      <c r="J15646" s="63"/>
    </row>
    <row r="15647" spans="9:10" x14ac:dyDescent="0.35">
      <c r="I15647" s="63"/>
      <c r="J15647" s="63"/>
    </row>
    <row r="15648" spans="9:10" x14ac:dyDescent="0.35">
      <c r="I15648" s="63"/>
      <c r="J15648" s="63"/>
    </row>
    <row r="15649" spans="9:10" x14ac:dyDescent="0.35">
      <c r="I15649" s="63"/>
      <c r="J15649" s="63"/>
    </row>
    <row r="15650" spans="9:10" x14ac:dyDescent="0.35">
      <c r="I15650" s="63"/>
      <c r="J15650" s="63"/>
    </row>
    <row r="15651" spans="9:10" x14ac:dyDescent="0.35">
      <c r="I15651" s="63"/>
      <c r="J15651" s="63"/>
    </row>
    <row r="15652" spans="9:10" x14ac:dyDescent="0.35">
      <c r="I15652" s="63"/>
      <c r="J15652" s="63"/>
    </row>
    <row r="15653" spans="9:10" x14ac:dyDescent="0.35">
      <c r="I15653" s="63"/>
      <c r="J15653" s="63"/>
    </row>
    <row r="15654" spans="9:10" x14ac:dyDescent="0.35">
      <c r="I15654" s="63"/>
      <c r="J15654" s="63"/>
    </row>
    <row r="15655" spans="9:10" x14ac:dyDescent="0.35">
      <c r="I15655" s="63"/>
      <c r="J15655" s="63"/>
    </row>
    <row r="15656" spans="9:10" x14ac:dyDescent="0.35">
      <c r="I15656" s="63"/>
      <c r="J15656" s="63"/>
    </row>
    <row r="15657" spans="9:10" x14ac:dyDescent="0.35">
      <c r="I15657" s="63"/>
      <c r="J15657" s="63"/>
    </row>
    <row r="15658" spans="9:10" x14ac:dyDescent="0.35">
      <c r="I15658" s="63"/>
      <c r="J15658" s="63"/>
    </row>
    <row r="15659" spans="9:10" x14ac:dyDescent="0.35">
      <c r="I15659" s="63"/>
      <c r="J15659" s="63"/>
    </row>
    <row r="15660" spans="9:10" x14ac:dyDescent="0.35">
      <c r="I15660" s="63"/>
      <c r="J15660" s="63"/>
    </row>
    <row r="15661" spans="9:10" x14ac:dyDescent="0.35">
      <c r="I15661" s="63"/>
      <c r="J15661" s="63"/>
    </row>
    <row r="15662" spans="9:10" x14ac:dyDescent="0.35">
      <c r="I15662" s="63"/>
      <c r="J15662" s="63"/>
    </row>
    <row r="15663" spans="9:10" x14ac:dyDescent="0.35">
      <c r="I15663" s="63"/>
      <c r="J15663" s="63"/>
    </row>
    <row r="15664" spans="9:10" x14ac:dyDescent="0.35">
      <c r="I15664" s="63"/>
      <c r="J15664" s="63"/>
    </row>
    <row r="15665" spans="9:10" x14ac:dyDescent="0.35">
      <c r="I15665" s="63"/>
      <c r="J15665" s="63"/>
    </row>
    <row r="15666" spans="9:10" x14ac:dyDescent="0.35">
      <c r="I15666" s="63"/>
      <c r="J15666" s="63"/>
    </row>
    <row r="15667" spans="9:10" x14ac:dyDescent="0.35">
      <c r="I15667" s="63"/>
      <c r="J15667" s="63"/>
    </row>
    <row r="15668" spans="9:10" x14ac:dyDescent="0.35">
      <c r="I15668" s="63"/>
      <c r="J15668" s="63"/>
    </row>
    <row r="15669" spans="9:10" x14ac:dyDescent="0.35">
      <c r="I15669" s="63"/>
      <c r="J15669" s="63"/>
    </row>
    <row r="15670" spans="9:10" x14ac:dyDescent="0.35">
      <c r="I15670" s="63"/>
      <c r="J15670" s="63"/>
    </row>
    <row r="15671" spans="9:10" x14ac:dyDescent="0.35">
      <c r="I15671" s="63"/>
      <c r="J15671" s="63"/>
    </row>
    <row r="15672" spans="9:10" x14ac:dyDescent="0.35">
      <c r="I15672" s="63"/>
      <c r="J15672" s="63"/>
    </row>
    <row r="15673" spans="9:10" x14ac:dyDescent="0.35">
      <c r="I15673" s="63"/>
      <c r="J15673" s="63"/>
    </row>
    <row r="15674" spans="9:10" x14ac:dyDescent="0.35">
      <c r="I15674" s="63"/>
      <c r="J15674" s="63"/>
    </row>
    <row r="15675" spans="9:10" x14ac:dyDescent="0.35">
      <c r="I15675" s="63"/>
      <c r="J15675" s="63"/>
    </row>
    <row r="15676" spans="9:10" x14ac:dyDescent="0.35">
      <c r="I15676" s="63"/>
      <c r="J15676" s="63"/>
    </row>
    <row r="15677" spans="9:10" x14ac:dyDescent="0.35">
      <c r="I15677" s="63"/>
      <c r="J15677" s="63"/>
    </row>
    <row r="15678" spans="9:10" x14ac:dyDescent="0.35">
      <c r="I15678" s="63"/>
      <c r="J15678" s="63"/>
    </row>
    <row r="15679" spans="9:10" x14ac:dyDescent="0.35">
      <c r="I15679" s="63"/>
      <c r="J15679" s="63"/>
    </row>
    <row r="15680" spans="9:10" x14ac:dyDescent="0.35">
      <c r="I15680" s="63"/>
      <c r="J15680" s="63"/>
    </row>
    <row r="15681" spans="9:10" x14ac:dyDescent="0.35">
      <c r="I15681" s="63"/>
      <c r="J15681" s="63"/>
    </row>
    <row r="15682" spans="9:10" x14ac:dyDescent="0.35">
      <c r="I15682" s="63"/>
      <c r="J15682" s="63"/>
    </row>
    <row r="15683" spans="9:10" x14ac:dyDescent="0.35">
      <c r="I15683" s="63"/>
      <c r="J15683" s="63"/>
    </row>
    <row r="15684" spans="9:10" x14ac:dyDescent="0.35">
      <c r="I15684" s="63"/>
      <c r="J15684" s="63"/>
    </row>
    <row r="15685" spans="9:10" x14ac:dyDescent="0.35">
      <c r="I15685" s="63"/>
      <c r="J15685" s="63"/>
    </row>
    <row r="15686" spans="9:10" x14ac:dyDescent="0.35">
      <c r="I15686" s="63"/>
      <c r="J15686" s="63"/>
    </row>
    <row r="15687" spans="9:10" x14ac:dyDescent="0.35">
      <c r="I15687" s="63"/>
      <c r="J15687" s="63"/>
    </row>
    <row r="15688" spans="9:10" x14ac:dyDescent="0.35">
      <c r="I15688" s="63"/>
      <c r="J15688" s="63"/>
    </row>
    <row r="15689" spans="9:10" x14ac:dyDescent="0.35">
      <c r="I15689" s="63"/>
      <c r="J15689" s="63"/>
    </row>
    <row r="15690" spans="9:10" x14ac:dyDescent="0.35">
      <c r="I15690" s="63"/>
      <c r="J15690" s="63"/>
    </row>
    <row r="15691" spans="9:10" x14ac:dyDescent="0.35">
      <c r="I15691" s="63"/>
      <c r="J15691" s="63"/>
    </row>
    <row r="15692" spans="9:10" x14ac:dyDescent="0.35">
      <c r="I15692" s="63"/>
      <c r="J15692" s="63"/>
    </row>
    <row r="15693" spans="9:10" x14ac:dyDescent="0.35">
      <c r="I15693" s="63"/>
      <c r="J15693" s="63"/>
    </row>
    <row r="15694" spans="9:10" x14ac:dyDescent="0.35">
      <c r="I15694" s="63"/>
      <c r="J15694" s="63"/>
    </row>
    <row r="15695" spans="9:10" x14ac:dyDescent="0.35">
      <c r="I15695" s="63"/>
      <c r="J15695" s="63"/>
    </row>
    <row r="15696" spans="9:10" x14ac:dyDescent="0.35">
      <c r="I15696" s="63"/>
      <c r="J15696" s="63"/>
    </row>
    <row r="15697" spans="9:10" x14ac:dyDescent="0.35">
      <c r="I15697" s="63"/>
      <c r="J15697" s="63"/>
    </row>
    <row r="15698" spans="9:10" x14ac:dyDescent="0.35">
      <c r="I15698" s="63"/>
      <c r="J15698" s="63"/>
    </row>
    <row r="15699" spans="9:10" x14ac:dyDescent="0.35">
      <c r="I15699" s="63"/>
      <c r="J15699" s="63"/>
    </row>
    <row r="15700" spans="9:10" x14ac:dyDescent="0.35">
      <c r="I15700" s="63"/>
      <c r="J15700" s="63"/>
    </row>
    <row r="15701" spans="9:10" x14ac:dyDescent="0.35">
      <c r="I15701" s="63"/>
      <c r="J15701" s="63"/>
    </row>
    <row r="15702" spans="9:10" x14ac:dyDescent="0.35">
      <c r="I15702" s="63"/>
      <c r="J15702" s="63"/>
    </row>
    <row r="15703" spans="9:10" x14ac:dyDescent="0.35">
      <c r="I15703" s="63"/>
      <c r="J15703" s="63"/>
    </row>
    <row r="15704" spans="9:10" x14ac:dyDescent="0.35">
      <c r="I15704" s="63"/>
      <c r="J15704" s="63"/>
    </row>
    <row r="15705" spans="9:10" x14ac:dyDescent="0.35">
      <c r="I15705" s="63"/>
      <c r="J15705" s="63"/>
    </row>
    <row r="15706" spans="9:10" x14ac:dyDescent="0.35">
      <c r="I15706" s="63"/>
      <c r="J15706" s="63"/>
    </row>
    <row r="15707" spans="9:10" x14ac:dyDescent="0.35">
      <c r="I15707" s="63"/>
      <c r="J15707" s="63"/>
    </row>
    <row r="15708" spans="9:10" x14ac:dyDescent="0.35">
      <c r="I15708" s="63"/>
      <c r="J15708" s="63"/>
    </row>
    <row r="15709" spans="9:10" x14ac:dyDescent="0.35">
      <c r="I15709" s="63"/>
      <c r="J15709" s="63"/>
    </row>
    <row r="15710" spans="9:10" x14ac:dyDescent="0.35">
      <c r="I15710" s="63"/>
      <c r="J15710" s="63"/>
    </row>
    <row r="15711" spans="9:10" x14ac:dyDescent="0.35">
      <c r="I15711" s="63"/>
      <c r="J15711" s="63"/>
    </row>
    <row r="15712" spans="9:10" x14ac:dyDescent="0.35">
      <c r="I15712" s="63"/>
      <c r="J15712" s="63"/>
    </row>
    <row r="15713" spans="9:10" x14ac:dyDescent="0.35">
      <c r="I15713" s="63"/>
      <c r="J15713" s="63"/>
    </row>
    <row r="15714" spans="9:10" x14ac:dyDescent="0.35">
      <c r="I15714" s="63"/>
      <c r="J15714" s="63"/>
    </row>
    <row r="15715" spans="9:10" x14ac:dyDescent="0.35">
      <c r="I15715" s="63"/>
      <c r="J15715" s="63"/>
    </row>
    <row r="15716" spans="9:10" x14ac:dyDescent="0.35">
      <c r="I15716" s="63"/>
      <c r="J15716" s="63"/>
    </row>
    <row r="15717" spans="9:10" x14ac:dyDescent="0.35">
      <c r="I15717" s="63"/>
      <c r="J15717" s="63"/>
    </row>
    <row r="15718" spans="9:10" x14ac:dyDescent="0.35">
      <c r="I15718" s="63"/>
      <c r="J15718" s="63"/>
    </row>
    <row r="15719" spans="9:10" x14ac:dyDescent="0.35">
      <c r="I15719" s="63"/>
      <c r="J15719" s="63"/>
    </row>
    <row r="15720" spans="9:10" x14ac:dyDescent="0.35">
      <c r="I15720" s="63"/>
      <c r="J15720" s="63"/>
    </row>
    <row r="15721" spans="9:10" x14ac:dyDescent="0.35">
      <c r="I15721" s="63"/>
      <c r="J15721" s="63"/>
    </row>
    <row r="15722" spans="9:10" x14ac:dyDescent="0.35">
      <c r="I15722" s="63"/>
      <c r="J15722" s="63"/>
    </row>
    <row r="15723" spans="9:10" x14ac:dyDescent="0.35">
      <c r="I15723" s="63"/>
      <c r="J15723" s="63"/>
    </row>
    <row r="15724" spans="9:10" x14ac:dyDescent="0.35">
      <c r="I15724" s="63"/>
      <c r="J15724" s="63"/>
    </row>
    <row r="15725" spans="9:10" x14ac:dyDescent="0.35">
      <c r="I15725" s="63"/>
      <c r="J15725" s="63"/>
    </row>
    <row r="15726" spans="9:10" x14ac:dyDescent="0.35">
      <c r="I15726" s="63"/>
      <c r="J15726" s="63"/>
    </row>
    <row r="15727" spans="9:10" x14ac:dyDescent="0.35">
      <c r="I15727" s="63"/>
      <c r="J15727" s="63"/>
    </row>
    <row r="15728" spans="9:10" x14ac:dyDescent="0.35">
      <c r="I15728" s="63"/>
      <c r="J15728" s="63"/>
    </row>
    <row r="15729" spans="9:10" x14ac:dyDescent="0.35">
      <c r="I15729" s="63"/>
      <c r="J15729" s="63"/>
    </row>
    <row r="15730" spans="9:10" x14ac:dyDescent="0.35">
      <c r="I15730" s="63"/>
      <c r="J15730" s="63"/>
    </row>
    <row r="15731" spans="9:10" x14ac:dyDescent="0.35">
      <c r="I15731" s="63"/>
      <c r="J15731" s="63"/>
    </row>
    <row r="15732" spans="9:10" x14ac:dyDescent="0.35">
      <c r="I15732" s="63"/>
      <c r="J15732" s="63"/>
    </row>
    <row r="15733" spans="9:10" x14ac:dyDescent="0.35">
      <c r="I15733" s="63"/>
      <c r="J15733" s="63"/>
    </row>
    <row r="15734" spans="9:10" x14ac:dyDescent="0.35">
      <c r="I15734" s="63"/>
      <c r="J15734" s="63"/>
    </row>
    <row r="15735" spans="9:10" x14ac:dyDescent="0.35">
      <c r="I15735" s="63"/>
      <c r="J15735" s="63"/>
    </row>
    <row r="15736" spans="9:10" x14ac:dyDescent="0.35">
      <c r="I15736" s="63"/>
      <c r="J15736" s="63"/>
    </row>
    <row r="15737" spans="9:10" x14ac:dyDescent="0.35">
      <c r="I15737" s="63"/>
      <c r="J15737" s="63"/>
    </row>
    <row r="15738" spans="9:10" x14ac:dyDescent="0.35">
      <c r="I15738" s="63"/>
      <c r="J15738" s="63"/>
    </row>
    <row r="15739" spans="9:10" x14ac:dyDescent="0.35">
      <c r="I15739" s="63"/>
      <c r="J15739" s="63"/>
    </row>
    <row r="15740" spans="9:10" x14ac:dyDescent="0.35">
      <c r="I15740" s="63"/>
      <c r="J15740" s="63"/>
    </row>
    <row r="15741" spans="9:10" x14ac:dyDescent="0.35">
      <c r="I15741" s="63"/>
      <c r="J15741" s="63"/>
    </row>
    <row r="15742" spans="9:10" x14ac:dyDescent="0.35">
      <c r="I15742" s="63"/>
      <c r="J15742" s="63"/>
    </row>
    <row r="15743" spans="9:10" x14ac:dyDescent="0.35">
      <c r="I15743" s="63"/>
      <c r="J15743" s="63"/>
    </row>
    <row r="15744" spans="9:10" x14ac:dyDescent="0.35">
      <c r="I15744" s="63"/>
      <c r="J15744" s="63"/>
    </row>
    <row r="15745" spans="9:10" x14ac:dyDescent="0.35">
      <c r="I15745" s="63"/>
      <c r="J15745" s="63"/>
    </row>
    <row r="15746" spans="9:10" x14ac:dyDescent="0.35">
      <c r="I15746" s="63"/>
      <c r="J15746" s="63"/>
    </row>
    <row r="15747" spans="9:10" x14ac:dyDescent="0.35">
      <c r="I15747" s="63"/>
      <c r="J15747" s="63"/>
    </row>
    <row r="15748" spans="9:10" x14ac:dyDescent="0.35">
      <c r="I15748" s="63"/>
      <c r="J15748" s="63"/>
    </row>
    <row r="15749" spans="9:10" x14ac:dyDescent="0.35">
      <c r="I15749" s="63"/>
      <c r="J15749" s="63"/>
    </row>
    <row r="15750" spans="9:10" x14ac:dyDescent="0.35">
      <c r="I15750" s="63"/>
      <c r="J15750" s="63"/>
    </row>
    <row r="15751" spans="9:10" x14ac:dyDescent="0.35">
      <c r="I15751" s="63"/>
      <c r="J15751" s="63"/>
    </row>
    <row r="15752" spans="9:10" x14ac:dyDescent="0.35">
      <c r="I15752" s="63"/>
      <c r="J15752" s="63"/>
    </row>
    <row r="15753" spans="9:10" x14ac:dyDescent="0.35">
      <c r="I15753" s="63"/>
      <c r="J15753" s="63"/>
    </row>
    <row r="15754" spans="9:10" x14ac:dyDescent="0.35">
      <c r="I15754" s="63"/>
      <c r="J15754" s="63"/>
    </row>
    <row r="15755" spans="9:10" x14ac:dyDescent="0.35">
      <c r="I15755" s="63"/>
      <c r="J15755" s="63"/>
    </row>
    <row r="15756" spans="9:10" x14ac:dyDescent="0.35">
      <c r="I15756" s="63"/>
      <c r="J15756" s="63"/>
    </row>
    <row r="15757" spans="9:10" x14ac:dyDescent="0.35">
      <c r="I15757" s="63"/>
      <c r="J15757" s="63"/>
    </row>
    <row r="15758" spans="9:10" x14ac:dyDescent="0.35">
      <c r="I15758" s="63"/>
      <c r="J15758" s="63"/>
    </row>
    <row r="15759" spans="9:10" x14ac:dyDescent="0.35">
      <c r="I15759" s="63"/>
      <c r="J15759" s="63"/>
    </row>
    <row r="15760" spans="9:10" x14ac:dyDescent="0.35">
      <c r="I15760" s="63"/>
      <c r="J15760" s="63"/>
    </row>
    <row r="15761" spans="9:10" x14ac:dyDescent="0.35">
      <c r="I15761" s="63"/>
      <c r="J15761" s="63"/>
    </row>
    <row r="15762" spans="9:10" x14ac:dyDescent="0.35">
      <c r="I15762" s="63"/>
      <c r="J15762" s="63"/>
    </row>
    <row r="15763" spans="9:10" x14ac:dyDescent="0.35">
      <c r="I15763" s="63"/>
      <c r="J15763" s="63"/>
    </row>
    <row r="15764" spans="9:10" x14ac:dyDescent="0.35">
      <c r="I15764" s="63"/>
      <c r="J15764" s="63"/>
    </row>
    <row r="15765" spans="9:10" x14ac:dyDescent="0.35">
      <c r="I15765" s="63"/>
      <c r="J15765" s="63"/>
    </row>
    <row r="15766" spans="9:10" x14ac:dyDescent="0.35">
      <c r="I15766" s="63"/>
      <c r="J15766" s="63"/>
    </row>
    <row r="15767" spans="9:10" x14ac:dyDescent="0.35">
      <c r="I15767" s="63"/>
      <c r="J15767" s="63"/>
    </row>
    <row r="15768" spans="9:10" x14ac:dyDescent="0.35">
      <c r="I15768" s="63"/>
      <c r="J15768" s="63"/>
    </row>
    <row r="15769" spans="9:10" x14ac:dyDescent="0.35">
      <c r="I15769" s="63"/>
      <c r="J15769" s="63"/>
    </row>
    <row r="15770" spans="9:10" x14ac:dyDescent="0.35">
      <c r="I15770" s="63"/>
      <c r="J15770" s="63"/>
    </row>
    <row r="15771" spans="9:10" x14ac:dyDescent="0.35">
      <c r="I15771" s="63"/>
      <c r="J15771" s="63"/>
    </row>
    <row r="15772" spans="9:10" x14ac:dyDescent="0.35">
      <c r="I15772" s="63"/>
      <c r="J15772" s="63"/>
    </row>
    <row r="15773" spans="9:10" x14ac:dyDescent="0.35">
      <c r="I15773" s="63"/>
      <c r="J15773" s="63"/>
    </row>
    <row r="15774" spans="9:10" x14ac:dyDescent="0.35">
      <c r="I15774" s="63"/>
      <c r="J15774" s="63"/>
    </row>
    <row r="15775" spans="9:10" x14ac:dyDescent="0.35">
      <c r="I15775" s="63"/>
      <c r="J15775" s="63"/>
    </row>
    <row r="15776" spans="9:10" x14ac:dyDescent="0.35">
      <c r="I15776" s="63"/>
      <c r="J15776" s="63"/>
    </row>
    <row r="15777" spans="9:10" x14ac:dyDescent="0.35">
      <c r="I15777" s="63"/>
      <c r="J15777" s="63"/>
    </row>
    <row r="15778" spans="9:10" x14ac:dyDescent="0.35">
      <c r="I15778" s="63"/>
      <c r="J15778" s="63"/>
    </row>
    <row r="15779" spans="9:10" x14ac:dyDescent="0.35">
      <c r="I15779" s="63"/>
      <c r="J15779" s="63"/>
    </row>
    <row r="15780" spans="9:10" x14ac:dyDescent="0.35">
      <c r="I15780" s="63"/>
      <c r="J15780" s="63"/>
    </row>
    <row r="15781" spans="9:10" x14ac:dyDescent="0.35">
      <c r="I15781" s="63"/>
      <c r="J15781" s="63"/>
    </row>
    <row r="15782" spans="9:10" x14ac:dyDescent="0.35">
      <c r="I15782" s="63"/>
      <c r="J15782" s="63"/>
    </row>
    <row r="15783" spans="9:10" x14ac:dyDescent="0.35">
      <c r="I15783" s="63"/>
      <c r="J15783" s="63"/>
    </row>
    <row r="15784" spans="9:10" x14ac:dyDescent="0.35">
      <c r="I15784" s="63"/>
      <c r="J15784" s="63"/>
    </row>
    <row r="15785" spans="9:10" x14ac:dyDescent="0.35">
      <c r="I15785" s="63"/>
      <c r="J15785" s="63"/>
    </row>
    <row r="15786" spans="9:10" x14ac:dyDescent="0.35">
      <c r="I15786" s="63"/>
      <c r="J15786" s="63"/>
    </row>
    <row r="15787" spans="9:10" x14ac:dyDescent="0.35">
      <c r="I15787" s="63"/>
      <c r="J15787" s="63"/>
    </row>
    <row r="15788" spans="9:10" x14ac:dyDescent="0.35">
      <c r="I15788" s="63"/>
      <c r="J15788" s="63"/>
    </row>
    <row r="15789" spans="9:10" x14ac:dyDescent="0.35">
      <c r="I15789" s="63"/>
      <c r="J15789" s="63"/>
    </row>
    <row r="15790" spans="9:10" x14ac:dyDescent="0.35">
      <c r="I15790" s="63"/>
      <c r="J15790" s="63"/>
    </row>
    <row r="15791" spans="9:10" x14ac:dyDescent="0.35">
      <c r="I15791" s="63"/>
      <c r="J15791" s="63"/>
    </row>
    <row r="15792" spans="9:10" x14ac:dyDescent="0.35">
      <c r="I15792" s="63"/>
      <c r="J15792" s="63"/>
    </row>
    <row r="15793" spans="9:10" x14ac:dyDescent="0.35">
      <c r="I15793" s="63"/>
      <c r="J15793" s="63"/>
    </row>
    <row r="15794" spans="9:10" x14ac:dyDescent="0.35">
      <c r="I15794" s="63"/>
      <c r="J15794" s="63"/>
    </row>
    <row r="15795" spans="9:10" x14ac:dyDescent="0.35">
      <c r="I15795" s="63"/>
      <c r="J15795" s="63"/>
    </row>
    <row r="15796" spans="9:10" x14ac:dyDescent="0.35">
      <c r="I15796" s="63"/>
      <c r="J15796" s="63"/>
    </row>
    <row r="15797" spans="9:10" x14ac:dyDescent="0.35">
      <c r="I15797" s="63"/>
      <c r="J15797" s="63"/>
    </row>
    <row r="15798" spans="9:10" x14ac:dyDescent="0.35">
      <c r="I15798" s="63"/>
      <c r="J15798" s="63"/>
    </row>
    <row r="15799" spans="9:10" x14ac:dyDescent="0.35">
      <c r="I15799" s="63"/>
      <c r="J15799" s="63"/>
    </row>
    <row r="15800" spans="9:10" x14ac:dyDescent="0.35">
      <c r="I15800" s="63"/>
      <c r="J15800" s="63"/>
    </row>
    <row r="15801" spans="9:10" x14ac:dyDescent="0.35">
      <c r="I15801" s="63"/>
      <c r="J15801" s="63"/>
    </row>
    <row r="15802" spans="9:10" x14ac:dyDescent="0.35">
      <c r="I15802" s="63"/>
      <c r="J15802" s="63"/>
    </row>
    <row r="15803" spans="9:10" x14ac:dyDescent="0.35">
      <c r="I15803" s="63"/>
      <c r="J15803" s="63"/>
    </row>
    <row r="15804" spans="9:10" x14ac:dyDescent="0.35">
      <c r="I15804" s="63"/>
      <c r="J15804" s="63"/>
    </row>
    <row r="15805" spans="9:10" x14ac:dyDescent="0.35">
      <c r="I15805" s="63"/>
      <c r="J15805" s="63"/>
    </row>
    <row r="15806" spans="9:10" x14ac:dyDescent="0.35">
      <c r="I15806" s="63"/>
      <c r="J15806" s="63"/>
    </row>
    <row r="15807" spans="9:10" x14ac:dyDescent="0.35">
      <c r="I15807" s="63"/>
      <c r="J15807" s="63"/>
    </row>
    <row r="15808" spans="9:10" x14ac:dyDescent="0.35">
      <c r="I15808" s="63"/>
      <c r="J15808" s="63"/>
    </row>
    <row r="15809" spans="9:10" x14ac:dyDescent="0.35">
      <c r="I15809" s="63"/>
      <c r="J15809" s="63"/>
    </row>
    <row r="15810" spans="9:10" x14ac:dyDescent="0.35">
      <c r="I15810" s="63"/>
      <c r="J15810" s="63"/>
    </row>
    <row r="15811" spans="9:10" x14ac:dyDescent="0.35">
      <c r="I15811" s="63"/>
      <c r="J15811" s="63"/>
    </row>
    <row r="15812" spans="9:10" x14ac:dyDescent="0.35">
      <c r="I15812" s="63"/>
      <c r="J15812" s="63"/>
    </row>
    <row r="15813" spans="9:10" x14ac:dyDescent="0.35">
      <c r="I15813" s="63"/>
      <c r="J15813" s="63"/>
    </row>
    <row r="15814" spans="9:10" x14ac:dyDescent="0.35">
      <c r="I15814" s="63"/>
      <c r="J15814" s="63"/>
    </row>
    <row r="15815" spans="9:10" x14ac:dyDescent="0.35">
      <c r="I15815" s="63"/>
      <c r="J15815" s="63"/>
    </row>
    <row r="15816" spans="9:10" x14ac:dyDescent="0.35">
      <c r="I15816" s="63"/>
      <c r="J15816" s="63"/>
    </row>
    <row r="15817" spans="9:10" x14ac:dyDescent="0.35">
      <c r="I15817" s="63"/>
      <c r="J15817" s="63"/>
    </row>
    <row r="15818" spans="9:10" x14ac:dyDescent="0.35">
      <c r="I15818" s="63"/>
      <c r="J15818" s="63"/>
    </row>
    <row r="15819" spans="9:10" x14ac:dyDescent="0.35">
      <c r="I15819" s="63"/>
      <c r="J15819" s="63"/>
    </row>
    <row r="15820" spans="9:10" x14ac:dyDescent="0.35">
      <c r="I15820" s="63"/>
      <c r="J15820" s="63"/>
    </row>
    <row r="15821" spans="9:10" x14ac:dyDescent="0.35">
      <c r="I15821" s="63"/>
      <c r="J15821" s="63"/>
    </row>
    <row r="15822" spans="9:10" x14ac:dyDescent="0.35">
      <c r="I15822" s="63"/>
      <c r="J15822" s="63"/>
    </row>
    <row r="15823" spans="9:10" x14ac:dyDescent="0.35">
      <c r="I15823" s="63"/>
      <c r="J15823" s="63"/>
    </row>
    <row r="15824" spans="9:10" x14ac:dyDescent="0.35">
      <c r="I15824" s="63"/>
      <c r="J15824" s="63"/>
    </row>
    <row r="15825" spans="9:10" x14ac:dyDescent="0.35">
      <c r="I15825" s="63"/>
      <c r="J15825" s="63"/>
    </row>
    <row r="15826" spans="9:10" x14ac:dyDescent="0.35">
      <c r="I15826" s="63"/>
      <c r="J15826" s="63"/>
    </row>
    <row r="15827" spans="9:10" x14ac:dyDescent="0.35">
      <c r="I15827" s="63"/>
      <c r="J15827" s="63"/>
    </row>
    <row r="15828" spans="9:10" x14ac:dyDescent="0.35">
      <c r="I15828" s="63"/>
      <c r="J15828" s="63"/>
    </row>
    <row r="15829" spans="9:10" x14ac:dyDescent="0.35">
      <c r="I15829" s="63"/>
      <c r="J15829" s="63"/>
    </row>
    <row r="15830" spans="9:10" x14ac:dyDescent="0.35">
      <c r="I15830" s="63"/>
      <c r="J15830" s="63"/>
    </row>
    <row r="15831" spans="9:10" x14ac:dyDescent="0.35">
      <c r="I15831" s="63"/>
      <c r="J15831" s="63"/>
    </row>
    <row r="15832" spans="9:10" x14ac:dyDescent="0.35">
      <c r="I15832" s="63"/>
      <c r="J15832" s="63"/>
    </row>
    <row r="15833" spans="9:10" x14ac:dyDescent="0.35">
      <c r="I15833" s="63"/>
      <c r="J15833" s="63"/>
    </row>
    <row r="15834" spans="9:10" x14ac:dyDescent="0.35">
      <c r="I15834" s="63"/>
      <c r="J15834" s="63"/>
    </row>
    <row r="15835" spans="9:10" x14ac:dyDescent="0.35">
      <c r="I15835" s="63"/>
      <c r="J15835" s="63"/>
    </row>
    <row r="15836" spans="9:10" x14ac:dyDescent="0.35">
      <c r="I15836" s="63"/>
      <c r="J15836" s="63"/>
    </row>
    <row r="15837" spans="9:10" x14ac:dyDescent="0.35">
      <c r="I15837" s="63"/>
      <c r="J15837" s="63"/>
    </row>
    <row r="15838" spans="9:10" x14ac:dyDescent="0.35">
      <c r="I15838" s="63"/>
      <c r="J15838" s="63"/>
    </row>
    <row r="15839" spans="9:10" x14ac:dyDescent="0.35">
      <c r="I15839" s="63"/>
      <c r="J15839" s="63"/>
    </row>
    <row r="15840" spans="9:10" x14ac:dyDescent="0.35">
      <c r="I15840" s="63"/>
      <c r="J15840" s="63"/>
    </row>
    <row r="15841" spans="9:10" x14ac:dyDescent="0.35">
      <c r="I15841" s="63"/>
      <c r="J15841" s="63"/>
    </row>
    <row r="15842" spans="9:10" x14ac:dyDescent="0.35">
      <c r="I15842" s="63"/>
      <c r="J15842" s="63"/>
    </row>
    <row r="15843" spans="9:10" x14ac:dyDescent="0.35">
      <c r="I15843" s="63"/>
      <c r="J15843" s="63"/>
    </row>
    <row r="15844" spans="9:10" x14ac:dyDescent="0.35">
      <c r="I15844" s="63"/>
      <c r="J15844" s="63"/>
    </row>
    <row r="15845" spans="9:10" x14ac:dyDescent="0.35">
      <c r="I15845" s="63"/>
      <c r="J15845" s="63"/>
    </row>
    <row r="15846" spans="9:10" x14ac:dyDescent="0.35">
      <c r="I15846" s="63"/>
      <c r="J15846" s="63"/>
    </row>
    <row r="15847" spans="9:10" x14ac:dyDescent="0.35">
      <c r="I15847" s="63"/>
      <c r="J15847" s="63"/>
    </row>
    <row r="15848" spans="9:10" x14ac:dyDescent="0.35">
      <c r="I15848" s="63"/>
      <c r="J15848" s="63"/>
    </row>
    <row r="15849" spans="9:10" x14ac:dyDescent="0.35">
      <c r="I15849" s="63"/>
      <c r="J15849" s="63"/>
    </row>
    <row r="15850" spans="9:10" x14ac:dyDescent="0.35">
      <c r="I15850" s="63"/>
      <c r="J15850" s="63"/>
    </row>
    <row r="15851" spans="9:10" x14ac:dyDescent="0.35">
      <c r="I15851" s="63"/>
      <c r="J15851" s="63"/>
    </row>
    <row r="15852" spans="9:10" x14ac:dyDescent="0.35">
      <c r="I15852" s="63"/>
      <c r="J15852" s="63"/>
    </row>
    <row r="15853" spans="9:10" x14ac:dyDescent="0.35">
      <c r="I15853" s="63"/>
      <c r="J15853" s="63"/>
    </row>
    <row r="15854" spans="9:10" x14ac:dyDescent="0.35">
      <c r="I15854" s="63"/>
      <c r="J15854" s="63"/>
    </row>
    <row r="15855" spans="9:10" x14ac:dyDescent="0.35">
      <c r="I15855" s="63"/>
      <c r="J15855" s="63"/>
    </row>
    <row r="15856" spans="9:10" x14ac:dyDescent="0.35">
      <c r="I15856" s="63"/>
      <c r="J15856" s="63"/>
    </row>
    <row r="15857" spans="9:10" x14ac:dyDescent="0.35">
      <c r="I15857" s="63"/>
      <c r="J15857" s="63"/>
    </row>
    <row r="15858" spans="9:10" x14ac:dyDescent="0.35">
      <c r="I15858" s="63"/>
      <c r="J15858" s="63"/>
    </row>
    <row r="15859" spans="9:10" x14ac:dyDescent="0.35">
      <c r="I15859" s="63"/>
      <c r="J15859" s="63"/>
    </row>
    <row r="15860" spans="9:10" x14ac:dyDescent="0.35">
      <c r="I15860" s="63"/>
      <c r="J15860" s="63"/>
    </row>
    <row r="15861" spans="9:10" x14ac:dyDescent="0.35">
      <c r="I15861" s="63"/>
      <c r="J15861" s="63"/>
    </row>
    <row r="15862" spans="9:10" x14ac:dyDescent="0.35">
      <c r="I15862" s="63"/>
      <c r="J15862" s="63"/>
    </row>
    <row r="15863" spans="9:10" x14ac:dyDescent="0.35">
      <c r="I15863" s="63"/>
      <c r="J15863" s="63"/>
    </row>
    <row r="15864" spans="9:10" x14ac:dyDescent="0.35">
      <c r="I15864" s="63"/>
      <c r="J15864" s="63"/>
    </row>
    <row r="15865" spans="9:10" x14ac:dyDescent="0.35">
      <c r="I15865" s="63"/>
      <c r="J15865" s="63"/>
    </row>
    <row r="15866" spans="9:10" x14ac:dyDescent="0.35">
      <c r="I15866" s="63"/>
      <c r="J15866" s="63"/>
    </row>
    <row r="15867" spans="9:10" x14ac:dyDescent="0.35">
      <c r="I15867" s="63"/>
      <c r="J15867" s="63"/>
    </row>
    <row r="15868" spans="9:10" x14ac:dyDescent="0.35">
      <c r="I15868" s="63"/>
      <c r="J15868" s="63"/>
    </row>
    <row r="15869" spans="9:10" x14ac:dyDescent="0.35">
      <c r="I15869" s="63"/>
      <c r="J15869" s="63"/>
    </row>
    <row r="15870" spans="9:10" x14ac:dyDescent="0.35">
      <c r="I15870" s="63"/>
      <c r="J15870" s="63"/>
    </row>
    <row r="15871" spans="9:10" x14ac:dyDescent="0.35">
      <c r="I15871" s="63"/>
      <c r="J15871" s="63"/>
    </row>
    <row r="15872" spans="9:10" x14ac:dyDescent="0.35">
      <c r="I15872" s="63"/>
      <c r="J15872" s="63"/>
    </row>
    <row r="15873" spans="9:10" x14ac:dyDescent="0.35">
      <c r="I15873" s="63"/>
      <c r="J15873" s="63"/>
    </row>
    <row r="15874" spans="9:10" x14ac:dyDescent="0.35">
      <c r="I15874" s="63"/>
      <c r="J15874" s="63"/>
    </row>
    <row r="15875" spans="9:10" x14ac:dyDescent="0.35">
      <c r="I15875" s="63"/>
      <c r="J15875" s="63"/>
    </row>
    <row r="15876" spans="9:10" x14ac:dyDescent="0.35">
      <c r="I15876" s="63"/>
      <c r="J15876" s="63"/>
    </row>
    <row r="15877" spans="9:10" x14ac:dyDescent="0.35">
      <c r="I15877" s="63"/>
      <c r="J15877" s="63"/>
    </row>
    <row r="15878" spans="9:10" x14ac:dyDescent="0.35">
      <c r="I15878" s="63"/>
      <c r="J15878" s="63"/>
    </row>
    <row r="15879" spans="9:10" x14ac:dyDescent="0.35">
      <c r="I15879" s="63"/>
      <c r="J15879" s="63"/>
    </row>
    <row r="15880" spans="9:10" x14ac:dyDescent="0.35">
      <c r="I15880" s="63"/>
      <c r="J15880" s="63"/>
    </row>
    <row r="15881" spans="9:10" x14ac:dyDescent="0.35">
      <c r="I15881" s="63"/>
      <c r="J15881" s="63"/>
    </row>
    <row r="15882" spans="9:10" x14ac:dyDescent="0.35">
      <c r="I15882" s="63"/>
      <c r="J15882" s="63"/>
    </row>
    <row r="15883" spans="9:10" x14ac:dyDescent="0.35">
      <c r="I15883" s="63"/>
      <c r="J15883" s="63"/>
    </row>
    <row r="15884" spans="9:10" x14ac:dyDescent="0.35">
      <c r="I15884" s="63"/>
      <c r="J15884" s="63"/>
    </row>
    <row r="15885" spans="9:10" x14ac:dyDescent="0.35">
      <c r="I15885" s="63"/>
      <c r="J15885" s="63"/>
    </row>
    <row r="15886" spans="9:10" x14ac:dyDescent="0.35">
      <c r="I15886" s="63"/>
      <c r="J15886" s="63"/>
    </row>
    <row r="15887" spans="9:10" x14ac:dyDescent="0.35">
      <c r="I15887" s="63"/>
      <c r="J15887" s="63"/>
    </row>
    <row r="15888" spans="9:10" x14ac:dyDescent="0.35">
      <c r="I15888" s="63"/>
      <c r="J15888" s="63"/>
    </row>
    <row r="15889" spans="9:10" x14ac:dyDescent="0.35">
      <c r="I15889" s="63"/>
      <c r="J15889" s="63"/>
    </row>
    <row r="15890" spans="9:10" x14ac:dyDescent="0.35">
      <c r="I15890" s="63"/>
      <c r="J15890" s="63"/>
    </row>
    <row r="15891" spans="9:10" x14ac:dyDescent="0.35">
      <c r="I15891" s="63"/>
      <c r="J15891" s="63"/>
    </row>
    <row r="15892" spans="9:10" x14ac:dyDescent="0.35">
      <c r="I15892" s="63"/>
      <c r="J15892" s="63"/>
    </row>
    <row r="15893" spans="9:10" x14ac:dyDescent="0.35">
      <c r="I15893" s="63"/>
      <c r="J15893" s="63"/>
    </row>
    <row r="15894" spans="9:10" x14ac:dyDescent="0.35">
      <c r="I15894" s="63"/>
      <c r="J15894" s="63"/>
    </row>
    <row r="15895" spans="9:10" x14ac:dyDescent="0.35">
      <c r="I15895" s="63"/>
      <c r="J15895" s="63"/>
    </row>
    <row r="15896" spans="9:10" x14ac:dyDescent="0.35">
      <c r="I15896" s="63"/>
      <c r="J15896" s="63"/>
    </row>
    <row r="15897" spans="9:10" x14ac:dyDescent="0.35">
      <c r="I15897" s="63"/>
      <c r="J15897" s="63"/>
    </row>
    <row r="15898" spans="9:10" x14ac:dyDescent="0.35">
      <c r="I15898" s="63"/>
      <c r="J15898" s="63"/>
    </row>
    <row r="15899" spans="9:10" x14ac:dyDescent="0.35">
      <c r="I15899" s="63"/>
      <c r="J15899" s="63"/>
    </row>
    <row r="15900" spans="9:10" x14ac:dyDescent="0.35">
      <c r="I15900" s="63"/>
      <c r="J15900" s="63"/>
    </row>
    <row r="15901" spans="9:10" x14ac:dyDescent="0.35">
      <c r="I15901" s="63"/>
      <c r="J15901" s="63"/>
    </row>
    <row r="15902" spans="9:10" x14ac:dyDescent="0.35">
      <c r="I15902" s="63"/>
      <c r="J15902" s="63"/>
    </row>
    <row r="15903" spans="9:10" x14ac:dyDescent="0.35">
      <c r="I15903" s="63"/>
      <c r="J15903" s="63"/>
    </row>
    <row r="15904" spans="9:10" x14ac:dyDescent="0.35">
      <c r="I15904" s="63"/>
      <c r="J15904" s="63"/>
    </row>
    <row r="15905" spans="9:10" x14ac:dyDescent="0.35">
      <c r="I15905" s="63"/>
      <c r="J15905" s="63"/>
    </row>
    <row r="15906" spans="9:10" x14ac:dyDescent="0.35">
      <c r="I15906" s="63"/>
      <c r="J15906" s="63"/>
    </row>
    <row r="15907" spans="9:10" x14ac:dyDescent="0.35">
      <c r="I15907" s="63"/>
      <c r="J15907" s="63"/>
    </row>
    <row r="15908" spans="9:10" x14ac:dyDescent="0.35">
      <c r="I15908" s="63"/>
      <c r="J15908" s="63"/>
    </row>
    <row r="15909" spans="9:10" x14ac:dyDescent="0.35">
      <c r="I15909" s="63"/>
      <c r="J15909" s="63"/>
    </row>
    <row r="15910" spans="9:10" x14ac:dyDescent="0.35">
      <c r="I15910" s="63"/>
      <c r="J15910" s="63"/>
    </row>
    <row r="15911" spans="9:10" x14ac:dyDescent="0.35">
      <c r="I15911" s="63"/>
      <c r="J15911" s="63"/>
    </row>
    <row r="15912" spans="9:10" x14ac:dyDescent="0.35">
      <c r="I15912" s="63"/>
      <c r="J15912" s="63"/>
    </row>
    <row r="15913" spans="9:10" x14ac:dyDescent="0.35">
      <c r="I15913" s="63"/>
      <c r="J15913" s="63"/>
    </row>
    <row r="15914" spans="9:10" x14ac:dyDescent="0.35">
      <c r="I15914" s="63"/>
      <c r="J15914" s="63"/>
    </row>
    <row r="15915" spans="9:10" x14ac:dyDescent="0.35">
      <c r="I15915" s="63"/>
      <c r="J15915" s="63"/>
    </row>
    <row r="15916" spans="9:10" x14ac:dyDescent="0.35">
      <c r="I15916" s="63"/>
      <c r="J15916" s="63"/>
    </row>
    <row r="15917" spans="9:10" x14ac:dyDescent="0.35">
      <c r="I15917" s="63"/>
      <c r="J15917" s="63"/>
    </row>
    <row r="15918" spans="9:10" x14ac:dyDescent="0.35">
      <c r="I15918" s="63"/>
      <c r="J15918" s="63"/>
    </row>
    <row r="15919" spans="9:10" x14ac:dyDescent="0.35">
      <c r="I15919" s="63"/>
      <c r="J15919" s="63"/>
    </row>
    <row r="15920" spans="9:10" x14ac:dyDescent="0.35">
      <c r="I15920" s="63"/>
      <c r="J15920" s="63"/>
    </row>
    <row r="15921" spans="9:10" x14ac:dyDescent="0.35">
      <c r="I15921" s="63"/>
      <c r="J15921" s="63"/>
    </row>
    <row r="15922" spans="9:10" x14ac:dyDescent="0.35">
      <c r="I15922" s="63"/>
      <c r="J15922" s="63"/>
    </row>
    <row r="15923" spans="9:10" x14ac:dyDescent="0.35">
      <c r="I15923" s="63"/>
      <c r="J15923" s="63"/>
    </row>
    <row r="15924" spans="9:10" x14ac:dyDescent="0.35">
      <c r="I15924" s="63"/>
      <c r="J15924" s="63"/>
    </row>
    <row r="15925" spans="9:10" x14ac:dyDescent="0.35">
      <c r="I15925" s="63"/>
      <c r="J15925" s="63"/>
    </row>
    <row r="15926" spans="9:10" x14ac:dyDescent="0.35">
      <c r="I15926" s="63"/>
      <c r="J15926" s="63"/>
    </row>
    <row r="15927" spans="9:10" x14ac:dyDescent="0.35">
      <c r="I15927" s="63"/>
      <c r="J15927" s="63"/>
    </row>
    <row r="15928" spans="9:10" x14ac:dyDescent="0.35">
      <c r="I15928" s="63"/>
      <c r="J15928" s="63"/>
    </row>
    <row r="15929" spans="9:10" x14ac:dyDescent="0.35">
      <c r="I15929" s="63"/>
      <c r="J15929" s="63"/>
    </row>
    <row r="15930" spans="9:10" x14ac:dyDescent="0.35">
      <c r="I15930" s="63"/>
      <c r="J15930" s="63"/>
    </row>
    <row r="15931" spans="9:10" x14ac:dyDescent="0.35">
      <c r="I15931" s="63"/>
      <c r="J15931" s="63"/>
    </row>
    <row r="15932" spans="9:10" x14ac:dyDescent="0.35">
      <c r="I15932" s="63"/>
      <c r="J15932" s="63"/>
    </row>
    <row r="15933" spans="9:10" x14ac:dyDescent="0.35">
      <c r="I15933" s="63"/>
      <c r="J15933" s="63"/>
    </row>
    <row r="15934" spans="9:10" x14ac:dyDescent="0.35">
      <c r="I15934" s="63"/>
      <c r="J15934" s="63"/>
    </row>
    <row r="15935" spans="9:10" x14ac:dyDescent="0.35">
      <c r="I15935" s="63"/>
      <c r="J15935" s="63"/>
    </row>
    <row r="15936" spans="9:10" x14ac:dyDescent="0.35">
      <c r="I15936" s="63"/>
      <c r="J15936" s="63"/>
    </row>
    <row r="15937" spans="9:10" x14ac:dyDescent="0.35">
      <c r="I15937" s="63"/>
      <c r="J15937" s="63"/>
    </row>
    <row r="15938" spans="9:10" x14ac:dyDescent="0.35">
      <c r="I15938" s="63"/>
      <c r="J15938" s="63"/>
    </row>
    <row r="15939" spans="9:10" x14ac:dyDescent="0.35">
      <c r="I15939" s="63"/>
      <c r="J15939" s="63"/>
    </row>
    <row r="15940" spans="9:10" x14ac:dyDescent="0.35">
      <c r="I15940" s="63"/>
      <c r="J15940" s="63"/>
    </row>
    <row r="15941" spans="9:10" x14ac:dyDescent="0.35">
      <c r="I15941" s="63"/>
      <c r="J15941" s="63"/>
    </row>
    <row r="15942" spans="9:10" x14ac:dyDescent="0.35">
      <c r="I15942" s="63"/>
      <c r="J15942" s="63"/>
    </row>
    <row r="15943" spans="9:10" x14ac:dyDescent="0.35">
      <c r="I15943" s="63"/>
      <c r="J15943" s="63"/>
    </row>
    <row r="15944" spans="9:10" x14ac:dyDescent="0.35">
      <c r="I15944" s="63"/>
      <c r="J15944" s="63"/>
    </row>
    <row r="15945" spans="9:10" x14ac:dyDescent="0.35">
      <c r="I15945" s="63"/>
      <c r="J15945" s="63"/>
    </row>
    <row r="15946" spans="9:10" x14ac:dyDescent="0.35">
      <c r="I15946" s="63"/>
      <c r="J15946" s="63"/>
    </row>
    <row r="15947" spans="9:10" x14ac:dyDescent="0.35">
      <c r="I15947" s="63"/>
      <c r="J15947" s="63"/>
    </row>
    <row r="15948" spans="9:10" x14ac:dyDescent="0.35">
      <c r="I15948" s="63"/>
      <c r="J15948" s="63"/>
    </row>
    <row r="15949" spans="9:10" x14ac:dyDescent="0.35">
      <c r="I15949" s="63"/>
      <c r="J15949" s="63"/>
    </row>
    <row r="15950" spans="9:10" x14ac:dyDescent="0.35">
      <c r="I15950" s="63"/>
      <c r="J15950" s="63"/>
    </row>
    <row r="15951" spans="9:10" x14ac:dyDescent="0.35">
      <c r="I15951" s="63"/>
      <c r="J15951" s="63"/>
    </row>
    <row r="15952" spans="9:10" x14ac:dyDescent="0.35">
      <c r="I15952" s="63"/>
      <c r="J15952" s="63"/>
    </row>
    <row r="15953" spans="9:10" x14ac:dyDescent="0.35">
      <c r="I15953" s="63"/>
      <c r="J15953" s="63"/>
    </row>
    <row r="15954" spans="9:10" x14ac:dyDescent="0.35">
      <c r="I15954" s="63"/>
      <c r="J15954" s="63"/>
    </row>
    <row r="15955" spans="9:10" x14ac:dyDescent="0.35">
      <c r="I15955" s="63"/>
      <c r="J15955" s="63"/>
    </row>
    <row r="15956" spans="9:10" x14ac:dyDescent="0.35">
      <c r="I15956" s="63"/>
      <c r="J15956" s="63"/>
    </row>
    <row r="15957" spans="9:10" x14ac:dyDescent="0.35">
      <c r="I15957" s="63"/>
      <c r="J15957" s="63"/>
    </row>
    <row r="15958" spans="9:10" x14ac:dyDescent="0.35">
      <c r="I15958" s="63"/>
      <c r="J15958" s="63"/>
    </row>
    <row r="15959" spans="9:10" x14ac:dyDescent="0.35">
      <c r="I15959" s="63"/>
      <c r="J15959" s="63"/>
    </row>
    <row r="15960" spans="9:10" x14ac:dyDescent="0.35">
      <c r="I15960" s="63"/>
      <c r="J15960" s="63"/>
    </row>
    <row r="15961" spans="9:10" x14ac:dyDescent="0.35">
      <c r="I15961" s="63"/>
      <c r="J15961" s="63"/>
    </row>
    <row r="15962" spans="9:10" x14ac:dyDescent="0.35">
      <c r="I15962" s="63"/>
      <c r="J15962" s="63"/>
    </row>
    <row r="15963" spans="9:10" x14ac:dyDescent="0.35">
      <c r="I15963" s="63"/>
      <c r="J15963" s="63"/>
    </row>
    <row r="15964" spans="9:10" x14ac:dyDescent="0.35">
      <c r="I15964" s="63"/>
      <c r="J15964" s="63"/>
    </row>
    <row r="15965" spans="9:10" x14ac:dyDescent="0.35">
      <c r="I15965" s="63"/>
      <c r="J15965" s="63"/>
    </row>
    <row r="15966" spans="9:10" x14ac:dyDescent="0.35">
      <c r="I15966" s="63"/>
      <c r="J15966" s="63"/>
    </row>
    <row r="15967" spans="9:10" x14ac:dyDescent="0.35">
      <c r="I15967" s="63"/>
      <c r="J15967" s="63"/>
    </row>
    <row r="15968" spans="9:10" x14ac:dyDescent="0.35">
      <c r="I15968" s="63"/>
      <c r="J15968" s="63"/>
    </row>
    <row r="15969" spans="9:10" x14ac:dyDescent="0.35">
      <c r="I15969" s="63"/>
      <c r="J15969" s="63"/>
    </row>
    <row r="15970" spans="9:10" x14ac:dyDescent="0.35">
      <c r="I15970" s="63"/>
      <c r="J15970" s="63"/>
    </row>
    <row r="15971" spans="9:10" x14ac:dyDescent="0.35">
      <c r="I15971" s="63"/>
      <c r="J15971" s="63"/>
    </row>
    <row r="15972" spans="9:10" x14ac:dyDescent="0.35">
      <c r="I15972" s="63"/>
      <c r="J15972" s="63"/>
    </row>
    <row r="15973" spans="9:10" x14ac:dyDescent="0.35">
      <c r="I15973" s="63"/>
      <c r="J15973" s="63"/>
    </row>
    <row r="15974" spans="9:10" x14ac:dyDescent="0.35">
      <c r="I15974" s="63"/>
      <c r="J15974" s="63"/>
    </row>
    <row r="15975" spans="9:10" x14ac:dyDescent="0.35">
      <c r="I15975" s="63"/>
      <c r="J15975" s="63"/>
    </row>
    <row r="15976" spans="9:10" x14ac:dyDescent="0.35">
      <c r="I15976" s="63"/>
      <c r="J15976" s="63"/>
    </row>
    <row r="15977" spans="9:10" x14ac:dyDescent="0.35">
      <c r="I15977" s="63"/>
      <c r="J15977" s="63"/>
    </row>
    <row r="15978" spans="9:10" x14ac:dyDescent="0.35">
      <c r="I15978" s="63"/>
      <c r="J15978" s="63"/>
    </row>
    <row r="15979" spans="9:10" x14ac:dyDescent="0.35">
      <c r="I15979" s="63"/>
      <c r="J15979" s="63"/>
    </row>
    <row r="15980" spans="9:10" x14ac:dyDescent="0.35">
      <c r="I15980" s="63"/>
      <c r="J15980" s="63"/>
    </row>
    <row r="15981" spans="9:10" x14ac:dyDescent="0.35">
      <c r="I15981" s="63"/>
      <c r="J15981" s="63"/>
    </row>
    <row r="15982" spans="9:10" x14ac:dyDescent="0.35">
      <c r="I15982" s="63"/>
      <c r="J15982" s="63"/>
    </row>
    <row r="15983" spans="9:10" x14ac:dyDescent="0.35">
      <c r="I15983" s="63"/>
      <c r="J15983" s="63"/>
    </row>
    <row r="15984" spans="9:10" x14ac:dyDescent="0.35">
      <c r="I15984" s="63"/>
      <c r="J15984" s="63"/>
    </row>
    <row r="15985" spans="9:10" x14ac:dyDescent="0.35">
      <c r="I15985" s="63"/>
      <c r="J15985" s="63"/>
    </row>
    <row r="15986" spans="9:10" x14ac:dyDescent="0.35">
      <c r="I15986" s="63"/>
      <c r="J15986" s="63"/>
    </row>
    <row r="15987" spans="9:10" x14ac:dyDescent="0.35">
      <c r="I15987" s="63"/>
      <c r="J15987" s="63"/>
    </row>
    <row r="15988" spans="9:10" x14ac:dyDescent="0.35">
      <c r="I15988" s="63"/>
      <c r="J15988" s="63"/>
    </row>
    <row r="15989" spans="9:10" x14ac:dyDescent="0.35">
      <c r="I15989" s="63"/>
      <c r="J15989" s="63"/>
    </row>
    <row r="15990" spans="9:10" x14ac:dyDescent="0.35">
      <c r="I15990" s="63"/>
      <c r="J15990" s="63"/>
    </row>
    <row r="15991" spans="9:10" x14ac:dyDescent="0.35">
      <c r="I15991" s="63"/>
      <c r="J15991" s="63"/>
    </row>
    <row r="15992" spans="9:10" x14ac:dyDescent="0.35">
      <c r="I15992" s="63"/>
      <c r="J15992" s="63"/>
    </row>
    <row r="15993" spans="9:10" x14ac:dyDescent="0.35">
      <c r="I15993" s="63"/>
      <c r="J15993" s="63"/>
    </row>
    <row r="15994" spans="9:10" x14ac:dyDescent="0.35">
      <c r="I15994" s="63"/>
      <c r="J15994" s="63"/>
    </row>
    <row r="15995" spans="9:10" x14ac:dyDescent="0.35">
      <c r="I15995" s="63"/>
      <c r="J15995" s="63"/>
    </row>
    <row r="15996" spans="9:10" x14ac:dyDescent="0.35">
      <c r="I15996" s="63"/>
      <c r="J15996" s="63"/>
    </row>
    <row r="15997" spans="9:10" x14ac:dyDescent="0.35">
      <c r="I15997" s="63"/>
      <c r="J15997" s="63"/>
    </row>
    <row r="15998" spans="9:10" x14ac:dyDescent="0.35">
      <c r="I15998" s="63"/>
      <c r="J15998" s="63"/>
    </row>
    <row r="15999" spans="9:10" x14ac:dyDescent="0.35">
      <c r="I15999" s="63"/>
      <c r="J15999" s="63"/>
    </row>
    <row r="16000" spans="9:10" x14ac:dyDescent="0.35">
      <c r="I16000" s="63"/>
      <c r="J16000" s="63"/>
    </row>
    <row r="16001" spans="9:10" x14ac:dyDescent="0.35">
      <c r="I16001" s="63"/>
      <c r="J16001" s="63"/>
    </row>
    <row r="16002" spans="9:10" x14ac:dyDescent="0.35">
      <c r="I16002" s="63"/>
      <c r="J16002" s="63"/>
    </row>
    <row r="16003" spans="9:10" x14ac:dyDescent="0.35">
      <c r="I16003" s="63"/>
      <c r="J16003" s="63"/>
    </row>
    <row r="16004" spans="9:10" x14ac:dyDescent="0.35">
      <c r="I16004" s="63"/>
      <c r="J16004" s="63"/>
    </row>
    <row r="16005" spans="9:10" x14ac:dyDescent="0.35">
      <c r="I16005" s="63"/>
      <c r="J16005" s="63"/>
    </row>
    <row r="16006" spans="9:10" x14ac:dyDescent="0.35">
      <c r="I16006" s="63"/>
      <c r="J16006" s="63"/>
    </row>
    <row r="16007" spans="9:10" x14ac:dyDescent="0.35">
      <c r="I16007" s="63"/>
      <c r="J16007" s="63"/>
    </row>
    <row r="16008" spans="9:10" x14ac:dyDescent="0.35">
      <c r="I16008" s="63"/>
      <c r="J16008" s="63"/>
    </row>
    <row r="16009" spans="9:10" x14ac:dyDescent="0.35">
      <c r="I16009" s="63"/>
      <c r="J16009" s="63"/>
    </row>
    <row r="16010" spans="9:10" x14ac:dyDescent="0.35">
      <c r="I16010" s="63"/>
      <c r="J16010" s="63"/>
    </row>
    <row r="16011" spans="9:10" x14ac:dyDescent="0.35">
      <c r="I16011" s="63"/>
      <c r="J16011" s="63"/>
    </row>
    <row r="16012" spans="9:10" x14ac:dyDescent="0.35">
      <c r="I16012" s="63"/>
      <c r="J16012" s="63"/>
    </row>
    <row r="16013" spans="9:10" x14ac:dyDescent="0.35">
      <c r="I16013" s="63"/>
      <c r="J16013" s="63"/>
    </row>
    <row r="16014" spans="9:10" x14ac:dyDescent="0.35">
      <c r="I16014" s="63"/>
      <c r="J16014" s="63"/>
    </row>
    <row r="16015" spans="9:10" x14ac:dyDescent="0.35">
      <c r="I16015" s="63"/>
      <c r="J16015" s="63"/>
    </row>
    <row r="16016" spans="9:10" x14ac:dyDescent="0.35">
      <c r="I16016" s="63"/>
      <c r="J16016" s="63"/>
    </row>
    <row r="16017" spans="9:10" x14ac:dyDescent="0.35">
      <c r="I16017" s="63"/>
      <c r="J16017" s="63"/>
    </row>
    <row r="16018" spans="9:10" x14ac:dyDescent="0.35">
      <c r="I16018" s="63"/>
      <c r="J16018" s="63"/>
    </row>
    <row r="16019" spans="9:10" x14ac:dyDescent="0.35">
      <c r="I16019" s="63"/>
      <c r="J16019" s="63"/>
    </row>
    <row r="16020" spans="9:10" x14ac:dyDescent="0.35">
      <c r="I16020" s="63"/>
      <c r="J16020" s="63"/>
    </row>
    <row r="16021" spans="9:10" x14ac:dyDescent="0.35">
      <c r="I16021" s="63"/>
      <c r="J16021" s="63"/>
    </row>
    <row r="16022" spans="9:10" x14ac:dyDescent="0.35">
      <c r="I16022" s="63"/>
      <c r="J16022" s="63"/>
    </row>
    <row r="16023" spans="9:10" x14ac:dyDescent="0.35">
      <c r="I16023" s="63"/>
      <c r="J16023" s="63"/>
    </row>
    <row r="16024" spans="9:10" x14ac:dyDescent="0.35">
      <c r="I16024" s="63"/>
      <c r="J16024" s="63"/>
    </row>
    <row r="16025" spans="9:10" x14ac:dyDescent="0.35">
      <c r="I16025" s="63"/>
      <c r="J16025" s="63"/>
    </row>
    <row r="16026" spans="9:10" x14ac:dyDescent="0.35">
      <c r="I16026" s="63"/>
      <c r="J16026" s="63"/>
    </row>
    <row r="16027" spans="9:10" x14ac:dyDescent="0.35">
      <c r="I16027" s="63"/>
      <c r="J16027" s="63"/>
    </row>
    <row r="16028" spans="9:10" x14ac:dyDescent="0.35">
      <c r="I16028" s="63"/>
      <c r="J16028" s="63"/>
    </row>
    <row r="16029" spans="9:10" x14ac:dyDescent="0.35">
      <c r="I16029" s="63"/>
      <c r="J16029" s="63"/>
    </row>
    <row r="16030" spans="9:10" x14ac:dyDescent="0.35">
      <c r="I16030" s="63"/>
      <c r="J16030" s="63"/>
    </row>
    <row r="16031" spans="9:10" x14ac:dyDescent="0.35">
      <c r="I16031" s="63"/>
      <c r="J16031" s="63"/>
    </row>
    <row r="16032" spans="9:10" x14ac:dyDescent="0.35">
      <c r="I16032" s="63"/>
      <c r="J16032" s="63"/>
    </row>
    <row r="16033" spans="9:10" x14ac:dyDescent="0.35">
      <c r="I16033" s="63"/>
      <c r="J16033" s="63"/>
    </row>
    <row r="16034" spans="9:10" x14ac:dyDescent="0.35">
      <c r="I16034" s="63"/>
      <c r="J16034" s="63"/>
    </row>
    <row r="16035" spans="9:10" x14ac:dyDescent="0.35">
      <c r="I16035" s="63"/>
      <c r="J16035" s="63"/>
    </row>
    <row r="16036" spans="9:10" x14ac:dyDescent="0.35">
      <c r="I16036" s="63"/>
      <c r="J16036" s="63"/>
    </row>
    <row r="16037" spans="9:10" x14ac:dyDescent="0.35">
      <c r="I16037" s="63"/>
      <c r="J16037" s="63"/>
    </row>
    <row r="16038" spans="9:10" x14ac:dyDescent="0.35">
      <c r="I16038" s="63"/>
      <c r="J16038" s="63"/>
    </row>
    <row r="16039" spans="9:10" x14ac:dyDescent="0.35">
      <c r="I16039" s="63"/>
      <c r="J16039" s="63"/>
    </row>
    <row r="16040" spans="9:10" x14ac:dyDescent="0.35">
      <c r="I16040" s="63"/>
      <c r="J16040" s="63"/>
    </row>
    <row r="16041" spans="9:10" x14ac:dyDescent="0.35">
      <c r="I16041" s="63"/>
      <c r="J16041" s="63"/>
    </row>
    <row r="16042" spans="9:10" x14ac:dyDescent="0.35">
      <c r="I16042" s="63"/>
      <c r="J16042" s="63"/>
    </row>
    <row r="16043" spans="9:10" x14ac:dyDescent="0.35">
      <c r="I16043" s="63"/>
      <c r="J16043" s="63"/>
    </row>
    <row r="16044" spans="9:10" x14ac:dyDescent="0.35">
      <c r="I16044" s="63"/>
      <c r="J16044" s="63"/>
    </row>
    <row r="16045" spans="9:10" x14ac:dyDescent="0.35">
      <c r="I16045" s="63"/>
      <c r="J16045" s="63"/>
    </row>
    <row r="16046" spans="9:10" x14ac:dyDescent="0.35">
      <c r="I16046" s="63"/>
      <c r="J16046" s="63"/>
    </row>
    <row r="16047" spans="9:10" x14ac:dyDescent="0.35">
      <c r="I16047" s="63"/>
      <c r="J16047" s="63"/>
    </row>
    <row r="16048" spans="9:10" x14ac:dyDescent="0.35">
      <c r="I16048" s="63"/>
      <c r="J16048" s="63"/>
    </row>
    <row r="16049" spans="9:10" x14ac:dyDescent="0.35">
      <c r="I16049" s="63"/>
      <c r="J16049" s="63"/>
    </row>
    <row r="16050" spans="9:10" x14ac:dyDescent="0.35">
      <c r="I16050" s="63"/>
      <c r="J16050" s="63"/>
    </row>
    <row r="16051" spans="9:10" x14ac:dyDescent="0.35">
      <c r="I16051" s="63"/>
      <c r="J16051" s="63"/>
    </row>
    <row r="16052" spans="9:10" x14ac:dyDescent="0.35">
      <c r="I16052" s="63"/>
      <c r="J16052" s="63"/>
    </row>
    <row r="16053" spans="9:10" x14ac:dyDescent="0.35">
      <c r="I16053" s="63"/>
      <c r="J16053" s="63"/>
    </row>
    <row r="16054" spans="9:10" x14ac:dyDescent="0.35">
      <c r="I16054" s="63"/>
      <c r="J16054" s="63"/>
    </row>
    <row r="16055" spans="9:10" x14ac:dyDescent="0.35">
      <c r="I16055" s="63"/>
      <c r="J16055" s="63"/>
    </row>
    <row r="16056" spans="9:10" x14ac:dyDescent="0.35">
      <c r="I16056" s="63"/>
      <c r="J16056" s="63"/>
    </row>
    <row r="16057" spans="9:10" x14ac:dyDescent="0.35">
      <c r="I16057" s="63"/>
      <c r="J16057" s="63"/>
    </row>
    <row r="16058" spans="9:10" x14ac:dyDescent="0.35">
      <c r="I16058" s="63"/>
      <c r="J16058" s="63"/>
    </row>
    <row r="16059" spans="9:10" x14ac:dyDescent="0.35">
      <c r="I16059" s="63"/>
      <c r="J16059" s="63"/>
    </row>
    <row r="16060" spans="9:10" x14ac:dyDescent="0.35">
      <c r="I16060" s="63"/>
      <c r="J16060" s="63"/>
    </row>
    <row r="16061" spans="9:10" x14ac:dyDescent="0.35">
      <c r="I16061" s="63"/>
      <c r="J16061" s="63"/>
    </row>
    <row r="16062" spans="9:10" x14ac:dyDescent="0.35">
      <c r="I16062" s="63"/>
      <c r="J16062" s="63"/>
    </row>
    <row r="16063" spans="9:10" x14ac:dyDescent="0.35">
      <c r="I16063" s="63"/>
      <c r="J16063" s="63"/>
    </row>
    <row r="16064" spans="9:10" x14ac:dyDescent="0.35">
      <c r="I16064" s="63"/>
      <c r="J16064" s="63"/>
    </row>
    <row r="16065" spans="9:10" x14ac:dyDescent="0.35">
      <c r="I16065" s="63"/>
      <c r="J16065" s="63"/>
    </row>
    <row r="16066" spans="9:10" x14ac:dyDescent="0.35">
      <c r="I16066" s="63"/>
      <c r="J16066" s="63"/>
    </row>
    <row r="16067" spans="9:10" x14ac:dyDescent="0.35">
      <c r="I16067" s="63"/>
      <c r="J16067" s="63"/>
    </row>
    <row r="16068" spans="9:10" x14ac:dyDescent="0.35">
      <c r="I16068" s="63"/>
      <c r="J16068" s="63"/>
    </row>
    <row r="16069" spans="9:10" x14ac:dyDescent="0.35">
      <c r="I16069" s="63"/>
      <c r="J16069" s="63"/>
    </row>
    <row r="16070" spans="9:10" x14ac:dyDescent="0.35">
      <c r="I16070" s="63"/>
      <c r="J16070" s="63"/>
    </row>
    <row r="16071" spans="9:10" x14ac:dyDescent="0.35">
      <c r="I16071" s="63"/>
      <c r="J16071" s="63"/>
    </row>
    <row r="16072" spans="9:10" x14ac:dyDescent="0.35">
      <c r="I16072" s="63"/>
      <c r="J16072" s="63"/>
    </row>
    <row r="16073" spans="9:10" x14ac:dyDescent="0.35">
      <c r="I16073" s="63"/>
      <c r="J16073" s="63"/>
    </row>
    <row r="16074" spans="9:10" x14ac:dyDescent="0.35">
      <c r="I16074" s="63"/>
      <c r="J16074" s="63"/>
    </row>
    <row r="16075" spans="9:10" x14ac:dyDescent="0.35">
      <c r="I16075" s="63"/>
      <c r="J16075" s="63"/>
    </row>
    <row r="16076" spans="9:10" x14ac:dyDescent="0.35">
      <c r="I16076" s="63"/>
      <c r="J16076" s="63"/>
    </row>
    <row r="16077" spans="9:10" x14ac:dyDescent="0.35">
      <c r="I16077" s="63"/>
      <c r="J16077" s="63"/>
    </row>
    <row r="16078" spans="9:10" x14ac:dyDescent="0.35">
      <c r="I16078" s="63"/>
      <c r="J16078" s="63"/>
    </row>
    <row r="16079" spans="9:10" x14ac:dyDescent="0.35">
      <c r="I16079" s="63"/>
      <c r="J16079" s="63"/>
    </row>
    <row r="16080" spans="9:10" x14ac:dyDescent="0.35">
      <c r="I16080" s="63"/>
      <c r="J16080" s="63"/>
    </row>
    <row r="16081" spans="9:10" x14ac:dyDescent="0.35">
      <c r="I16081" s="63"/>
      <c r="J16081" s="63"/>
    </row>
    <row r="16082" spans="9:10" x14ac:dyDescent="0.35">
      <c r="I16082" s="63"/>
      <c r="J16082" s="63"/>
    </row>
    <row r="16083" spans="9:10" x14ac:dyDescent="0.35">
      <c r="I16083" s="63"/>
      <c r="J16083" s="63"/>
    </row>
    <row r="16084" spans="9:10" x14ac:dyDescent="0.35">
      <c r="I16084" s="63"/>
      <c r="J16084" s="63"/>
    </row>
    <row r="16085" spans="9:10" x14ac:dyDescent="0.35">
      <c r="I16085" s="63"/>
      <c r="J16085" s="63"/>
    </row>
    <row r="16086" spans="9:10" x14ac:dyDescent="0.35">
      <c r="I16086" s="63"/>
      <c r="J16086" s="63"/>
    </row>
    <row r="16087" spans="9:10" x14ac:dyDescent="0.35">
      <c r="I16087" s="63"/>
      <c r="J16087" s="63"/>
    </row>
    <row r="16088" spans="9:10" x14ac:dyDescent="0.35">
      <c r="I16088" s="63"/>
      <c r="J16088" s="63"/>
    </row>
    <row r="16089" spans="9:10" x14ac:dyDescent="0.35">
      <c r="I16089" s="63"/>
      <c r="J16089" s="63"/>
    </row>
    <row r="16090" spans="9:10" x14ac:dyDescent="0.35">
      <c r="I16090" s="63"/>
      <c r="J16090" s="63"/>
    </row>
    <row r="16091" spans="9:10" x14ac:dyDescent="0.35">
      <c r="I16091" s="63"/>
      <c r="J16091" s="63"/>
    </row>
    <row r="16092" spans="9:10" x14ac:dyDescent="0.35">
      <c r="I16092" s="63"/>
      <c r="J16092" s="63"/>
    </row>
    <row r="16093" spans="9:10" x14ac:dyDescent="0.35">
      <c r="I16093" s="63"/>
      <c r="J16093" s="63"/>
    </row>
    <row r="16094" spans="9:10" x14ac:dyDescent="0.35">
      <c r="I16094" s="63"/>
      <c r="J16094" s="63"/>
    </row>
    <row r="16095" spans="9:10" x14ac:dyDescent="0.35">
      <c r="I16095" s="63"/>
      <c r="J16095" s="63"/>
    </row>
    <row r="16096" spans="9:10" x14ac:dyDescent="0.35">
      <c r="I16096" s="63"/>
      <c r="J16096" s="63"/>
    </row>
    <row r="16097" spans="9:10" x14ac:dyDescent="0.35">
      <c r="I16097" s="63"/>
      <c r="J16097" s="63"/>
    </row>
    <row r="16098" spans="9:10" x14ac:dyDescent="0.35">
      <c r="I16098" s="63"/>
      <c r="J16098" s="63"/>
    </row>
    <row r="16099" spans="9:10" x14ac:dyDescent="0.35">
      <c r="I16099" s="63"/>
      <c r="J16099" s="63"/>
    </row>
    <row r="16100" spans="9:10" x14ac:dyDescent="0.35">
      <c r="I16100" s="63"/>
      <c r="J16100" s="63"/>
    </row>
    <row r="16101" spans="9:10" x14ac:dyDescent="0.35">
      <c r="I16101" s="63"/>
      <c r="J16101" s="63"/>
    </row>
    <row r="16102" spans="9:10" x14ac:dyDescent="0.35">
      <c r="I16102" s="63"/>
      <c r="J16102" s="63"/>
    </row>
    <row r="16103" spans="9:10" x14ac:dyDescent="0.35">
      <c r="I16103" s="63"/>
      <c r="J16103" s="63"/>
    </row>
    <row r="16104" spans="9:10" x14ac:dyDescent="0.35">
      <c r="I16104" s="63"/>
      <c r="J16104" s="63"/>
    </row>
    <row r="16105" spans="9:10" x14ac:dyDescent="0.35">
      <c r="I16105" s="63"/>
      <c r="J16105" s="63"/>
    </row>
    <row r="16106" spans="9:10" x14ac:dyDescent="0.35">
      <c r="I16106" s="63"/>
      <c r="J16106" s="63"/>
    </row>
    <row r="16107" spans="9:10" x14ac:dyDescent="0.35">
      <c r="I16107" s="63"/>
      <c r="J16107" s="63"/>
    </row>
    <row r="16108" spans="9:10" x14ac:dyDescent="0.35">
      <c r="I16108" s="63"/>
      <c r="J16108" s="63"/>
    </row>
    <row r="16109" spans="9:10" x14ac:dyDescent="0.35">
      <c r="I16109" s="63"/>
      <c r="J16109" s="63"/>
    </row>
    <row r="16110" spans="9:10" x14ac:dyDescent="0.35">
      <c r="I16110" s="63"/>
      <c r="J16110" s="63"/>
    </row>
    <row r="16111" spans="9:10" x14ac:dyDescent="0.35">
      <c r="I16111" s="63"/>
      <c r="J16111" s="63"/>
    </row>
    <row r="16112" spans="9:10" x14ac:dyDescent="0.35">
      <c r="I16112" s="63"/>
      <c r="J16112" s="63"/>
    </row>
    <row r="16113" spans="9:10" x14ac:dyDescent="0.35">
      <c r="I16113" s="63"/>
      <c r="J16113" s="63"/>
    </row>
    <row r="16114" spans="9:10" x14ac:dyDescent="0.35">
      <c r="I16114" s="63"/>
      <c r="J16114" s="63"/>
    </row>
    <row r="16115" spans="9:10" x14ac:dyDescent="0.35">
      <c r="I16115" s="63"/>
      <c r="J16115" s="63"/>
    </row>
    <row r="16116" spans="9:10" x14ac:dyDescent="0.35">
      <c r="I16116" s="63"/>
      <c r="J16116" s="63"/>
    </row>
    <row r="16117" spans="9:10" x14ac:dyDescent="0.35">
      <c r="I16117" s="63"/>
      <c r="J16117" s="63"/>
    </row>
    <row r="16118" spans="9:10" x14ac:dyDescent="0.35">
      <c r="I16118" s="63"/>
      <c r="J16118" s="63"/>
    </row>
    <row r="16119" spans="9:10" x14ac:dyDescent="0.35">
      <c r="I16119" s="63"/>
      <c r="J16119" s="63"/>
    </row>
    <row r="16120" spans="9:10" x14ac:dyDescent="0.35">
      <c r="I16120" s="63"/>
      <c r="J16120" s="63"/>
    </row>
    <row r="16121" spans="9:10" x14ac:dyDescent="0.35">
      <c r="I16121" s="63"/>
      <c r="J16121" s="63"/>
    </row>
    <row r="16122" spans="9:10" x14ac:dyDescent="0.35">
      <c r="I16122" s="63"/>
      <c r="J16122" s="63"/>
    </row>
    <row r="16123" spans="9:10" x14ac:dyDescent="0.35">
      <c r="I16123" s="63"/>
      <c r="J16123" s="63"/>
    </row>
    <row r="16124" spans="9:10" x14ac:dyDescent="0.35">
      <c r="I16124" s="63"/>
      <c r="J16124" s="63"/>
    </row>
    <row r="16125" spans="9:10" x14ac:dyDescent="0.35">
      <c r="I16125" s="63"/>
      <c r="J16125" s="63"/>
    </row>
    <row r="16126" spans="9:10" x14ac:dyDescent="0.35">
      <c r="I16126" s="63"/>
      <c r="J16126" s="63"/>
    </row>
    <row r="16127" spans="9:10" x14ac:dyDescent="0.35">
      <c r="I16127" s="63"/>
      <c r="J16127" s="63"/>
    </row>
    <row r="16128" spans="9:10" x14ac:dyDescent="0.35">
      <c r="I16128" s="63"/>
      <c r="J16128" s="63"/>
    </row>
    <row r="16129" spans="9:10" x14ac:dyDescent="0.35">
      <c r="I16129" s="63"/>
      <c r="J16129" s="63"/>
    </row>
    <row r="16130" spans="9:10" x14ac:dyDescent="0.35">
      <c r="I16130" s="63"/>
      <c r="J16130" s="63"/>
    </row>
    <row r="16131" spans="9:10" x14ac:dyDescent="0.35">
      <c r="I16131" s="63"/>
      <c r="J16131" s="63"/>
    </row>
    <row r="16132" spans="9:10" x14ac:dyDescent="0.35">
      <c r="I16132" s="63"/>
      <c r="J16132" s="63"/>
    </row>
    <row r="16133" spans="9:10" x14ac:dyDescent="0.35">
      <c r="I16133" s="63"/>
      <c r="J16133" s="63"/>
    </row>
    <row r="16134" spans="9:10" x14ac:dyDescent="0.35">
      <c r="I16134" s="63"/>
      <c r="J16134" s="63"/>
    </row>
    <row r="16135" spans="9:10" x14ac:dyDescent="0.35">
      <c r="I16135" s="63"/>
      <c r="J16135" s="63"/>
    </row>
    <row r="16136" spans="9:10" x14ac:dyDescent="0.35">
      <c r="I16136" s="63"/>
      <c r="J16136" s="63"/>
    </row>
    <row r="16137" spans="9:10" x14ac:dyDescent="0.35">
      <c r="I16137" s="63"/>
      <c r="J16137" s="63"/>
    </row>
    <row r="16138" spans="9:10" x14ac:dyDescent="0.35">
      <c r="I16138" s="63"/>
      <c r="J16138" s="63"/>
    </row>
    <row r="16139" spans="9:10" x14ac:dyDescent="0.35">
      <c r="I16139" s="63"/>
      <c r="J16139" s="63"/>
    </row>
    <row r="16140" spans="9:10" x14ac:dyDescent="0.35">
      <c r="I16140" s="63"/>
      <c r="J16140" s="63"/>
    </row>
    <row r="16141" spans="9:10" x14ac:dyDescent="0.35">
      <c r="I16141" s="63"/>
      <c r="J16141" s="63"/>
    </row>
    <row r="16142" spans="9:10" x14ac:dyDescent="0.35">
      <c r="I16142" s="63"/>
      <c r="J16142" s="63"/>
    </row>
    <row r="16143" spans="9:10" x14ac:dyDescent="0.35">
      <c r="I16143" s="63"/>
      <c r="J16143" s="63"/>
    </row>
    <row r="16144" spans="9:10" x14ac:dyDescent="0.35">
      <c r="I16144" s="63"/>
      <c r="J16144" s="63"/>
    </row>
    <row r="16145" spans="9:10" x14ac:dyDescent="0.35">
      <c r="I16145" s="63"/>
      <c r="J16145" s="63"/>
    </row>
    <row r="16146" spans="9:10" x14ac:dyDescent="0.35">
      <c r="I16146" s="63"/>
      <c r="J16146" s="63"/>
    </row>
    <row r="16147" spans="9:10" x14ac:dyDescent="0.35">
      <c r="I16147" s="63"/>
      <c r="J16147" s="63"/>
    </row>
    <row r="16148" spans="9:10" x14ac:dyDescent="0.35">
      <c r="I16148" s="63"/>
      <c r="J16148" s="63"/>
    </row>
    <row r="16149" spans="9:10" x14ac:dyDescent="0.35">
      <c r="I16149" s="63"/>
      <c r="J16149" s="63"/>
    </row>
    <row r="16150" spans="9:10" x14ac:dyDescent="0.35">
      <c r="I16150" s="63"/>
      <c r="J16150" s="63"/>
    </row>
    <row r="16151" spans="9:10" x14ac:dyDescent="0.35">
      <c r="I16151" s="63"/>
      <c r="J16151" s="63"/>
    </row>
    <row r="16152" spans="9:10" x14ac:dyDescent="0.35">
      <c r="I16152" s="63"/>
      <c r="J16152" s="63"/>
    </row>
    <row r="16153" spans="9:10" x14ac:dyDescent="0.35">
      <c r="I16153" s="63"/>
      <c r="J16153" s="63"/>
    </row>
    <row r="16154" spans="9:10" x14ac:dyDescent="0.35">
      <c r="I16154" s="63"/>
      <c r="J16154" s="63"/>
    </row>
    <row r="16155" spans="9:10" x14ac:dyDescent="0.35">
      <c r="I16155" s="63"/>
      <c r="J16155" s="63"/>
    </row>
    <row r="16156" spans="9:10" x14ac:dyDescent="0.35">
      <c r="I16156" s="63"/>
      <c r="J16156" s="63"/>
    </row>
    <row r="16157" spans="9:10" x14ac:dyDescent="0.35">
      <c r="I16157" s="63"/>
      <c r="J16157" s="63"/>
    </row>
    <row r="16158" spans="9:10" x14ac:dyDescent="0.35">
      <c r="I16158" s="63"/>
      <c r="J16158" s="63"/>
    </row>
    <row r="16159" spans="9:10" x14ac:dyDescent="0.35">
      <c r="I16159" s="63"/>
      <c r="J16159" s="63"/>
    </row>
    <row r="16160" spans="9:10" x14ac:dyDescent="0.35">
      <c r="I16160" s="63"/>
      <c r="J16160" s="63"/>
    </row>
    <row r="16161" spans="9:10" x14ac:dyDescent="0.35">
      <c r="I16161" s="63"/>
      <c r="J16161" s="63"/>
    </row>
    <row r="16162" spans="9:10" x14ac:dyDescent="0.35">
      <c r="I16162" s="63"/>
      <c r="J16162" s="63"/>
    </row>
    <row r="16163" spans="9:10" x14ac:dyDescent="0.35">
      <c r="I16163" s="63"/>
      <c r="J16163" s="63"/>
    </row>
    <row r="16164" spans="9:10" x14ac:dyDescent="0.35">
      <c r="I16164" s="63"/>
      <c r="J16164" s="63"/>
    </row>
    <row r="16165" spans="9:10" x14ac:dyDescent="0.35">
      <c r="I16165" s="63"/>
      <c r="J16165" s="63"/>
    </row>
    <row r="16166" spans="9:10" x14ac:dyDescent="0.35">
      <c r="I16166" s="63"/>
      <c r="J16166" s="63"/>
    </row>
    <row r="16167" spans="9:10" x14ac:dyDescent="0.35">
      <c r="I16167" s="63"/>
      <c r="J16167" s="63"/>
    </row>
    <row r="16168" spans="9:10" x14ac:dyDescent="0.35">
      <c r="I16168" s="63"/>
      <c r="J16168" s="63"/>
    </row>
    <row r="16169" spans="9:10" x14ac:dyDescent="0.35">
      <c r="I16169" s="63"/>
      <c r="J16169" s="63"/>
    </row>
    <row r="16170" spans="9:10" x14ac:dyDescent="0.35">
      <c r="I16170" s="63"/>
      <c r="J16170" s="63"/>
    </row>
    <row r="16171" spans="9:10" x14ac:dyDescent="0.35">
      <c r="I16171" s="63"/>
      <c r="J16171" s="63"/>
    </row>
    <row r="16172" spans="9:10" x14ac:dyDescent="0.35">
      <c r="I16172" s="63"/>
      <c r="J16172" s="63"/>
    </row>
    <row r="16173" spans="9:10" x14ac:dyDescent="0.35">
      <c r="I16173" s="63"/>
      <c r="J16173" s="63"/>
    </row>
    <row r="16174" spans="9:10" x14ac:dyDescent="0.35">
      <c r="I16174" s="63"/>
      <c r="J16174" s="63"/>
    </row>
    <row r="16175" spans="9:10" x14ac:dyDescent="0.35">
      <c r="I16175" s="63"/>
      <c r="J16175" s="63"/>
    </row>
    <row r="16176" spans="9:10" x14ac:dyDescent="0.35">
      <c r="I16176" s="63"/>
      <c r="J16176" s="63"/>
    </row>
    <row r="16177" spans="9:10" x14ac:dyDescent="0.35">
      <c r="I16177" s="63"/>
      <c r="J16177" s="63"/>
    </row>
    <row r="16178" spans="9:10" x14ac:dyDescent="0.35">
      <c r="I16178" s="63"/>
      <c r="J16178" s="63"/>
    </row>
    <row r="16179" spans="9:10" x14ac:dyDescent="0.35">
      <c r="I16179" s="63"/>
      <c r="J16179" s="63"/>
    </row>
    <row r="16180" spans="9:10" x14ac:dyDescent="0.35">
      <c r="I16180" s="63"/>
      <c r="J16180" s="63"/>
    </row>
    <row r="16181" spans="9:10" x14ac:dyDescent="0.35">
      <c r="I16181" s="63"/>
      <c r="J16181" s="63"/>
    </row>
    <row r="16182" spans="9:10" x14ac:dyDescent="0.35">
      <c r="I16182" s="63"/>
      <c r="J16182" s="63"/>
    </row>
    <row r="16183" spans="9:10" x14ac:dyDescent="0.35">
      <c r="I16183" s="63"/>
      <c r="J16183" s="63"/>
    </row>
    <row r="16184" spans="9:10" x14ac:dyDescent="0.35">
      <c r="I16184" s="63"/>
      <c r="J16184" s="63"/>
    </row>
    <row r="16185" spans="9:10" x14ac:dyDescent="0.35">
      <c r="I16185" s="63"/>
      <c r="J16185" s="63"/>
    </row>
    <row r="16186" spans="9:10" x14ac:dyDescent="0.35">
      <c r="I16186" s="63"/>
      <c r="J16186" s="63"/>
    </row>
    <row r="16187" spans="9:10" x14ac:dyDescent="0.35">
      <c r="I16187" s="63"/>
      <c r="J16187" s="63"/>
    </row>
    <row r="16188" spans="9:10" x14ac:dyDescent="0.35">
      <c r="I16188" s="63"/>
      <c r="J16188" s="63"/>
    </row>
    <row r="16189" spans="9:10" x14ac:dyDescent="0.35">
      <c r="I16189" s="63"/>
      <c r="J16189" s="63"/>
    </row>
    <row r="16190" spans="9:10" x14ac:dyDescent="0.35">
      <c r="I16190" s="63"/>
      <c r="J16190" s="63"/>
    </row>
    <row r="16191" spans="9:10" x14ac:dyDescent="0.35">
      <c r="I16191" s="63"/>
      <c r="J16191" s="63"/>
    </row>
    <row r="16192" spans="9:10" x14ac:dyDescent="0.35">
      <c r="I16192" s="63"/>
      <c r="J16192" s="63"/>
    </row>
    <row r="16193" spans="9:10" x14ac:dyDescent="0.35">
      <c r="I16193" s="63"/>
      <c r="J16193" s="63"/>
    </row>
    <row r="16194" spans="9:10" x14ac:dyDescent="0.35">
      <c r="I16194" s="63"/>
      <c r="J16194" s="63"/>
    </row>
    <row r="16195" spans="9:10" x14ac:dyDescent="0.35">
      <c r="I16195" s="63"/>
      <c r="J16195" s="63"/>
    </row>
    <row r="16196" spans="9:10" x14ac:dyDescent="0.35">
      <c r="I16196" s="63"/>
      <c r="J16196" s="63"/>
    </row>
    <row r="16197" spans="9:10" x14ac:dyDescent="0.35">
      <c r="I16197" s="63"/>
      <c r="J16197" s="63"/>
    </row>
    <row r="16198" spans="9:10" x14ac:dyDescent="0.35">
      <c r="I16198" s="63"/>
      <c r="J16198" s="63"/>
    </row>
    <row r="16199" spans="9:10" x14ac:dyDescent="0.35">
      <c r="I16199" s="63"/>
      <c r="J16199" s="63"/>
    </row>
    <row r="16200" spans="9:10" x14ac:dyDescent="0.35">
      <c r="I16200" s="63"/>
      <c r="J16200" s="63"/>
    </row>
    <row r="16201" spans="9:10" x14ac:dyDescent="0.35">
      <c r="I16201" s="63"/>
      <c r="J16201" s="63"/>
    </row>
    <row r="16202" spans="9:10" x14ac:dyDescent="0.35">
      <c r="I16202" s="63"/>
      <c r="J16202" s="63"/>
    </row>
    <row r="16203" spans="9:10" x14ac:dyDescent="0.35">
      <c r="I16203" s="63"/>
      <c r="J16203" s="63"/>
    </row>
    <row r="16204" spans="9:10" x14ac:dyDescent="0.35">
      <c r="I16204" s="63"/>
      <c r="J16204" s="63"/>
    </row>
    <row r="16205" spans="9:10" x14ac:dyDescent="0.35">
      <c r="I16205" s="63"/>
      <c r="J16205" s="63"/>
    </row>
    <row r="16206" spans="9:10" x14ac:dyDescent="0.35">
      <c r="I16206" s="63"/>
      <c r="J16206" s="63"/>
    </row>
    <row r="16207" spans="9:10" x14ac:dyDescent="0.35">
      <c r="I16207" s="63"/>
      <c r="J16207" s="63"/>
    </row>
    <row r="16208" spans="9:10" x14ac:dyDescent="0.35">
      <c r="I16208" s="63"/>
      <c r="J16208" s="63"/>
    </row>
    <row r="16209" spans="9:10" x14ac:dyDescent="0.35">
      <c r="I16209" s="63"/>
      <c r="J16209" s="63"/>
    </row>
    <row r="16210" spans="9:10" x14ac:dyDescent="0.35">
      <c r="I16210" s="63"/>
      <c r="J16210" s="63"/>
    </row>
    <row r="16211" spans="9:10" x14ac:dyDescent="0.35">
      <c r="I16211" s="63"/>
      <c r="J16211" s="63"/>
    </row>
    <row r="16212" spans="9:10" x14ac:dyDescent="0.35">
      <c r="I16212" s="63"/>
      <c r="J16212" s="63"/>
    </row>
    <row r="16213" spans="9:10" x14ac:dyDescent="0.35">
      <c r="I16213" s="63"/>
      <c r="J16213" s="63"/>
    </row>
    <row r="16214" spans="9:10" x14ac:dyDescent="0.35">
      <c r="I16214" s="63"/>
      <c r="J16214" s="63"/>
    </row>
    <row r="16215" spans="9:10" x14ac:dyDescent="0.35">
      <c r="I16215" s="63"/>
      <c r="J16215" s="63"/>
    </row>
    <row r="16216" spans="9:10" x14ac:dyDescent="0.35">
      <c r="I16216" s="63"/>
      <c r="J16216" s="63"/>
    </row>
    <row r="16217" spans="9:10" x14ac:dyDescent="0.35">
      <c r="I16217" s="63"/>
      <c r="J16217" s="63"/>
    </row>
    <row r="16218" spans="9:10" x14ac:dyDescent="0.35">
      <c r="I16218" s="63"/>
      <c r="J16218" s="63"/>
    </row>
    <row r="16219" spans="9:10" x14ac:dyDescent="0.35">
      <c r="I16219" s="63"/>
      <c r="J16219" s="63"/>
    </row>
    <row r="16220" spans="9:10" x14ac:dyDescent="0.35">
      <c r="I16220" s="63"/>
      <c r="J16220" s="63"/>
    </row>
    <row r="16221" spans="9:10" x14ac:dyDescent="0.35">
      <c r="I16221" s="63"/>
      <c r="J16221" s="63"/>
    </row>
    <row r="16222" spans="9:10" x14ac:dyDescent="0.35">
      <c r="I16222" s="63"/>
      <c r="J16222" s="63"/>
    </row>
    <row r="16223" spans="9:10" x14ac:dyDescent="0.35">
      <c r="I16223" s="63"/>
      <c r="J16223" s="63"/>
    </row>
    <row r="16224" spans="9:10" x14ac:dyDescent="0.35">
      <c r="I16224" s="63"/>
      <c r="J16224" s="63"/>
    </row>
    <row r="16225" spans="9:10" x14ac:dyDescent="0.35">
      <c r="I16225" s="63"/>
      <c r="J16225" s="63"/>
    </row>
    <row r="16226" spans="9:10" x14ac:dyDescent="0.35">
      <c r="I16226" s="63"/>
      <c r="J16226" s="63"/>
    </row>
    <row r="16227" spans="9:10" x14ac:dyDescent="0.35">
      <c r="I16227" s="63"/>
      <c r="J16227" s="63"/>
    </row>
    <row r="16228" spans="9:10" x14ac:dyDescent="0.35">
      <c r="I16228" s="63"/>
      <c r="J16228" s="63"/>
    </row>
    <row r="16229" spans="9:10" x14ac:dyDescent="0.35">
      <c r="I16229" s="63"/>
      <c r="J16229" s="63"/>
    </row>
    <row r="16230" spans="9:10" x14ac:dyDescent="0.35">
      <c r="I16230" s="63"/>
      <c r="J16230" s="63"/>
    </row>
    <row r="16231" spans="9:10" x14ac:dyDescent="0.35">
      <c r="I16231" s="63"/>
      <c r="J16231" s="63"/>
    </row>
    <row r="16232" spans="9:10" x14ac:dyDescent="0.35">
      <c r="I16232" s="63"/>
      <c r="J16232" s="63"/>
    </row>
    <row r="16233" spans="9:10" x14ac:dyDescent="0.35">
      <c r="I16233" s="63"/>
      <c r="J16233" s="63"/>
    </row>
    <row r="16234" spans="9:10" x14ac:dyDescent="0.35">
      <c r="I16234" s="63"/>
      <c r="J16234" s="63"/>
    </row>
    <row r="16235" spans="9:10" x14ac:dyDescent="0.35">
      <c r="I16235" s="63"/>
      <c r="J16235" s="63"/>
    </row>
    <row r="16236" spans="9:10" x14ac:dyDescent="0.35">
      <c r="I16236" s="63"/>
      <c r="J16236" s="63"/>
    </row>
    <row r="16237" spans="9:10" x14ac:dyDescent="0.35">
      <c r="I16237" s="63"/>
      <c r="J16237" s="63"/>
    </row>
    <row r="16238" spans="9:10" x14ac:dyDescent="0.35">
      <c r="I16238" s="63"/>
      <c r="J16238" s="63"/>
    </row>
    <row r="16239" spans="9:10" x14ac:dyDescent="0.35">
      <c r="I16239" s="63"/>
      <c r="J16239" s="63"/>
    </row>
    <row r="16240" spans="9:10" x14ac:dyDescent="0.35">
      <c r="I16240" s="63"/>
      <c r="J16240" s="63"/>
    </row>
    <row r="16241" spans="9:10" x14ac:dyDescent="0.35">
      <c r="I16241" s="63"/>
      <c r="J16241" s="63"/>
    </row>
    <row r="16242" spans="9:10" x14ac:dyDescent="0.35">
      <c r="I16242" s="63"/>
      <c r="J16242" s="63"/>
    </row>
    <row r="16243" spans="9:10" x14ac:dyDescent="0.35">
      <c r="I16243" s="63"/>
      <c r="J16243" s="63"/>
    </row>
    <row r="16244" spans="9:10" x14ac:dyDescent="0.35">
      <c r="I16244" s="63"/>
      <c r="J16244" s="63"/>
    </row>
    <row r="16245" spans="9:10" x14ac:dyDescent="0.35">
      <c r="I16245" s="63"/>
      <c r="J16245" s="63"/>
    </row>
    <row r="16246" spans="9:10" x14ac:dyDescent="0.35">
      <c r="I16246" s="63"/>
      <c r="J16246" s="63"/>
    </row>
    <row r="16247" spans="9:10" x14ac:dyDescent="0.35">
      <c r="I16247" s="63"/>
      <c r="J16247" s="63"/>
    </row>
    <row r="16248" spans="9:10" x14ac:dyDescent="0.35">
      <c r="I16248" s="63"/>
      <c r="J16248" s="63"/>
    </row>
    <row r="16249" spans="9:10" x14ac:dyDescent="0.35">
      <c r="I16249" s="63"/>
      <c r="J16249" s="63"/>
    </row>
    <row r="16250" spans="9:10" x14ac:dyDescent="0.35">
      <c r="I16250" s="63"/>
      <c r="J16250" s="63"/>
    </row>
    <row r="16251" spans="9:10" x14ac:dyDescent="0.35">
      <c r="I16251" s="63"/>
      <c r="J16251" s="63"/>
    </row>
    <row r="16252" spans="9:10" x14ac:dyDescent="0.35">
      <c r="I16252" s="63"/>
      <c r="J16252" s="63"/>
    </row>
    <row r="16253" spans="9:10" x14ac:dyDescent="0.35">
      <c r="I16253" s="63"/>
      <c r="J16253" s="63"/>
    </row>
    <row r="16254" spans="9:10" x14ac:dyDescent="0.35">
      <c r="I16254" s="63"/>
      <c r="J16254" s="63"/>
    </row>
    <row r="16255" spans="9:10" x14ac:dyDescent="0.35">
      <c r="I16255" s="63"/>
      <c r="J16255" s="63"/>
    </row>
    <row r="16256" spans="9:10" x14ac:dyDescent="0.35">
      <c r="I16256" s="63"/>
      <c r="J16256" s="63"/>
    </row>
    <row r="16257" spans="9:10" x14ac:dyDescent="0.35">
      <c r="I16257" s="63"/>
      <c r="J16257" s="63"/>
    </row>
    <row r="16258" spans="9:10" x14ac:dyDescent="0.35">
      <c r="I16258" s="63"/>
      <c r="J16258" s="63"/>
    </row>
    <row r="16259" spans="9:10" x14ac:dyDescent="0.35">
      <c r="I16259" s="63"/>
      <c r="J16259" s="63"/>
    </row>
    <row r="16260" spans="9:10" x14ac:dyDescent="0.35">
      <c r="I16260" s="63"/>
      <c r="J16260" s="63"/>
    </row>
    <row r="16261" spans="9:10" x14ac:dyDescent="0.35">
      <c r="I16261" s="63"/>
      <c r="J16261" s="63"/>
    </row>
    <row r="16262" spans="9:10" x14ac:dyDescent="0.35">
      <c r="I16262" s="63"/>
      <c r="J16262" s="63"/>
    </row>
    <row r="16263" spans="9:10" x14ac:dyDescent="0.35">
      <c r="I16263" s="63"/>
      <c r="J16263" s="63"/>
    </row>
    <row r="16264" spans="9:10" x14ac:dyDescent="0.35">
      <c r="I16264" s="63"/>
      <c r="J16264" s="63"/>
    </row>
    <row r="16265" spans="9:10" x14ac:dyDescent="0.35">
      <c r="I16265" s="63"/>
      <c r="J16265" s="63"/>
    </row>
    <row r="16266" spans="9:10" x14ac:dyDescent="0.35">
      <c r="I16266" s="63"/>
      <c r="J16266" s="63"/>
    </row>
    <row r="16267" spans="9:10" x14ac:dyDescent="0.35">
      <c r="I16267" s="63"/>
      <c r="J16267" s="63"/>
    </row>
    <row r="16268" spans="9:10" x14ac:dyDescent="0.35">
      <c r="I16268" s="63"/>
      <c r="J16268" s="63"/>
    </row>
    <row r="16269" spans="9:10" x14ac:dyDescent="0.35">
      <c r="I16269" s="63"/>
      <c r="J16269" s="63"/>
    </row>
    <row r="16270" spans="9:10" x14ac:dyDescent="0.35">
      <c r="I16270" s="63"/>
      <c r="J16270" s="63"/>
    </row>
    <row r="16271" spans="9:10" x14ac:dyDescent="0.35">
      <c r="I16271" s="63"/>
      <c r="J16271" s="63"/>
    </row>
    <row r="16272" spans="9:10" x14ac:dyDescent="0.35">
      <c r="I16272" s="63"/>
      <c r="J16272" s="63"/>
    </row>
    <row r="16273" spans="9:10" x14ac:dyDescent="0.35">
      <c r="I16273" s="63"/>
      <c r="J16273" s="63"/>
    </row>
    <row r="16274" spans="9:10" x14ac:dyDescent="0.35">
      <c r="I16274" s="63"/>
      <c r="J16274" s="63"/>
    </row>
    <row r="16275" spans="9:10" x14ac:dyDescent="0.35">
      <c r="I16275" s="63"/>
      <c r="J16275" s="63"/>
    </row>
    <row r="16276" spans="9:10" x14ac:dyDescent="0.35">
      <c r="I16276" s="63"/>
      <c r="J16276" s="63"/>
    </row>
    <row r="16277" spans="9:10" x14ac:dyDescent="0.35">
      <c r="I16277" s="63"/>
      <c r="J16277" s="63"/>
    </row>
    <row r="16278" spans="9:10" x14ac:dyDescent="0.35">
      <c r="I16278" s="63"/>
      <c r="J16278" s="63"/>
    </row>
    <row r="16279" spans="9:10" x14ac:dyDescent="0.35">
      <c r="I16279" s="63"/>
      <c r="J16279" s="63"/>
    </row>
    <row r="16280" spans="9:10" x14ac:dyDescent="0.35">
      <c r="I16280" s="63"/>
      <c r="J16280" s="63"/>
    </row>
    <row r="16281" spans="9:10" x14ac:dyDescent="0.35">
      <c r="I16281" s="63"/>
      <c r="J16281" s="63"/>
    </row>
    <row r="16282" spans="9:10" x14ac:dyDescent="0.35">
      <c r="I16282" s="63"/>
      <c r="J16282" s="63"/>
    </row>
    <row r="16283" spans="9:10" x14ac:dyDescent="0.35">
      <c r="I16283" s="63"/>
      <c r="J16283" s="63"/>
    </row>
    <row r="16284" spans="9:10" x14ac:dyDescent="0.35">
      <c r="I16284" s="63"/>
      <c r="J16284" s="63"/>
    </row>
    <row r="16285" spans="9:10" x14ac:dyDescent="0.35">
      <c r="I16285" s="63"/>
      <c r="J16285" s="63"/>
    </row>
    <row r="16286" spans="9:10" x14ac:dyDescent="0.35">
      <c r="I16286" s="63"/>
      <c r="J16286" s="63"/>
    </row>
    <row r="16287" spans="9:10" x14ac:dyDescent="0.35">
      <c r="I16287" s="63"/>
      <c r="J16287" s="63"/>
    </row>
    <row r="16288" spans="9:10" x14ac:dyDescent="0.35">
      <c r="I16288" s="63"/>
      <c r="J16288" s="63"/>
    </row>
    <row r="16289" spans="9:10" x14ac:dyDescent="0.35">
      <c r="I16289" s="63"/>
      <c r="J16289" s="63"/>
    </row>
    <row r="16290" spans="9:10" x14ac:dyDescent="0.35">
      <c r="I16290" s="63"/>
      <c r="J16290" s="63"/>
    </row>
    <row r="16291" spans="9:10" x14ac:dyDescent="0.35">
      <c r="I16291" s="63"/>
      <c r="J16291" s="63"/>
    </row>
    <row r="16292" spans="9:10" x14ac:dyDescent="0.35">
      <c r="I16292" s="63"/>
      <c r="J16292" s="63"/>
    </row>
    <row r="16293" spans="9:10" x14ac:dyDescent="0.35">
      <c r="I16293" s="63"/>
      <c r="J16293" s="63"/>
    </row>
    <row r="16294" spans="9:10" x14ac:dyDescent="0.35">
      <c r="I16294" s="63"/>
      <c r="J16294" s="63"/>
    </row>
    <row r="16295" spans="9:10" x14ac:dyDescent="0.35">
      <c r="I16295" s="63"/>
      <c r="J16295" s="63"/>
    </row>
    <row r="16296" spans="9:10" x14ac:dyDescent="0.35">
      <c r="I16296" s="63"/>
      <c r="J16296" s="63"/>
    </row>
    <row r="16297" spans="9:10" x14ac:dyDescent="0.35">
      <c r="I16297" s="63"/>
      <c r="J16297" s="63"/>
    </row>
    <row r="16298" spans="9:10" x14ac:dyDescent="0.35">
      <c r="I16298" s="63"/>
      <c r="J16298" s="63"/>
    </row>
    <row r="16299" spans="9:10" x14ac:dyDescent="0.35">
      <c r="I16299" s="63"/>
      <c r="J16299" s="63"/>
    </row>
    <row r="16300" spans="9:10" x14ac:dyDescent="0.35">
      <c r="I16300" s="63"/>
      <c r="J16300" s="63"/>
    </row>
    <row r="16301" spans="9:10" x14ac:dyDescent="0.35">
      <c r="I16301" s="63"/>
      <c r="J16301" s="63"/>
    </row>
    <row r="16302" spans="9:10" x14ac:dyDescent="0.35">
      <c r="I16302" s="63"/>
      <c r="J16302" s="63"/>
    </row>
    <row r="16303" spans="9:10" x14ac:dyDescent="0.35">
      <c r="I16303" s="63"/>
      <c r="J16303" s="63"/>
    </row>
    <row r="16304" spans="9:10" x14ac:dyDescent="0.35">
      <c r="I16304" s="63"/>
      <c r="J16304" s="63"/>
    </row>
    <row r="16305" spans="9:10" x14ac:dyDescent="0.35">
      <c r="I16305" s="63"/>
      <c r="J16305" s="63"/>
    </row>
    <row r="16306" spans="9:10" x14ac:dyDescent="0.35">
      <c r="I16306" s="63"/>
      <c r="J16306" s="63"/>
    </row>
    <row r="16307" spans="9:10" x14ac:dyDescent="0.35">
      <c r="I16307" s="63"/>
      <c r="J16307" s="63"/>
    </row>
    <row r="16308" spans="9:10" x14ac:dyDescent="0.35">
      <c r="I16308" s="63"/>
      <c r="J16308" s="63"/>
    </row>
    <row r="16309" spans="9:10" x14ac:dyDescent="0.35">
      <c r="I16309" s="63"/>
      <c r="J16309" s="63"/>
    </row>
    <row r="16310" spans="9:10" x14ac:dyDescent="0.35">
      <c r="I16310" s="63"/>
      <c r="J16310" s="63"/>
    </row>
    <row r="16311" spans="9:10" x14ac:dyDescent="0.35">
      <c r="I16311" s="63"/>
      <c r="J16311" s="63"/>
    </row>
    <row r="16312" spans="9:10" x14ac:dyDescent="0.35">
      <c r="I16312" s="63"/>
      <c r="J16312" s="63"/>
    </row>
    <row r="16313" spans="9:10" x14ac:dyDescent="0.35">
      <c r="I16313" s="63"/>
      <c r="J16313" s="63"/>
    </row>
    <row r="16314" spans="9:10" x14ac:dyDescent="0.35">
      <c r="I16314" s="63"/>
      <c r="J16314" s="63"/>
    </row>
    <row r="16315" spans="9:10" x14ac:dyDescent="0.35">
      <c r="I16315" s="63"/>
      <c r="J16315" s="63"/>
    </row>
    <row r="16316" spans="9:10" x14ac:dyDescent="0.35">
      <c r="I16316" s="63"/>
      <c r="J16316" s="63"/>
    </row>
    <row r="16317" spans="9:10" x14ac:dyDescent="0.35">
      <c r="I16317" s="63"/>
      <c r="J16317" s="63"/>
    </row>
    <row r="16318" spans="9:10" x14ac:dyDescent="0.35">
      <c r="I16318" s="63"/>
      <c r="J16318" s="63"/>
    </row>
    <row r="16319" spans="9:10" x14ac:dyDescent="0.35">
      <c r="I16319" s="63"/>
      <c r="J16319" s="63"/>
    </row>
    <row r="16320" spans="9:10" x14ac:dyDescent="0.35">
      <c r="I16320" s="63"/>
      <c r="J16320" s="63"/>
    </row>
    <row r="16321" spans="9:10" x14ac:dyDescent="0.35">
      <c r="I16321" s="63"/>
      <c r="J16321" s="63"/>
    </row>
    <row r="16322" spans="9:10" x14ac:dyDescent="0.35">
      <c r="I16322" s="63"/>
      <c r="J16322" s="63"/>
    </row>
    <row r="16323" spans="9:10" x14ac:dyDescent="0.35">
      <c r="I16323" s="63"/>
      <c r="J16323" s="63"/>
    </row>
    <row r="16324" spans="9:10" x14ac:dyDescent="0.35">
      <c r="I16324" s="63"/>
      <c r="J16324" s="63"/>
    </row>
    <row r="16325" spans="9:10" x14ac:dyDescent="0.35">
      <c r="I16325" s="63"/>
      <c r="J16325" s="63"/>
    </row>
    <row r="16326" spans="9:10" x14ac:dyDescent="0.35">
      <c r="I16326" s="63"/>
      <c r="J16326" s="63"/>
    </row>
    <row r="16327" spans="9:10" x14ac:dyDescent="0.35">
      <c r="I16327" s="63"/>
      <c r="J16327" s="63"/>
    </row>
    <row r="16328" spans="9:10" x14ac:dyDescent="0.35">
      <c r="I16328" s="63"/>
      <c r="J16328" s="63"/>
    </row>
    <row r="16329" spans="9:10" x14ac:dyDescent="0.35">
      <c r="I16329" s="63"/>
      <c r="J16329" s="63"/>
    </row>
    <row r="16330" spans="9:10" x14ac:dyDescent="0.35">
      <c r="I16330" s="63"/>
      <c r="J16330" s="63"/>
    </row>
    <row r="16331" spans="9:10" x14ac:dyDescent="0.35">
      <c r="I16331" s="63"/>
      <c r="J16331" s="63"/>
    </row>
    <row r="16332" spans="9:10" x14ac:dyDescent="0.35">
      <c r="I16332" s="63"/>
      <c r="J16332" s="63"/>
    </row>
    <row r="16333" spans="9:10" x14ac:dyDescent="0.35">
      <c r="I16333" s="63"/>
      <c r="J16333" s="63"/>
    </row>
    <row r="16334" spans="9:10" x14ac:dyDescent="0.35">
      <c r="I16334" s="63"/>
      <c r="J16334" s="63"/>
    </row>
    <row r="16335" spans="9:10" x14ac:dyDescent="0.35">
      <c r="I16335" s="63"/>
      <c r="J16335" s="63"/>
    </row>
    <row r="16336" spans="9:10" x14ac:dyDescent="0.35">
      <c r="I16336" s="63"/>
      <c r="J16336" s="63"/>
    </row>
    <row r="16337" spans="9:10" x14ac:dyDescent="0.35">
      <c r="I16337" s="63"/>
      <c r="J16337" s="63"/>
    </row>
    <row r="16338" spans="9:10" x14ac:dyDescent="0.35">
      <c r="I16338" s="63"/>
      <c r="J16338" s="63"/>
    </row>
    <row r="16339" spans="9:10" x14ac:dyDescent="0.35">
      <c r="I16339" s="63"/>
      <c r="J16339" s="63"/>
    </row>
    <row r="16340" spans="9:10" x14ac:dyDescent="0.35">
      <c r="I16340" s="63"/>
      <c r="J16340" s="63"/>
    </row>
    <row r="16341" spans="9:10" x14ac:dyDescent="0.35">
      <c r="I16341" s="63"/>
      <c r="J16341" s="63"/>
    </row>
    <row r="16342" spans="9:10" x14ac:dyDescent="0.35">
      <c r="I16342" s="63"/>
      <c r="J16342" s="63"/>
    </row>
    <row r="16343" spans="9:10" x14ac:dyDescent="0.35">
      <c r="I16343" s="63"/>
      <c r="J16343" s="63"/>
    </row>
    <row r="16344" spans="9:10" x14ac:dyDescent="0.35">
      <c r="I16344" s="63"/>
      <c r="J16344" s="63"/>
    </row>
    <row r="16345" spans="9:10" x14ac:dyDescent="0.35">
      <c r="I16345" s="63"/>
      <c r="J16345" s="63"/>
    </row>
    <row r="16346" spans="9:10" x14ac:dyDescent="0.35">
      <c r="I16346" s="63"/>
      <c r="J16346" s="63"/>
    </row>
    <row r="16347" spans="9:10" x14ac:dyDescent="0.35">
      <c r="I16347" s="63"/>
      <c r="J16347" s="63"/>
    </row>
    <row r="16348" spans="9:10" x14ac:dyDescent="0.35">
      <c r="I16348" s="63"/>
      <c r="J16348" s="63"/>
    </row>
    <row r="16349" spans="9:10" x14ac:dyDescent="0.35">
      <c r="I16349" s="63"/>
      <c r="J16349" s="63"/>
    </row>
    <row r="16350" spans="9:10" x14ac:dyDescent="0.35">
      <c r="I16350" s="63"/>
      <c r="J16350" s="63"/>
    </row>
    <row r="16351" spans="9:10" x14ac:dyDescent="0.35">
      <c r="I16351" s="63"/>
      <c r="J16351" s="63"/>
    </row>
    <row r="16352" spans="9:10" x14ac:dyDescent="0.35">
      <c r="I16352" s="63"/>
      <c r="J16352" s="63"/>
    </row>
    <row r="16353" spans="9:10" x14ac:dyDescent="0.35">
      <c r="I16353" s="63"/>
      <c r="J16353" s="63"/>
    </row>
    <row r="16354" spans="9:10" x14ac:dyDescent="0.35">
      <c r="I16354" s="63"/>
      <c r="J16354" s="63"/>
    </row>
    <row r="16355" spans="9:10" x14ac:dyDescent="0.35">
      <c r="I16355" s="63"/>
      <c r="J16355" s="63"/>
    </row>
    <row r="16356" spans="9:10" x14ac:dyDescent="0.35">
      <c r="I16356" s="63"/>
      <c r="J16356" s="63"/>
    </row>
    <row r="16357" spans="9:10" x14ac:dyDescent="0.35">
      <c r="I16357" s="63"/>
      <c r="J16357" s="63"/>
    </row>
    <row r="16358" spans="9:10" x14ac:dyDescent="0.35">
      <c r="I16358" s="63"/>
      <c r="J16358" s="63"/>
    </row>
    <row r="16359" spans="9:10" x14ac:dyDescent="0.35">
      <c r="I16359" s="63"/>
      <c r="J16359" s="63"/>
    </row>
    <row r="16360" spans="9:10" x14ac:dyDescent="0.35">
      <c r="I16360" s="63"/>
      <c r="J16360" s="63"/>
    </row>
    <row r="16361" spans="9:10" x14ac:dyDescent="0.35">
      <c r="I16361" s="63"/>
      <c r="J16361" s="63"/>
    </row>
    <row r="16362" spans="9:10" x14ac:dyDescent="0.35">
      <c r="I16362" s="63"/>
      <c r="J16362" s="63"/>
    </row>
    <row r="16363" spans="9:10" x14ac:dyDescent="0.35">
      <c r="I16363" s="63"/>
      <c r="J16363" s="63"/>
    </row>
    <row r="16364" spans="9:10" x14ac:dyDescent="0.35">
      <c r="I16364" s="63"/>
      <c r="J16364" s="63"/>
    </row>
    <row r="16365" spans="9:10" x14ac:dyDescent="0.35">
      <c r="I16365" s="63"/>
      <c r="J16365" s="63"/>
    </row>
    <row r="16366" spans="9:10" x14ac:dyDescent="0.35">
      <c r="I16366" s="63"/>
      <c r="J16366" s="63"/>
    </row>
    <row r="16367" spans="9:10" x14ac:dyDescent="0.35">
      <c r="I16367" s="63"/>
      <c r="J16367" s="63"/>
    </row>
    <row r="16368" spans="9:10" x14ac:dyDescent="0.35">
      <c r="I16368" s="63"/>
      <c r="J16368" s="63"/>
    </row>
    <row r="16369" spans="9:10" x14ac:dyDescent="0.35">
      <c r="I16369" s="63"/>
      <c r="J16369" s="63"/>
    </row>
    <row r="16370" spans="9:10" x14ac:dyDescent="0.35">
      <c r="I16370" s="63"/>
      <c r="J16370" s="63"/>
    </row>
    <row r="16371" spans="9:10" x14ac:dyDescent="0.35">
      <c r="I16371" s="63"/>
      <c r="J16371" s="63"/>
    </row>
    <row r="16372" spans="9:10" x14ac:dyDescent="0.35">
      <c r="I16372" s="63"/>
      <c r="J16372" s="63"/>
    </row>
    <row r="16373" spans="9:10" x14ac:dyDescent="0.35">
      <c r="I16373" s="63"/>
      <c r="J16373" s="63"/>
    </row>
    <row r="16374" spans="9:10" x14ac:dyDescent="0.35">
      <c r="I16374" s="63"/>
      <c r="J16374" s="63"/>
    </row>
    <row r="16375" spans="9:10" x14ac:dyDescent="0.35">
      <c r="I16375" s="63"/>
      <c r="J16375" s="63"/>
    </row>
    <row r="16376" spans="9:10" x14ac:dyDescent="0.35">
      <c r="I16376" s="63"/>
      <c r="J16376" s="63"/>
    </row>
    <row r="16377" spans="9:10" x14ac:dyDescent="0.35">
      <c r="I16377" s="63"/>
      <c r="J16377" s="63"/>
    </row>
    <row r="16378" spans="9:10" x14ac:dyDescent="0.35">
      <c r="I16378" s="63"/>
      <c r="J16378" s="63"/>
    </row>
    <row r="16379" spans="9:10" x14ac:dyDescent="0.35">
      <c r="I16379" s="63"/>
      <c r="J16379" s="63"/>
    </row>
    <row r="16380" spans="9:10" x14ac:dyDescent="0.35">
      <c r="I16380" s="63"/>
      <c r="J16380" s="63"/>
    </row>
    <row r="16381" spans="9:10" x14ac:dyDescent="0.35">
      <c r="I16381" s="63"/>
      <c r="J16381" s="63"/>
    </row>
    <row r="16382" spans="9:10" x14ac:dyDescent="0.35">
      <c r="I16382" s="63"/>
      <c r="J16382" s="63"/>
    </row>
    <row r="16383" spans="9:10" x14ac:dyDescent="0.35">
      <c r="I16383" s="63"/>
      <c r="J16383" s="63"/>
    </row>
    <row r="16384" spans="9:10" x14ac:dyDescent="0.35">
      <c r="I16384" s="63"/>
      <c r="J16384" s="63"/>
    </row>
    <row r="16385" spans="9:10" x14ac:dyDescent="0.35">
      <c r="I16385" s="63"/>
      <c r="J16385" s="63"/>
    </row>
    <row r="16386" spans="9:10" x14ac:dyDescent="0.35">
      <c r="I16386" s="63"/>
      <c r="J16386" s="63"/>
    </row>
    <row r="16387" spans="9:10" x14ac:dyDescent="0.35">
      <c r="I16387" s="63"/>
      <c r="J16387" s="63"/>
    </row>
    <row r="16388" spans="9:10" x14ac:dyDescent="0.35">
      <c r="I16388" s="63"/>
      <c r="J16388" s="63"/>
    </row>
    <row r="16389" spans="9:10" x14ac:dyDescent="0.35">
      <c r="I16389" s="63"/>
      <c r="J16389" s="63"/>
    </row>
    <row r="16390" spans="9:10" x14ac:dyDescent="0.35">
      <c r="I16390" s="63"/>
      <c r="J16390" s="63"/>
    </row>
    <row r="16391" spans="9:10" x14ac:dyDescent="0.35">
      <c r="I16391" s="63"/>
      <c r="J16391" s="63"/>
    </row>
    <row r="16392" spans="9:10" x14ac:dyDescent="0.35">
      <c r="I16392" s="63"/>
      <c r="J16392" s="63"/>
    </row>
    <row r="16393" spans="9:10" x14ac:dyDescent="0.35">
      <c r="I16393" s="63"/>
      <c r="J16393" s="63"/>
    </row>
    <row r="16394" spans="9:10" x14ac:dyDescent="0.35">
      <c r="I16394" s="63"/>
      <c r="J16394" s="63"/>
    </row>
    <row r="16395" spans="9:10" x14ac:dyDescent="0.35">
      <c r="I16395" s="63"/>
      <c r="J16395" s="63"/>
    </row>
    <row r="16396" spans="9:10" x14ac:dyDescent="0.35">
      <c r="I16396" s="63"/>
      <c r="J16396" s="63"/>
    </row>
    <row r="16397" spans="9:10" x14ac:dyDescent="0.35">
      <c r="I16397" s="63"/>
      <c r="J16397" s="63"/>
    </row>
    <row r="16398" spans="9:10" x14ac:dyDescent="0.35">
      <c r="I16398" s="63"/>
      <c r="J16398" s="63"/>
    </row>
    <row r="16399" spans="9:10" x14ac:dyDescent="0.35">
      <c r="I16399" s="63"/>
      <c r="J16399" s="63"/>
    </row>
    <row r="16400" spans="9:10" x14ac:dyDescent="0.35">
      <c r="I16400" s="63"/>
      <c r="J16400" s="63"/>
    </row>
    <row r="16401" spans="9:10" x14ac:dyDescent="0.35">
      <c r="I16401" s="63"/>
      <c r="J16401" s="63"/>
    </row>
    <row r="16402" spans="9:10" x14ac:dyDescent="0.35">
      <c r="I16402" s="63"/>
      <c r="J16402" s="63"/>
    </row>
    <row r="16403" spans="9:10" x14ac:dyDescent="0.35">
      <c r="I16403" s="63"/>
      <c r="J16403" s="63"/>
    </row>
    <row r="16404" spans="9:10" x14ac:dyDescent="0.35">
      <c r="I16404" s="63"/>
      <c r="J16404" s="63"/>
    </row>
    <row r="16405" spans="9:10" x14ac:dyDescent="0.35">
      <c r="I16405" s="63"/>
      <c r="J16405" s="63"/>
    </row>
    <row r="16406" spans="9:10" x14ac:dyDescent="0.35">
      <c r="I16406" s="63"/>
      <c r="J16406" s="63"/>
    </row>
    <row r="16407" spans="9:10" x14ac:dyDescent="0.35">
      <c r="I16407" s="63"/>
      <c r="J16407" s="63"/>
    </row>
    <row r="16408" spans="9:10" x14ac:dyDescent="0.35">
      <c r="I16408" s="63"/>
      <c r="J16408" s="63"/>
    </row>
    <row r="16409" spans="9:10" x14ac:dyDescent="0.35">
      <c r="I16409" s="63"/>
      <c r="J16409" s="63"/>
    </row>
    <row r="16410" spans="9:10" x14ac:dyDescent="0.35">
      <c r="I16410" s="63"/>
      <c r="J16410" s="63"/>
    </row>
    <row r="16411" spans="9:10" x14ac:dyDescent="0.35">
      <c r="I16411" s="63"/>
      <c r="J16411" s="63"/>
    </row>
    <row r="16412" spans="9:10" x14ac:dyDescent="0.35">
      <c r="I16412" s="63"/>
      <c r="J16412" s="63"/>
    </row>
    <row r="16413" spans="9:10" x14ac:dyDescent="0.35">
      <c r="I16413" s="63"/>
      <c r="J16413" s="63"/>
    </row>
    <row r="16414" spans="9:10" x14ac:dyDescent="0.35">
      <c r="I16414" s="63"/>
      <c r="J16414" s="63"/>
    </row>
    <row r="16415" spans="9:10" x14ac:dyDescent="0.35">
      <c r="I16415" s="63"/>
      <c r="J16415" s="63"/>
    </row>
    <row r="16416" spans="9:10" x14ac:dyDescent="0.35">
      <c r="I16416" s="63"/>
      <c r="J16416" s="63"/>
    </row>
    <row r="16417" spans="9:10" x14ac:dyDescent="0.35">
      <c r="I16417" s="63"/>
      <c r="J16417" s="63"/>
    </row>
    <row r="16418" spans="9:10" x14ac:dyDescent="0.35">
      <c r="I16418" s="63"/>
      <c r="J16418" s="63"/>
    </row>
    <row r="16419" spans="9:10" x14ac:dyDescent="0.35">
      <c r="I16419" s="63"/>
      <c r="J16419" s="63"/>
    </row>
    <row r="16420" spans="9:10" x14ac:dyDescent="0.35">
      <c r="I16420" s="63"/>
      <c r="J16420" s="63"/>
    </row>
    <row r="16421" spans="9:10" x14ac:dyDescent="0.35">
      <c r="I16421" s="63"/>
      <c r="J16421" s="63"/>
    </row>
    <row r="16422" spans="9:10" x14ac:dyDescent="0.35">
      <c r="I16422" s="63"/>
      <c r="J16422" s="63"/>
    </row>
    <row r="16423" spans="9:10" x14ac:dyDescent="0.35">
      <c r="I16423" s="63"/>
      <c r="J16423" s="63"/>
    </row>
    <row r="16424" spans="9:10" x14ac:dyDescent="0.35">
      <c r="I16424" s="63"/>
      <c r="J16424" s="63"/>
    </row>
    <row r="16425" spans="9:10" x14ac:dyDescent="0.35">
      <c r="I16425" s="63"/>
      <c r="J16425" s="63"/>
    </row>
    <row r="16426" spans="9:10" x14ac:dyDescent="0.35">
      <c r="I16426" s="63"/>
      <c r="J16426" s="63"/>
    </row>
    <row r="16427" spans="9:10" x14ac:dyDescent="0.35">
      <c r="I16427" s="63"/>
      <c r="J16427" s="63"/>
    </row>
    <row r="16428" spans="9:10" x14ac:dyDescent="0.35">
      <c r="I16428" s="63"/>
      <c r="J16428" s="63"/>
    </row>
    <row r="16429" spans="9:10" x14ac:dyDescent="0.35">
      <c r="I16429" s="63"/>
      <c r="J16429" s="63"/>
    </row>
    <row r="16430" spans="9:10" x14ac:dyDescent="0.35">
      <c r="I16430" s="63"/>
      <c r="J16430" s="63"/>
    </row>
    <row r="16431" spans="9:10" x14ac:dyDescent="0.35">
      <c r="I16431" s="63"/>
      <c r="J16431" s="63"/>
    </row>
    <row r="16432" spans="9:10" x14ac:dyDescent="0.35">
      <c r="I16432" s="63"/>
      <c r="J16432" s="63"/>
    </row>
    <row r="16433" spans="9:10" x14ac:dyDescent="0.35">
      <c r="I16433" s="63"/>
      <c r="J16433" s="63"/>
    </row>
    <row r="16434" spans="9:10" x14ac:dyDescent="0.35">
      <c r="I16434" s="63"/>
      <c r="J16434" s="63"/>
    </row>
    <row r="16435" spans="9:10" x14ac:dyDescent="0.35">
      <c r="I16435" s="63"/>
      <c r="J16435" s="63"/>
    </row>
    <row r="16436" spans="9:10" x14ac:dyDescent="0.35">
      <c r="I16436" s="63"/>
      <c r="J16436" s="63"/>
    </row>
    <row r="16437" spans="9:10" x14ac:dyDescent="0.35">
      <c r="I16437" s="63"/>
      <c r="J16437" s="63"/>
    </row>
    <row r="16438" spans="9:10" x14ac:dyDescent="0.35">
      <c r="I16438" s="63"/>
      <c r="J16438" s="63"/>
    </row>
    <row r="16439" spans="9:10" x14ac:dyDescent="0.35">
      <c r="I16439" s="63"/>
      <c r="J16439" s="63"/>
    </row>
    <row r="16440" spans="9:10" x14ac:dyDescent="0.35">
      <c r="I16440" s="63"/>
      <c r="J16440" s="63"/>
    </row>
    <row r="16441" spans="9:10" x14ac:dyDescent="0.35">
      <c r="I16441" s="63"/>
      <c r="J16441" s="63"/>
    </row>
    <row r="16442" spans="9:10" x14ac:dyDescent="0.35">
      <c r="I16442" s="63"/>
      <c r="J16442" s="63"/>
    </row>
    <row r="16443" spans="9:10" x14ac:dyDescent="0.35">
      <c r="I16443" s="63"/>
      <c r="J16443" s="63"/>
    </row>
    <row r="16444" spans="9:10" x14ac:dyDescent="0.35">
      <c r="I16444" s="63"/>
      <c r="J16444" s="63"/>
    </row>
    <row r="16445" spans="9:10" x14ac:dyDescent="0.35">
      <c r="I16445" s="63"/>
      <c r="J16445" s="63"/>
    </row>
    <row r="16446" spans="9:10" x14ac:dyDescent="0.35">
      <c r="I16446" s="63"/>
      <c r="J16446" s="63"/>
    </row>
    <row r="16447" spans="9:10" x14ac:dyDescent="0.35">
      <c r="I16447" s="63"/>
      <c r="J16447" s="63"/>
    </row>
    <row r="16448" spans="9:10" x14ac:dyDescent="0.35">
      <c r="I16448" s="63"/>
      <c r="J16448" s="63"/>
    </row>
    <row r="16449" spans="9:10" x14ac:dyDescent="0.35">
      <c r="I16449" s="63"/>
      <c r="J16449" s="63"/>
    </row>
    <row r="16450" spans="9:10" x14ac:dyDescent="0.35">
      <c r="I16450" s="63"/>
      <c r="J16450" s="63"/>
    </row>
    <row r="16451" spans="9:10" x14ac:dyDescent="0.35">
      <c r="I16451" s="63"/>
      <c r="J16451" s="63"/>
    </row>
    <row r="16452" spans="9:10" x14ac:dyDescent="0.35">
      <c r="I16452" s="63"/>
      <c r="J16452" s="63"/>
    </row>
    <row r="16453" spans="9:10" x14ac:dyDescent="0.35">
      <c r="I16453" s="63"/>
      <c r="J16453" s="63"/>
    </row>
    <row r="16454" spans="9:10" x14ac:dyDescent="0.35">
      <c r="I16454" s="63"/>
      <c r="J16454" s="63"/>
    </row>
    <row r="16455" spans="9:10" x14ac:dyDescent="0.35">
      <c r="I16455" s="63"/>
      <c r="J16455" s="63"/>
    </row>
    <row r="16456" spans="9:10" x14ac:dyDescent="0.35">
      <c r="I16456" s="63"/>
      <c r="J16456" s="63"/>
    </row>
    <row r="16457" spans="9:10" x14ac:dyDescent="0.35">
      <c r="I16457" s="63"/>
      <c r="J16457" s="63"/>
    </row>
    <row r="16458" spans="9:10" x14ac:dyDescent="0.35">
      <c r="I16458" s="63"/>
      <c r="J16458" s="63"/>
    </row>
    <row r="16459" spans="9:10" x14ac:dyDescent="0.35">
      <c r="I16459" s="63"/>
      <c r="J16459" s="63"/>
    </row>
    <row r="16460" spans="9:10" x14ac:dyDescent="0.35">
      <c r="I16460" s="63"/>
      <c r="J16460" s="63"/>
    </row>
    <row r="16461" spans="9:10" x14ac:dyDescent="0.35">
      <c r="I16461" s="63"/>
      <c r="J16461" s="63"/>
    </row>
    <row r="16462" spans="9:10" x14ac:dyDescent="0.35">
      <c r="I16462" s="63"/>
      <c r="J16462" s="63"/>
    </row>
    <row r="16463" spans="9:10" x14ac:dyDescent="0.35">
      <c r="I16463" s="63"/>
      <c r="J16463" s="63"/>
    </row>
    <row r="16464" spans="9:10" x14ac:dyDescent="0.35">
      <c r="I16464" s="63"/>
      <c r="J16464" s="63"/>
    </row>
    <row r="16465" spans="9:10" x14ac:dyDescent="0.35">
      <c r="I16465" s="63"/>
      <c r="J16465" s="63"/>
    </row>
    <row r="16466" spans="9:10" x14ac:dyDescent="0.35">
      <c r="I16466" s="63"/>
      <c r="J16466" s="63"/>
    </row>
    <row r="16467" spans="9:10" x14ac:dyDescent="0.35">
      <c r="I16467" s="63"/>
      <c r="J16467" s="63"/>
    </row>
    <row r="16468" spans="9:10" x14ac:dyDescent="0.35">
      <c r="I16468" s="63"/>
      <c r="J16468" s="63"/>
    </row>
    <row r="16469" spans="9:10" x14ac:dyDescent="0.35">
      <c r="I16469" s="63"/>
      <c r="J16469" s="63"/>
    </row>
    <row r="16470" spans="9:10" x14ac:dyDescent="0.35">
      <c r="I16470" s="63"/>
      <c r="J16470" s="63"/>
    </row>
    <row r="16471" spans="9:10" x14ac:dyDescent="0.35">
      <c r="I16471" s="63"/>
      <c r="J16471" s="63"/>
    </row>
    <row r="16472" spans="9:10" x14ac:dyDescent="0.35">
      <c r="I16472" s="63"/>
      <c r="J16472" s="63"/>
    </row>
    <row r="16473" spans="9:10" x14ac:dyDescent="0.35">
      <c r="I16473" s="63"/>
      <c r="J16473" s="63"/>
    </row>
    <row r="16474" spans="9:10" x14ac:dyDescent="0.35">
      <c r="I16474" s="63"/>
      <c r="J16474" s="63"/>
    </row>
    <row r="16475" spans="9:10" x14ac:dyDescent="0.35">
      <c r="I16475" s="63"/>
      <c r="J16475" s="63"/>
    </row>
    <row r="16476" spans="9:10" x14ac:dyDescent="0.35">
      <c r="I16476" s="63"/>
      <c r="J16476" s="63"/>
    </row>
    <row r="16477" spans="9:10" x14ac:dyDescent="0.35">
      <c r="I16477" s="63"/>
      <c r="J16477" s="63"/>
    </row>
    <row r="16478" spans="9:10" x14ac:dyDescent="0.35">
      <c r="I16478" s="63"/>
      <c r="J16478" s="63"/>
    </row>
    <row r="16479" spans="9:10" x14ac:dyDescent="0.35">
      <c r="I16479" s="63"/>
      <c r="J16479" s="63"/>
    </row>
    <row r="16480" spans="9:10" x14ac:dyDescent="0.35">
      <c r="I16480" s="63"/>
      <c r="J16480" s="63"/>
    </row>
    <row r="16481" spans="9:10" x14ac:dyDescent="0.35">
      <c r="I16481" s="63"/>
      <c r="J16481" s="63"/>
    </row>
    <row r="16482" spans="9:10" x14ac:dyDescent="0.35">
      <c r="I16482" s="63"/>
      <c r="J16482" s="63"/>
    </row>
    <row r="16483" spans="9:10" x14ac:dyDescent="0.35">
      <c r="I16483" s="63"/>
      <c r="J16483" s="63"/>
    </row>
    <row r="16484" spans="9:10" x14ac:dyDescent="0.35">
      <c r="I16484" s="63"/>
      <c r="J16484" s="63"/>
    </row>
    <row r="16485" spans="9:10" x14ac:dyDescent="0.35">
      <c r="I16485" s="63"/>
      <c r="J16485" s="63"/>
    </row>
    <row r="16486" spans="9:10" x14ac:dyDescent="0.35">
      <c r="I16486" s="63"/>
      <c r="J16486" s="63"/>
    </row>
    <row r="16487" spans="9:10" x14ac:dyDescent="0.35">
      <c r="I16487" s="63"/>
      <c r="J16487" s="63"/>
    </row>
    <row r="16488" spans="9:10" x14ac:dyDescent="0.35">
      <c r="I16488" s="63"/>
      <c r="J16488" s="63"/>
    </row>
    <row r="16489" spans="9:10" x14ac:dyDescent="0.35">
      <c r="I16489" s="63"/>
      <c r="J16489" s="63"/>
    </row>
    <row r="16490" spans="9:10" x14ac:dyDescent="0.35">
      <c r="I16490" s="63"/>
      <c r="J16490" s="63"/>
    </row>
    <row r="16491" spans="9:10" x14ac:dyDescent="0.35">
      <c r="I16491" s="63"/>
      <c r="J16491" s="63"/>
    </row>
    <row r="16492" spans="9:10" x14ac:dyDescent="0.35">
      <c r="I16492" s="63"/>
      <c r="J16492" s="63"/>
    </row>
    <row r="16493" spans="9:10" x14ac:dyDescent="0.35">
      <c r="I16493" s="63"/>
      <c r="J16493" s="63"/>
    </row>
    <row r="16494" spans="9:10" x14ac:dyDescent="0.35">
      <c r="I16494" s="63"/>
      <c r="J16494" s="63"/>
    </row>
    <row r="16495" spans="9:10" x14ac:dyDescent="0.35">
      <c r="I16495" s="63"/>
      <c r="J16495" s="63"/>
    </row>
    <row r="16496" spans="9:10" x14ac:dyDescent="0.35">
      <c r="I16496" s="63"/>
      <c r="J16496" s="63"/>
    </row>
    <row r="16497" spans="9:10" x14ac:dyDescent="0.35">
      <c r="I16497" s="63"/>
      <c r="J16497" s="63"/>
    </row>
    <row r="16498" spans="9:10" x14ac:dyDescent="0.35">
      <c r="I16498" s="63"/>
      <c r="J16498" s="63"/>
    </row>
    <row r="16499" spans="9:10" x14ac:dyDescent="0.35">
      <c r="I16499" s="63"/>
      <c r="J16499" s="63"/>
    </row>
    <row r="16500" spans="9:10" x14ac:dyDescent="0.35">
      <c r="I16500" s="63"/>
      <c r="J16500" s="63"/>
    </row>
    <row r="16501" spans="9:10" x14ac:dyDescent="0.35">
      <c r="I16501" s="63"/>
      <c r="J16501" s="63"/>
    </row>
    <row r="16502" spans="9:10" x14ac:dyDescent="0.35">
      <c r="I16502" s="63"/>
      <c r="J16502" s="63"/>
    </row>
    <row r="16503" spans="9:10" x14ac:dyDescent="0.35">
      <c r="I16503" s="63"/>
      <c r="J16503" s="63"/>
    </row>
    <row r="16504" spans="9:10" x14ac:dyDescent="0.35">
      <c r="I16504" s="63"/>
      <c r="J16504" s="63"/>
    </row>
    <row r="16505" spans="9:10" x14ac:dyDescent="0.35">
      <c r="I16505" s="63"/>
      <c r="J16505" s="63"/>
    </row>
    <row r="16506" spans="9:10" x14ac:dyDescent="0.35">
      <c r="I16506" s="63"/>
      <c r="J16506" s="63"/>
    </row>
    <row r="16507" spans="9:10" x14ac:dyDescent="0.35">
      <c r="I16507" s="63"/>
      <c r="J16507" s="63"/>
    </row>
    <row r="16508" spans="9:10" x14ac:dyDescent="0.35">
      <c r="I16508" s="63"/>
      <c r="J16508" s="63"/>
    </row>
    <row r="16509" spans="9:10" x14ac:dyDescent="0.35">
      <c r="I16509" s="63"/>
      <c r="J16509" s="63"/>
    </row>
    <row r="16510" spans="9:10" x14ac:dyDescent="0.35">
      <c r="I16510" s="63"/>
      <c r="J16510" s="63"/>
    </row>
    <row r="16511" spans="9:10" x14ac:dyDescent="0.35">
      <c r="I16511" s="63"/>
      <c r="J16511" s="63"/>
    </row>
    <row r="16512" spans="9:10" x14ac:dyDescent="0.35">
      <c r="I16512" s="63"/>
      <c r="J16512" s="63"/>
    </row>
    <row r="16513" spans="9:10" x14ac:dyDescent="0.35">
      <c r="I16513" s="63"/>
      <c r="J16513" s="63"/>
    </row>
    <row r="16514" spans="9:10" x14ac:dyDescent="0.35">
      <c r="I16514" s="63"/>
      <c r="J16514" s="63"/>
    </row>
    <row r="16515" spans="9:10" x14ac:dyDescent="0.35">
      <c r="I16515" s="63"/>
      <c r="J16515" s="63"/>
    </row>
    <row r="16516" spans="9:10" x14ac:dyDescent="0.35">
      <c r="I16516" s="63"/>
      <c r="J16516" s="63"/>
    </row>
    <row r="16517" spans="9:10" x14ac:dyDescent="0.35">
      <c r="I16517" s="63"/>
      <c r="J16517" s="63"/>
    </row>
    <row r="16518" spans="9:10" x14ac:dyDescent="0.35">
      <c r="I16518" s="63"/>
      <c r="J16518" s="63"/>
    </row>
    <row r="16519" spans="9:10" x14ac:dyDescent="0.35">
      <c r="I16519" s="63"/>
      <c r="J16519" s="63"/>
    </row>
    <row r="16520" spans="9:10" x14ac:dyDescent="0.35">
      <c r="I16520" s="63"/>
      <c r="J16520" s="63"/>
    </row>
    <row r="16521" spans="9:10" x14ac:dyDescent="0.35">
      <c r="I16521" s="63"/>
      <c r="J16521" s="63"/>
    </row>
    <row r="16522" spans="9:10" x14ac:dyDescent="0.35">
      <c r="I16522" s="63"/>
      <c r="J16522" s="63"/>
    </row>
    <row r="16523" spans="9:10" x14ac:dyDescent="0.35">
      <c r="I16523" s="63"/>
      <c r="J16523" s="63"/>
    </row>
    <row r="16524" spans="9:10" x14ac:dyDescent="0.35">
      <c r="I16524" s="63"/>
      <c r="J16524" s="63"/>
    </row>
    <row r="16525" spans="9:10" x14ac:dyDescent="0.35">
      <c r="I16525" s="63"/>
      <c r="J16525" s="63"/>
    </row>
    <row r="16526" spans="9:10" x14ac:dyDescent="0.35">
      <c r="I16526" s="63"/>
      <c r="J16526" s="63"/>
    </row>
    <row r="16527" spans="9:10" x14ac:dyDescent="0.35">
      <c r="I16527" s="63"/>
      <c r="J16527" s="63"/>
    </row>
    <row r="16528" spans="9:10" x14ac:dyDescent="0.35">
      <c r="I16528" s="63"/>
      <c r="J16528" s="63"/>
    </row>
    <row r="16529" spans="9:10" x14ac:dyDescent="0.35">
      <c r="I16529" s="63"/>
      <c r="J16529" s="63"/>
    </row>
    <row r="16530" spans="9:10" x14ac:dyDescent="0.35">
      <c r="I16530" s="63"/>
      <c r="J16530" s="63"/>
    </row>
    <row r="16531" spans="9:10" x14ac:dyDescent="0.35">
      <c r="I16531" s="63"/>
      <c r="J16531" s="63"/>
    </row>
    <row r="16532" spans="9:10" x14ac:dyDescent="0.35">
      <c r="I16532" s="63"/>
      <c r="J16532" s="63"/>
    </row>
    <row r="16533" spans="9:10" x14ac:dyDescent="0.35">
      <c r="I16533" s="63"/>
      <c r="J16533" s="63"/>
    </row>
    <row r="16534" spans="9:10" x14ac:dyDescent="0.35">
      <c r="I16534" s="63"/>
      <c r="J16534" s="63"/>
    </row>
    <row r="16535" spans="9:10" x14ac:dyDescent="0.35">
      <c r="I16535" s="63"/>
      <c r="J16535" s="63"/>
    </row>
    <row r="16536" spans="9:10" x14ac:dyDescent="0.35">
      <c r="I16536" s="63"/>
      <c r="J16536" s="63"/>
    </row>
    <row r="16537" spans="9:10" x14ac:dyDescent="0.35">
      <c r="I16537" s="63"/>
      <c r="J16537" s="63"/>
    </row>
    <row r="16538" spans="9:10" x14ac:dyDescent="0.35">
      <c r="I16538" s="63"/>
      <c r="J16538" s="63"/>
    </row>
    <row r="16539" spans="9:10" x14ac:dyDescent="0.35">
      <c r="I16539" s="63"/>
      <c r="J16539" s="63"/>
    </row>
    <row r="16540" spans="9:10" x14ac:dyDescent="0.35">
      <c r="I16540" s="63"/>
      <c r="J16540" s="63"/>
    </row>
    <row r="16541" spans="9:10" x14ac:dyDescent="0.35">
      <c r="I16541" s="63"/>
      <c r="J16541" s="63"/>
    </row>
    <row r="16542" spans="9:10" x14ac:dyDescent="0.35">
      <c r="I16542" s="63"/>
      <c r="J16542" s="63"/>
    </row>
    <row r="16543" spans="9:10" x14ac:dyDescent="0.35">
      <c r="I16543" s="63"/>
      <c r="J16543" s="63"/>
    </row>
    <row r="16544" spans="9:10" x14ac:dyDescent="0.35">
      <c r="I16544" s="63"/>
      <c r="J16544" s="63"/>
    </row>
    <row r="16545" spans="9:10" x14ac:dyDescent="0.35">
      <c r="I16545" s="63"/>
      <c r="J16545" s="63"/>
    </row>
    <row r="16546" spans="9:10" x14ac:dyDescent="0.35">
      <c r="I16546" s="63"/>
      <c r="J16546" s="63"/>
    </row>
    <row r="16547" spans="9:10" x14ac:dyDescent="0.35">
      <c r="I16547" s="63"/>
      <c r="J16547" s="63"/>
    </row>
    <row r="16548" spans="9:10" x14ac:dyDescent="0.35">
      <c r="I16548" s="63"/>
      <c r="J16548" s="63"/>
    </row>
    <row r="16549" spans="9:10" x14ac:dyDescent="0.35">
      <c r="I16549" s="63"/>
      <c r="J16549" s="63"/>
    </row>
    <row r="16550" spans="9:10" x14ac:dyDescent="0.35">
      <c r="I16550" s="63"/>
      <c r="J16550" s="63"/>
    </row>
    <row r="16551" spans="9:10" x14ac:dyDescent="0.35">
      <c r="I16551" s="63"/>
      <c r="J16551" s="63"/>
    </row>
    <row r="16552" spans="9:10" x14ac:dyDescent="0.35">
      <c r="I16552" s="63"/>
      <c r="J16552" s="63"/>
    </row>
    <row r="16553" spans="9:10" x14ac:dyDescent="0.35">
      <c r="I16553" s="63"/>
      <c r="J16553" s="63"/>
    </row>
    <row r="16554" spans="9:10" x14ac:dyDescent="0.35">
      <c r="I16554" s="63"/>
      <c r="J16554" s="63"/>
    </row>
    <row r="16555" spans="9:10" x14ac:dyDescent="0.35">
      <c r="I16555" s="63"/>
      <c r="J16555" s="63"/>
    </row>
    <row r="16556" spans="9:10" x14ac:dyDescent="0.35">
      <c r="I16556" s="63"/>
      <c r="J16556" s="63"/>
    </row>
    <row r="16557" spans="9:10" x14ac:dyDescent="0.35">
      <c r="I16557" s="63"/>
      <c r="J16557" s="63"/>
    </row>
    <row r="16558" spans="9:10" x14ac:dyDescent="0.35">
      <c r="I16558" s="63"/>
      <c r="J16558" s="63"/>
    </row>
    <row r="16559" spans="9:10" x14ac:dyDescent="0.35">
      <c r="I16559" s="63"/>
      <c r="J16559" s="63"/>
    </row>
    <row r="16560" spans="9:10" x14ac:dyDescent="0.35">
      <c r="I16560" s="63"/>
      <c r="J16560" s="63"/>
    </row>
    <row r="16561" spans="9:10" x14ac:dyDescent="0.35">
      <c r="I16561" s="63"/>
      <c r="J16561" s="63"/>
    </row>
    <row r="16562" spans="9:10" x14ac:dyDescent="0.35">
      <c r="I16562" s="63"/>
      <c r="J16562" s="63"/>
    </row>
    <row r="16563" spans="9:10" x14ac:dyDescent="0.35">
      <c r="I16563" s="63"/>
      <c r="J16563" s="63"/>
    </row>
    <row r="16564" spans="9:10" x14ac:dyDescent="0.35">
      <c r="I16564" s="63"/>
      <c r="J16564" s="63"/>
    </row>
    <row r="16565" spans="9:10" x14ac:dyDescent="0.35">
      <c r="I16565" s="63"/>
      <c r="J16565" s="63"/>
    </row>
    <row r="16566" spans="9:10" x14ac:dyDescent="0.35">
      <c r="I16566" s="63"/>
      <c r="J16566" s="63"/>
    </row>
    <row r="16567" spans="9:10" x14ac:dyDescent="0.35">
      <c r="I16567" s="63"/>
      <c r="J16567" s="63"/>
    </row>
    <row r="16568" spans="9:10" x14ac:dyDescent="0.35">
      <c r="I16568" s="63"/>
      <c r="J16568" s="63"/>
    </row>
    <row r="16569" spans="9:10" x14ac:dyDescent="0.35">
      <c r="I16569" s="63"/>
      <c r="J16569" s="63"/>
    </row>
    <row r="16570" spans="9:10" x14ac:dyDescent="0.35">
      <c r="I16570" s="63"/>
      <c r="J16570" s="63"/>
    </row>
    <row r="16571" spans="9:10" x14ac:dyDescent="0.35">
      <c r="I16571" s="63"/>
      <c r="J16571" s="63"/>
    </row>
    <row r="16572" spans="9:10" x14ac:dyDescent="0.35">
      <c r="I16572" s="63"/>
      <c r="J16572" s="63"/>
    </row>
    <row r="16573" spans="9:10" x14ac:dyDescent="0.35">
      <c r="I16573" s="63"/>
      <c r="J16573" s="63"/>
    </row>
    <row r="16574" spans="9:10" x14ac:dyDescent="0.35">
      <c r="I16574" s="63"/>
      <c r="J16574" s="63"/>
    </row>
    <row r="16575" spans="9:10" x14ac:dyDescent="0.35">
      <c r="I16575" s="63"/>
      <c r="J16575" s="63"/>
    </row>
    <row r="16576" spans="9:10" x14ac:dyDescent="0.35">
      <c r="I16576" s="63"/>
      <c r="J16576" s="63"/>
    </row>
    <row r="16577" spans="9:10" x14ac:dyDescent="0.35">
      <c r="I16577" s="63"/>
      <c r="J16577" s="63"/>
    </row>
    <row r="16578" spans="9:10" x14ac:dyDescent="0.35">
      <c r="I16578" s="63"/>
      <c r="J16578" s="63"/>
    </row>
    <row r="16579" spans="9:10" x14ac:dyDescent="0.35">
      <c r="I16579" s="63"/>
      <c r="J16579" s="63"/>
    </row>
    <row r="16580" spans="9:10" x14ac:dyDescent="0.35">
      <c r="I16580" s="63"/>
      <c r="J16580" s="63"/>
    </row>
    <row r="16581" spans="9:10" x14ac:dyDescent="0.35">
      <c r="I16581" s="63"/>
      <c r="J16581" s="63"/>
    </row>
    <row r="16582" spans="9:10" x14ac:dyDescent="0.35">
      <c r="I16582" s="63"/>
      <c r="J16582" s="63"/>
    </row>
    <row r="16583" spans="9:10" x14ac:dyDescent="0.35">
      <c r="I16583" s="63"/>
      <c r="J16583" s="63"/>
    </row>
    <row r="16584" spans="9:10" x14ac:dyDescent="0.35">
      <c r="I16584" s="63"/>
      <c r="J16584" s="63"/>
    </row>
    <row r="16585" spans="9:10" x14ac:dyDescent="0.35">
      <c r="I16585" s="63"/>
      <c r="J16585" s="63"/>
    </row>
    <row r="16586" spans="9:10" x14ac:dyDescent="0.35">
      <c r="I16586" s="63"/>
      <c r="J16586" s="63"/>
    </row>
    <row r="16587" spans="9:10" x14ac:dyDescent="0.35">
      <c r="I16587" s="63"/>
      <c r="J16587" s="63"/>
    </row>
    <row r="16588" spans="9:10" x14ac:dyDescent="0.35">
      <c r="I16588" s="63"/>
      <c r="J16588" s="63"/>
    </row>
    <row r="16589" spans="9:10" x14ac:dyDescent="0.35">
      <c r="I16589" s="63"/>
      <c r="J16589" s="63"/>
    </row>
    <row r="16590" spans="9:10" x14ac:dyDescent="0.35">
      <c r="I16590" s="63"/>
      <c r="J16590" s="63"/>
    </row>
    <row r="16591" spans="9:10" x14ac:dyDescent="0.35">
      <c r="I16591" s="63"/>
      <c r="J16591" s="63"/>
    </row>
    <row r="16592" spans="9:10" x14ac:dyDescent="0.35">
      <c r="I16592" s="63"/>
      <c r="J16592" s="63"/>
    </row>
    <row r="16593" spans="9:10" x14ac:dyDescent="0.35">
      <c r="I16593" s="63"/>
      <c r="J16593" s="63"/>
    </row>
    <row r="16594" spans="9:10" x14ac:dyDescent="0.35">
      <c r="I16594" s="63"/>
      <c r="J16594" s="63"/>
    </row>
    <row r="16595" spans="9:10" x14ac:dyDescent="0.35">
      <c r="I16595" s="63"/>
      <c r="J16595" s="63"/>
    </row>
    <row r="16596" spans="9:10" x14ac:dyDescent="0.35">
      <c r="I16596" s="63"/>
      <c r="J16596" s="63"/>
    </row>
    <row r="16597" spans="9:10" x14ac:dyDescent="0.35">
      <c r="I16597" s="63"/>
      <c r="J16597" s="63"/>
    </row>
    <row r="16598" spans="9:10" x14ac:dyDescent="0.35">
      <c r="I16598" s="63"/>
      <c r="J16598" s="63"/>
    </row>
    <row r="16599" spans="9:10" x14ac:dyDescent="0.35">
      <c r="I16599" s="63"/>
      <c r="J16599" s="63"/>
    </row>
    <row r="16600" spans="9:10" x14ac:dyDescent="0.35">
      <c r="I16600" s="63"/>
      <c r="J16600" s="63"/>
    </row>
    <row r="16601" spans="9:10" x14ac:dyDescent="0.35">
      <c r="I16601" s="63"/>
      <c r="J16601" s="63"/>
    </row>
    <row r="16602" spans="9:10" x14ac:dyDescent="0.35">
      <c r="I16602" s="63"/>
      <c r="J16602" s="63"/>
    </row>
    <row r="16603" spans="9:10" x14ac:dyDescent="0.35">
      <c r="I16603" s="63"/>
      <c r="J16603" s="63"/>
    </row>
    <row r="16604" spans="9:10" x14ac:dyDescent="0.35">
      <c r="I16604" s="63"/>
      <c r="J16604" s="63"/>
    </row>
    <row r="16605" spans="9:10" x14ac:dyDescent="0.35">
      <c r="I16605" s="63"/>
      <c r="J16605" s="63"/>
    </row>
    <row r="16606" spans="9:10" x14ac:dyDescent="0.35">
      <c r="I16606" s="63"/>
      <c r="J16606" s="63"/>
    </row>
    <row r="16607" spans="9:10" x14ac:dyDescent="0.35">
      <c r="I16607" s="63"/>
      <c r="J16607" s="63"/>
    </row>
    <row r="16608" spans="9:10" x14ac:dyDescent="0.35">
      <c r="I16608" s="63"/>
      <c r="J16608" s="63"/>
    </row>
    <row r="16609" spans="9:10" x14ac:dyDescent="0.35">
      <c r="I16609" s="63"/>
      <c r="J16609" s="63"/>
    </row>
    <row r="16610" spans="9:10" x14ac:dyDescent="0.35">
      <c r="I16610" s="63"/>
      <c r="J16610" s="63"/>
    </row>
    <row r="16611" spans="9:10" x14ac:dyDescent="0.35">
      <c r="I16611" s="63"/>
      <c r="J16611" s="63"/>
    </row>
    <row r="16612" spans="9:10" x14ac:dyDescent="0.35">
      <c r="I16612" s="63"/>
      <c r="J16612" s="63"/>
    </row>
    <row r="16613" spans="9:10" x14ac:dyDescent="0.35">
      <c r="I16613" s="63"/>
      <c r="J16613" s="63"/>
    </row>
    <row r="16614" spans="9:10" x14ac:dyDescent="0.35">
      <c r="I16614" s="63"/>
      <c r="J16614" s="63"/>
    </row>
    <row r="16615" spans="9:10" x14ac:dyDescent="0.35">
      <c r="I16615" s="63"/>
      <c r="J16615" s="63"/>
    </row>
    <row r="16616" spans="9:10" x14ac:dyDescent="0.35">
      <c r="I16616" s="63"/>
      <c r="J16616" s="63"/>
    </row>
    <row r="16617" spans="9:10" x14ac:dyDescent="0.35">
      <c r="I16617" s="63"/>
      <c r="J16617" s="63"/>
    </row>
    <row r="16618" spans="9:10" x14ac:dyDescent="0.35">
      <c r="I16618" s="63"/>
      <c r="J16618" s="63"/>
    </row>
    <row r="16619" spans="9:10" x14ac:dyDescent="0.35">
      <c r="I16619" s="63"/>
      <c r="J16619" s="63"/>
    </row>
    <row r="16620" spans="9:10" x14ac:dyDescent="0.35">
      <c r="I16620" s="63"/>
      <c r="J16620" s="63"/>
    </row>
    <row r="16621" spans="9:10" x14ac:dyDescent="0.35">
      <c r="I16621" s="63"/>
      <c r="J16621" s="63"/>
    </row>
    <row r="16622" spans="9:10" x14ac:dyDescent="0.35">
      <c r="I16622" s="63"/>
      <c r="J16622" s="63"/>
    </row>
    <row r="16623" spans="9:10" x14ac:dyDescent="0.35">
      <c r="I16623" s="63"/>
      <c r="J16623" s="63"/>
    </row>
    <row r="16624" spans="9:10" x14ac:dyDescent="0.35">
      <c r="I16624" s="63"/>
      <c r="J16624" s="63"/>
    </row>
    <row r="16625" spans="9:10" x14ac:dyDescent="0.35">
      <c r="I16625" s="63"/>
      <c r="J16625" s="63"/>
    </row>
    <row r="16626" spans="9:10" x14ac:dyDescent="0.35">
      <c r="I16626" s="63"/>
      <c r="J16626" s="63"/>
    </row>
    <row r="16627" spans="9:10" x14ac:dyDescent="0.35">
      <c r="I16627" s="63"/>
      <c r="J16627" s="63"/>
    </row>
    <row r="16628" spans="9:10" x14ac:dyDescent="0.35">
      <c r="I16628" s="63"/>
      <c r="J16628" s="63"/>
    </row>
    <row r="16629" spans="9:10" x14ac:dyDescent="0.35">
      <c r="I16629" s="63"/>
      <c r="J16629" s="63"/>
    </row>
    <row r="16630" spans="9:10" x14ac:dyDescent="0.35">
      <c r="I16630" s="63"/>
      <c r="J16630" s="63"/>
    </row>
    <row r="16631" spans="9:10" x14ac:dyDescent="0.35">
      <c r="I16631" s="63"/>
      <c r="J16631" s="63"/>
    </row>
    <row r="16632" spans="9:10" x14ac:dyDescent="0.35">
      <c r="I16632" s="63"/>
      <c r="J16632" s="63"/>
    </row>
    <row r="16633" spans="9:10" x14ac:dyDescent="0.35">
      <c r="I16633" s="63"/>
      <c r="J16633" s="63"/>
    </row>
    <row r="16634" spans="9:10" x14ac:dyDescent="0.35">
      <c r="I16634" s="63"/>
      <c r="J16634" s="63"/>
    </row>
    <row r="16635" spans="9:10" x14ac:dyDescent="0.35">
      <c r="I16635" s="63"/>
      <c r="J16635" s="63"/>
    </row>
    <row r="16636" spans="9:10" x14ac:dyDescent="0.35">
      <c r="I16636" s="63"/>
      <c r="J16636" s="63"/>
    </row>
    <row r="16637" spans="9:10" x14ac:dyDescent="0.35">
      <c r="I16637" s="63"/>
      <c r="J16637" s="63"/>
    </row>
    <row r="16638" spans="9:10" x14ac:dyDescent="0.35">
      <c r="I16638" s="63"/>
      <c r="J16638" s="63"/>
    </row>
    <row r="16639" spans="9:10" x14ac:dyDescent="0.35">
      <c r="I16639" s="63"/>
      <c r="J16639" s="63"/>
    </row>
    <row r="16640" spans="9:10" x14ac:dyDescent="0.35">
      <c r="I16640" s="63"/>
      <c r="J16640" s="63"/>
    </row>
    <row r="16641" spans="9:10" x14ac:dyDescent="0.35">
      <c r="I16641" s="63"/>
      <c r="J16641" s="63"/>
    </row>
    <row r="16642" spans="9:10" x14ac:dyDescent="0.35">
      <c r="I16642" s="63"/>
      <c r="J16642" s="63"/>
    </row>
    <row r="16643" spans="9:10" x14ac:dyDescent="0.35">
      <c r="I16643" s="63"/>
      <c r="J16643" s="63"/>
    </row>
    <row r="16644" spans="9:10" x14ac:dyDescent="0.35">
      <c r="I16644" s="63"/>
      <c r="J16644" s="63"/>
    </row>
    <row r="16645" spans="9:10" x14ac:dyDescent="0.35">
      <c r="I16645" s="63"/>
      <c r="J16645" s="63"/>
    </row>
    <row r="16646" spans="9:10" x14ac:dyDescent="0.35">
      <c r="I16646" s="63"/>
      <c r="J16646" s="63"/>
    </row>
    <row r="16647" spans="9:10" x14ac:dyDescent="0.35">
      <c r="I16647" s="63"/>
      <c r="J16647" s="63"/>
    </row>
    <row r="16648" spans="9:10" x14ac:dyDescent="0.35">
      <c r="I16648" s="63"/>
      <c r="J16648" s="63"/>
    </row>
    <row r="16649" spans="9:10" x14ac:dyDescent="0.35">
      <c r="I16649" s="63"/>
      <c r="J16649" s="63"/>
    </row>
    <row r="16650" spans="9:10" x14ac:dyDescent="0.35">
      <c r="I16650" s="63"/>
      <c r="J16650" s="63"/>
    </row>
    <row r="16651" spans="9:10" x14ac:dyDescent="0.35">
      <c r="I16651" s="63"/>
      <c r="J16651" s="63"/>
    </row>
    <row r="16652" spans="9:10" x14ac:dyDescent="0.35">
      <c r="I16652" s="63"/>
      <c r="J16652" s="63"/>
    </row>
    <row r="16653" spans="9:10" x14ac:dyDescent="0.35">
      <c r="I16653" s="63"/>
      <c r="J16653" s="63"/>
    </row>
    <row r="16654" spans="9:10" x14ac:dyDescent="0.35">
      <c r="I16654" s="63"/>
      <c r="J16654" s="63"/>
    </row>
    <row r="16655" spans="9:10" x14ac:dyDescent="0.35">
      <c r="I16655" s="63"/>
      <c r="J16655" s="63"/>
    </row>
    <row r="16656" spans="9:10" x14ac:dyDescent="0.35">
      <c r="I16656" s="63"/>
      <c r="J16656" s="63"/>
    </row>
    <row r="16657" spans="9:10" x14ac:dyDescent="0.35">
      <c r="I16657" s="63"/>
      <c r="J16657" s="63"/>
    </row>
    <row r="16658" spans="9:10" x14ac:dyDescent="0.35">
      <c r="I16658" s="63"/>
      <c r="J16658" s="63"/>
    </row>
    <row r="16659" spans="9:10" x14ac:dyDescent="0.35">
      <c r="I16659" s="63"/>
      <c r="J16659" s="63"/>
    </row>
    <row r="16660" spans="9:10" x14ac:dyDescent="0.35">
      <c r="I16660" s="63"/>
      <c r="J16660" s="63"/>
    </row>
    <row r="16661" spans="9:10" x14ac:dyDescent="0.35">
      <c r="I16661" s="63"/>
      <c r="J16661" s="63"/>
    </row>
    <row r="16662" spans="9:10" x14ac:dyDescent="0.35">
      <c r="I16662" s="63"/>
      <c r="J16662" s="63"/>
    </row>
    <row r="16663" spans="9:10" x14ac:dyDescent="0.35">
      <c r="I16663" s="63"/>
      <c r="J16663" s="63"/>
    </row>
    <row r="16664" spans="9:10" x14ac:dyDescent="0.35">
      <c r="I16664" s="63"/>
      <c r="J16664" s="63"/>
    </row>
    <row r="16665" spans="9:10" x14ac:dyDescent="0.35">
      <c r="I16665" s="63"/>
      <c r="J16665" s="63"/>
    </row>
    <row r="16666" spans="9:10" x14ac:dyDescent="0.35">
      <c r="I16666" s="63"/>
      <c r="J16666" s="63"/>
    </row>
    <row r="16667" spans="9:10" x14ac:dyDescent="0.35">
      <c r="I16667" s="63"/>
      <c r="J16667" s="63"/>
    </row>
    <row r="16668" spans="9:10" x14ac:dyDescent="0.35">
      <c r="I16668" s="63"/>
      <c r="J16668" s="63"/>
    </row>
    <row r="16669" spans="9:10" x14ac:dyDescent="0.35">
      <c r="I16669" s="63"/>
      <c r="J16669" s="63"/>
    </row>
    <row r="16670" spans="9:10" x14ac:dyDescent="0.35">
      <c r="I16670" s="63"/>
      <c r="J16670" s="63"/>
    </row>
    <row r="16671" spans="9:10" x14ac:dyDescent="0.35">
      <c r="I16671" s="63"/>
      <c r="J16671" s="63"/>
    </row>
    <row r="16672" spans="9:10" x14ac:dyDescent="0.35">
      <c r="I16672" s="63"/>
      <c r="J16672" s="63"/>
    </row>
    <row r="16673" spans="9:10" x14ac:dyDescent="0.35">
      <c r="I16673" s="63"/>
      <c r="J16673" s="63"/>
    </row>
    <row r="16674" spans="9:10" x14ac:dyDescent="0.35">
      <c r="I16674" s="63"/>
      <c r="J16674" s="63"/>
    </row>
    <row r="16675" spans="9:10" x14ac:dyDescent="0.35">
      <c r="I16675" s="63"/>
      <c r="J16675" s="63"/>
    </row>
    <row r="16676" spans="9:10" x14ac:dyDescent="0.35">
      <c r="I16676" s="63"/>
      <c r="J16676" s="63"/>
    </row>
    <row r="16677" spans="9:10" x14ac:dyDescent="0.35">
      <c r="I16677" s="63"/>
      <c r="J16677" s="63"/>
    </row>
    <row r="16678" spans="9:10" x14ac:dyDescent="0.35">
      <c r="I16678" s="63"/>
      <c r="J16678" s="63"/>
    </row>
    <row r="16679" spans="9:10" x14ac:dyDescent="0.35">
      <c r="I16679" s="63"/>
      <c r="J16679" s="63"/>
    </row>
    <row r="16680" spans="9:10" x14ac:dyDescent="0.35">
      <c r="I16680" s="63"/>
      <c r="J16680" s="63"/>
    </row>
    <row r="16681" spans="9:10" x14ac:dyDescent="0.35">
      <c r="I16681" s="63"/>
      <c r="J16681" s="63"/>
    </row>
    <row r="16682" spans="9:10" x14ac:dyDescent="0.35">
      <c r="I16682" s="63"/>
      <c r="J16682" s="63"/>
    </row>
    <row r="16683" spans="9:10" x14ac:dyDescent="0.35">
      <c r="I16683" s="63"/>
      <c r="J16683" s="63"/>
    </row>
    <row r="16684" spans="9:10" x14ac:dyDescent="0.35">
      <c r="I16684" s="63"/>
      <c r="J16684" s="63"/>
    </row>
    <row r="16685" spans="9:10" x14ac:dyDescent="0.35">
      <c r="I16685" s="63"/>
      <c r="J16685" s="63"/>
    </row>
    <row r="16686" spans="9:10" x14ac:dyDescent="0.35">
      <c r="I16686" s="63"/>
      <c r="J16686" s="63"/>
    </row>
    <row r="16687" spans="9:10" x14ac:dyDescent="0.35">
      <c r="I16687" s="63"/>
      <c r="J16687" s="63"/>
    </row>
    <row r="16688" spans="9:10" x14ac:dyDescent="0.35">
      <c r="I16688" s="63"/>
      <c r="J16688" s="63"/>
    </row>
    <row r="16689" spans="9:10" x14ac:dyDescent="0.35">
      <c r="I16689" s="63"/>
      <c r="J16689" s="63"/>
    </row>
    <row r="16690" spans="9:10" x14ac:dyDescent="0.35">
      <c r="I16690" s="63"/>
      <c r="J16690" s="63"/>
    </row>
    <row r="16691" spans="9:10" x14ac:dyDescent="0.35">
      <c r="I16691" s="63"/>
      <c r="J16691" s="63"/>
    </row>
    <row r="16692" spans="9:10" x14ac:dyDescent="0.35">
      <c r="I16692" s="63"/>
      <c r="J16692" s="63"/>
    </row>
    <row r="16693" spans="9:10" x14ac:dyDescent="0.35">
      <c r="I16693" s="63"/>
      <c r="J16693" s="63"/>
    </row>
    <row r="16694" spans="9:10" x14ac:dyDescent="0.35">
      <c r="I16694" s="63"/>
      <c r="J16694" s="63"/>
    </row>
    <row r="16695" spans="9:10" x14ac:dyDescent="0.35">
      <c r="I16695" s="63"/>
      <c r="J16695" s="63"/>
    </row>
    <row r="16696" spans="9:10" x14ac:dyDescent="0.35">
      <c r="I16696" s="63"/>
      <c r="J16696" s="63"/>
    </row>
    <row r="16697" spans="9:10" x14ac:dyDescent="0.35">
      <c r="I16697" s="63"/>
      <c r="J16697" s="63"/>
    </row>
    <row r="16698" spans="9:10" x14ac:dyDescent="0.35">
      <c r="I16698" s="63"/>
      <c r="J16698" s="63"/>
    </row>
    <row r="16699" spans="9:10" x14ac:dyDescent="0.35">
      <c r="I16699" s="63"/>
      <c r="J16699" s="63"/>
    </row>
    <row r="16700" spans="9:10" x14ac:dyDescent="0.35">
      <c r="I16700" s="63"/>
      <c r="J16700" s="63"/>
    </row>
    <row r="16701" spans="9:10" x14ac:dyDescent="0.35">
      <c r="I16701" s="63"/>
      <c r="J16701" s="63"/>
    </row>
    <row r="16702" spans="9:10" x14ac:dyDescent="0.35">
      <c r="I16702" s="63"/>
      <c r="J16702" s="63"/>
    </row>
    <row r="16703" spans="9:10" x14ac:dyDescent="0.35">
      <c r="I16703" s="63"/>
      <c r="J16703" s="63"/>
    </row>
    <row r="16704" spans="9:10" x14ac:dyDescent="0.35">
      <c r="I16704" s="63"/>
      <c r="J16704" s="63"/>
    </row>
    <row r="16705" spans="9:10" x14ac:dyDescent="0.35">
      <c r="I16705" s="63"/>
      <c r="J16705" s="63"/>
    </row>
    <row r="16706" spans="9:10" x14ac:dyDescent="0.35">
      <c r="I16706" s="63"/>
      <c r="J16706" s="63"/>
    </row>
    <row r="16707" spans="9:10" x14ac:dyDescent="0.35">
      <c r="I16707" s="63"/>
      <c r="J16707" s="63"/>
    </row>
    <row r="16708" spans="9:10" x14ac:dyDescent="0.35">
      <c r="I16708" s="63"/>
      <c r="J16708" s="63"/>
    </row>
    <row r="16709" spans="9:10" x14ac:dyDescent="0.35">
      <c r="I16709" s="63"/>
      <c r="J16709" s="63"/>
    </row>
    <row r="16710" spans="9:10" x14ac:dyDescent="0.35">
      <c r="I16710" s="63"/>
      <c r="J16710" s="63"/>
    </row>
    <row r="16711" spans="9:10" x14ac:dyDescent="0.35">
      <c r="I16711" s="63"/>
      <c r="J16711" s="63"/>
    </row>
    <row r="16712" spans="9:10" x14ac:dyDescent="0.35">
      <c r="I16712" s="63"/>
      <c r="J16712" s="63"/>
    </row>
    <row r="16713" spans="9:10" x14ac:dyDescent="0.35">
      <c r="I16713" s="63"/>
      <c r="J16713" s="63"/>
    </row>
    <row r="16714" spans="9:10" x14ac:dyDescent="0.35">
      <c r="I16714" s="63"/>
      <c r="J16714" s="63"/>
    </row>
    <row r="16715" spans="9:10" x14ac:dyDescent="0.35">
      <c r="I16715" s="63"/>
      <c r="J16715" s="63"/>
    </row>
    <row r="16716" spans="9:10" x14ac:dyDescent="0.35">
      <c r="I16716" s="63"/>
      <c r="J16716" s="63"/>
    </row>
    <row r="16717" spans="9:10" x14ac:dyDescent="0.35">
      <c r="I16717" s="63"/>
      <c r="J16717" s="63"/>
    </row>
    <row r="16718" spans="9:10" x14ac:dyDescent="0.35">
      <c r="I16718" s="63"/>
      <c r="J16718" s="63"/>
    </row>
    <row r="16719" spans="9:10" x14ac:dyDescent="0.35">
      <c r="I16719" s="63"/>
      <c r="J16719" s="63"/>
    </row>
    <row r="16720" spans="9:10" x14ac:dyDescent="0.35">
      <c r="I16720" s="63"/>
      <c r="J16720" s="63"/>
    </row>
    <row r="16721" spans="9:10" x14ac:dyDescent="0.35">
      <c r="I16721" s="63"/>
      <c r="J16721" s="63"/>
    </row>
    <row r="16722" spans="9:10" x14ac:dyDescent="0.35">
      <c r="I16722" s="63"/>
      <c r="J16722" s="63"/>
    </row>
    <row r="16723" spans="9:10" x14ac:dyDescent="0.35">
      <c r="I16723" s="63"/>
      <c r="J16723" s="63"/>
    </row>
    <row r="16724" spans="9:10" x14ac:dyDescent="0.35">
      <c r="I16724" s="63"/>
      <c r="J16724" s="63"/>
    </row>
    <row r="16725" spans="9:10" x14ac:dyDescent="0.35">
      <c r="I16725" s="63"/>
      <c r="J16725" s="63"/>
    </row>
    <row r="16726" spans="9:10" x14ac:dyDescent="0.35">
      <c r="I16726" s="63"/>
      <c r="J16726" s="63"/>
    </row>
    <row r="16727" spans="9:10" x14ac:dyDescent="0.35">
      <c r="I16727" s="63"/>
      <c r="J16727" s="63"/>
    </row>
    <row r="16728" spans="9:10" x14ac:dyDescent="0.35">
      <c r="I16728" s="63"/>
      <c r="J16728" s="63"/>
    </row>
    <row r="16729" spans="9:10" x14ac:dyDescent="0.35">
      <c r="I16729" s="63"/>
      <c r="J16729" s="63"/>
    </row>
    <row r="16730" spans="9:10" x14ac:dyDescent="0.35">
      <c r="I16730" s="63"/>
      <c r="J16730" s="63"/>
    </row>
    <row r="16731" spans="9:10" x14ac:dyDescent="0.35">
      <c r="I16731" s="63"/>
      <c r="J16731" s="63"/>
    </row>
    <row r="16732" spans="9:10" x14ac:dyDescent="0.35">
      <c r="I16732" s="63"/>
      <c r="J16732" s="63"/>
    </row>
    <row r="16733" spans="9:10" x14ac:dyDescent="0.35">
      <c r="I16733" s="63"/>
      <c r="J16733" s="63"/>
    </row>
    <row r="16734" spans="9:10" x14ac:dyDescent="0.35">
      <c r="I16734" s="63"/>
      <c r="J16734" s="63"/>
    </row>
    <row r="16735" spans="9:10" x14ac:dyDescent="0.35">
      <c r="I16735" s="63"/>
      <c r="J16735" s="63"/>
    </row>
    <row r="16736" spans="9:10" x14ac:dyDescent="0.35">
      <c r="I16736" s="63"/>
      <c r="J16736" s="63"/>
    </row>
    <row r="16737" spans="9:10" x14ac:dyDescent="0.35">
      <c r="I16737" s="63"/>
      <c r="J16737" s="63"/>
    </row>
    <row r="16738" spans="9:10" x14ac:dyDescent="0.35">
      <c r="I16738" s="63"/>
      <c r="J16738" s="63"/>
    </row>
    <row r="16739" spans="9:10" x14ac:dyDescent="0.35">
      <c r="I16739" s="63"/>
      <c r="J16739" s="63"/>
    </row>
    <row r="16740" spans="9:10" x14ac:dyDescent="0.35">
      <c r="I16740" s="63"/>
      <c r="J16740" s="63"/>
    </row>
    <row r="16741" spans="9:10" x14ac:dyDescent="0.35">
      <c r="I16741" s="63"/>
      <c r="J16741" s="63"/>
    </row>
    <row r="16742" spans="9:10" x14ac:dyDescent="0.35">
      <c r="I16742" s="63"/>
      <c r="J16742" s="63"/>
    </row>
    <row r="16743" spans="9:10" x14ac:dyDescent="0.35">
      <c r="I16743" s="63"/>
      <c r="J16743" s="63"/>
    </row>
    <row r="16744" spans="9:10" x14ac:dyDescent="0.35">
      <c r="I16744" s="63"/>
      <c r="J16744" s="63"/>
    </row>
    <row r="16745" spans="9:10" x14ac:dyDescent="0.35">
      <c r="I16745" s="63"/>
      <c r="J16745" s="63"/>
    </row>
    <row r="16746" spans="9:10" x14ac:dyDescent="0.35">
      <c r="I16746" s="63"/>
      <c r="J16746" s="63"/>
    </row>
    <row r="16747" spans="9:10" x14ac:dyDescent="0.35">
      <c r="I16747" s="63"/>
      <c r="J16747" s="63"/>
    </row>
    <row r="16748" spans="9:10" x14ac:dyDescent="0.35">
      <c r="I16748" s="63"/>
      <c r="J16748" s="63"/>
    </row>
    <row r="16749" spans="9:10" x14ac:dyDescent="0.35">
      <c r="I16749" s="63"/>
      <c r="J16749" s="63"/>
    </row>
    <row r="16750" spans="9:10" x14ac:dyDescent="0.35">
      <c r="I16750" s="63"/>
      <c r="J16750" s="63"/>
    </row>
    <row r="16751" spans="9:10" x14ac:dyDescent="0.35">
      <c r="I16751" s="63"/>
      <c r="J16751" s="63"/>
    </row>
    <row r="16752" spans="9:10" x14ac:dyDescent="0.35">
      <c r="I16752" s="63"/>
      <c r="J16752" s="63"/>
    </row>
    <row r="16753" spans="9:10" x14ac:dyDescent="0.35">
      <c r="I16753" s="63"/>
      <c r="J16753" s="63"/>
    </row>
    <row r="16754" spans="9:10" x14ac:dyDescent="0.35">
      <c r="I16754" s="63"/>
      <c r="J16754" s="63"/>
    </row>
    <row r="16755" spans="9:10" x14ac:dyDescent="0.35">
      <c r="I16755" s="63"/>
      <c r="J16755" s="63"/>
    </row>
    <row r="16756" spans="9:10" x14ac:dyDescent="0.35">
      <c r="I16756" s="63"/>
      <c r="J16756" s="63"/>
    </row>
    <row r="16757" spans="9:10" x14ac:dyDescent="0.35">
      <c r="I16757" s="63"/>
      <c r="J16757" s="63"/>
    </row>
    <row r="16758" spans="9:10" x14ac:dyDescent="0.35">
      <c r="I16758" s="63"/>
      <c r="J16758" s="63"/>
    </row>
    <row r="16759" spans="9:10" x14ac:dyDescent="0.35">
      <c r="I16759" s="63"/>
      <c r="J16759" s="63"/>
    </row>
    <row r="16760" spans="9:10" x14ac:dyDescent="0.35">
      <c r="I16760" s="63"/>
      <c r="J16760" s="63"/>
    </row>
    <row r="16761" spans="9:10" x14ac:dyDescent="0.35">
      <c r="I16761" s="63"/>
      <c r="J16761" s="63"/>
    </row>
    <row r="16762" spans="9:10" x14ac:dyDescent="0.35">
      <c r="I16762" s="63"/>
      <c r="J16762" s="63"/>
    </row>
    <row r="16763" spans="9:10" x14ac:dyDescent="0.35">
      <c r="I16763" s="63"/>
      <c r="J16763" s="63"/>
    </row>
    <row r="16764" spans="9:10" x14ac:dyDescent="0.35">
      <c r="I16764" s="63"/>
      <c r="J16764" s="63"/>
    </row>
    <row r="16765" spans="9:10" x14ac:dyDescent="0.35">
      <c r="I16765" s="63"/>
      <c r="J16765" s="63"/>
    </row>
    <row r="16766" spans="9:10" x14ac:dyDescent="0.35">
      <c r="I16766" s="63"/>
      <c r="J16766" s="63"/>
    </row>
    <row r="16767" spans="9:10" x14ac:dyDescent="0.35">
      <c r="I16767" s="63"/>
      <c r="J16767" s="63"/>
    </row>
    <row r="16768" spans="9:10" x14ac:dyDescent="0.35">
      <c r="I16768" s="63"/>
      <c r="J16768" s="63"/>
    </row>
    <row r="16769" spans="9:10" x14ac:dyDescent="0.35">
      <c r="I16769" s="63"/>
      <c r="J16769" s="63"/>
    </row>
    <row r="16770" spans="9:10" x14ac:dyDescent="0.35">
      <c r="I16770" s="63"/>
      <c r="J16770" s="63"/>
    </row>
    <row r="16771" spans="9:10" x14ac:dyDescent="0.35">
      <c r="I16771" s="63"/>
      <c r="J16771" s="63"/>
    </row>
    <row r="16772" spans="9:10" x14ac:dyDescent="0.35">
      <c r="I16772" s="63"/>
      <c r="J16772" s="63"/>
    </row>
    <row r="16773" spans="9:10" x14ac:dyDescent="0.35">
      <c r="I16773" s="63"/>
      <c r="J16773" s="63"/>
    </row>
    <row r="16774" spans="9:10" x14ac:dyDescent="0.35">
      <c r="I16774" s="63"/>
      <c r="J16774" s="63"/>
    </row>
    <row r="16775" spans="9:10" x14ac:dyDescent="0.35">
      <c r="I16775" s="63"/>
      <c r="J16775" s="63"/>
    </row>
    <row r="16776" spans="9:10" x14ac:dyDescent="0.35">
      <c r="I16776" s="63"/>
      <c r="J16776" s="63"/>
    </row>
    <row r="16777" spans="9:10" x14ac:dyDescent="0.35">
      <c r="I16777" s="63"/>
      <c r="J16777" s="63"/>
    </row>
    <row r="16778" spans="9:10" x14ac:dyDescent="0.35">
      <c r="I16778" s="63"/>
      <c r="J16778" s="63"/>
    </row>
    <row r="16779" spans="9:10" x14ac:dyDescent="0.35">
      <c r="I16779" s="63"/>
      <c r="J16779" s="63"/>
    </row>
    <row r="16780" spans="9:10" x14ac:dyDescent="0.35">
      <c r="I16780" s="63"/>
      <c r="J16780" s="63"/>
    </row>
    <row r="16781" spans="9:10" x14ac:dyDescent="0.35">
      <c r="I16781" s="63"/>
      <c r="J16781" s="63"/>
    </row>
    <row r="16782" spans="9:10" x14ac:dyDescent="0.35">
      <c r="I16782" s="63"/>
      <c r="J16782" s="63"/>
    </row>
    <row r="16783" spans="9:10" x14ac:dyDescent="0.35">
      <c r="I16783" s="63"/>
      <c r="J16783" s="63"/>
    </row>
    <row r="16784" spans="9:10" x14ac:dyDescent="0.35">
      <c r="I16784" s="63"/>
      <c r="J16784" s="63"/>
    </row>
    <row r="16785" spans="9:10" x14ac:dyDescent="0.35">
      <c r="I16785" s="63"/>
      <c r="J16785" s="63"/>
    </row>
    <row r="16786" spans="9:10" x14ac:dyDescent="0.35">
      <c r="I16786" s="63"/>
      <c r="J16786" s="63"/>
    </row>
    <row r="16787" spans="9:10" x14ac:dyDescent="0.35">
      <c r="I16787" s="63"/>
      <c r="J16787" s="63"/>
    </row>
    <row r="16788" spans="9:10" x14ac:dyDescent="0.35">
      <c r="I16788" s="63"/>
      <c r="J16788" s="63"/>
    </row>
    <row r="16789" spans="9:10" x14ac:dyDescent="0.35">
      <c r="I16789" s="63"/>
      <c r="J16789" s="63"/>
    </row>
    <row r="16790" spans="9:10" x14ac:dyDescent="0.35">
      <c r="I16790" s="63"/>
      <c r="J16790" s="63"/>
    </row>
    <row r="16791" spans="9:10" x14ac:dyDescent="0.35">
      <c r="I16791" s="63"/>
      <c r="J16791" s="63"/>
    </row>
    <row r="16792" spans="9:10" x14ac:dyDescent="0.35">
      <c r="I16792" s="63"/>
      <c r="J16792" s="63"/>
    </row>
    <row r="16793" spans="9:10" x14ac:dyDescent="0.35">
      <c r="I16793" s="63"/>
      <c r="J16793" s="63"/>
    </row>
    <row r="16794" spans="9:10" x14ac:dyDescent="0.35">
      <c r="I16794" s="63"/>
      <c r="J16794" s="63"/>
    </row>
    <row r="16795" spans="9:10" x14ac:dyDescent="0.35">
      <c r="I16795" s="63"/>
      <c r="J16795" s="63"/>
    </row>
    <row r="16796" spans="9:10" x14ac:dyDescent="0.35">
      <c r="I16796" s="63"/>
      <c r="J16796" s="63"/>
    </row>
    <row r="16797" spans="9:10" x14ac:dyDescent="0.35">
      <c r="I16797" s="63"/>
      <c r="J16797" s="63"/>
    </row>
    <row r="16798" spans="9:10" x14ac:dyDescent="0.35">
      <c r="I16798" s="63"/>
      <c r="J16798" s="63"/>
    </row>
    <row r="16799" spans="9:10" x14ac:dyDescent="0.35">
      <c r="I16799" s="63"/>
      <c r="J16799" s="63"/>
    </row>
    <row r="16800" spans="9:10" x14ac:dyDescent="0.35">
      <c r="I16800" s="63"/>
      <c r="J16800" s="63"/>
    </row>
    <row r="16801" spans="9:10" x14ac:dyDescent="0.35">
      <c r="I16801" s="63"/>
      <c r="J16801" s="63"/>
    </row>
    <row r="16802" spans="9:10" x14ac:dyDescent="0.35">
      <c r="I16802" s="63"/>
      <c r="J16802" s="63"/>
    </row>
    <row r="16803" spans="9:10" x14ac:dyDescent="0.35">
      <c r="I16803" s="63"/>
      <c r="J16803" s="63"/>
    </row>
    <row r="16804" spans="9:10" x14ac:dyDescent="0.35">
      <c r="I16804" s="63"/>
      <c r="J16804" s="63"/>
    </row>
    <row r="16805" spans="9:10" x14ac:dyDescent="0.35">
      <c r="I16805" s="63"/>
      <c r="J16805" s="63"/>
    </row>
    <row r="16806" spans="9:10" x14ac:dyDescent="0.35">
      <c r="I16806" s="63"/>
      <c r="J16806" s="63"/>
    </row>
    <row r="16807" spans="9:10" x14ac:dyDescent="0.35">
      <c r="I16807" s="63"/>
      <c r="J16807" s="63"/>
    </row>
    <row r="16808" spans="9:10" x14ac:dyDescent="0.35">
      <c r="I16808" s="63"/>
      <c r="J16808" s="63"/>
    </row>
    <row r="16809" spans="9:10" x14ac:dyDescent="0.35">
      <c r="I16809" s="63"/>
      <c r="J16809" s="63"/>
    </row>
    <row r="16810" spans="9:10" x14ac:dyDescent="0.35">
      <c r="I16810" s="63"/>
      <c r="J16810" s="63"/>
    </row>
    <row r="16811" spans="9:10" x14ac:dyDescent="0.35">
      <c r="I16811" s="63"/>
      <c r="J16811" s="63"/>
    </row>
    <row r="16812" spans="9:10" x14ac:dyDescent="0.35">
      <c r="I16812" s="63"/>
      <c r="J16812" s="63"/>
    </row>
    <row r="16813" spans="9:10" x14ac:dyDescent="0.35">
      <c r="I16813" s="63"/>
      <c r="J16813" s="63"/>
    </row>
    <row r="16814" spans="9:10" x14ac:dyDescent="0.35">
      <c r="I16814" s="63"/>
      <c r="J16814" s="63"/>
    </row>
    <row r="16815" spans="9:10" x14ac:dyDescent="0.35">
      <c r="I16815" s="63"/>
      <c r="J16815" s="63"/>
    </row>
    <row r="16816" spans="9:10" x14ac:dyDescent="0.35">
      <c r="I16816" s="63"/>
      <c r="J16816" s="63"/>
    </row>
    <row r="16817" spans="9:10" x14ac:dyDescent="0.35">
      <c r="I16817" s="63"/>
      <c r="J16817" s="63"/>
    </row>
    <row r="16818" spans="9:10" x14ac:dyDescent="0.35">
      <c r="I16818" s="63"/>
      <c r="J16818" s="63"/>
    </row>
    <row r="16819" spans="9:10" x14ac:dyDescent="0.35">
      <c r="I16819" s="63"/>
      <c r="J16819" s="63"/>
    </row>
    <row r="16820" spans="9:10" x14ac:dyDescent="0.35">
      <c r="I16820" s="63"/>
      <c r="J16820" s="63"/>
    </row>
    <row r="16821" spans="9:10" x14ac:dyDescent="0.35">
      <c r="I16821" s="63"/>
      <c r="J16821" s="63"/>
    </row>
    <row r="16822" spans="9:10" x14ac:dyDescent="0.35">
      <c r="I16822" s="63"/>
      <c r="J16822" s="63"/>
    </row>
    <row r="16823" spans="9:10" x14ac:dyDescent="0.35">
      <c r="I16823" s="63"/>
      <c r="J16823" s="63"/>
    </row>
    <row r="16824" spans="9:10" x14ac:dyDescent="0.35">
      <c r="I16824" s="63"/>
      <c r="J16824" s="63"/>
    </row>
    <row r="16825" spans="9:10" x14ac:dyDescent="0.35">
      <c r="I16825" s="63"/>
      <c r="J16825" s="63"/>
    </row>
    <row r="16826" spans="9:10" x14ac:dyDescent="0.35">
      <c r="I16826" s="63"/>
      <c r="J16826" s="63"/>
    </row>
    <row r="16827" spans="9:10" x14ac:dyDescent="0.35">
      <c r="I16827" s="63"/>
      <c r="J16827" s="63"/>
    </row>
    <row r="16828" spans="9:10" x14ac:dyDescent="0.35">
      <c r="I16828" s="63"/>
      <c r="J16828" s="63"/>
    </row>
    <row r="16829" spans="9:10" x14ac:dyDescent="0.35">
      <c r="I16829" s="63"/>
      <c r="J16829" s="63"/>
    </row>
    <row r="16830" spans="9:10" x14ac:dyDescent="0.35">
      <c r="I16830" s="63"/>
      <c r="J16830" s="63"/>
    </row>
    <row r="16831" spans="9:10" x14ac:dyDescent="0.35">
      <c r="I16831" s="63"/>
      <c r="J16831" s="63"/>
    </row>
    <row r="16832" spans="9:10" x14ac:dyDescent="0.35">
      <c r="I16832" s="63"/>
      <c r="J16832" s="63"/>
    </row>
    <row r="16833" spans="9:10" x14ac:dyDescent="0.35">
      <c r="I16833" s="63"/>
      <c r="J16833" s="63"/>
    </row>
    <row r="16834" spans="9:10" x14ac:dyDescent="0.35">
      <c r="I16834" s="63"/>
      <c r="J16834" s="63"/>
    </row>
    <row r="16835" spans="9:10" x14ac:dyDescent="0.35">
      <c r="I16835" s="63"/>
      <c r="J16835" s="63"/>
    </row>
    <row r="16836" spans="9:10" x14ac:dyDescent="0.35">
      <c r="I16836" s="63"/>
      <c r="J16836" s="63"/>
    </row>
    <row r="16837" spans="9:10" x14ac:dyDescent="0.35">
      <c r="I16837" s="63"/>
      <c r="J16837" s="63"/>
    </row>
    <row r="16838" spans="9:10" x14ac:dyDescent="0.35">
      <c r="I16838" s="63"/>
      <c r="J16838" s="63"/>
    </row>
    <row r="16839" spans="9:10" x14ac:dyDescent="0.35">
      <c r="I16839" s="63"/>
      <c r="J16839" s="63"/>
    </row>
    <row r="16840" spans="9:10" x14ac:dyDescent="0.35">
      <c r="I16840" s="63"/>
      <c r="J16840" s="63"/>
    </row>
    <row r="16841" spans="9:10" x14ac:dyDescent="0.35">
      <c r="I16841" s="63"/>
      <c r="J16841" s="63"/>
    </row>
    <row r="16842" spans="9:10" x14ac:dyDescent="0.35">
      <c r="I16842" s="63"/>
      <c r="J16842" s="63"/>
    </row>
    <row r="16843" spans="9:10" x14ac:dyDescent="0.35">
      <c r="I16843" s="63"/>
      <c r="J16843" s="63"/>
    </row>
    <row r="16844" spans="9:10" x14ac:dyDescent="0.35">
      <c r="I16844" s="63"/>
      <c r="J16844" s="63"/>
    </row>
    <row r="16845" spans="9:10" x14ac:dyDescent="0.35">
      <c r="I16845" s="63"/>
      <c r="J16845" s="63"/>
    </row>
    <row r="16846" spans="9:10" x14ac:dyDescent="0.35">
      <c r="I16846" s="63"/>
      <c r="J16846" s="63"/>
    </row>
    <row r="16847" spans="9:10" x14ac:dyDescent="0.35">
      <c r="I16847" s="63"/>
      <c r="J16847" s="63"/>
    </row>
    <row r="16848" spans="9:10" x14ac:dyDescent="0.35">
      <c r="I16848" s="63"/>
      <c r="J16848" s="63"/>
    </row>
    <row r="16849" spans="9:10" x14ac:dyDescent="0.35">
      <c r="I16849" s="63"/>
      <c r="J16849" s="63"/>
    </row>
    <row r="16850" spans="9:10" x14ac:dyDescent="0.35">
      <c r="I16850" s="63"/>
      <c r="J16850" s="63"/>
    </row>
    <row r="16851" spans="9:10" x14ac:dyDescent="0.35">
      <c r="I16851" s="63"/>
      <c r="J16851" s="63"/>
    </row>
    <row r="16852" spans="9:10" x14ac:dyDescent="0.35">
      <c r="I16852" s="63"/>
      <c r="J16852" s="63"/>
    </row>
    <row r="16853" spans="9:10" x14ac:dyDescent="0.35">
      <c r="I16853" s="63"/>
      <c r="J16853" s="63"/>
    </row>
    <row r="16854" spans="9:10" x14ac:dyDescent="0.35">
      <c r="I16854" s="63"/>
      <c r="J16854" s="63"/>
    </row>
    <row r="16855" spans="9:10" x14ac:dyDescent="0.35">
      <c r="I16855" s="63"/>
      <c r="J16855" s="63"/>
    </row>
    <row r="16856" spans="9:10" x14ac:dyDescent="0.35">
      <c r="I16856" s="63"/>
      <c r="J16856" s="63"/>
    </row>
    <row r="16857" spans="9:10" x14ac:dyDescent="0.35">
      <c r="I16857" s="63"/>
      <c r="J16857" s="63"/>
    </row>
    <row r="16858" spans="9:10" x14ac:dyDescent="0.35">
      <c r="I16858" s="63"/>
      <c r="J16858" s="63"/>
    </row>
    <row r="16859" spans="9:10" x14ac:dyDescent="0.35">
      <c r="I16859" s="63"/>
      <c r="J16859" s="63"/>
    </row>
    <row r="16860" spans="9:10" x14ac:dyDescent="0.35">
      <c r="I16860" s="63"/>
      <c r="J16860" s="63"/>
    </row>
    <row r="16861" spans="9:10" x14ac:dyDescent="0.35">
      <c r="I16861" s="63"/>
      <c r="J16861" s="63"/>
    </row>
    <row r="16862" spans="9:10" x14ac:dyDescent="0.35">
      <c r="I16862" s="63"/>
      <c r="J16862" s="63"/>
    </row>
    <row r="16863" spans="9:10" x14ac:dyDescent="0.35">
      <c r="I16863" s="63"/>
      <c r="J16863" s="63"/>
    </row>
    <row r="16864" spans="9:10" x14ac:dyDescent="0.35">
      <c r="I16864" s="63"/>
      <c r="J16864" s="63"/>
    </row>
    <row r="16865" spans="9:10" x14ac:dyDescent="0.35">
      <c r="I16865" s="63"/>
      <c r="J16865" s="63"/>
    </row>
    <row r="16866" spans="9:10" x14ac:dyDescent="0.35">
      <c r="I16866" s="63"/>
      <c r="J16866" s="63"/>
    </row>
    <row r="16867" spans="9:10" x14ac:dyDescent="0.35">
      <c r="I16867" s="63"/>
      <c r="J16867" s="63"/>
    </row>
    <row r="16868" spans="9:10" x14ac:dyDescent="0.35">
      <c r="I16868" s="63"/>
      <c r="J16868" s="63"/>
    </row>
    <row r="16869" spans="9:10" x14ac:dyDescent="0.35">
      <c r="I16869" s="63"/>
      <c r="J16869" s="63"/>
    </row>
    <row r="16870" spans="9:10" x14ac:dyDescent="0.35">
      <c r="I16870" s="63"/>
      <c r="J16870" s="63"/>
    </row>
    <row r="16871" spans="9:10" x14ac:dyDescent="0.35">
      <c r="I16871" s="63"/>
      <c r="J16871" s="63"/>
    </row>
    <row r="16872" spans="9:10" x14ac:dyDescent="0.35">
      <c r="I16872" s="63"/>
      <c r="J16872" s="63"/>
    </row>
    <row r="16873" spans="9:10" x14ac:dyDescent="0.35">
      <c r="I16873" s="63"/>
      <c r="J16873" s="63"/>
    </row>
    <row r="16874" spans="9:10" x14ac:dyDescent="0.35">
      <c r="I16874" s="63"/>
      <c r="J16874" s="63"/>
    </row>
    <row r="16875" spans="9:10" x14ac:dyDescent="0.35">
      <c r="I16875" s="63"/>
      <c r="J16875" s="63"/>
    </row>
    <row r="16876" spans="9:10" x14ac:dyDescent="0.35">
      <c r="I16876" s="63"/>
      <c r="J16876" s="63"/>
    </row>
    <row r="16877" spans="9:10" x14ac:dyDescent="0.35">
      <c r="I16877" s="63"/>
      <c r="J16877" s="63"/>
    </row>
    <row r="16878" spans="9:10" x14ac:dyDescent="0.35">
      <c r="I16878" s="63"/>
      <c r="J16878" s="63"/>
    </row>
    <row r="16879" spans="9:10" x14ac:dyDescent="0.35">
      <c r="I16879" s="63"/>
      <c r="J16879" s="63"/>
    </row>
    <row r="16880" spans="9:10" x14ac:dyDescent="0.35">
      <c r="I16880" s="63"/>
      <c r="J16880" s="63"/>
    </row>
    <row r="16881" spans="9:10" x14ac:dyDescent="0.35">
      <c r="I16881" s="63"/>
      <c r="J16881" s="63"/>
    </row>
    <row r="16882" spans="9:10" x14ac:dyDescent="0.35">
      <c r="I16882" s="63"/>
      <c r="J16882" s="63"/>
    </row>
    <row r="16883" spans="9:10" x14ac:dyDescent="0.35">
      <c r="I16883" s="63"/>
      <c r="J16883" s="63"/>
    </row>
    <row r="16884" spans="9:10" x14ac:dyDescent="0.35">
      <c r="I16884" s="63"/>
      <c r="J16884" s="63"/>
    </row>
    <row r="16885" spans="9:10" x14ac:dyDescent="0.35">
      <c r="I16885" s="63"/>
      <c r="J16885" s="63"/>
    </row>
    <row r="16886" spans="9:10" x14ac:dyDescent="0.35">
      <c r="I16886" s="63"/>
      <c r="J16886" s="63"/>
    </row>
    <row r="16887" spans="9:10" x14ac:dyDescent="0.35">
      <c r="I16887" s="63"/>
      <c r="J16887" s="63"/>
    </row>
    <row r="16888" spans="9:10" x14ac:dyDescent="0.35">
      <c r="I16888" s="63"/>
      <c r="J16888" s="63"/>
    </row>
    <row r="16889" spans="9:10" x14ac:dyDescent="0.35">
      <c r="I16889" s="63"/>
      <c r="J16889" s="63"/>
    </row>
    <row r="16890" spans="9:10" x14ac:dyDescent="0.35">
      <c r="I16890" s="63"/>
      <c r="J16890" s="63"/>
    </row>
    <row r="16891" spans="9:10" x14ac:dyDescent="0.35">
      <c r="I16891" s="63"/>
      <c r="J16891" s="63"/>
    </row>
    <row r="16892" spans="9:10" x14ac:dyDescent="0.35">
      <c r="I16892" s="63"/>
      <c r="J16892" s="63"/>
    </row>
    <row r="16893" spans="9:10" x14ac:dyDescent="0.35">
      <c r="I16893" s="63"/>
      <c r="J16893" s="63"/>
    </row>
    <row r="16894" spans="9:10" x14ac:dyDescent="0.35">
      <c r="I16894" s="63"/>
      <c r="J16894" s="63"/>
    </row>
    <row r="16895" spans="9:10" x14ac:dyDescent="0.35">
      <c r="I16895" s="63"/>
      <c r="J16895" s="63"/>
    </row>
    <row r="16896" spans="9:10" x14ac:dyDescent="0.35">
      <c r="I16896" s="63"/>
      <c r="J16896" s="63"/>
    </row>
    <row r="16897" spans="9:10" x14ac:dyDescent="0.35">
      <c r="I16897" s="63"/>
      <c r="J16897" s="63"/>
    </row>
    <row r="16898" spans="9:10" x14ac:dyDescent="0.35">
      <c r="I16898" s="63"/>
      <c r="J16898" s="63"/>
    </row>
    <row r="16899" spans="9:10" x14ac:dyDescent="0.35">
      <c r="I16899" s="63"/>
      <c r="J16899" s="63"/>
    </row>
    <row r="16900" spans="9:10" x14ac:dyDescent="0.35">
      <c r="I16900" s="63"/>
      <c r="J16900" s="63"/>
    </row>
    <row r="16901" spans="9:10" x14ac:dyDescent="0.35">
      <c r="I16901" s="63"/>
      <c r="J16901" s="63"/>
    </row>
    <row r="16902" spans="9:10" x14ac:dyDescent="0.35">
      <c r="I16902" s="63"/>
      <c r="J16902" s="63"/>
    </row>
    <row r="16903" spans="9:10" x14ac:dyDescent="0.35">
      <c r="I16903" s="63"/>
      <c r="J16903" s="63"/>
    </row>
    <row r="16904" spans="9:10" x14ac:dyDescent="0.35">
      <c r="I16904" s="63"/>
      <c r="J16904" s="63"/>
    </row>
    <row r="16905" spans="9:10" x14ac:dyDescent="0.35">
      <c r="I16905" s="63"/>
      <c r="J16905" s="63"/>
    </row>
    <row r="16906" spans="9:10" x14ac:dyDescent="0.35">
      <c r="I16906" s="63"/>
      <c r="J16906" s="63"/>
    </row>
    <row r="16907" spans="9:10" x14ac:dyDescent="0.35">
      <c r="I16907" s="63"/>
      <c r="J16907" s="63"/>
    </row>
    <row r="16908" spans="9:10" x14ac:dyDescent="0.35">
      <c r="I16908" s="63"/>
      <c r="J16908" s="63"/>
    </row>
    <row r="16909" spans="9:10" x14ac:dyDescent="0.35">
      <c r="I16909" s="63"/>
      <c r="J16909" s="63"/>
    </row>
    <row r="16910" spans="9:10" x14ac:dyDescent="0.35">
      <c r="I16910" s="63"/>
      <c r="J16910" s="63"/>
    </row>
    <row r="16911" spans="9:10" x14ac:dyDescent="0.35">
      <c r="I16911" s="63"/>
      <c r="J16911" s="63"/>
    </row>
    <row r="16912" spans="9:10" x14ac:dyDescent="0.35">
      <c r="I16912" s="63"/>
      <c r="J16912" s="63"/>
    </row>
    <row r="16913" spans="9:10" x14ac:dyDescent="0.35">
      <c r="I16913" s="63"/>
      <c r="J16913" s="63"/>
    </row>
    <row r="16914" spans="9:10" x14ac:dyDescent="0.35">
      <c r="I16914" s="63"/>
      <c r="J16914" s="63"/>
    </row>
    <row r="16915" spans="9:10" x14ac:dyDescent="0.35">
      <c r="I16915" s="63"/>
      <c r="J16915" s="63"/>
    </row>
    <row r="16916" spans="9:10" x14ac:dyDescent="0.35">
      <c r="I16916" s="63"/>
      <c r="J16916" s="63"/>
    </row>
    <row r="16917" spans="9:10" x14ac:dyDescent="0.35">
      <c r="I16917" s="63"/>
      <c r="J16917" s="63"/>
    </row>
    <row r="16918" spans="9:10" x14ac:dyDescent="0.35">
      <c r="I16918" s="63"/>
      <c r="J16918" s="63"/>
    </row>
    <row r="16919" spans="9:10" x14ac:dyDescent="0.35">
      <c r="I16919" s="63"/>
      <c r="J16919" s="63"/>
    </row>
    <row r="16920" spans="9:10" x14ac:dyDescent="0.35">
      <c r="I16920" s="63"/>
      <c r="J16920" s="63"/>
    </row>
    <row r="16921" spans="9:10" x14ac:dyDescent="0.35">
      <c r="I16921" s="63"/>
      <c r="J16921" s="63"/>
    </row>
    <row r="16922" spans="9:10" x14ac:dyDescent="0.35">
      <c r="I16922" s="63"/>
      <c r="J16922" s="63"/>
    </row>
    <row r="16923" spans="9:10" x14ac:dyDescent="0.35">
      <c r="I16923" s="63"/>
      <c r="J16923" s="63"/>
    </row>
    <row r="16924" spans="9:10" x14ac:dyDescent="0.35">
      <c r="I16924" s="63"/>
      <c r="J16924" s="63"/>
    </row>
    <row r="16925" spans="9:10" x14ac:dyDescent="0.35">
      <c r="I16925" s="63"/>
      <c r="J16925" s="63"/>
    </row>
    <row r="16926" spans="9:10" x14ac:dyDescent="0.35">
      <c r="I16926" s="63"/>
      <c r="J16926" s="63"/>
    </row>
    <row r="16927" spans="9:10" x14ac:dyDescent="0.35">
      <c r="I16927" s="63"/>
      <c r="J16927" s="63"/>
    </row>
    <row r="16928" spans="9:10" x14ac:dyDescent="0.35">
      <c r="I16928" s="63"/>
      <c r="J16928" s="63"/>
    </row>
    <row r="16929" spans="9:10" x14ac:dyDescent="0.35">
      <c r="I16929" s="63"/>
      <c r="J16929" s="63"/>
    </row>
    <row r="16930" spans="9:10" x14ac:dyDescent="0.35">
      <c r="I16930" s="63"/>
      <c r="J16930" s="63"/>
    </row>
    <row r="16931" spans="9:10" x14ac:dyDescent="0.35">
      <c r="I16931" s="63"/>
      <c r="J16931" s="63"/>
    </row>
    <row r="16932" spans="9:10" x14ac:dyDescent="0.35">
      <c r="I16932" s="63"/>
      <c r="J16932" s="63"/>
    </row>
    <row r="16933" spans="9:10" x14ac:dyDescent="0.35">
      <c r="I16933" s="63"/>
      <c r="J16933" s="63"/>
    </row>
    <row r="16934" spans="9:10" x14ac:dyDescent="0.35">
      <c r="I16934" s="63"/>
      <c r="J16934" s="63"/>
    </row>
    <row r="16935" spans="9:10" x14ac:dyDescent="0.35">
      <c r="I16935" s="63"/>
      <c r="J16935" s="63"/>
    </row>
    <row r="16936" spans="9:10" x14ac:dyDescent="0.35">
      <c r="I16936" s="63"/>
      <c r="J16936" s="63"/>
    </row>
    <row r="16937" spans="9:10" x14ac:dyDescent="0.35">
      <c r="I16937" s="63"/>
      <c r="J16937" s="63"/>
    </row>
    <row r="16938" spans="9:10" x14ac:dyDescent="0.35">
      <c r="I16938" s="63"/>
      <c r="J16938" s="63"/>
    </row>
    <row r="16939" spans="9:10" x14ac:dyDescent="0.35">
      <c r="I16939" s="63"/>
      <c r="J16939" s="63"/>
    </row>
    <row r="16940" spans="9:10" x14ac:dyDescent="0.35">
      <c r="I16940" s="63"/>
      <c r="J16940" s="63"/>
    </row>
    <row r="16941" spans="9:10" x14ac:dyDescent="0.35">
      <c r="I16941" s="63"/>
      <c r="J16941" s="63"/>
    </row>
    <row r="16942" spans="9:10" x14ac:dyDescent="0.35">
      <c r="I16942" s="63"/>
      <c r="J16942" s="63"/>
    </row>
    <row r="16943" spans="9:10" x14ac:dyDescent="0.35">
      <c r="I16943" s="63"/>
      <c r="J16943" s="63"/>
    </row>
    <row r="16944" spans="9:10" x14ac:dyDescent="0.35">
      <c r="I16944" s="63"/>
      <c r="J16944" s="63"/>
    </row>
    <row r="16945" spans="9:10" x14ac:dyDescent="0.35">
      <c r="I16945" s="63"/>
      <c r="J16945" s="63"/>
    </row>
    <row r="16946" spans="9:10" x14ac:dyDescent="0.35">
      <c r="I16946" s="63"/>
      <c r="J16946" s="63"/>
    </row>
    <row r="16947" spans="9:10" x14ac:dyDescent="0.35">
      <c r="I16947" s="63"/>
      <c r="J16947" s="63"/>
    </row>
    <row r="16948" spans="9:10" x14ac:dyDescent="0.35">
      <c r="I16948" s="63"/>
      <c r="J16948" s="63"/>
    </row>
    <row r="16949" spans="9:10" x14ac:dyDescent="0.35">
      <c r="I16949" s="63"/>
      <c r="J16949" s="63"/>
    </row>
    <row r="16950" spans="9:10" x14ac:dyDescent="0.35">
      <c r="I16950" s="63"/>
      <c r="J16950" s="63"/>
    </row>
    <row r="16951" spans="9:10" x14ac:dyDescent="0.35">
      <c r="I16951" s="63"/>
      <c r="J16951" s="63"/>
    </row>
    <row r="16952" spans="9:10" x14ac:dyDescent="0.35">
      <c r="I16952" s="63"/>
      <c r="J16952" s="63"/>
    </row>
    <row r="16953" spans="9:10" x14ac:dyDescent="0.35">
      <c r="I16953" s="63"/>
      <c r="J16953" s="63"/>
    </row>
    <row r="16954" spans="9:10" x14ac:dyDescent="0.35">
      <c r="I16954" s="63"/>
      <c r="J16954" s="63"/>
    </row>
    <row r="16955" spans="9:10" x14ac:dyDescent="0.35">
      <c r="I16955" s="63"/>
      <c r="J16955" s="63"/>
    </row>
    <row r="16956" spans="9:10" x14ac:dyDescent="0.35">
      <c r="I16956" s="63"/>
      <c r="J16956" s="63"/>
    </row>
    <row r="16957" spans="9:10" x14ac:dyDescent="0.35">
      <c r="I16957" s="63"/>
      <c r="J16957" s="63"/>
    </row>
    <row r="16958" spans="9:10" x14ac:dyDescent="0.35">
      <c r="I16958" s="63"/>
      <c r="J16958" s="63"/>
    </row>
    <row r="16959" spans="9:10" x14ac:dyDescent="0.35">
      <c r="I16959" s="63"/>
      <c r="J16959" s="63"/>
    </row>
    <row r="16960" spans="9:10" x14ac:dyDescent="0.35">
      <c r="I16960" s="63"/>
      <c r="J16960" s="63"/>
    </row>
    <row r="16961" spans="9:10" x14ac:dyDescent="0.35">
      <c r="I16961" s="63"/>
      <c r="J16961" s="63"/>
    </row>
    <row r="16962" spans="9:10" x14ac:dyDescent="0.35">
      <c r="I16962" s="63"/>
      <c r="J16962" s="63"/>
    </row>
    <row r="16963" spans="9:10" x14ac:dyDescent="0.35">
      <c r="I16963" s="63"/>
      <c r="J16963" s="63"/>
    </row>
    <row r="16964" spans="9:10" x14ac:dyDescent="0.35">
      <c r="I16964" s="63"/>
      <c r="J16964" s="63"/>
    </row>
    <row r="16965" spans="9:10" x14ac:dyDescent="0.35">
      <c r="I16965" s="63"/>
      <c r="J16965" s="63"/>
    </row>
    <row r="16966" spans="9:10" x14ac:dyDescent="0.35">
      <c r="I16966" s="63"/>
      <c r="J16966" s="63"/>
    </row>
    <row r="16967" spans="9:10" x14ac:dyDescent="0.35">
      <c r="I16967" s="63"/>
      <c r="J16967" s="63"/>
    </row>
    <row r="16968" spans="9:10" x14ac:dyDescent="0.35">
      <c r="I16968" s="63"/>
      <c r="J16968" s="63"/>
    </row>
    <row r="16969" spans="9:10" x14ac:dyDescent="0.35">
      <c r="I16969" s="63"/>
      <c r="J16969" s="63"/>
    </row>
    <row r="16970" spans="9:10" x14ac:dyDescent="0.35">
      <c r="I16970" s="63"/>
      <c r="J16970" s="63"/>
    </row>
    <row r="16971" spans="9:10" x14ac:dyDescent="0.35">
      <c r="I16971" s="63"/>
      <c r="J16971" s="63"/>
    </row>
    <row r="16972" spans="9:10" x14ac:dyDescent="0.35">
      <c r="I16972" s="63"/>
      <c r="J16972" s="63"/>
    </row>
    <row r="16973" spans="9:10" x14ac:dyDescent="0.35">
      <c r="I16973" s="63"/>
      <c r="J16973" s="63"/>
    </row>
    <row r="16974" spans="9:10" x14ac:dyDescent="0.35">
      <c r="I16974" s="63"/>
      <c r="J16974" s="63"/>
    </row>
    <row r="16975" spans="9:10" x14ac:dyDescent="0.35">
      <c r="I16975" s="63"/>
      <c r="J16975" s="63"/>
    </row>
    <row r="16976" spans="9:10" x14ac:dyDescent="0.35">
      <c r="I16976" s="63"/>
      <c r="J16976" s="63"/>
    </row>
    <row r="16977" spans="9:10" x14ac:dyDescent="0.35">
      <c r="I16977" s="63"/>
      <c r="J16977" s="63"/>
    </row>
    <row r="16978" spans="9:10" x14ac:dyDescent="0.35">
      <c r="I16978" s="63"/>
      <c r="J16978" s="63"/>
    </row>
    <row r="16979" spans="9:10" x14ac:dyDescent="0.35">
      <c r="I16979" s="63"/>
      <c r="J16979" s="63"/>
    </row>
    <row r="16980" spans="9:10" x14ac:dyDescent="0.35">
      <c r="I16980" s="63"/>
      <c r="J16980" s="63"/>
    </row>
    <row r="16981" spans="9:10" x14ac:dyDescent="0.35">
      <c r="I16981" s="63"/>
      <c r="J16981" s="63"/>
    </row>
    <row r="16982" spans="9:10" x14ac:dyDescent="0.35">
      <c r="I16982" s="63"/>
      <c r="J16982" s="63"/>
    </row>
    <row r="16983" spans="9:10" x14ac:dyDescent="0.35">
      <c r="I16983" s="63"/>
      <c r="J16983" s="63"/>
    </row>
    <row r="16984" spans="9:10" x14ac:dyDescent="0.35">
      <c r="I16984" s="63"/>
      <c r="J16984" s="63"/>
    </row>
    <row r="16985" spans="9:10" x14ac:dyDescent="0.35">
      <c r="I16985" s="63"/>
      <c r="J16985" s="63"/>
    </row>
    <row r="16986" spans="9:10" x14ac:dyDescent="0.35">
      <c r="I16986" s="63"/>
      <c r="J16986" s="63"/>
    </row>
    <row r="16987" spans="9:10" x14ac:dyDescent="0.35">
      <c r="I16987" s="63"/>
      <c r="J16987" s="63"/>
    </row>
    <row r="16988" spans="9:10" x14ac:dyDescent="0.35">
      <c r="I16988" s="63"/>
      <c r="J16988" s="63"/>
    </row>
    <row r="16989" spans="9:10" x14ac:dyDescent="0.35">
      <c r="I16989" s="63"/>
      <c r="J16989" s="63"/>
    </row>
    <row r="16990" spans="9:10" x14ac:dyDescent="0.35">
      <c r="I16990" s="63"/>
      <c r="J16990" s="63"/>
    </row>
    <row r="16991" spans="9:10" x14ac:dyDescent="0.35">
      <c r="I16991" s="63"/>
      <c r="J16991" s="63"/>
    </row>
    <row r="16992" spans="9:10" x14ac:dyDescent="0.35">
      <c r="I16992" s="63"/>
      <c r="J16992" s="63"/>
    </row>
    <row r="16993" spans="9:10" x14ac:dyDescent="0.35">
      <c r="I16993" s="63"/>
      <c r="J16993" s="63"/>
    </row>
    <row r="16994" spans="9:10" x14ac:dyDescent="0.35">
      <c r="I16994" s="63"/>
      <c r="J16994" s="63"/>
    </row>
    <row r="16995" spans="9:10" x14ac:dyDescent="0.35">
      <c r="I16995" s="63"/>
      <c r="J16995" s="63"/>
    </row>
    <row r="16996" spans="9:10" x14ac:dyDescent="0.35">
      <c r="I16996" s="63"/>
      <c r="J16996" s="63"/>
    </row>
    <row r="16997" spans="9:10" x14ac:dyDescent="0.35">
      <c r="I16997" s="63"/>
      <c r="J16997" s="63"/>
    </row>
    <row r="16998" spans="9:10" x14ac:dyDescent="0.35">
      <c r="I16998" s="63"/>
      <c r="J16998" s="63"/>
    </row>
    <row r="16999" spans="9:10" x14ac:dyDescent="0.35">
      <c r="I16999" s="63"/>
      <c r="J16999" s="63"/>
    </row>
    <row r="17000" spans="9:10" x14ac:dyDescent="0.35">
      <c r="I17000" s="63"/>
      <c r="J17000" s="63"/>
    </row>
    <row r="17001" spans="9:10" x14ac:dyDescent="0.35">
      <c r="I17001" s="63"/>
      <c r="J17001" s="63"/>
    </row>
    <row r="17002" spans="9:10" x14ac:dyDescent="0.35">
      <c r="I17002" s="63"/>
      <c r="J17002" s="63"/>
    </row>
    <row r="17003" spans="9:10" x14ac:dyDescent="0.35">
      <c r="I17003" s="63"/>
      <c r="J17003" s="63"/>
    </row>
    <row r="17004" spans="9:10" x14ac:dyDescent="0.35">
      <c r="I17004" s="63"/>
      <c r="J17004" s="63"/>
    </row>
    <row r="17005" spans="9:10" x14ac:dyDescent="0.35">
      <c r="I17005" s="63"/>
      <c r="J17005" s="63"/>
    </row>
    <row r="17006" spans="9:10" x14ac:dyDescent="0.35">
      <c r="I17006" s="63"/>
      <c r="J17006" s="63"/>
    </row>
    <row r="17007" spans="9:10" x14ac:dyDescent="0.35">
      <c r="I17007" s="63"/>
      <c r="J17007" s="63"/>
    </row>
    <row r="17008" spans="9:10" x14ac:dyDescent="0.35">
      <c r="I17008" s="63"/>
      <c r="J17008" s="63"/>
    </row>
    <row r="17009" spans="9:10" x14ac:dyDescent="0.35">
      <c r="I17009" s="63"/>
      <c r="J17009" s="63"/>
    </row>
    <row r="17010" spans="9:10" x14ac:dyDescent="0.35">
      <c r="I17010" s="63"/>
      <c r="J17010" s="63"/>
    </row>
    <row r="17011" spans="9:10" x14ac:dyDescent="0.35">
      <c r="I17011" s="63"/>
      <c r="J17011" s="63"/>
    </row>
    <row r="17012" spans="9:10" x14ac:dyDescent="0.35">
      <c r="I17012" s="63"/>
      <c r="J17012" s="63"/>
    </row>
    <row r="17013" spans="9:10" x14ac:dyDescent="0.35">
      <c r="I17013" s="63"/>
      <c r="J17013" s="63"/>
    </row>
    <row r="17014" spans="9:10" x14ac:dyDescent="0.35">
      <c r="I17014" s="63"/>
      <c r="J17014" s="63"/>
    </row>
    <row r="17015" spans="9:10" x14ac:dyDescent="0.35">
      <c r="I17015" s="63"/>
      <c r="J17015" s="63"/>
    </row>
    <row r="17016" spans="9:10" x14ac:dyDescent="0.35">
      <c r="I17016" s="63"/>
      <c r="J17016" s="63"/>
    </row>
    <row r="17017" spans="9:10" x14ac:dyDescent="0.35">
      <c r="I17017" s="63"/>
      <c r="J17017" s="63"/>
    </row>
    <row r="17018" spans="9:10" x14ac:dyDescent="0.35">
      <c r="I17018" s="63"/>
      <c r="J17018" s="63"/>
    </row>
    <row r="17019" spans="9:10" x14ac:dyDescent="0.35">
      <c r="I17019" s="63"/>
      <c r="J17019" s="63"/>
    </row>
    <row r="17020" spans="9:10" x14ac:dyDescent="0.35">
      <c r="I17020" s="63"/>
      <c r="J17020" s="63"/>
    </row>
    <row r="17021" spans="9:10" x14ac:dyDescent="0.35">
      <c r="I17021" s="63"/>
      <c r="J17021" s="63"/>
    </row>
    <row r="17022" spans="9:10" x14ac:dyDescent="0.35">
      <c r="I17022" s="63"/>
      <c r="J17022" s="63"/>
    </row>
    <row r="17023" spans="9:10" x14ac:dyDescent="0.35">
      <c r="I17023" s="63"/>
      <c r="J17023" s="63"/>
    </row>
    <row r="17024" spans="9:10" x14ac:dyDescent="0.35">
      <c r="I17024" s="63"/>
      <c r="J17024" s="63"/>
    </row>
    <row r="17025" spans="9:10" x14ac:dyDescent="0.35">
      <c r="I17025" s="63"/>
      <c r="J17025" s="63"/>
    </row>
    <row r="17026" spans="9:10" x14ac:dyDescent="0.35">
      <c r="I17026" s="63"/>
      <c r="J17026" s="63"/>
    </row>
    <row r="17027" spans="9:10" x14ac:dyDescent="0.35">
      <c r="I17027" s="63"/>
      <c r="J17027" s="63"/>
    </row>
    <row r="17028" spans="9:10" x14ac:dyDescent="0.35">
      <c r="I17028" s="63"/>
      <c r="J17028" s="63"/>
    </row>
    <row r="17029" spans="9:10" x14ac:dyDescent="0.35">
      <c r="I17029" s="63"/>
      <c r="J17029" s="63"/>
    </row>
    <row r="17030" spans="9:10" x14ac:dyDescent="0.35">
      <c r="I17030" s="63"/>
      <c r="J17030" s="63"/>
    </row>
    <row r="17031" spans="9:10" x14ac:dyDescent="0.35">
      <c r="I17031" s="63"/>
      <c r="J17031" s="63"/>
    </row>
    <row r="17032" spans="9:10" x14ac:dyDescent="0.35">
      <c r="I17032" s="63"/>
      <c r="J17032" s="63"/>
    </row>
    <row r="17033" spans="9:10" x14ac:dyDescent="0.35">
      <c r="I17033" s="63"/>
      <c r="J17033" s="63"/>
    </row>
    <row r="17034" spans="9:10" x14ac:dyDescent="0.35">
      <c r="I17034" s="63"/>
      <c r="J17034" s="63"/>
    </row>
    <row r="17035" spans="9:10" x14ac:dyDescent="0.35">
      <c r="I17035" s="63"/>
      <c r="J17035" s="63"/>
    </row>
    <row r="17036" spans="9:10" x14ac:dyDescent="0.35">
      <c r="I17036" s="63"/>
      <c r="J17036" s="63"/>
    </row>
    <row r="17037" spans="9:10" x14ac:dyDescent="0.35">
      <c r="I17037" s="63"/>
      <c r="J17037" s="63"/>
    </row>
    <row r="17038" spans="9:10" x14ac:dyDescent="0.35">
      <c r="I17038" s="63"/>
      <c r="J17038" s="63"/>
    </row>
    <row r="17039" spans="9:10" x14ac:dyDescent="0.35">
      <c r="I17039" s="63"/>
      <c r="J17039" s="63"/>
    </row>
    <row r="17040" spans="9:10" x14ac:dyDescent="0.35">
      <c r="I17040" s="63"/>
      <c r="J17040" s="63"/>
    </row>
    <row r="17041" spans="9:10" x14ac:dyDescent="0.35">
      <c r="I17041" s="63"/>
      <c r="J17041" s="63"/>
    </row>
    <row r="17042" spans="9:10" x14ac:dyDescent="0.35">
      <c r="I17042" s="63"/>
      <c r="J17042" s="63"/>
    </row>
    <row r="17043" spans="9:10" x14ac:dyDescent="0.35">
      <c r="I17043" s="63"/>
      <c r="J17043" s="63"/>
    </row>
    <row r="17044" spans="9:10" x14ac:dyDescent="0.35">
      <c r="I17044" s="63"/>
      <c r="J17044" s="63"/>
    </row>
    <row r="17045" spans="9:10" x14ac:dyDescent="0.35">
      <c r="I17045" s="63"/>
      <c r="J17045" s="63"/>
    </row>
    <row r="17046" spans="9:10" x14ac:dyDescent="0.35">
      <c r="I17046" s="63"/>
      <c r="J17046" s="63"/>
    </row>
    <row r="17047" spans="9:10" x14ac:dyDescent="0.35">
      <c r="I17047" s="63"/>
      <c r="J17047" s="63"/>
    </row>
    <row r="17048" spans="9:10" x14ac:dyDescent="0.35">
      <c r="I17048" s="63"/>
      <c r="J17048" s="63"/>
    </row>
    <row r="17049" spans="9:10" x14ac:dyDescent="0.35">
      <c r="I17049" s="63"/>
      <c r="J17049" s="63"/>
    </row>
    <row r="17050" spans="9:10" x14ac:dyDescent="0.35">
      <c r="I17050" s="63"/>
      <c r="J17050" s="63"/>
    </row>
    <row r="17051" spans="9:10" x14ac:dyDescent="0.35">
      <c r="I17051" s="63"/>
      <c r="J17051" s="63"/>
    </row>
    <row r="17052" spans="9:10" x14ac:dyDescent="0.35">
      <c r="I17052" s="63"/>
      <c r="J17052" s="63"/>
    </row>
    <row r="17053" spans="9:10" x14ac:dyDescent="0.35">
      <c r="I17053" s="63"/>
      <c r="J17053" s="63"/>
    </row>
    <row r="17054" spans="9:10" x14ac:dyDescent="0.35">
      <c r="I17054" s="63"/>
      <c r="J17054" s="63"/>
    </row>
    <row r="17055" spans="9:10" x14ac:dyDescent="0.35">
      <c r="I17055" s="63"/>
      <c r="J17055" s="63"/>
    </row>
    <row r="17056" spans="9:10" x14ac:dyDescent="0.35">
      <c r="I17056" s="63"/>
      <c r="J17056" s="63"/>
    </row>
    <row r="17057" spans="9:10" x14ac:dyDescent="0.35">
      <c r="I17057" s="63"/>
      <c r="J17057" s="63"/>
    </row>
    <row r="17058" spans="9:10" x14ac:dyDescent="0.35">
      <c r="I17058" s="63"/>
      <c r="J17058" s="63"/>
    </row>
    <row r="17059" spans="9:10" x14ac:dyDescent="0.35">
      <c r="I17059" s="63"/>
      <c r="J17059" s="63"/>
    </row>
    <row r="17060" spans="9:10" x14ac:dyDescent="0.35">
      <c r="I17060" s="63"/>
      <c r="J17060" s="63"/>
    </row>
    <row r="17061" spans="9:10" x14ac:dyDescent="0.35">
      <c r="I17061" s="63"/>
      <c r="J17061" s="63"/>
    </row>
    <row r="17062" spans="9:10" x14ac:dyDescent="0.35">
      <c r="I17062" s="63"/>
      <c r="J17062" s="63"/>
    </row>
    <row r="17063" spans="9:10" x14ac:dyDescent="0.35">
      <c r="I17063" s="63"/>
      <c r="J17063" s="63"/>
    </row>
    <row r="17064" spans="9:10" x14ac:dyDescent="0.35">
      <c r="I17064" s="63"/>
      <c r="J17064" s="63"/>
    </row>
    <row r="17065" spans="9:10" x14ac:dyDescent="0.35">
      <c r="I17065" s="63"/>
      <c r="J17065" s="63"/>
    </row>
    <row r="17066" spans="9:10" x14ac:dyDescent="0.35">
      <c r="I17066" s="63"/>
      <c r="J17066" s="63"/>
    </row>
    <row r="17067" spans="9:10" x14ac:dyDescent="0.35">
      <c r="I17067" s="63"/>
      <c r="J17067" s="63"/>
    </row>
    <row r="17068" spans="9:10" x14ac:dyDescent="0.35">
      <c r="I17068" s="63"/>
      <c r="J17068" s="63"/>
    </row>
    <row r="17069" spans="9:10" x14ac:dyDescent="0.35">
      <c r="I17069" s="63"/>
      <c r="J17069" s="63"/>
    </row>
    <row r="17070" spans="9:10" x14ac:dyDescent="0.35">
      <c r="I17070" s="63"/>
      <c r="J17070" s="63"/>
    </row>
    <row r="17071" spans="9:10" x14ac:dyDescent="0.35">
      <c r="I17071" s="63"/>
      <c r="J17071" s="63"/>
    </row>
    <row r="17072" spans="9:10" x14ac:dyDescent="0.35">
      <c r="I17072" s="63"/>
      <c r="J17072" s="63"/>
    </row>
    <row r="17073" spans="9:10" x14ac:dyDescent="0.35">
      <c r="I17073" s="63"/>
      <c r="J17073" s="63"/>
    </row>
    <row r="17074" spans="9:10" x14ac:dyDescent="0.35">
      <c r="I17074" s="63"/>
      <c r="J17074" s="63"/>
    </row>
    <row r="17075" spans="9:10" x14ac:dyDescent="0.35">
      <c r="I17075" s="63"/>
      <c r="J17075" s="63"/>
    </row>
    <row r="17076" spans="9:10" x14ac:dyDescent="0.35">
      <c r="I17076" s="63"/>
      <c r="J17076" s="63"/>
    </row>
    <row r="17077" spans="9:10" x14ac:dyDescent="0.35">
      <c r="I17077" s="63"/>
      <c r="J17077" s="63"/>
    </row>
    <row r="17078" spans="9:10" x14ac:dyDescent="0.35">
      <c r="I17078" s="63"/>
      <c r="J17078" s="63"/>
    </row>
    <row r="17079" spans="9:10" x14ac:dyDescent="0.35">
      <c r="I17079" s="63"/>
      <c r="J17079" s="63"/>
    </row>
    <row r="17080" spans="9:10" x14ac:dyDescent="0.35">
      <c r="I17080" s="63"/>
      <c r="J17080" s="63"/>
    </row>
    <row r="17081" spans="9:10" x14ac:dyDescent="0.35">
      <c r="I17081" s="63"/>
      <c r="J17081" s="63"/>
    </row>
    <row r="17082" spans="9:10" x14ac:dyDescent="0.35">
      <c r="I17082" s="63"/>
      <c r="J17082" s="63"/>
    </row>
    <row r="17083" spans="9:10" x14ac:dyDescent="0.35">
      <c r="I17083" s="63"/>
      <c r="J17083" s="63"/>
    </row>
    <row r="17084" spans="9:10" x14ac:dyDescent="0.35">
      <c r="I17084" s="63"/>
      <c r="J17084" s="63"/>
    </row>
    <row r="17085" spans="9:10" x14ac:dyDescent="0.35">
      <c r="I17085" s="63"/>
      <c r="J17085" s="63"/>
    </row>
    <row r="17086" spans="9:10" x14ac:dyDescent="0.35">
      <c r="I17086" s="63"/>
      <c r="J17086" s="63"/>
    </row>
    <row r="17087" spans="9:10" x14ac:dyDescent="0.35">
      <c r="I17087" s="63"/>
      <c r="J17087" s="63"/>
    </row>
    <row r="17088" spans="9:10" x14ac:dyDescent="0.35">
      <c r="I17088" s="63"/>
      <c r="J17088" s="63"/>
    </row>
    <row r="17089" spans="9:10" x14ac:dyDescent="0.35">
      <c r="I17089" s="63"/>
      <c r="J17089" s="63"/>
    </row>
    <row r="17090" spans="9:10" x14ac:dyDescent="0.35">
      <c r="I17090" s="63"/>
      <c r="J17090" s="63"/>
    </row>
    <row r="17091" spans="9:10" x14ac:dyDescent="0.35">
      <c r="I17091" s="63"/>
      <c r="J17091" s="63"/>
    </row>
    <row r="17092" spans="9:10" x14ac:dyDescent="0.35">
      <c r="I17092" s="63"/>
      <c r="J17092" s="63"/>
    </row>
    <row r="17093" spans="9:10" x14ac:dyDescent="0.35">
      <c r="I17093" s="63"/>
      <c r="J17093" s="63"/>
    </row>
    <row r="17094" spans="9:10" x14ac:dyDescent="0.35">
      <c r="I17094" s="63"/>
      <c r="J17094" s="63"/>
    </row>
    <row r="17095" spans="9:10" x14ac:dyDescent="0.35">
      <c r="I17095" s="63"/>
      <c r="J17095" s="63"/>
    </row>
    <row r="17096" spans="9:10" x14ac:dyDescent="0.35">
      <c r="I17096" s="63"/>
      <c r="J17096" s="63"/>
    </row>
    <row r="17097" spans="9:10" x14ac:dyDescent="0.35">
      <c r="I17097" s="63"/>
      <c r="J17097" s="63"/>
    </row>
    <row r="17098" spans="9:10" x14ac:dyDescent="0.35">
      <c r="I17098" s="63"/>
      <c r="J17098" s="63"/>
    </row>
    <row r="17099" spans="9:10" x14ac:dyDescent="0.35">
      <c r="I17099" s="63"/>
      <c r="J17099" s="63"/>
    </row>
    <row r="17100" spans="9:10" x14ac:dyDescent="0.35">
      <c r="I17100" s="63"/>
      <c r="J17100" s="63"/>
    </row>
    <row r="17101" spans="9:10" x14ac:dyDescent="0.35">
      <c r="I17101" s="63"/>
      <c r="J17101" s="63"/>
    </row>
    <row r="17102" spans="9:10" x14ac:dyDescent="0.35">
      <c r="I17102" s="63"/>
      <c r="J17102" s="63"/>
    </row>
    <row r="17103" spans="9:10" x14ac:dyDescent="0.35">
      <c r="I17103" s="63"/>
      <c r="J17103" s="63"/>
    </row>
    <row r="17104" spans="9:10" x14ac:dyDescent="0.35">
      <c r="I17104" s="63"/>
      <c r="J17104" s="63"/>
    </row>
    <row r="17105" spans="9:10" x14ac:dyDescent="0.35">
      <c r="I17105" s="63"/>
      <c r="J17105" s="63"/>
    </row>
    <row r="17106" spans="9:10" x14ac:dyDescent="0.35">
      <c r="I17106" s="63"/>
      <c r="J17106" s="63"/>
    </row>
    <row r="17107" spans="9:10" x14ac:dyDescent="0.35">
      <c r="I17107" s="63"/>
      <c r="J17107" s="63"/>
    </row>
    <row r="17108" spans="9:10" x14ac:dyDescent="0.35">
      <c r="I17108" s="63"/>
      <c r="J17108" s="63"/>
    </row>
    <row r="17109" spans="9:10" x14ac:dyDescent="0.35">
      <c r="I17109" s="63"/>
      <c r="J17109" s="63"/>
    </row>
    <row r="17110" spans="9:10" x14ac:dyDescent="0.35">
      <c r="I17110" s="63"/>
      <c r="J17110" s="63"/>
    </row>
    <row r="17111" spans="9:10" x14ac:dyDescent="0.35">
      <c r="I17111" s="63"/>
      <c r="J17111" s="63"/>
    </row>
    <row r="17112" spans="9:10" x14ac:dyDescent="0.35">
      <c r="I17112" s="63"/>
      <c r="J17112" s="63"/>
    </row>
    <row r="17113" spans="9:10" x14ac:dyDescent="0.35">
      <c r="I17113" s="63"/>
      <c r="J17113" s="63"/>
    </row>
    <row r="17114" spans="9:10" x14ac:dyDescent="0.35">
      <c r="I17114" s="63"/>
      <c r="J17114" s="63"/>
    </row>
    <row r="17115" spans="9:10" x14ac:dyDescent="0.35">
      <c r="I17115" s="63"/>
      <c r="J17115" s="63"/>
    </row>
    <row r="17116" spans="9:10" x14ac:dyDescent="0.35">
      <c r="I17116" s="63"/>
      <c r="J17116" s="63"/>
    </row>
    <row r="17117" spans="9:10" x14ac:dyDescent="0.35">
      <c r="I17117" s="63"/>
      <c r="J17117" s="63"/>
    </row>
    <row r="17118" spans="9:10" x14ac:dyDescent="0.35">
      <c r="I17118" s="63"/>
      <c r="J17118" s="63"/>
    </row>
    <row r="17119" spans="9:10" x14ac:dyDescent="0.35">
      <c r="I17119" s="63"/>
      <c r="J17119" s="63"/>
    </row>
    <row r="17120" spans="9:10" x14ac:dyDescent="0.35">
      <c r="I17120" s="63"/>
      <c r="J17120" s="63"/>
    </row>
    <row r="17121" spans="9:10" x14ac:dyDescent="0.35">
      <c r="I17121" s="63"/>
      <c r="J17121" s="63"/>
    </row>
    <row r="17122" spans="9:10" x14ac:dyDescent="0.35">
      <c r="I17122" s="63"/>
      <c r="J17122" s="63"/>
    </row>
    <row r="17123" spans="9:10" x14ac:dyDescent="0.35">
      <c r="I17123" s="63"/>
      <c r="J17123" s="63"/>
    </row>
    <row r="17124" spans="9:10" x14ac:dyDescent="0.35">
      <c r="I17124" s="63"/>
      <c r="J17124" s="63"/>
    </row>
    <row r="17125" spans="9:10" x14ac:dyDescent="0.35">
      <c r="I17125" s="63"/>
      <c r="J17125" s="63"/>
    </row>
    <row r="17126" spans="9:10" x14ac:dyDescent="0.35">
      <c r="I17126" s="63"/>
      <c r="J17126" s="63"/>
    </row>
    <row r="17127" spans="9:10" x14ac:dyDescent="0.35">
      <c r="I17127" s="63"/>
      <c r="J17127" s="63"/>
    </row>
    <row r="17128" spans="9:10" x14ac:dyDescent="0.35">
      <c r="I17128" s="63"/>
      <c r="J17128" s="63"/>
    </row>
    <row r="17129" spans="9:10" x14ac:dyDescent="0.35">
      <c r="I17129" s="63"/>
      <c r="J17129" s="63"/>
    </row>
    <row r="17130" spans="9:10" x14ac:dyDescent="0.35">
      <c r="I17130" s="63"/>
      <c r="J17130" s="63"/>
    </row>
    <row r="17131" spans="9:10" x14ac:dyDescent="0.35">
      <c r="I17131" s="63"/>
      <c r="J17131" s="63"/>
    </row>
    <row r="17132" spans="9:10" x14ac:dyDescent="0.35">
      <c r="I17132" s="63"/>
      <c r="J17132" s="63"/>
    </row>
    <row r="17133" spans="9:10" x14ac:dyDescent="0.35">
      <c r="I17133" s="63"/>
      <c r="J17133" s="63"/>
    </row>
    <row r="17134" spans="9:10" x14ac:dyDescent="0.35">
      <c r="I17134" s="63"/>
      <c r="J17134" s="63"/>
    </row>
    <row r="17135" spans="9:10" x14ac:dyDescent="0.35">
      <c r="I17135" s="63"/>
      <c r="J17135" s="63"/>
    </row>
    <row r="17136" spans="9:10" x14ac:dyDescent="0.35">
      <c r="I17136" s="63"/>
      <c r="J17136" s="63"/>
    </row>
    <row r="17137" spans="9:10" x14ac:dyDescent="0.35">
      <c r="I17137" s="63"/>
      <c r="J17137" s="63"/>
    </row>
    <row r="17138" spans="9:10" x14ac:dyDescent="0.35">
      <c r="I17138" s="63"/>
      <c r="J17138" s="63"/>
    </row>
    <row r="17139" spans="9:10" x14ac:dyDescent="0.35">
      <c r="I17139" s="63"/>
      <c r="J17139" s="63"/>
    </row>
    <row r="17140" spans="9:10" x14ac:dyDescent="0.35">
      <c r="I17140" s="63"/>
      <c r="J17140" s="63"/>
    </row>
    <row r="17141" spans="9:10" x14ac:dyDescent="0.35">
      <c r="I17141" s="63"/>
      <c r="J17141" s="63"/>
    </row>
    <row r="17142" spans="9:10" x14ac:dyDescent="0.35">
      <c r="I17142" s="63"/>
      <c r="J17142" s="63"/>
    </row>
    <row r="17143" spans="9:10" x14ac:dyDescent="0.35">
      <c r="I17143" s="63"/>
      <c r="J17143" s="63"/>
    </row>
    <row r="17144" spans="9:10" x14ac:dyDescent="0.35">
      <c r="I17144" s="63"/>
      <c r="J17144" s="63"/>
    </row>
    <row r="17145" spans="9:10" x14ac:dyDescent="0.35">
      <c r="I17145" s="63"/>
      <c r="J17145" s="63"/>
    </row>
    <row r="17146" spans="9:10" x14ac:dyDescent="0.35">
      <c r="I17146" s="63"/>
      <c r="J17146" s="63"/>
    </row>
    <row r="17147" spans="9:10" x14ac:dyDescent="0.35">
      <c r="I17147" s="63"/>
      <c r="J17147" s="63"/>
    </row>
    <row r="17148" spans="9:10" x14ac:dyDescent="0.35">
      <c r="I17148" s="63"/>
      <c r="J17148" s="63"/>
    </row>
    <row r="17149" spans="9:10" x14ac:dyDescent="0.35">
      <c r="I17149" s="63"/>
      <c r="J17149" s="63"/>
    </row>
    <row r="17150" spans="9:10" x14ac:dyDescent="0.35">
      <c r="I17150" s="63"/>
      <c r="J17150" s="63"/>
    </row>
    <row r="17151" spans="9:10" x14ac:dyDescent="0.35">
      <c r="I17151" s="63"/>
      <c r="J17151" s="63"/>
    </row>
    <row r="17152" spans="9:10" x14ac:dyDescent="0.35">
      <c r="I17152" s="63"/>
      <c r="J17152" s="63"/>
    </row>
    <row r="17153" spans="9:10" x14ac:dyDescent="0.35">
      <c r="I17153" s="63"/>
      <c r="J17153" s="63"/>
    </row>
    <row r="17154" spans="9:10" x14ac:dyDescent="0.35">
      <c r="I17154" s="63"/>
      <c r="J17154" s="63"/>
    </row>
    <row r="17155" spans="9:10" x14ac:dyDescent="0.35">
      <c r="I17155" s="63"/>
      <c r="J17155" s="63"/>
    </row>
    <row r="17156" spans="9:10" x14ac:dyDescent="0.35">
      <c r="I17156" s="63"/>
      <c r="J17156" s="63"/>
    </row>
    <row r="17157" spans="9:10" x14ac:dyDescent="0.35">
      <c r="I17157" s="63"/>
      <c r="J17157" s="63"/>
    </row>
    <row r="17158" spans="9:10" x14ac:dyDescent="0.35">
      <c r="I17158" s="63"/>
      <c r="J17158" s="63"/>
    </row>
    <row r="17159" spans="9:10" x14ac:dyDescent="0.35">
      <c r="I17159" s="63"/>
      <c r="J17159" s="63"/>
    </row>
    <row r="17160" spans="9:10" x14ac:dyDescent="0.35">
      <c r="I17160" s="63"/>
      <c r="J17160" s="63"/>
    </row>
    <row r="17161" spans="9:10" x14ac:dyDescent="0.35">
      <c r="I17161" s="63"/>
      <c r="J17161" s="63"/>
    </row>
    <row r="17162" spans="9:10" x14ac:dyDescent="0.35">
      <c r="I17162" s="63"/>
      <c r="J17162" s="63"/>
    </row>
    <row r="17163" spans="9:10" x14ac:dyDescent="0.35">
      <c r="I17163" s="63"/>
      <c r="J17163" s="63"/>
    </row>
    <row r="17164" spans="9:10" x14ac:dyDescent="0.35">
      <c r="I17164" s="63"/>
      <c r="J17164" s="63"/>
    </row>
    <row r="17165" spans="9:10" x14ac:dyDescent="0.35">
      <c r="I17165" s="63"/>
      <c r="J17165" s="63"/>
    </row>
    <row r="17166" spans="9:10" x14ac:dyDescent="0.35">
      <c r="I17166" s="63"/>
      <c r="J17166" s="63"/>
    </row>
    <row r="17167" spans="9:10" x14ac:dyDescent="0.35">
      <c r="I17167" s="63"/>
      <c r="J17167" s="63"/>
    </row>
    <row r="17168" spans="9:10" x14ac:dyDescent="0.35">
      <c r="I17168" s="63"/>
      <c r="J17168" s="63"/>
    </row>
    <row r="17169" spans="9:10" x14ac:dyDescent="0.35">
      <c r="I17169" s="63"/>
      <c r="J17169" s="63"/>
    </row>
    <row r="17170" spans="9:10" x14ac:dyDescent="0.35">
      <c r="I17170" s="63"/>
      <c r="J17170" s="63"/>
    </row>
    <row r="17171" spans="9:10" x14ac:dyDescent="0.35">
      <c r="I17171" s="63"/>
      <c r="J17171" s="63"/>
    </row>
    <row r="17172" spans="9:10" x14ac:dyDescent="0.35">
      <c r="I17172" s="63"/>
      <c r="J17172" s="63"/>
    </row>
    <row r="17173" spans="9:10" x14ac:dyDescent="0.35">
      <c r="I17173" s="63"/>
      <c r="J17173" s="63"/>
    </row>
    <row r="17174" spans="9:10" x14ac:dyDescent="0.35">
      <c r="I17174" s="63"/>
      <c r="J17174" s="63"/>
    </row>
    <row r="17175" spans="9:10" x14ac:dyDescent="0.35">
      <c r="I17175" s="63"/>
      <c r="J17175" s="63"/>
    </row>
    <row r="17176" spans="9:10" x14ac:dyDescent="0.35">
      <c r="I17176" s="63"/>
      <c r="J17176" s="63"/>
    </row>
    <row r="17177" spans="9:10" x14ac:dyDescent="0.35">
      <c r="I17177" s="63"/>
      <c r="J17177" s="63"/>
    </row>
    <row r="17178" spans="9:10" x14ac:dyDescent="0.35">
      <c r="I17178" s="63"/>
      <c r="J17178" s="63"/>
    </row>
    <row r="17179" spans="9:10" x14ac:dyDescent="0.35">
      <c r="I17179" s="63"/>
      <c r="J17179" s="63"/>
    </row>
    <row r="17180" spans="9:10" x14ac:dyDescent="0.35">
      <c r="I17180" s="63"/>
      <c r="J17180" s="63"/>
    </row>
    <row r="17181" spans="9:10" x14ac:dyDescent="0.35">
      <c r="I17181" s="63"/>
      <c r="J17181" s="63"/>
    </row>
    <row r="17182" spans="9:10" x14ac:dyDescent="0.35">
      <c r="I17182" s="63"/>
      <c r="J17182" s="63"/>
    </row>
    <row r="17183" spans="9:10" x14ac:dyDescent="0.35">
      <c r="I17183" s="63"/>
      <c r="J17183" s="63"/>
    </row>
    <row r="17184" spans="9:10" x14ac:dyDescent="0.35">
      <c r="I17184" s="63"/>
      <c r="J17184" s="63"/>
    </row>
    <row r="17185" spans="9:10" x14ac:dyDescent="0.35">
      <c r="I17185" s="63"/>
      <c r="J17185" s="63"/>
    </row>
    <row r="17186" spans="9:10" x14ac:dyDescent="0.35">
      <c r="I17186" s="63"/>
      <c r="J17186" s="63"/>
    </row>
    <row r="17187" spans="9:10" x14ac:dyDescent="0.35">
      <c r="I17187" s="63"/>
      <c r="J17187" s="63"/>
    </row>
    <row r="17188" spans="9:10" x14ac:dyDescent="0.35">
      <c r="I17188" s="63"/>
      <c r="J17188" s="63"/>
    </row>
    <row r="17189" spans="9:10" x14ac:dyDescent="0.35">
      <c r="I17189" s="63"/>
      <c r="J17189" s="63"/>
    </row>
    <row r="17190" spans="9:10" x14ac:dyDescent="0.35">
      <c r="I17190" s="63"/>
      <c r="J17190" s="63"/>
    </row>
    <row r="17191" spans="9:10" x14ac:dyDescent="0.35">
      <c r="I17191" s="63"/>
      <c r="J17191" s="63"/>
    </row>
    <row r="17192" spans="9:10" x14ac:dyDescent="0.35">
      <c r="I17192" s="63"/>
      <c r="J17192" s="63"/>
    </row>
    <row r="17193" spans="9:10" x14ac:dyDescent="0.35">
      <c r="I17193" s="63"/>
      <c r="J17193" s="63"/>
    </row>
    <row r="17194" spans="9:10" x14ac:dyDescent="0.35">
      <c r="I17194" s="63"/>
      <c r="J17194" s="63"/>
    </row>
    <row r="17195" spans="9:10" x14ac:dyDescent="0.35">
      <c r="I17195" s="63"/>
      <c r="J17195" s="63"/>
    </row>
    <row r="17196" spans="9:10" x14ac:dyDescent="0.35">
      <c r="I17196" s="63"/>
      <c r="J17196" s="63"/>
    </row>
    <row r="17197" spans="9:10" x14ac:dyDescent="0.35">
      <c r="I17197" s="63"/>
      <c r="J17197" s="63"/>
    </row>
    <row r="17198" spans="9:10" x14ac:dyDescent="0.35">
      <c r="I17198" s="63"/>
      <c r="J17198" s="63"/>
    </row>
    <row r="17199" spans="9:10" x14ac:dyDescent="0.35">
      <c r="I17199" s="63"/>
      <c r="J17199" s="63"/>
    </row>
    <row r="17200" spans="9:10" x14ac:dyDescent="0.35">
      <c r="I17200" s="63"/>
      <c r="J17200" s="63"/>
    </row>
    <row r="17201" spans="9:10" x14ac:dyDescent="0.35">
      <c r="I17201" s="63"/>
      <c r="J17201" s="63"/>
    </row>
    <row r="17202" spans="9:10" x14ac:dyDescent="0.35">
      <c r="I17202" s="63"/>
      <c r="J17202" s="63"/>
    </row>
    <row r="17203" spans="9:10" x14ac:dyDescent="0.35">
      <c r="I17203" s="63"/>
      <c r="J17203" s="63"/>
    </row>
    <row r="17204" spans="9:10" x14ac:dyDescent="0.35">
      <c r="I17204" s="63"/>
      <c r="J17204" s="63"/>
    </row>
    <row r="17205" spans="9:10" x14ac:dyDescent="0.35">
      <c r="I17205" s="63"/>
      <c r="J17205" s="63"/>
    </row>
    <row r="17206" spans="9:10" x14ac:dyDescent="0.35">
      <c r="I17206" s="63"/>
      <c r="J17206" s="63"/>
    </row>
    <row r="17207" spans="9:10" x14ac:dyDescent="0.35">
      <c r="I17207" s="63"/>
      <c r="J17207" s="63"/>
    </row>
    <row r="17208" spans="9:10" x14ac:dyDescent="0.35">
      <c r="I17208" s="63"/>
      <c r="J17208" s="63"/>
    </row>
    <row r="17209" spans="9:10" x14ac:dyDescent="0.35">
      <c r="I17209" s="63"/>
      <c r="J17209" s="63"/>
    </row>
    <row r="17210" spans="9:10" x14ac:dyDescent="0.35">
      <c r="I17210" s="63"/>
      <c r="J17210" s="63"/>
    </row>
    <row r="17211" spans="9:10" x14ac:dyDescent="0.35">
      <c r="I17211" s="63"/>
      <c r="J17211" s="63"/>
    </row>
    <row r="17212" spans="9:10" x14ac:dyDescent="0.35">
      <c r="I17212" s="63"/>
      <c r="J17212" s="63"/>
    </row>
    <row r="17213" spans="9:10" x14ac:dyDescent="0.35">
      <c r="I17213" s="63"/>
      <c r="J17213" s="63"/>
    </row>
    <row r="17214" spans="9:10" x14ac:dyDescent="0.35">
      <c r="I17214" s="63"/>
      <c r="J17214" s="63"/>
    </row>
    <row r="17215" spans="9:10" x14ac:dyDescent="0.35">
      <c r="I17215" s="63"/>
      <c r="J17215" s="63"/>
    </row>
    <row r="17216" spans="9:10" x14ac:dyDescent="0.35">
      <c r="I17216" s="63"/>
      <c r="J17216" s="63"/>
    </row>
    <row r="17217" spans="9:10" x14ac:dyDescent="0.35">
      <c r="I17217" s="63"/>
      <c r="J17217" s="63"/>
    </row>
    <row r="17218" spans="9:10" x14ac:dyDescent="0.35">
      <c r="I17218" s="63"/>
      <c r="J17218" s="63"/>
    </row>
    <row r="17219" spans="9:10" x14ac:dyDescent="0.35">
      <c r="I17219" s="63"/>
      <c r="J17219" s="63"/>
    </row>
    <row r="17220" spans="9:10" x14ac:dyDescent="0.35">
      <c r="I17220" s="63"/>
      <c r="J17220" s="63"/>
    </row>
    <row r="17221" spans="9:10" x14ac:dyDescent="0.35">
      <c r="I17221" s="63"/>
      <c r="J17221" s="63"/>
    </row>
    <row r="17222" spans="9:10" x14ac:dyDescent="0.35">
      <c r="I17222" s="63"/>
      <c r="J17222" s="63"/>
    </row>
    <row r="17223" spans="9:10" x14ac:dyDescent="0.35">
      <c r="I17223" s="63"/>
      <c r="J17223" s="63"/>
    </row>
    <row r="17224" spans="9:10" x14ac:dyDescent="0.35">
      <c r="I17224" s="63"/>
      <c r="J17224" s="63"/>
    </row>
    <row r="17225" spans="9:10" x14ac:dyDescent="0.35">
      <c r="I17225" s="63"/>
      <c r="J17225" s="63"/>
    </row>
    <row r="17226" spans="9:10" x14ac:dyDescent="0.35">
      <c r="I17226" s="63"/>
      <c r="J17226" s="63"/>
    </row>
    <row r="17227" spans="9:10" x14ac:dyDescent="0.35">
      <c r="I17227" s="63"/>
      <c r="J17227" s="63"/>
    </row>
    <row r="17228" spans="9:10" x14ac:dyDescent="0.35">
      <c r="I17228" s="63"/>
      <c r="J17228" s="63"/>
    </row>
    <row r="17229" spans="9:10" x14ac:dyDescent="0.35">
      <c r="I17229" s="63"/>
      <c r="J17229" s="63"/>
    </row>
    <row r="17230" spans="9:10" x14ac:dyDescent="0.35">
      <c r="I17230" s="63"/>
      <c r="J17230" s="63"/>
    </row>
    <row r="17231" spans="9:10" x14ac:dyDescent="0.35">
      <c r="I17231" s="63"/>
      <c r="J17231" s="63"/>
    </row>
    <row r="17232" spans="9:10" x14ac:dyDescent="0.35">
      <c r="I17232" s="63"/>
      <c r="J17232" s="63"/>
    </row>
    <row r="17233" spans="9:10" x14ac:dyDescent="0.35">
      <c r="I17233" s="63"/>
      <c r="J17233" s="63"/>
    </row>
    <row r="17234" spans="9:10" x14ac:dyDescent="0.35">
      <c r="I17234" s="63"/>
      <c r="J17234" s="63"/>
    </row>
    <row r="17235" spans="9:10" x14ac:dyDescent="0.35">
      <c r="I17235" s="63"/>
      <c r="J17235" s="63"/>
    </row>
    <row r="17236" spans="9:10" x14ac:dyDescent="0.35">
      <c r="I17236" s="63"/>
      <c r="J17236" s="63"/>
    </row>
    <row r="17237" spans="9:10" x14ac:dyDescent="0.35">
      <c r="I17237" s="63"/>
      <c r="J17237" s="63"/>
    </row>
    <row r="17238" spans="9:10" x14ac:dyDescent="0.35">
      <c r="I17238" s="63"/>
      <c r="J17238" s="63"/>
    </row>
    <row r="17239" spans="9:10" x14ac:dyDescent="0.35">
      <c r="I17239" s="63"/>
      <c r="J17239" s="63"/>
    </row>
    <row r="17240" spans="9:10" x14ac:dyDescent="0.35">
      <c r="I17240" s="63"/>
      <c r="J17240" s="63"/>
    </row>
    <row r="17241" spans="9:10" x14ac:dyDescent="0.35">
      <c r="I17241" s="63"/>
      <c r="J17241" s="63"/>
    </row>
    <row r="17242" spans="9:10" x14ac:dyDescent="0.35">
      <c r="I17242" s="63"/>
      <c r="J17242" s="63"/>
    </row>
    <row r="17243" spans="9:10" x14ac:dyDescent="0.35">
      <c r="I17243" s="63"/>
      <c r="J17243" s="63"/>
    </row>
    <row r="17244" spans="9:10" x14ac:dyDescent="0.35">
      <c r="I17244" s="63"/>
      <c r="J17244" s="63"/>
    </row>
    <row r="17245" spans="9:10" x14ac:dyDescent="0.35">
      <c r="I17245" s="63"/>
      <c r="J17245" s="63"/>
    </row>
    <row r="17246" spans="9:10" x14ac:dyDescent="0.35">
      <c r="I17246" s="63"/>
      <c r="J17246" s="63"/>
    </row>
    <row r="17247" spans="9:10" x14ac:dyDescent="0.35">
      <c r="I17247" s="63"/>
      <c r="J17247" s="63"/>
    </row>
    <row r="17248" spans="9:10" x14ac:dyDescent="0.35">
      <c r="I17248" s="63"/>
      <c r="J17248" s="63"/>
    </row>
    <row r="17249" spans="9:10" x14ac:dyDescent="0.35">
      <c r="I17249" s="63"/>
      <c r="J17249" s="63"/>
    </row>
    <row r="17250" spans="9:10" x14ac:dyDescent="0.35">
      <c r="I17250" s="63"/>
      <c r="J17250" s="63"/>
    </row>
    <row r="17251" spans="9:10" x14ac:dyDescent="0.35">
      <c r="I17251" s="63"/>
      <c r="J17251" s="63"/>
    </row>
    <row r="17252" spans="9:10" x14ac:dyDescent="0.35">
      <c r="I17252" s="63"/>
      <c r="J17252" s="63"/>
    </row>
    <row r="17253" spans="9:10" x14ac:dyDescent="0.35">
      <c r="I17253" s="63"/>
      <c r="J17253" s="63"/>
    </row>
    <row r="17254" spans="9:10" x14ac:dyDescent="0.35">
      <c r="I17254" s="63"/>
      <c r="J17254" s="63"/>
    </row>
    <row r="17255" spans="9:10" x14ac:dyDescent="0.35">
      <c r="I17255" s="63"/>
      <c r="J17255" s="63"/>
    </row>
    <row r="17256" spans="9:10" x14ac:dyDescent="0.35">
      <c r="I17256" s="63"/>
      <c r="J17256" s="63"/>
    </row>
    <row r="17257" spans="9:10" x14ac:dyDescent="0.35">
      <c r="I17257" s="63"/>
      <c r="J17257" s="63"/>
    </row>
    <row r="17258" spans="9:10" x14ac:dyDescent="0.35">
      <c r="I17258" s="63"/>
      <c r="J17258" s="63"/>
    </row>
    <row r="17259" spans="9:10" x14ac:dyDescent="0.35">
      <c r="I17259" s="63"/>
      <c r="J17259" s="63"/>
    </row>
    <row r="17260" spans="9:10" x14ac:dyDescent="0.35">
      <c r="I17260" s="63"/>
      <c r="J17260" s="63"/>
    </row>
    <row r="17261" spans="9:10" x14ac:dyDescent="0.35">
      <c r="I17261" s="63"/>
      <c r="J17261" s="63"/>
    </row>
    <row r="17262" spans="9:10" x14ac:dyDescent="0.35">
      <c r="I17262" s="63"/>
      <c r="J17262" s="63"/>
    </row>
    <row r="17263" spans="9:10" x14ac:dyDescent="0.35">
      <c r="I17263" s="63"/>
      <c r="J17263" s="63"/>
    </row>
    <row r="17264" spans="9:10" x14ac:dyDescent="0.35">
      <c r="I17264" s="63"/>
      <c r="J17264" s="63"/>
    </row>
    <row r="17265" spans="9:10" x14ac:dyDescent="0.35">
      <c r="I17265" s="63"/>
      <c r="J17265" s="63"/>
    </row>
    <row r="17266" spans="9:10" x14ac:dyDescent="0.35">
      <c r="I17266" s="63"/>
      <c r="J17266" s="63"/>
    </row>
    <row r="17267" spans="9:10" x14ac:dyDescent="0.35">
      <c r="I17267" s="63"/>
      <c r="J17267" s="63"/>
    </row>
    <row r="17268" spans="9:10" x14ac:dyDescent="0.35">
      <c r="I17268" s="63"/>
      <c r="J17268" s="63"/>
    </row>
    <row r="17269" spans="9:10" x14ac:dyDescent="0.35">
      <c r="I17269" s="63"/>
      <c r="J17269" s="63"/>
    </row>
    <row r="17270" spans="9:10" x14ac:dyDescent="0.35">
      <c r="I17270" s="63"/>
      <c r="J17270" s="63"/>
    </row>
    <row r="17271" spans="9:10" x14ac:dyDescent="0.35">
      <c r="I17271" s="63"/>
      <c r="J17271" s="63"/>
    </row>
    <row r="17272" spans="9:10" x14ac:dyDescent="0.35">
      <c r="I17272" s="63"/>
      <c r="J17272" s="63"/>
    </row>
    <row r="17273" spans="9:10" x14ac:dyDescent="0.35">
      <c r="I17273" s="63"/>
      <c r="J17273" s="63"/>
    </row>
    <row r="17274" spans="9:10" x14ac:dyDescent="0.35">
      <c r="I17274" s="63"/>
      <c r="J17274" s="63"/>
    </row>
    <row r="17275" spans="9:10" x14ac:dyDescent="0.35">
      <c r="I17275" s="63"/>
      <c r="J17275" s="63"/>
    </row>
    <row r="17276" spans="9:10" x14ac:dyDescent="0.35">
      <c r="I17276" s="63"/>
      <c r="J17276" s="63"/>
    </row>
    <row r="17277" spans="9:10" x14ac:dyDescent="0.35">
      <c r="I17277" s="63"/>
      <c r="J17277" s="63"/>
    </row>
    <row r="17278" spans="9:10" x14ac:dyDescent="0.35">
      <c r="I17278" s="63"/>
      <c r="J17278" s="63"/>
    </row>
    <row r="17279" spans="9:10" x14ac:dyDescent="0.35">
      <c r="I17279" s="63"/>
      <c r="J17279" s="63"/>
    </row>
    <row r="17280" spans="9:10" x14ac:dyDescent="0.35">
      <c r="I17280" s="63"/>
      <c r="J17280" s="63"/>
    </row>
    <row r="17281" spans="9:10" x14ac:dyDescent="0.35">
      <c r="I17281" s="63"/>
      <c r="J17281" s="63"/>
    </row>
    <row r="17282" spans="9:10" x14ac:dyDescent="0.35">
      <c r="I17282" s="63"/>
      <c r="J17282" s="63"/>
    </row>
    <row r="17283" spans="9:10" x14ac:dyDescent="0.35">
      <c r="I17283" s="63"/>
      <c r="J17283" s="63"/>
    </row>
    <row r="17284" spans="9:10" x14ac:dyDescent="0.35">
      <c r="I17284" s="63"/>
      <c r="J17284" s="63"/>
    </row>
    <row r="17285" spans="9:10" x14ac:dyDescent="0.35">
      <c r="I17285" s="63"/>
      <c r="J17285" s="63"/>
    </row>
    <row r="17286" spans="9:10" x14ac:dyDescent="0.35">
      <c r="I17286" s="63"/>
      <c r="J17286" s="63"/>
    </row>
    <row r="17287" spans="9:10" x14ac:dyDescent="0.35">
      <c r="I17287" s="63"/>
      <c r="J17287" s="63"/>
    </row>
    <row r="17288" spans="9:10" x14ac:dyDescent="0.35">
      <c r="I17288" s="63"/>
      <c r="J17288" s="63"/>
    </row>
    <row r="17289" spans="9:10" x14ac:dyDescent="0.35">
      <c r="I17289" s="63"/>
      <c r="J17289" s="63"/>
    </row>
    <row r="17290" spans="9:10" x14ac:dyDescent="0.35">
      <c r="I17290" s="63"/>
      <c r="J17290" s="63"/>
    </row>
    <row r="17291" spans="9:10" x14ac:dyDescent="0.35">
      <c r="I17291" s="63"/>
      <c r="J17291" s="63"/>
    </row>
    <row r="17292" spans="9:10" x14ac:dyDescent="0.35">
      <c r="I17292" s="63"/>
      <c r="J17292" s="63"/>
    </row>
    <row r="17293" spans="9:10" x14ac:dyDescent="0.35">
      <c r="I17293" s="63"/>
      <c r="J17293" s="63"/>
    </row>
    <row r="17294" spans="9:10" x14ac:dyDescent="0.35">
      <c r="I17294" s="63"/>
      <c r="J17294" s="63"/>
    </row>
    <row r="17295" spans="9:10" x14ac:dyDescent="0.35">
      <c r="I17295" s="63"/>
      <c r="J17295" s="63"/>
    </row>
    <row r="17296" spans="9:10" x14ac:dyDescent="0.35">
      <c r="I17296" s="63"/>
      <c r="J17296" s="63"/>
    </row>
    <row r="17297" spans="9:10" x14ac:dyDescent="0.35">
      <c r="I17297" s="63"/>
      <c r="J17297" s="63"/>
    </row>
    <row r="17298" spans="9:10" x14ac:dyDescent="0.35">
      <c r="I17298" s="63"/>
      <c r="J17298" s="63"/>
    </row>
    <row r="17299" spans="9:10" x14ac:dyDescent="0.35">
      <c r="I17299" s="63"/>
      <c r="J17299" s="63"/>
    </row>
    <row r="17300" spans="9:10" x14ac:dyDescent="0.35">
      <c r="I17300" s="63"/>
      <c r="J17300" s="63"/>
    </row>
    <row r="17301" spans="9:10" x14ac:dyDescent="0.35">
      <c r="I17301" s="63"/>
      <c r="J17301" s="63"/>
    </row>
    <row r="17302" spans="9:10" x14ac:dyDescent="0.35">
      <c r="I17302" s="63"/>
      <c r="J17302" s="63"/>
    </row>
    <row r="17303" spans="9:10" x14ac:dyDescent="0.35">
      <c r="I17303" s="63"/>
      <c r="J17303" s="63"/>
    </row>
    <row r="17304" spans="9:10" x14ac:dyDescent="0.35">
      <c r="I17304" s="63"/>
      <c r="J17304" s="63"/>
    </row>
    <row r="17305" spans="9:10" x14ac:dyDescent="0.35">
      <c r="I17305" s="63"/>
      <c r="J17305" s="63"/>
    </row>
    <row r="17306" spans="9:10" x14ac:dyDescent="0.35">
      <c r="I17306" s="63"/>
      <c r="J17306" s="63"/>
    </row>
    <row r="17307" spans="9:10" x14ac:dyDescent="0.35">
      <c r="I17307" s="63"/>
      <c r="J17307" s="63"/>
    </row>
    <row r="17308" spans="9:10" x14ac:dyDescent="0.35">
      <c r="I17308" s="63"/>
      <c r="J17308" s="63"/>
    </row>
    <row r="17309" spans="9:10" x14ac:dyDescent="0.35">
      <c r="I17309" s="63"/>
      <c r="J17309" s="63"/>
    </row>
    <row r="17310" spans="9:10" x14ac:dyDescent="0.35">
      <c r="I17310" s="63"/>
      <c r="J17310" s="63"/>
    </row>
    <row r="17311" spans="9:10" x14ac:dyDescent="0.35">
      <c r="I17311" s="63"/>
      <c r="J17311" s="63"/>
    </row>
    <row r="17312" spans="9:10" x14ac:dyDescent="0.35">
      <c r="I17312" s="63"/>
      <c r="J17312" s="63"/>
    </row>
    <row r="17313" spans="9:10" x14ac:dyDescent="0.35">
      <c r="I17313" s="63"/>
      <c r="J17313" s="63"/>
    </row>
    <row r="17314" spans="9:10" x14ac:dyDescent="0.35">
      <c r="I17314" s="63"/>
      <c r="J17314" s="63"/>
    </row>
    <row r="17315" spans="9:10" x14ac:dyDescent="0.35">
      <c r="I17315" s="63"/>
      <c r="J17315" s="63"/>
    </row>
    <row r="17316" spans="9:10" x14ac:dyDescent="0.35">
      <c r="I17316" s="63"/>
      <c r="J17316" s="63"/>
    </row>
    <row r="17317" spans="9:10" x14ac:dyDescent="0.35">
      <c r="I17317" s="63"/>
      <c r="J17317" s="63"/>
    </row>
    <row r="17318" spans="9:10" x14ac:dyDescent="0.35">
      <c r="I17318" s="63"/>
      <c r="J17318" s="63"/>
    </row>
    <row r="17319" spans="9:10" x14ac:dyDescent="0.35">
      <c r="I17319" s="63"/>
      <c r="J17319" s="63"/>
    </row>
    <row r="17320" spans="9:10" x14ac:dyDescent="0.35">
      <c r="I17320" s="63"/>
      <c r="J17320" s="63"/>
    </row>
    <row r="17321" spans="9:10" x14ac:dyDescent="0.35">
      <c r="I17321" s="63"/>
      <c r="J17321" s="63"/>
    </row>
    <row r="17322" spans="9:10" x14ac:dyDescent="0.35">
      <c r="I17322" s="63"/>
      <c r="J17322" s="63"/>
    </row>
    <row r="17323" spans="9:10" x14ac:dyDescent="0.35">
      <c r="I17323" s="63"/>
      <c r="J17323" s="63"/>
    </row>
    <row r="17324" spans="9:10" x14ac:dyDescent="0.35">
      <c r="I17324" s="63"/>
      <c r="J17324" s="63"/>
    </row>
    <row r="17325" spans="9:10" x14ac:dyDescent="0.35">
      <c r="I17325" s="63"/>
      <c r="J17325" s="63"/>
    </row>
    <row r="17326" spans="9:10" x14ac:dyDescent="0.35">
      <c r="I17326" s="63"/>
      <c r="J17326" s="63"/>
    </row>
    <row r="17327" spans="9:10" x14ac:dyDescent="0.35">
      <c r="I17327" s="63"/>
      <c r="J17327" s="63"/>
    </row>
    <row r="17328" spans="9:10" x14ac:dyDescent="0.35">
      <c r="I17328" s="63"/>
      <c r="J17328" s="63"/>
    </row>
    <row r="17329" spans="9:10" x14ac:dyDescent="0.35">
      <c r="I17329" s="63"/>
      <c r="J17329" s="63"/>
    </row>
    <row r="17330" spans="9:10" x14ac:dyDescent="0.35">
      <c r="I17330" s="63"/>
      <c r="J17330" s="63"/>
    </row>
    <row r="17331" spans="9:10" x14ac:dyDescent="0.35">
      <c r="I17331" s="63"/>
      <c r="J17331" s="63"/>
    </row>
    <row r="17332" spans="9:10" x14ac:dyDescent="0.35">
      <c r="I17332" s="63"/>
      <c r="J17332" s="63"/>
    </row>
    <row r="17333" spans="9:10" x14ac:dyDescent="0.35">
      <c r="I17333" s="63"/>
      <c r="J17333" s="63"/>
    </row>
    <row r="17334" spans="9:10" x14ac:dyDescent="0.35">
      <c r="I17334" s="63"/>
      <c r="J17334" s="63"/>
    </row>
    <row r="17335" spans="9:10" x14ac:dyDescent="0.35">
      <c r="I17335" s="63"/>
      <c r="J17335" s="63"/>
    </row>
    <row r="17336" spans="9:10" x14ac:dyDescent="0.35">
      <c r="I17336" s="63"/>
      <c r="J17336" s="63"/>
    </row>
    <row r="17337" spans="9:10" x14ac:dyDescent="0.35">
      <c r="I17337" s="63"/>
      <c r="J17337" s="63"/>
    </row>
    <row r="17338" spans="9:10" x14ac:dyDescent="0.35">
      <c r="I17338" s="63"/>
      <c r="J17338" s="63"/>
    </row>
    <row r="17339" spans="9:10" x14ac:dyDescent="0.35">
      <c r="I17339" s="63"/>
      <c r="J17339" s="63"/>
    </row>
    <row r="17340" spans="9:10" x14ac:dyDescent="0.35">
      <c r="I17340" s="63"/>
      <c r="J17340" s="63"/>
    </row>
    <row r="17341" spans="9:10" x14ac:dyDescent="0.35">
      <c r="I17341" s="63"/>
      <c r="J17341" s="63"/>
    </row>
    <row r="17342" spans="9:10" x14ac:dyDescent="0.35">
      <c r="I17342" s="63"/>
      <c r="J17342" s="63"/>
    </row>
    <row r="17343" spans="9:10" x14ac:dyDescent="0.35">
      <c r="I17343" s="63"/>
      <c r="J17343" s="63"/>
    </row>
    <row r="17344" spans="9:10" x14ac:dyDescent="0.35">
      <c r="I17344" s="63"/>
      <c r="J17344" s="63"/>
    </row>
    <row r="17345" spans="9:10" x14ac:dyDescent="0.35">
      <c r="I17345" s="63"/>
      <c r="J17345" s="63"/>
    </row>
    <row r="17346" spans="9:10" x14ac:dyDescent="0.35">
      <c r="I17346" s="63"/>
      <c r="J17346" s="63"/>
    </row>
    <row r="17347" spans="9:10" x14ac:dyDescent="0.35">
      <c r="I17347" s="63"/>
      <c r="J17347" s="63"/>
    </row>
    <row r="17348" spans="9:10" x14ac:dyDescent="0.35">
      <c r="I17348" s="63"/>
      <c r="J17348" s="63"/>
    </row>
    <row r="17349" spans="9:10" x14ac:dyDescent="0.35">
      <c r="I17349" s="63"/>
      <c r="J17349" s="63"/>
    </row>
    <row r="17350" spans="9:10" x14ac:dyDescent="0.35">
      <c r="I17350" s="63"/>
      <c r="J17350" s="63"/>
    </row>
    <row r="17351" spans="9:10" x14ac:dyDescent="0.35">
      <c r="I17351" s="63"/>
      <c r="J17351" s="63"/>
    </row>
    <row r="17352" spans="9:10" x14ac:dyDescent="0.35">
      <c r="I17352" s="63"/>
      <c r="J17352" s="63"/>
    </row>
    <row r="17353" spans="9:10" x14ac:dyDescent="0.35">
      <c r="I17353" s="63"/>
      <c r="J17353" s="63"/>
    </row>
    <row r="17354" spans="9:10" x14ac:dyDescent="0.35">
      <c r="I17354" s="63"/>
      <c r="J17354" s="63"/>
    </row>
    <row r="17355" spans="9:10" x14ac:dyDescent="0.35">
      <c r="I17355" s="63"/>
      <c r="J17355" s="63"/>
    </row>
    <row r="17356" spans="9:10" x14ac:dyDescent="0.35">
      <c r="I17356" s="63"/>
      <c r="J17356" s="63"/>
    </row>
    <row r="17357" spans="9:10" x14ac:dyDescent="0.35">
      <c r="I17357" s="63"/>
      <c r="J17357" s="63"/>
    </row>
    <row r="17358" spans="9:10" x14ac:dyDescent="0.35">
      <c r="I17358" s="63"/>
      <c r="J17358" s="63"/>
    </row>
    <row r="17359" spans="9:10" x14ac:dyDescent="0.35">
      <c r="I17359" s="63"/>
      <c r="J17359" s="63"/>
    </row>
    <row r="17360" spans="9:10" x14ac:dyDescent="0.35">
      <c r="I17360" s="63"/>
      <c r="J17360" s="63"/>
    </row>
    <row r="17361" spans="9:10" x14ac:dyDescent="0.35">
      <c r="I17361" s="63"/>
      <c r="J17361" s="63"/>
    </row>
    <row r="17362" spans="9:10" x14ac:dyDescent="0.35">
      <c r="I17362" s="63"/>
      <c r="J17362" s="63"/>
    </row>
    <row r="17363" spans="9:10" x14ac:dyDescent="0.35">
      <c r="I17363" s="63"/>
      <c r="J17363" s="63"/>
    </row>
    <row r="17364" spans="9:10" x14ac:dyDescent="0.35">
      <c r="I17364" s="63"/>
      <c r="J17364" s="63"/>
    </row>
    <row r="17365" spans="9:10" x14ac:dyDescent="0.35">
      <c r="I17365" s="63"/>
      <c r="J17365" s="63"/>
    </row>
    <row r="17366" spans="9:10" x14ac:dyDescent="0.35">
      <c r="I17366" s="63"/>
      <c r="J17366" s="63"/>
    </row>
    <row r="17367" spans="9:10" x14ac:dyDescent="0.35">
      <c r="I17367" s="63"/>
      <c r="J17367" s="63"/>
    </row>
    <row r="17368" spans="9:10" x14ac:dyDescent="0.35">
      <c r="I17368" s="63"/>
      <c r="J17368" s="63"/>
    </row>
    <row r="17369" spans="9:10" x14ac:dyDescent="0.35">
      <c r="I17369" s="63"/>
      <c r="J17369" s="63"/>
    </row>
    <row r="17370" spans="9:10" x14ac:dyDescent="0.35">
      <c r="I17370" s="63"/>
      <c r="J17370" s="63"/>
    </row>
    <row r="17371" spans="9:10" x14ac:dyDescent="0.35">
      <c r="I17371" s="63"/>
      <c r="J17371" s="63"/>
    </row>
    <row r="17372" spans="9:10" x14ac:dyDescent="0.35">
      <c r="I17372" s="63"/>
      <c r="J17372" s="63"/>
    </row>
    <row r="17373" spans="9:10" x14ac:dyDescent="0.35">
      <c r="I17373" s="63"/>
      <c r="J17373" s="63"/>
    </row>
    <row r="17374" spans="9:10" x14ac:dyDescent="0.35">
      <c r="I17374" s="63"/>
      <c r="J17374" s="63"/>
    </row>
    <row r="17375" spans="9:10" x14ac:dyDescent="0.35">
      <c r="I17375" s="63"/>
      <c r="J17375" s="63"/>
    </row>
    <row r="17376" spans="9:10" x14ac:dyDescent="0.35">
      <c r="I17376" s="63"/>
      <c r="J17376" s="63"/>
    </row>
    <row r="17377" spans="9:10" x14ac:dyDescent="0.35">
      <c r="I17377" s="63"/>
      <c r="J17377" s="63"/>
    </row>
    <row r="17378" spans="9:10" x14ac:dyDescent="0.35">
      <c r="I17378" s="63"/>
      <c r="J17378" s="63"/>
    </row>
    <row r="17379" spans="9:10" x14ac:dyDescent="0.35">
      <c r="I17379" s="63"/>
      <c r="J17379" s="63"/>
    </row>
    <row r="17380" spans="9:10" x14ac:dyDescent="0.35">
      <c r="I17380" s="63"/>
      <c r="J17380" s="63"/>
    </row>
    <row r="17381" spans="9:10" x14ac:dyDescent="0.35">
      <c r="I17381" s="63"/>
      <c r="J17381" s="63"/>
    </row>
    <row r="17382" spans="9:10" x14ac:dyDescent="0.35">
      <c r="I17382" s="63"/>
      <c r="J17382" s="63"/>
    </row>
    <row r="17383" spans="9:10" x14ac:dyDescent="0.35">
      <c r="I17383" s="63"/>
      <c r="J17383" s="63"/>
    </row>
    <row r="17384" spans="9:10" x14ac:dyDescent="0.35">
      <c r="I17384" s="63"/>
      <c r="J17384" s="63"/>
    </row>
    <row r="17385" spans="9:10" x14ac:dyDescent="0.35">
      <c r="I17385" s="63"/>
      <c r="J17385" s="63"/>
    </row>
    <row r="17386" spans="9:10" x14ac:dyDescent="0.35">
      <c r="I17386" s="63"/>
      <c r="J17386" s="63"/>
    </row>
    <row r="17387" spans="9:10" x14ac:dyDescent="0.35">
      <c r="I17387" s="63"/>
      <c r="J17387" s="63"/>
    </row>
    <row r="17388" spans="9:10" x14ac:dyDescent="0.35">
      <c r="I17388" s="63"/>
      <c r="J17388" s="63"/>
    </row>
    <row r="17389" spans="9:10" x14ac:dyDescent="0.35">
      <c r="I17389" s="63"/>
      <c r="J17389" s="63"/>
    </row>
    <row r="17390" spans="9:10" x14ac:dyDescent="0.35">
      <c r="I17390" s="63"/>
      <c r="J17390" s="63"/>
    </row>
    <row r="17391" spans="9:10" x14ac:dyDescent="0.35">
      <c r="I17391" s="63"/>
      <c r="J17391" s="63"/>
    </row>
    <row r="17392" spans="9:10" x14ac:dyDescent="0.35">
      <c r="I17392" s="63"/>
      <c r="J17392" s="63"/>
    </row>
    <row r="17393" spans="9:10" x14ac:dyDescent="0.35">
      <c r="I17393" s="63"/>
      <c r="J17393" s="63"/>
    </row>
    <row r="17394" spans="9:10" x14ac:dyDescent="0.35">
      <c r="I17394" s="63"/>
      <c r="J17394" s="63"/>
    </row>
    <row r="17395" spans="9:10" x14ac:dyDescent="0.35">
      <c r="I17395" s="63"/>
      <c r="J17395" s="63"/>
    </row>
    <row r="17396" spans="9:10" x14ac:dyDescent="0.35">
      <c r="I17396" s="63"/>
      <c r="J17396" s="63"/>
    </row>
    <row r="17397" spans="9:10" x14ac:dyDescent="0.35">
      <c r="I17397" s="63"/>
      <c r="J17397" s="63"/>
    </row>
    <row r="17398" spans="9:10" x14ac:dyDescent="0.35">
      <c r="I17398" s="63"/>
      <c r="J17398" s="63"/>
    </row>
    <row r="17399" spans="9:10" x14ac:dyDescent="0.35">
      <c r="I17399" s="63"/>
      <c r="J17399" s="63"/>
    </row>
    <row r="17400" spans="9:10" x14ac:dyDescent="0.35">
      <c r="I17400" s="63"/>
      <c r="J17400" s="63"/>
    </row>
    <row r="17401" spans="9:10" x14ac:dyDescent="0.35">
      <c r="I17401" s="63"/>
      <c r="J17401" s="63"/>
    </row>
    <row r="17402" spans="9:10" x14ac:dyDescent="0.35">
      <c r="I17402" s="63"/>
      <c r="J17402" s="63"/>
    </row>
    <row r="17403" spans="9:10" x14ac:dyDescent="0.35">
      <c r="I17403" s="63"/>
      <c r="J17403" s="63"/>
    </row>
    <row r="17404" spans="9:10" x14ac:dyDescent="0.35">
      <c r="I17404" s="63"/>
      <c r="J17404" s="63"/>
    </row>
    <row r="17405" spans="9:10" x14ac:dyDescent="0.35">
      <c r="I17405" s="63"/>
      <c r="J17405" s="63"/>
    </row>
    <row r="17406" spans="9:10" x14ac:dyDescent="0.35">
      <c r="I17406" s="63"/>
      <c r="J17406" s="63"/>
    </row>
    <row r="17407" spans="9:10" x14ac:dyDescent="0.35">
      <c r="I17407" s="63"/>
      <c r="J17407" s="63"/>
    </row>
    <row r="17408" spans="9:10" x14ac:dyDescent="0.35">
      <c r="I17408" s="63"/>
      <c r="J17408" s="63"/>
    </row>
    <row r="17409" spans="9:10" x14ac:dyDescent="0.35">
      <c r="I17409" s="63"/>
      <c r="J17409" s="63"/>
    </row>
    <row r="17410" spans="9:10" x14ac:dyDescent="0.35">
      <c r="I17410" s="63"/>
      <c r="J17410" s="63"/>
    </row>
    <row r="17411" spans="9:10" x14ac:dyDescent="0.35">
      <c r="I17411" s="63"/>
      <c r="J17411" s="63"/>
    </row>
    <row r="17412" spans="9:10" x14ac:dyDescent="0.35">
      <c r="I17412" s="63"/>
      <c r="J17412" s="63"/>
    </row>
    <row r="17413" spans="9:10" x14ac:dyDescent="0.35">
      <c r="I17413" s="63"/>
      <c r="J17413" s="63"/>
    </row>
    <row r="17414" spans="9:10" x14ac:dyDescent="0.35">
      <c r="I17414" s="63"/>
      <c r="J17414" s="63"/>
    </row>
    <row r="17415" spans="9:10" x14ac:dyDescent="0.35">
      <c r="I17415" s="63"/>
      <c r="J17415" s="63"/>
    </row>
    <row r="17416" spans="9:10" x14ac:dyDescent="0.35">
      <c r="I17416" s="63"/>
      <c r="J17416" s="63"/>
    </row>
    <row r="17417" spans="9:10" x14ac:dyDescent="0.35">
      <c r="I17417" s="63"/>
      <c r="J17417" s="63"/>
    </row>
    <row r="17418" spans="9:10" x14ac:dyDescent="0.35">
      <c r="I17418" s="63"/>
      <c r="J17418" s="63"/>
    </row>
    <row r="17419" spans="9:10" x14ac:dyDescent="0.35">
      <c r="I17419" s="63"/>
      <c r="J17419" s="63"/>
    </row>
    <row r="17420" spans="9:10" x14ac:dyDescent="0.35">
      <c r="I17420" s="63"/>
      <c r="J17420" s="63"/>
    </row>
    <row r="17421" spans="9:10" x14ac:dyDescent="0.35">
      <c r="I17421" s="63"/>
      <c r="J17421" s="63"/>
    </row>
    <row r="17422" spans="9:10" x14ac:dyDescent="0.35">
      <c r="I17422" s="63"/>
      <c r="J17422" s="63"/>
    </row>
    <row r="17423" spans="9:10" x14ac:dyDescent="0.35">
      <c r="I17423" s="63"/>
      <c r="J17423" s="63"/>
    </row>
    <row r="17424" spans="9:10" x14ac:dyDescent="0.35">
      <c r="I17424" s="63"/>
      <c r="J17424" s="63"/>
    </row>
    <row r="17425" spans="9:10" x14ac:dyDescent="0.35">
      <c r="I17425" s="63"/>
      <c r="J17425" s="63"/>
    </row>
    <row r="17426" spans="9:10" x14ac:dyDescent="0.35">
      <c r="I17426" s="63"/>
      <c r="J17426" s="63"/>
    </row>
    <row r="17427" spans="9:10" x14ac:dyDescent="0.35">
      <c r="I17427" s="63"/>
      <c r="J17427" s="63"/>
    </row>
    <row r="17428" spans="9:10" x14ac:dyDescent="0.35">
      <c r="I17428" s="63"/>
      <c r="J17428" s="63"/>
    </row>
    <row r="17429" spans="9:10" x14ac:dyDescent="0.35">
      <c r="I17429" s="63"/>
      <c r="J17429" s="63"/>
    </row>
    <row r="17430" spans="9:10" x14ac:dyDescent="0.35">
      <c r="I17430" s="63"/>
      <c r="J17430" s="63"/>
    </row>
    <row r="17431" spans="9:10" x14ac:dyDescent="0.35">
      <c r="I17431" s="63"/>
      <c r="J17431" s="63"/>
    </row>
    <row r="17432" spans="9:10" x14ac:dyDescent="0.35">
      <c r="I17432" s="63"/>
      <c r="J17432" s="63"/>
    </row>
    <row r="17433" spans="9:10" x14ac:dyDescent="0.35">
      <c r="I17433" s="63"/>
      <c r="J17433" s="63"/>
    </row>
    <row r="17434" spans="9:10" x14ac:dyDescent="0.35">
      <c r="I17434" s="63"/>
      <c r="J17434" s="63"/>
    </row>
    <row r="17435" spans="9:10" x14ac:dyDescent="0.35">
      <c r="I17435" s="63"/>
      <c r="J17435" s="63"/>
    </row>
    <row r="17436" spans="9:10" x14ac:dyDescent="0.35">
      <c r="I17436" s="63"/>
      <c r="J17436" s="63"/>
    </row>
    <row r="17437" spans="9:10" x14ac:dyDescent="0.35">
      <c r="I17437" s="63"/>
      <c r="J17437" s="63"/>
    </row>
    <row r="17438" spans="9:10" x14ac:dyDescent="0.35">
      <c r="I17438" s="63"/>
      <c r="J17438" s="63"/>
    </row>
    <row r="17439" spans="9:10" x14ac:dyDescent="0.35">
      <c r="I17439" s="63"/>
      <c r="J17439" s="63"/>
    </row>
    <row r="17440" spans="9:10" x14ac:dyDescent="0.35">
      <c r="I17440" s="63"/>
      <c r="J17440" s="63"/>
    </row>
    <row r="17441" spans="9:10" x14ac:dyDescent="0.35">
      <c r="I17441" s="63"/>
      <c r="J17441" s="63"/>
    </row>
    <row r="17442" spans="9:10" x14ac:dyDescent="0.35">
      <c r="I17442" s="63"/>
      <c r="J17442" s="63"/>
    </row>
    <row r="17443" spans="9:10" x14ac:dyDescent="0.35">
      <c r="I17443" s="63"/>
      <c r="J17443" s="63"/>
    </row>
    <row r="17444" spans="9:10" x14ac:dyDescent="0.35">
      <c r="I17444" s="63"/>
      <c r="J17444" s="63"/>
    </row>
    <row r="17445" spans="9:10" x14ac:dyDescent="0.35">
      <c r="I17445" s="63"/>
      <c r="J17445" s="63"/>
    </row>
    <row r="17446" spans="9:10" x14ac:dyDescent="0.35">
      <c r="I17446" s="63"/>
      <c r="J17446" s="63"/>
    </row>
    <row r="17447" spans="9:10" x14ac:dyDescent="0.35">
      <c r="I17447" s="63"/>
      <c r="J17447" s="63"/>
    </row>
    <row r="17448" spans="9:10" x14ac:dyDescent="0.35">
      <c r="I17448" s="63"/>
      <c r="J17448" s="63"/>
    </row>
    <row r="17449" spans="9:10" x14ac:dyDescent="0.35">
      <c r="I17449" s="63"/>
      <c r="J17449" s="63"/>
    </row>
    <row r="17450" spans="9:10" x14ac:dyDescent="0.35">
      <c r="I17450" s="63"/>
      <c r="J17450" s="63"/>
    </row>
    <row r="17451" spans="9:10" x14ac:dyDescent="0.35">
      <c r="I17451" s="63"/>
      <c r="J17451" s="63"/>
    </row>
    <row r="17452" spans="9:10" x14ac:dyDescent="0.35">
      <c r="I17452" s="63"/>
      <c r="J17452" s="63"/>
    </row>
    <row r="17453" spans="9:10" x14ac:dyDescent="0.35">
      <c r="I17453" s="63"/>
      <c r="J17453" s="63"/>
    </row>
    <row r="17454" spans="9:10" x14ac:dyDescent="0.35">
      <c r="I17454" s="63"/>
      <c r="J17454" s="63"/>
    </row>
    <row r="17455" spans="9:10" x14ac:dyDescent="0.35">
      <c r="I17455" s="63"/>
      <c r="J17455" s="63"/>
    </row>
    <row r="17456" spans="9:10" x14ac:dyDescent="0.35">
      <c r="I17456" s="63"/>
      <c r="J17456" s="63"/>
    </row>
    <row r="17457" spans="9:10" x14ac:dyDescent="0.35">
      <c r="I17457" s="63"/>
      <c r="J17457" s="63"/>
    </row>
    <row r="17458" spans="9:10" x14ac:dyDescent="0.35">
      <c r="I17458" s="63"/>
      <c r="J17458" s="63"/>
    </row>
    <row r="17459" spans="9:10" x14ac:dyDescent="0.35">
      <c r="I17459" s="63"/>
      <c r="J17459" s="63"/>
    </row>
    <row r="17460" spans="9:10" x14ac:dyDescent="0.35">
      <c r="I17460" s="63"/>
      <c r="J17460" s="63"/>
    </row>
    <row r="17461" spans="9:10" x14ac:dyDescent="0.35">
      <c r="I17461" s="63"/>
      <c r="J17461" s="63"/>
    </row>
    <row r="17462" spans="9:10" x14ac:dyDescent="0.35">
      <c r="I17462" s="63"/>
      <c r="J17462" s="63"/>
    </row>
    <row r="17463" spans="9:10" x14ac:dyDescent="0.35">
      <c r="I17463" s="63"/>
      <c r="J17463" s="63"/>
    </row>
    <row r="17464" spans="9:10" x14ac:dyDescent="0.35">
      <c r="I17464" s="63"/>
      <c r="J17464" s="63"/>
    </row>
    <row r="17465" spans="9:10" x14ac:dyDescent="0.35">
      <c r="I17465" s="63"/>
      <c r="J17465" s="63"/>
    </row>
    <row r="17466" spans="9:10" x14ac:dyDescent="0.35">
      <c r="I17466" s="63"/>
      <c r="J17466" s="63"/>
    </row>
    <row r="17467" spans="9:10" x14ac:dyDescent="0.35">
      <c r="I17467" s="63"/>
      <c r="J17467" s="63"/>
    </row>
    <row r="17468" spans="9:10" x14ac:dyDescent="0.35">
      <c r="I17468" s="63"/>
      <c r="J17468" s="63"/>
    </row>
    <row r="17469" spans="9:10" x14ac:dyDescent="0.35">
      <c r="I17469" s="63"/>
      <c r="J17469" s="63"/>
    </row>
    <row r="17470" spans="9:10" x14ac:dyDescent="0.35">
      <c r="I17470" s="63"/>
      <c r="J17470" s="63"/>
    </row>
    <row r="17471" spans="9:10" x14ac:dyDescent="0.35">
      <c r="I17471" s="63"/>
      <c r="J17471" s="63"/>
    </row>
    <row r="17472" spans="9:10" x14ac:dyDescent="0.35">
      <c r="I17472" s="63"/>
      <c r="J17472" s="63"/>
    </row>
    <row r="17473" spans="9:10" x14ac:dyDescent="0.35">
      <c r="I17473" s="63"/>
      <c r="J17473" s="63"/>
    </row>
    <row r="17474" spans="9:10" x14ac:dyDescent="0.35">
      <c r="I17474" s="63"/>
      <c r="J17474" s="63"/>
    </row>
    <row r="17475" spans="9:10" x14ac:dyDescent="0.35">
      <c r="I17475" s="63"/>
      <c r="J17475" s="63"/>
    </row>
    <row r="17476" spans="9:10" x14ac:dyDescent="0.35">
      <c r="I17476" s="63"/>
      <c r="J17476" s="63"/>
    </row>
    <row r="17477" spans="9:10" x14ac:dyDescent="0.35">
      <c r="I17477" s="63"/>
      <c r="J17477" s="63"/>
    </row>
    <row r="17478" spans="9:10" x14ac:dyDescent="0.35">
      <c r="I17478" s="63"/>
      <c r="J17478" s="63"/>
    </row>
    <row r="17479" spans="9:10" x14ac:dyDescent="0.35">
      <c r="I17479" s="63"/>
      <c r="J17479" s="63"/>
    </row>
    <row r="17480" spans="9:10" x14ac:dyDescent="0.35">
      <c r="I17480" s="63"/>
      <c r="J17480" s="63"/>
    </row>
    <row r="17481" spans="9:10" x14ac:dyDescent="0.35">
      <c r="I17481" s="63"/>
      <c r="J17481" s="63"/>
    </row>
    <row r="17482" spans="9:10" x14ac:dyDescent="0.35">
      <c r="I17482" s="63"/>
      <c r="J17482" s="63"/>
    </row>
    <row r="17483" spans="9:10" x14ac:dyDescent="0.35">
      <c r="I17483" s="63"/>
      <c r="J17483" s="63"/>
    </row>
    <row r="17484" spans="9:10" x14ac:dyDescent="0.35">
      <c r="I17484" s="63"/>
      <c r="J17484" s="63"/>
    </row>
    <row r="17485" spans="9:10" x14ac:dyDescent="0.35">
      <c r="I17485" s="63"/>
      <c r="J17485" s="63"/>
    </row>
    <row r="17486" spans="9:10" x14ac:dyDescent="0.35">
      <c r="I17486" s="63"/>
      <c r="J17486" s="63"/>
    </row>
    <row r="17487" spans="9:10" x14ac:dyDescent="0.35">
      <c r="I17487" s="63"/>
      <c r="J17487" s="63"/>
    </row>
    <row r="17488" spans="9:10" x14ac:dyDescent="0.35">
      <c r="I17488" s="63"/>
      <c r="J17488" s="63"/>
    </row>
    <row r="17489" spans="9:10" x14ac:dyDescent="0.35">
      <c r="I17489" s="63"/>
      <c r="J17489" s="63"/>
    </row>
    <row r="17490" spans="9:10" x14ac:dyDescent="0.35">
      <c r="I17490" s="63"/>
      <c r="J17490" s="63"/>
    </row>
    <row r="17491" spans="9:10" x14ac:dyDescent="0.35">
      <c r="I17491" s="63"/>
      <c r="J17491" s="63"/>
    </row>
    <row r="17492" spans="9:10" x14ac:dyDescent="0.35">
      <c r="I17492" s="63"/>
      <c r="J17492" s="63"/>
    </row>
    <row r="17493" spans="9:10" x14ac:dyDescent="0.35">
      <c r="I17493" s="63"/>
      <c r="J17493" s="63"/>
    </row>
    <row r="17494" spans="9:10" x14ac:dyDescent="0.35">
      <c r="I17494" s="63"/>
      <c r="J17494" s="63"/>
    </row>
    <row r="17495" spans="9:10" x14ac:dyDescent="0.35">
      <c r="I17495" s="63"/>
      <c r="J17495" s="63"/>
    </row>
    <row r="17496" spans="9:10" x14ac:dyDescent="0.35">
      <c r="I17496" s="63"/>
      <c r="J17496" s="63"/>
    </row>
    <row r="17497" spans="9:10" x14ac:dyDescent="0.35">
      <c r="I17497" s="63"/>
      <c r="J17497" s="63"/>
    </row>
    <row r="17498" spans="9:10" x14ac:dyDescent="0.35">
      <c r="I17498" s="63"/>
      <c r="J17498" s="63"/>
    </row>
    <row r="17499" spans="9:10" x14ac:dyDescent="0.35">
      <c r="I17499" s="63"/>
      <c r="J17499" s="63"/>
    </row>
    <row r="17500" spans="9:10" x14ac:dyDescent="0.35">
      <c r="I17500" s="63"/>
      <c r="J17500" s="63"/>
    </row>
    <row r="17501" spans="9:10" x14ac:dyDescent="0.35">
      <c r="I17501" s="63"/>
      <c r="J17501" s="63"/>
    </row>
    <row r="17502" spans="9:10" x14ac:dyDescent="0.35">
      <c r="I17502" s="63"/>
      <c r="J17502" s="63"/>
    </row>
    <row r="17503" spans="9:10" x14ac:dyDescent="0.35">
      <c r="I17503" s="63"/>
      <c r="J17503" s="63"/>
    </row>
    <row r="17504" spans="9:10" x14ac:dyDescent="0.35">
      <c r="I17504" s="63"/>
      <c r="J17504" s="63"/>
    </row>
    <row r="17505" spans="9:10" x14ac:dyDescent="0.35">
      <c r="I17505" s="63"/>
      <c r="J17505" s="63"/>
    </row>
    <row r="17506" spans="9:10" x14ac:dyDescent="0.35">
      <c r="I17506" s="63"/>
      <c r="J17506" s="63"/>
    </row>
    <row r="17507" spans="9:10" x14ac:dyDescent="0.35">
      <c r="I17507" s="63"/>
      <c r="J17507" s="63"/>
    </row>
    <row r="17508" spans="9:10" x14ac:dyDescent="0.35">
      <c r="I17508" s="63"/>
      <c r="J17508" s="63"/>
    </row>
    <row r="17509" spans="9:10" x14ac:dyDescent="0.35">
      <c r="I17509" s="63"/>
      <c r="J17509" s="63"/>
    </row>
    <row r="17510" spans="9:10" x14ac:dyDescent="0.35">
      <c r="I17510" s="63"/>
      <c r="J17510" s="63"/>
    </row>
    <row r="17511" spans="9:10" x14ac:dyDescent="0.35">
      <c r="I17511" s="63"/>
      <c r="J17511" s="63"/>
    </row>
    <row r="17512" spans="9:10" x14ac:dyDescent="0.35">
      <c r="I17512" s="63"/>
      <c r="J17512" s="63"/>
    </row>
    <row r="17513" spans="9:10" x14ac:dyDescent="0.35">
      <c r="I17513" s="63"/>
      <c r="J17513" s="63"/>
    </row>
    <row r="17514" spans="9:10" x14ac:dyDescent="0.35">
      <c r="I17514" s="63"/>
      <c r="J17514" s="63"/>
    </row>
    <row r="17515" spans="9:10" x14ac:dyDescent="0.35">
      <c r="I17515" s="63"/>
      <c r="J17515" s="63"/>
    </row>
    <row r="17516" spans="9:10" x14ac:dyDescent="0.35">
      <c r="I17516" s="63"/>
      <c r="J17516" s="63"/>
    </row>
    <row r="17517" spans="9:10" x14ac:dyDescent="0.35">
      <c r="I17517" s="63"/>
      <c r="J17517" s="63"/>
    </row>
    <row r="17518" spans="9:10" x14ac:dyDescent="0.35">
      <c r="I17518" s="63"/>
      <c r="J17518" s="63"/>
    </row>
    <row r="17519" spans="9:10" x14ac:dyDescent="0.35">
      <c r="I17519" s="63"/>
      <c r="J17519" s="63"/>
    </row>
    <row r="17520" spans="9:10" x14ac:dyDescent="0.35">
      <c r="I17520" s="63"/>
      <c r="J17520" s="63"/>
    </row>
    <row r="17521" spans="9:10" x14ac:dyDescent="0.35">
      <c r="I17521" s="63"/>
      <c r="J17521" s="63"/>
    </row>
    <row r="17522" spans="9:10" x14ac:dyDescent="0.35">
      <c r="I17522" s="63"/>
      <c r="J17522" s="63"/>
    </row>
    <row r="17523" spans="9:10" x14ac:dyDescent="0.35">
      <c r="I17523" s="63"/>
      <c r="J17523" s="63"/>
    </row>
    <row r="17524" spans="9:10" x14ac:dyDescent="0.35">
      <c r="I17524" s="63"/>
      <c r="J17524" s="63"/>
    </row>
    <row r="17525" spans="9:10" x14ac:dyDescent="0.35">
      <c r="I17525" s="63"/>
      <c r="J17525" s="63"/>
    </row>
    <row r="17526" spans="9:10" x14ac:dyDescent="0.35">
      <c r="I17526" s="63"/>
      <c r="J17526" s="63"/>
    </row>
    <row r="17527" spans="9:10" x14ac:dyDescent="0.35">
      <c r="I17527" s="63"/>
      <c r="J17527" s="63"/>
    </row>
    <row r="17528" spans="9:10" x14ac:dyDescent="0.35">
      <c r="I17528" s="63"/>
      <c r="J17528" s="63"/>
    </row>
    <row r="17529" spans="9:10" x14ac:dyDescent="0.35">
      <c r="I17529" s="63"/>
      <c r="J17529" s="63"/>
    </row>
    <row r="17530" spans="9:10" x14ac:dyDescent="0.35">
      <c r="I17530" s="63"/>
      <c r="J17530" s="63"/>
    </row>
    <row r="17531" spans="9:10" x14ac:dyDescent="0.35">
      <c r="I17531" s="63"/>
      <c r="J17531" s="63"/>
    </row>
    <row r="17532" spans="9:10" x14ac:dyDescent="0.35">
      <c r="I17532" s="63"/>
      <c r="J17532" s="63"/>
    </row>
    <row r="17533" spans="9:10" x14ac:dyDescent="0.35">
      <c r="I17533" s="63"/>
      <c r="J17533" s="63"/>
    </row>
    <row r="17534" spans="9:10" x14ac:dyDescent="0.35">
      <c r="I17534" s="63"/>
      <c r="J17534" s="63"/>
    </row>
    <row r="17535" spans="9:10" x14ac:dyDescent="0.35">
      <c r="I17535" s="63"/>
      <c r="J17535" s="63"/>
    </row>
    <row r="17536" spans="9:10" x14ac:dyDescent="0.35">
      <c r="I17536" s="63"/>
      <c r="J17536" s="63"/>
    </row>
    <row r="17537" spans="9:10" x14ac:dyDescent="0.35">
      <c r="I17537" s="63"/>
      <c r="J17537" s="63"/>
    </row>
    <row r="17538" spans="9:10" x14ac:dyDescent="0.35">
      <c r="I17538" s="63"/>
      <c r="J17538" s="63"/>
    </row>
    <row r="17539" spans="9:10" x14ac:dyDescent="0.35">
      <c r="I17539" s="63"/>
      <c r="J17539" s="63"/>
    </row>
    <row r="17540" spans="9:10" x14ac:dyDescent="0.35">
      <c r="I17540" s="63"/>
      <c r="J17540" s="63"/>
    </row>
    <row r="17541" spans="9:10" x14ac:dyDescent="0.35">
      <c r="I17541" s="63"/>
      <c r="J17541" s="63"/>
    </row>
    <row r="17542" spans="9:10" x14ac:dyDescent="0.35">
      <c r="I17542" s="63"/>
      <c r="J17542" s="63"/>
    </row>
    <row r="17543" spans="9:10" x14ac:dyDescent="0.35">
      <c r="I17543" s="63"/>
      <c r="J17543" s="63"/>
    </row>
    <row r="17544" spans="9:10" x14ac:dyDescent="0.35">
      <c r="I17544" s="63"/>
      <c r="J17544" s="63"/>
    </row>
    <row r="17545" spans="9:10" x14ac:dyDescent="0.35">
      <c r="I17545" s="63"/>
      <c r="J17545" s="63"/>
    </row>
    <row r="17546" spans="9:10" x14ac:dyDescent="0.35">
      <c r="I17546" s="63"/>
      <c r="J17546" s="63"/>
    </row>
    <row r="17547" spans="9:10" x14ac:dyDescent="0.35">
      <c r="I17547" s="63"/>
      <c r="J17547" s="63"/>
    </row>
    <row r="17548" spans="9:10" x14ac:dyDescent="0.35">
      <c r="I17548" s="63"/>
      <c r="J17548" s="63"/>
    </row>
    <row r="17549" spans="9:10" x14ac:dyDescent="0.35">
      <c r="I17549" s="63"/>
      <c r="J17549" s="63"/>
    </row>
    <row r="17550" spans="9:10" x14ac:dyDescent="0.35">
      <c r="I17550" s="63"/>
      <c r="J17550" s="63"/>
    </row>
    <row r="17551" spans="9:10" x14ac:dyDescent="0.35">
      <c r="I17551" s="63"/>
      <c r="J17551" s="63"/>
    </row>
    <row r="17552" spans="9:10" x14ac:dyDescent="0.35">
      <c r="I17552" s="63"/>
      <c r="J17552" s="63"/>
    </row>
    <row r="17553" spans="9:10" x14ac:dyDescent="0.35">
      <c r="I17553" s="63"/>
      <c r="J17553" s="63"/>
    </row>
    <row r="17554" spans="9:10" x14ac:dyDescent="0.35">
      <c r="I17554" s="63"/>
      <c r="J17554" s="63"/>
    </row>
    <row r="17555" spans="9:10" x14ac:dyDescent="0.35">
      <c r="I17555" s="63"/>
      <c r="J17555" s="63"/>
    </row>
    <row r="17556" spans="9:10" x14ac:dyDescent="0.35">
      <c r="I17556" s="63"/>
      <c r="J17556" s="63"/>
    </row>
    <row r="17557" spans="9:10" x14ac:dyDescent="0.35">
      <c r="I17557" s="63"/>
      <c r="J17557" s="63"/>
    </row>
    <row r="17558" spans="9:10" x14ac:dyDescent="0.35">
      <c r="I17558" s="63"/>
      <c r="J17558" s="63"/>
    </row>
    <row r="17559" spans="9:10" x14ac:dyDescent="0.35">
      <c r="I17559" s="63"/>
      <c r="J17559" s="63"/>
    </row>
    <row r="17560" spans="9:10" x14ac:dyDescent="0.35">
      <c r="I17560" s="63"/>
      <c r="J17560" s="63"/>
    </row>
    <row r="17561" spans="9:10" x14ac:dyDescent="0.35">
      <c r="I17561" s="63"/>
      <c r="J17561" s="63"/>
    </row>
    <row r="17562" spans="9:10" x14ac:dyDescent="0.35">
      <c r="I17562" s="63"/>
      <c r="J17562" s="63"/>
    </row>
    <row r="17563" spans="9:10" x14ac:dyDescent="0.35">
      <c r="I17563" s="63"/>
      <c r="J17563" s="63"/>
    </row>
    <row r="17564" spans="9:10" x14ac:dyDescent="0.35">
      <c r="I17564" s="63"/>
      <c r="J17564" s="63"/>
    </row>
    <row r="17565" spans="9:10" x14ac:dyDescent="0.35">
      <c r="I17565" s="63"/>
      <c r="J17565" s="63"/>
    </row>
    <row r="17566" spans="9:10" x14ac:dyDescent="0.35">
      <c r="I17566" s="63"/>
      <c r="J17566" s="63"/>
    </row>
    <row r="17567" spans="9:10" x14ac:dyDescent="0.35">
      <c r="I17567" s="63"/>
      <c r="J17567" s="63"/>
    </row>
    <row r="17568" spans="9:10" x14ac:dyDescent="0.35">
      <c r="I17568" s="63"/>
      <c r="J17568" s="63"/>
    </row>
    <row r="17569" spans="9:10" x14ac:dyDescent="0.35">
      <c r="I17569" s="63"/>
      <c r="J17569" s="63"/>
    </row>
    <row r="17570" spans="9:10" x14ac:dyDescent="0.35">
      <c r="I17570" s="63"/>
      <c r="J17570" s="63"/>
    </row>
    <row r="17571" spans="9:10" x14ac:dyDescent="0.35">
      <c r="I17571" s="63"/>
      <c r="J17571" s="63"/>
    </row>
    <row r="17572" spans="9:10" x14ac:dyDescent="0.35">
      <c r="I17572" s="63"/>
      <c r="J17572" s="63"/>
    </row>
    <row r="17573" spans="9:10" x14ac:dyDescent="0.35">
      <c r="I17573" s="63"/>
      <c r="J17573" s="63"/>
    </row>
    <row r="17574" spans="9:10" x14ac:dyDescent="0.35">
      <c r="I17574" s="63"/>
      <c r="J17574" s="63"/>
    </row>
    <row r="17575" spans="9:10" x14ac:dyDescent="0.35">
      <c r="I17575" s="63"/>
      <c r="J17575" s="63"/>
    </row>
    <row r="17576" spans="9:10" x14ac:dyDescent="0.35">
      <c r="I17576" s="63"/>
      <c r="J17576" s="63"/>
    </row>
    <row r="17577" spans="9:10" x14ac:dyDescent="0.35">
      <c r="I17577" s="63"/>
      <c r="J17577" s="63"/>
    </row>
    <row r="17578" spans="9:10" x14ac:dyDescent="0.35">
      <c r="I17578" s="63"/>
      <c r="J17578" s="63"/>
    </row>
    <row r="17579" spans="9:10" x14ac:dyDescent="0.35">
      <c r="I17579" s="63"/>
      <c r="J17579" s="63"/>
    </row>
    <row r="17580" spans="9:10" x14ac:dyDescent="0.35">
      <c r="I17580" s="63"/>
      <c r="J17580" s="63"/>
    </row>
    <row r="17581" spans="9:10" x14ac:dyDescent="0.35">
      <c r="I17581" s="63"/>
      <c r="J17581" s="63"/>
    </row>
    <row r="17582" spans="9:10" x14ac:dyDescent="0.35">
      <c r="I17582" s="63"/>
      <c r="J17582" s="63"/>
    </row>
    <row r="17583" spans="9:10" x14ac:dyDescent="0.35">
      <c r="I17583" s="63"/>
      <c r="J17583" s="63"/>
    </row>
    <row r="17584" spans="9:10" x14ac:dyDescent="0.35">
      <c r="I17584" s="63"/>
      <c r="J17584" s="63"/>
    </row>
    <row r="17585" spans="9:10" x14ac:dyDescent="0.35">
      <c r="I17585" s="63"/>
      <c r="J17585" s="63"/>
    </row>
    <row r="17586" spans="9:10" x14ac:dyDescent="0.35">
      <c r="I17586" s="63"/>
      <c r="J17586" s="63"/>
    </row>
    <row r="17587" spans="9:10" x14ac:dyDescent="0.35">
      <c r="I17587" s="63"/>
      <c r="J17587" s="63"/>
    </row>
    <row r="17588" spans="9:10" x14ac:dyDescent="0.35">
      <c r="I17588" s="63"/>
      <c r="J17588" s="63"/>
    </row>
    <row r="17589" spans="9:10" x14ac:dyDescent="0.35">
      <c r="I17589" s="63"/>
      <c r="J17589" s="63"/>
    </row>
    <row r="17590" spans="9:10" x14ac:dyDescent="0.35">
      <c r="I17590" s="63"/>
      <c r="J17590" s="63"/>
    </row>
    <row r="17591" spans="9:10" x14ac:dyDescent="0.35">
      <c r="I17591" s="63"/>
      <c r="J17591" s="63"/>
    </row>
    <row r="17592" spans="9:10" x14ac:dyDescent="0.35">
      <c r="I17592" s="63"/>
      <c r="J17592" s="63"/>
    </row>
    <row r="17593" spans="9:10" x14ac:dyDescent="0.35">
      <c r="I17593" s="63"/>
      <c r="J17593" s="63"/>
    </row>
    <row r="17594" spans="9:10" x14ac:dyDescent="0.35">
      <c r="I17594" s="63"/>
      <c r="J17594" s="63"/>
    </row>
    <row r="17595" spans="9:10" x14ac:dyDescent="0.35">
      <c r="I17595" s="63"/>
      <c r="J17595" s="63"/>
    </row>
    <row r="17596" spans="9:10" x14ac:dyDescent="0.35">
      <c r="I17596" s="63"/>
      <c r="J17596" s="63"/>
    </row>
    <row r="17597" spans="9:10" x14ac:dyDescent="0.35">
      <c r="I17597" s="63"/>
      <c r="J17597" s="63"/>
    </row>
    <row r="17598" spans="9:10" x14ac:dyDescent="0.35">
      <c r="I17598" s="63"/>
      <c r="J17598" s="63"/>
    </row>
    <row r="17599" spans="9:10" x14ac:dyDescent="0.35">
      <c r="I17599" s="63"/>
      <c r="J17599" s="63"/>
    </row>
    <row r="17600" spans="9:10" x14ac:dyDescent="0.35">
      <c r="I17600" s="63"/>
      <c r="J17600" s="63"/>
    </row>
    <row r="17601" spans="9:10" x14ac:dyDescent="0.35">
      <c r="I17601" s="63"/>
      <c r="J17601" s="63"/>
    </row>
    <row r="17602" spans="9:10" x14ac:dyDescent="0.35">
      <c r="I17602" s="63"/>
      <c r="J17602" s="63"/>
    </row>
    <row r="17603" spans="9:10" x14ac:dyDescent="0.35">
      <c r="I17603" s="63"/>
      <c r="J17603" s="63"/>
    </row>
    <row r="17604" spans="9:10" x14ac:dyDescent="0.35">
      <c r="I17604" s="63"/>
      <c r="J17604" s="63"/>
    </row>
    <row r="17605" spans="9:10" x14ac:dyDescent="0.35">
      <c r="I17605" s="63"/>
      <c r="J17605" s="63"/>
    </row>
    <row r="17606" spans="9:10" x14ac:dyDescent="0.35">
      <c r="I17606" s="63"/>
      <c r="J17606" s="63"/>
    </row>
    <row r="17607" spans="9:10" x14ac:dyDescent="0.35">
      <c r="I17607" s="63"/>
      <c r="J17607" s="63"/>
    </row>
    <row r="17608" spans="9:10" x14ac:dyDescent="0.35">
      <c r="I17608" s="63"/>
      <c r="J17608" s="63"/>
    </row>
    <row r="17609" spans="9:10" x14ac:dyDescent="0.35">
      <c r="I17609" s="63"/>
      <c r="J17609" s="63"/>
    </row>
    <row r="17610" spans="9:10" x14ac:dyDescent="0.35">
      <c r="I17610" s="63"/>
      <c r="J17610" s="63"/>
    </row>
    <row r="17611" spans="9:10" x14ac:dyDescent="0.35">
      <c r="I17611" s="63"/>
      <c r="J17611" s="63"/>
    </row>
    <row r="17612" spans="9:10" x14ac:dyDescent="0.35">
      <c r="I17612" s="63"/>
      <c r="J17612" s="63"/>
    </row>
    <row r="17613" spans="9:10" x14ac:dyDescent="0.35">
      <c r="I17613" s="63"/>
      <c r="J17613" s="63"/>
    </row>
    <row r="17614" spans="9:10" x14ac:dyDescent="0.35">
      <c r="I17614" s="63"/>
      <c r="J17614" s="63"/>
    </row>
    <row r="17615" spans="9:10" x14ac:dyDescent="0.35">
      <c r="I17615" s="63"/>
      <c r="J17615" s="63"/>
    </row>
    <row r="17616" spans="9:10" x14ac:dyDescent="0.35">
      <c r="I17616" s="63"/>
      <c r="J17616" s="63"/>
    </row>
    <row r="17617" spans="9:10" x14ac:dyDescent="0.35">
      <c r="I17617" s="63"/>
      <c r="J17617" s="63"/>
    </row>
    <row r="17618" spans="9:10" x14ac:dyDescent="0.35">
      <c r="I17618" s="63"/>
      <c r="J17618" s="63"/>
    </row>
    <row r="17619" spans="9:10" x14ac:dyDescent="0.35">
      <c r="I17619" s="63"/>
      <c r="J17619" s="63"/>
    </row>
    <row r="17620" spans="9:10" x14ac:dyDescent="0.35">
      <c r="I17620" s="63"/>
      <c r="J17620" s="63"/>
    </row>
    <row r="17621" spans="9:10" x14ac:dyDescent="0.35">
      <c r="I17621" s="63"/>
      <c r="J17621" s="63"/>
    </row>
    <row r="17622" spans="9:10" x14ac:dyDescent="0.35">
      <c r="I17622" s="63"/>
      <c r="J17622" s="63"/>
    </row>
    <row r="17623" spans="9:10" x14ac:dyDescent="0.35">
      <c r="I17623" s="63"/>
      <c r="J17623" s="63"/>
    </row>
    <row r="17624" spans="9:10" x14ac:dyDescent="0.35">
      <c r="I17624" s="63"/>
      <c r="J17624" s="63"/>
    </row>
    <row r="17625" spans="9:10" x14ac:dyDescent="0.35">
      <c r="I17625" s="63"/>
      <c r="J17625" s="63"/>
    </row>
    <row r="17626" spans="9:10" x14ac:dyDescent="0.35">
      <c r="I17626" s="63"/>
      <c r="J17626" s="63"/>
    </row>
    <row r="17627" spans="9:10" x14ac:dyDescent="0.35">
      <c r="I17627" s="63"/>
      <c r="J17627" s="63"/>
    </row>
    <row r="17628" spans="9:10" x14ac:dyDescent="0.35">
      <c r="I17628" s="63"/>
      <c r="J17628" s="63"/>
    </row>
    <row r="17629" spans="9:10" x14ac:dyDescent="0.35">
      <c r="I17629" s="63"/>
      <c r="J17629" s="63"/>
    </row>
    <row r="17630" spans="9:10" x14ac:dyDescent="0.35">
      <c r="I17630" s="63"/>
      <c r="J17630" s="63"/>
    </row>
    <row r="17631" spans="9:10" x14ac:dyDescent="0.35">
      <c r="I17631" s="63"/>
      <c r="J17631" s="63"/>
    </row>
    <row r="17632" spans="9:10" x14ac:dyDescent="0.35">
      <c r="I17632" s="63"/>
      <c r="J17632" s="63"/>
    </row>
    <row r="17633" spans="9:10" x14ac:dyDescent="0.35">
      <c r="I17633" s="63"/>
      <c r="J17633" s="63"/>
    </row>
    <row r="17634" spans="9:10" x14ac:dyDescent="0.35">
      <c r="I17634" s="63"/>
      <c r="J17634" s="63"/>
    </row>
    <row r="17635" spans="9:10" x14ac:dyDescent="0.35">
      <c r="I17635" s="63"/>
      <c r="J17635" s="63"/>
    </row>
    <row r="17636" spans="9:10" x14ac:dyDescent="0.35">
      <c r="I17636" s="63"/>
      <c r="J17636" s="63"/>
    </row>
    <row r="17637" spans="9:10" x14ac:dyDescent="0.35">
      <c r="I17637" s="63"/>
      <c r="J17637" s="63"/>
    </row>
    <row r="17638" spans="9:10" x14ac:dyDescent="0.35">
      <c r="I17638" s="63"/>
      <c r="J17638" s="63"/>
    </row>
    <row r="17639" spans="9:10" x14ac:dyDescent="0.35">
      <c r="I17639" s="63"/>
      <c r="J17639" s="63"/>
    </row>
    <row r="17640" spans="9:10" x14ac:dyDescent="0.35">
      <c r="I17640" s="63"/>
      <c r="J17640" s="63"/>
    </row>
    <row r="17641" spans="9:10" x14ac:dyDescent="0.35">
      <c r="I17641" s="63"/>
      <c r="J17641" s="63"/>
    </row>
    <row r="17642" spans="9:10" x14ac:dyDescent="0.35">
      <c r="I17642" s="63"/>
      <c r="J17642" s="63"/>
    </row>
    <row r="17643" spans="9:10" x14ac:dyDescent="0.35">
      <c r="I17643" s="63"/>
      <c r="J17643" s="63"/>
    </row>
    <row r="17644" spans="9:10" x14ac:dyDescent="0.35">
      <c r="I17644" s="63"/>
      <c r="J17644" s="63"/>
    </row>
    <row r="17645" spans="9:10" x14ac:dyDescent="0.35">
      <c r="I17645" s="63"/>
      <c r="J17645" s="63"/>
    </row>
    <row r="17646" spans="9:10" x14ac:dyDescent="0.35">
      <c r="I17646" s="63"/>
      <c r="J17646" s="63"/>
    </row>
    <row r="17647" spans="9:10" x14ac:dyDescent="0.35">
      <c r="I17647" s="63"/>
      <c r="J17647" s="63"/>
    </row>
    <row r="17648" spans="9:10" x14ac:dyDescent="0.35">
      <c r="I17648" s="63"/>
      <c r="J17648" s="63"/>
    </row>
    <row r="17649" spans="9:10" x14ac:dyDescent="0.35">
      <c r="I17649" s="63"/>
      <c r="J17649" s="63"/>
    </row>
    <row r="17650" spans="9:10" x14ac:dyDescent="0.35">
      <c r="I17650" s="63"/>
      <c r="J17650" s="63"/>
    </row>
    <row r="17651" spans="9:10" x14ac:dyDescent="0.35">
      <c r="I17651" s="63"/>
      <c r="J17651" s="63"/>
    </row>
    <row r="17652" spans="9:10" x14ac:dyDescent="0.35">
      <c r="I17652" s="63"/>
      <c r="J17652" s="63"/>
    </row>
    <row r="17653" spans="9:10" x14ac:dyDescent="0.35">
      <c r="I17653" s="63"/>
      <c r="J17653" s="63"/>
    </row>
    <row r="17654" spans="9:10" x14ac:dyDescent="0.35">
      <c r="I17654" s="63"/>
      <c r="J17654" s="63"/>
    </row>
    <row r="17655" spans="9:10" x14ac:dyDescent="0.35">
      <c r="I17655" s="63"/>
      <c r="J17655" s="63"/>
    </row>
    <row r="17656" spans="9:10" x14ac:dyDescent="0.35">
      <c r="I17656" s="63"/>
      <c r="J17656" s="63"/>
    </row>
    <row r="17657" spans="9:10" x14ac:dyDescent="0.35">
      <c r="I17657" s="63"/>
      <c r="J17657" s="63"/>
    </row>
    <row r="17658" spans="9:10" x14ac:dyDescent="0.35">
      <c r="I17658" s="63"/>
      <c r="J17658" s="63"/>
    </row>
    <row r="17659" spans="9:10" x14ac:dyDescent="0.35">
      <c r="I17659" s="63"/>
      <c r="J17659" s="63"/>
    </row>
    <row r="17660" spans="9:10" x14ac:dyDescent="0.35">
      <c r="I17660" s="63"/>
      <c r="J17660" s="63"/>
    </row>
    <row r="17661" spans="9:10" x14ac:dyDescent="0.35">
      <c r="I17661" s="63"/>
      <c r="J17661" s="63"/>
    </row>
    <row r="17662" spans="9:10" x14ac:dyDescent="0.35">
      <c r="I17662" s="63"/>
      <c r="J17662" s="63"/>
    </row>
    <row r="17663" spans="9:10" x14ac:dyDescent="0.35">
      <c r="I17663" s="63"/>
      <c r="J17663" s="63"/>
    </row>
    <row r="17664" spans="9:10" x14ac:dyDescent="0.35">
      <c r="I17664" s="63"/>
      <c r="J17664" s="63"/>
    </row>
    <row r="17665" spans="9:10" x14ac:dyDescent="0.35">
      <c r="I17665" s="63"/>
      <c r="J17665" s="63"/>
    </row>
    <row r="17666" spans="9:10" x14ac:dyDescent="0.35">
      <c r="I17666" s="63"/>
      <c r="J17666" s="63"/>
    </row>
    <row r="17667" spans="9:10" x14ac:dyDescent="0.35">
      <c r="I17667" s="63"/>
      <c r="J17667" s="63"/>
    </row>
    <row r="17668" spans="9:10" x14ac:dyDescent="0.35">
      <c r="I17668" s="63"/>
      <c r="J17668" s="63"/>
    </row>
    <row r="17669" spans="9:10" x14ac:dyDescent="0.35">
      <c r="I17669" s="63"/>
      <c r="J17669" s="63"/>
    </row>
    <row r="17670" spans="9:10" x14ac:dyDescent="0.35">
      <c r="I17670" s="63"/>
      <c r="J17670" s="63"/>
    </row>
    <row r="17671" spans="9:10" x14ac:dyDescent="0.35">
      <c r="I17671" s="63"/>
      <c r="J17671" s="63"/>
    </row>
    <row r="17672" spans="9:10" x14ac:dyDescent="0.35">
      <c r="I17672" s="63"/>
      <c r="J17672" s="63"/>
    </row>
    <row r="17673" spans="9:10" x14ac:dyDescent="0.35">
      <c r="I17673" s="63"/>
      <c r="J17673" s="63"/>
    </row>
    <row r="17674" spans="9:10" x14ac:dyDescent="0.35">
      <c r="I17674" s="63"/>
      <c r="J17674" s="63"/>
    </row>
    <row r="17675" spans="9:10" x14ac:dyDescent="0.35">
      <c r="I17675" s="63"/>
      <c r="J17675" s="63"/>
    </row>
    <row r="17676" spans="9:10" x14ac:dyDescent="0.35">
      <c r="I17676" s="63"/>
      <c r="J17676" s="63"/>
    </row>
    <row r="17677" spans="9:10" x14ac:dyDescent="0.35">
      <c r="I17677" s="63"/>
      <c r="J17677" s="63"/>
    </row>
    <row r="17678" spans="9:10" x14ac:dyDescent="0.35">
      <c r="I17678" s="63"/>
      <c r="J17678" s="63"/>
    </row>
    <row r="17679" spans="9:10" x14ac:dyDescent="0.35">
      <c r="I17679" s="63"/>
      <c r="J17679" s="63"/>
    </row>
    <row r="17680" spans="9:10" x14ac:dyDescent="0.35">
      <c r="I17680" s="63"/>
      <c r="J17680" s="63"/>
    </row>
    <row r="17681" spans="9:10" x14ac:dyDescent="0.35">
      <c r="I17681" s="63"/>
      <c r="J17681" s="63"/>
    </row>
    <row r="17682" spans="9:10" x14ac:dyDescent="0.35">
      <c r="I17682" s="63"/>
      <c r="J17682" s="63"/>
    </row>
    <row r="17683" spans="9:10" x14ac:dyDescent="0.35">
      <c r="I17683" s="63"/>
      <c r="J17683" s="63"/>
    </row>
    <row r="17684" spans="9:10" x14ac:dyDescent="0.35">
      <c r="I17684" s="63"/>
      <c r="J17684" s="63"/>
    </row>
    <row r="17685" spans="9:10" x14ac:dyDescent="0.35">
      <c r="I17685" s="63"/>
      <c r="J17685" s="63"/>
    </row>
    <row r="17686" spans="9:10" x14ac:dyDescent="0.35">
      <c r="I17686" s="63"/>
      <c r="J17686" s="63"/>
    </row>
    <row r="17687" spans="9:10" x14ac:dyDescent="0.35">
      <c r="I17687" s="63"/>
      <c r="J17687" s="63"/>
    </row>
    <row r="17688" spans="9:10" x14ac:dyDescent="0.35">
      <c r="I17688" s="63"/>
      <c r="J17688" s="63"/>
    </row>
    <row r="17689" spans="9:10" x14ac:dyDescent="0.35">
      <c r="I17689" s="63"/>
      <c r="J17689" s="63"/>
    </row>
    <row r="17690" spans="9:10" x14ac:dyDescent="0.35">
      <c r="I17690" s="63"/>
      <c r="J17690" s="63"/>
    </row>
    <row r="17691" spans="9:10" x14ac:dyDescent="0.35">
      <c r="I17691" s="63"/>
      <c r="J17691" s="63"/>
    </row>
    <row r="17692" spans="9:10" x14ac:dyDescent="0.35">
      <c r="I17692" s="63"/>
      <c r="J17692" s="63"/>
    </row>
    <row r="17693" spans="9:10" x14ac:dyDescent="0.35">
      <c r="I17693" s="63"/>
      <c r="J17693" s="63"/>
    </row>
    <row r="17694" spans="9:10" x14ac:dyDescent="0.35">
      <c r="I17694" s="63"/>
      <c r="J17694" s="63"/>
    </row>
    <row r="17695" spans="9:10" x14ac:dyDescent="0.35">
      <c r="I17695" s="63"/>
      <c r="J17695" s="63"/>
    </row>
    <row r="17696" spans="9:10" x14ac:dyDescent="0.35">
      <c r="I17696" s="63"/>
      <c r="J17696" s="63"/>
    </row>
    <row r="17697" spans="9:10" x14ac:dyDescent="0.35">
      <c r="I17697" s="63"/>
      <c r="J17697" s="63"/>
    </row>
    <row r="17698" spans="9:10" x14ac:dyDescent="0.35">
      <c r="I17698" s="63"/>
      <c r="J17698" s="63"/>
    </row>
    <row r="17699" spans="9:10" x14ac:dyDescent="0.35">
      <c r="I17699" s="63"/>
      <c r="J17699" s="63"/>
    </row>
    <row r="17700" spans="9:10" x14ac:dyDescent="0.35">
      <c r="I17700" s="63"/>
      <c r="J17700" s="63"/>
    </row>
    <row r="17701" spans="9:10" x14ac:dyDescent="0.35">
      <c r="I17701" s="63"/>
      <c r="J17701" s="63"/>
    </row>
    <row r="17702" spans="9:10" x14ac:dyDescent="0.35">
      <c r="I17702" s="63"/>
      <c r="J17702" s="63"/>
    </row>
    <row r="17703" spans="9:10" x14ac:dyDescent="0.35">
      <c r="I17703" s="63"/>
      <c r="J17703" s="63"/>
    </row>
    <row r="17704" spans="9:10" x14ac:dyDescent="0.35">
      <c r="I17704" s="63"/>
      <c r="J17704" s="63"/>
    </row>
    <row r="17705" spans="9:10" x14ac:dyDescent="0.35">
      <c r="I17705" s="63"/>
      <c r="J17705" s="63"/>
    </row>
    <row r="17706" spans="9:10" x14ac:dyDescent="0.35">
      <c r="I17706" s="63"/>
      <c r="J17706" s="63"/>
    </row>
    <row r="17707" spans="9:10" x14ac:dyDescent="0.35">
      <c r="I17707" s="63"/>
      <c r="J17707" s="63"/>
    </row>
    <row r="17708" spans="9:10" x14ac:dyDescent="0.35">
      <c r="I17708" s="63"/>
      <c r="J17708" s="63"/>
    </row>
    <row r="17709" spans="9:10" x14ac:dyDescent="0.35">
      <c r="I17709" s="63"/>
      <c r="J17709" s="63"/>
    </row>
    <row r="17710" spans="9:10" x14ac:dyDescent="0.35">
      <c r="I17710" s="63"/>
      <c r="J17710" s="63"/>
    </row>
    <row r="17711" spans="9:10" x14ac:dyDescent="0.35">
      <c r="I17711" s="63"/>
      <c r="J17711" s="63"/>
    </row>
    <row r="17712" spans="9:10" x14ac:dyDescent="0.35">
      <c r="I17712" s="63"/>
      <c r="J17712" s="63"/>
    </row>
    <row r="17713" spans="9:10" x14ac:dyDescent="0.35">
      <c r="I17713" s="63"/>
      <c r="J17713" s="63"/>
    </row>
    <row r="17714" spans="9:10" x14ac:dyDescent="0.35">
      <c r="I17714" s="63"/>
      <c r="J17714" s="63"/>
    </row>
    <row r="17715" spans="9:10" x14ac:dyDescent="0.35">
      <c r="I17715" s="63"/>
      <c r="J17715" s="63"/>
    </row>
    <row r="17716" spans="9:10" x14ac:dyDescent="0.35">
      <c r="I17716" s="63"/>
      <c r="J17716" s="63"/>
    </row>
    <row r="17717" spans="9:10" x14ac:dyDescent="0.35">
      <c r="I17717" s="63"/>
      <c r="J17717" s="63"/>
    </row>
    <row r="17718" spans="9:10" x14ac:dyDescent="0.35">
      <c r="I17718" s="63"/>
      <c r="J17718" s="63"/>
    </row>
    <row r="17719" spans="9:10" x14ac:dyDescent="0.35">
      <c r="I17719" s="63"/>
      <c r="J17719" s="63"/>
    </row>
    <row r="17720" spans="9:10" x14ac:dyDescent="0.35">
      <c r="I17720" s="63"/>
      <c r="J17720" s="63"/>
    </row>
    <row r="17721" spans="9:10" x14ac:dyDescent="0.35">
      <c r="I17721" s="63"/>
      <c r="J17721" s="63"/>
    </row>
    <row r="17722" spans="9:10" x14ac:dyDescent="0.35">
      <c r="I17722" s="63"/>
      <c r="J17722" s="63"/>
    </row>
    <row r="17723" spans="9:10" x14ac:dyDescent="0.35">
      <c r="I17723" s="63"/>
      <c r="J17723" s="63"/>
    </row>
    <row r="17724" spans="9:10" x14ac:dyDescent="0.35">
      <c r="I17724" s="63"/>
      <c r="J17724" s="63"/>
    </row>
    <row r="17725" spans="9:10" x14ac:dyDescent="0.35">
      <c r="I17725" s="63"/>
      <c r="J17725" s="63"/>
    </row>
    <row r="17726" spans="9:10" x14ac:dyDescent="0.35">
      <c r="I17726" s="63"/>
      <c r="J17726" s="63"/>
    </row>
    <row r="17727" spans="9:10" x14ac:dyDescent="0.35">
      <c r="I17727" s="63"/>
      <c r="J17727" s="63"/>
    </row>
    <row r="17728" spans="9:10" x14ac:dyDescent="0.35">
      <c r="I17728" s="63"/>
      <c r="J17728" s="63"/>
    </row>
    <row r="17729" spans="9:10" x14ac:dyDescent="0.35">
      <c r="I17729" s="63"/>
      <c r="J17729" s="63"/>
    </row>
    <row r="17730" spans="9:10" x14ac:dyDescent="0.35">
      <c r="I17730" s="63"/>
      <c r="J17730" s="63"/>
    </row>
    <row r="17731" spans="9:10" x14ac:dyDescent="0.35">
      <c r="I17731" s="63"/>
      <c r="J17731" s="63"/>
    </row>
    <row r="17732" spans="9:10" x14ac:dyDescent="0.35">
      <c r="I17732" s="63"/>
      <c r="J17732" s="63"/>
    </row>
    <row r="17733" spans="9:10" x14ac:dyDescent="0.35">
      <c r="I17733" s="63"/>
      <c r="J17733" s="63"/>
    </row>
    <row r="17734" spans="9:10" x14ac:dyDescent="0.35">
      <c r="I17734" s="63"/>
      <c r="J17734" s="63"/>
    </row>
    <row r="17735" spans="9:10" x14ac:dyDescent="0.35">
      <c r="I17735" s="63"/>
      <c r="J17735" s="63"/>
    </row>
    <row r="17736" spans="9:10" x14ac:dyDescent="0.35">
      <c r="I17736" s="63"/>
      <c r="J17736" s="63"/>
    </row>
    <row r="17737" spans="9:10" x14ac:dyDescent="0.35">
      <c r="I17737" s="63"/>
      <c r="J17737" s="63"/>
    </row>
    <row r="17738" spans="9:10" x14ac:dyDescent="0.35">
      <c r="I17738" s="63"/>
      <c r="J17738" s="63"/>
    </row>
    <row r="17739" spans="9:10" x14ac:dyDescent="0.35">
      <c r="I17739" s="63"/>
      <c r="J17739" s="63"/>
    </row>
    <row r="17740" spans="9:10" x14ac:dyDescent="0.35">
      <c r="I17740" s="63"/>
      <c r="J17740" s="63"/>
    </row>
    <row r="17741" spans="9:10" x14ac:dyDescent="0.35">
      <c r="I17741" s="63"/>
      <c r="J17741" s="63"/>
    </row>
    <row r="17742" spans="9:10" x14ac:dyDescent="0.35">
      <c r="I17742" s="63"/>
      <c r="J17742" s="63"/>
    </row>
    <row r="17743" spans="9:10" x14ac:dyDescent="0.35">
      <c r="I17743" s="63"/>
      <c r="J17743" s="63"/>
    </row>
    <row r="17744" spans="9:10" x14ac:dyDescent="0.35">
      <c r="I17744" s="63"/>
      <c r="J17744" s="63"/>
    </row>
    <row r="17745" spans="9:10" x14ac:dyDescent="0.35">
      <c r="I17745" s="63"/>
      <c r="J17745" s="63"/>
    </row>
    <row r="17746" spans="9:10" x14ac:dyDescent="0.35">
      <c r="I17746" s="63"/>
      <c r="J17746" s="63"/>
    </row>
    <row r="17747" spans="9:10" x14ac:dyDescent="0.35">
      <c r="I17747" s="63"/>
      <c r="J17747" s="63"/>
    </row>
    <row r="17748" spans="9:10" x14ac:dyDescent="0.35">
      <c r="I17748" s="63"/>
      <c r="J17748" s="63"/>
    </row>
    <row r="17749" spans="9:10" x14ac:dyDescent="0.35">
      <c r="I17749" s="63"/>
      <c r="J17749" s="63"/>
    </row>
    <row r="17750" spans="9:10" x14ac:dyDescent="0.35">
      <c r="I17750" s="63"/>
      <c r="J17750" s="63"/>
    </row>
    <row r="17751" spans="9:10" x14ac:dyDescent="0.35">
      <c r="I17751" s="63"/>
      <c r="J17751" s="63"/>
    </row>
    <row r="17752" spans="9:10" x14ac:dyDescent="0.35">
      <c r="I17752" s="63"/>
      <c r="J17752" s="63"/>
    </row>
    <row r="17753" spans="9:10" x14ac:dyDescent="0.35">
      <c r="I17753" s="63"/>
      <c r="J17753" s="63"/>
    </row>
    <row r="17754" spans="9:10" x14ac:dyDescent="0.35">
      <c r="I17754" s="63"/>
      <c r="J17754" s="63"/>
    </row>
    <row r="17755" spans="9:10" x14ac:dyDescent="0.35">
      <c r="I17755" s="63"/>
      <c r="J17755" s="63"/>
    </row>
    <row r="17756" spans="9:10" x14ac:dyDescent="0.35">
      <c r="I17756" s="63"/>
      <c r="J17756" s="63"/>
    </row>
    <row r="17757" spans="9:10" x14ac:dyDescent="0.35">
      <c r="I17757" s="63"/>
      <c r="J17757" s="63"/>
    </row>
    <row r="17758" spans="9:10" x14ac:dyDescent="0.35">
      <c r="I17758" s="63"/>
      <c r="J17758" s="63"/>
    </row>
    <row r="17759" spans="9:10" x14ac:dyDescent="0.35">
      <c r="I17759" s="63"/>
      <c r="J17759" s="63"/>
    </row>
    <row r="17760" spans="9:10" x14ac:dyDescent="0.35">
      <c r="I17760" s="63"/>
      <c r="J17760" s="63"/>
    </row>
    <row r="17761" spans="9:10" x14ac:dyDescent="0.35">
      <c r="I17761" s="63"/>
      <c r="J17761" s="63"/>
    </row>
    <row r="17762" spans="9:10" x14ac:dyDescent="0.35">
      <c r="I17762" s="63"/>
      <c r="J17762" s="63"/>
    </row>
    <row r="17763" spans="9:10" x14ac:dyDescent="0.35">
      <c r="I17763" s="63"/>
      <c r="J17763" s="63"/>
    </row>
    <row r="17764" spans="9:10" x14ac:dyDescent="0.35">
      <c r="I17764" s="63"/>
      <c r="J17764" s="63"/>
    </row>
    <row r="17765" spans="9:10" x14ac:dyDescent="0.35">
      <c r="I17765" s="63"/>
      <c r="J17765" s="63"/>
    </row>
    <row r="17766" spans="9:10" x14ac:dyDescent="0.35">
      <c r="I17766" s="63"/>
      <c r="J17766" s="63"/>
    </row>
    <row r="17767" spans="9:10" x14ac:dyDescent="0.35">
      <c r="I17767" s="63"/>
      <c r="J17767" s="63"/>
    </row>
    <row r="17768" spans="9:10" x14ac:dyDescent="0.35">
      <c r="I17768" s="63"/>
      <c r="J17768" s="63"/>
    </row>
    <row r="17769" spans="9:10" x14ac:dyDescent="0.35">
      <c r="I17769" s="63"/>
      <c r="J17769" s="63"/>
    </row>
    <row r="17770" spans="9:10" x14ac:dyDescent="0.35">
      <c r="I17770" s="63"/>
      <c r="J17770" s="63"/>
    </row>
    <row r="17771" spans="9:10" x14ac:dyDescent="0.35">
      <c r="I17771" s="63"/>
      <c r="J17771" s="63"/>
    </row>
    <row r="17772" spans="9:10" x14ac:dyDescent="0.35">
      <c r="I17772" s="63"/>
      <c r="J17772" s="63"/>
    </row>
    <row r="17773" spans="9:10" x14ac:dyDescent="0.35">
      <c r="I17773" s="63"/>
      <c r="J17773" s="63"/>
    </row>
    <row r="17774" spans="9:10" x14ac:dyDescent="0.35">
      <c r="I17774" s="63"/>
      <c r="J17774" s="63"/>
    </row>
    <row r="17775" spans="9:10" x14ac:dyDescent="0.35">
      <c r="I17775" s="63"/>
      <c r="J17775" s="63"/>
    </row>
    <row r="17776" spans="9:10" x14ac:dyDescent="0.35">
      <c r="I17776" s="63"/>
      <c r="J17776" s="63"/>
    </row>
    <row r="17777" spans="9:10" x14ac:dyDescent="0.35">
      <c r="I17777" s="63"/>
      <c r="J17777" s="63"/>
    </row>
    <row r="17778" spans="9:10" x14ac:dyDescent="0.35">
      <c r="I17778" s="63"/>
      <c r="J17778" s="63"/>
    </row>
    <row r="17779" spans="9:10" x14ac:dyDescent="0.35">
      <c r="I17779" s="63"/>
      <c r="J17779" s="63"/>
    </row>
    <row r="17780" spans="9:10" x14ac:dyDescent="0.35">
      <c r="I17780" s="63"/>
      <c r="J17780" s="63"/>
    </row>
    <row r="17781" spans="9:10" x14ac:dyDescent="0.35">
      <c r="I17781" s="63"/>
      <c r="J17781" s="63"/>
    </row>
    <row r="17782" spans="9:10" x14ac:dyDescent="0.35">
      <c r="I17782" s="63"/>
      <c r="J17782" s="63"/>
    </row>
    <row r="17783" spans="9:10" x14ac:dyDescent="0.35">
      <c r="I17783" s="63"/>
      <c r="J17783" s="63"/>
    </row>
    <row r="17784" spans="9:10" x14ac:dyDescent="0.35">
      <c r="I17784" s="63"/>
      <c r="J17784" s="63"/>
    </row>
    <row r="17785" spans="9:10" x14ac:dyDescent="0.35">
      <c r="I17785" s="63"/>
      <c r="J17785" s="63"/>
    </row>
    <row r="17786" spans="9:10" x14ac:dyDescent="0.35">
      <c r="I17786" s="63"/>
      <c r="J17786" s="63"/>
    </row>
    <row r="17787" spans="9:10" x14ac:dyDescent="0.35">
      <c r="I17787" s="63"/>
      <c r="J17787" s="63"/>
    </row>
    <row r="17788" spans="9:10" x14ac:dyDescent="0.35">
      <c r="I17788" s="63"/>
      <c r="J17788" s="63"/>
    </row>
    <row r="17789" spans="9:10" x14ac:dyDescent="0.35">
      <c r="I17789" s="63"/>
      <c r="J17789" s="63"/>
    </row>
    <row r="17790" spans="9:10" x14ac:dyDescent="0.35">
      <c r="I17790" s="63"/>
      <c r="J17790" s="63"/>
    </row>
    <row r="17791" spans="9:10" x14ac:dyDescent="0.35">
      <c r="I17791" s="63"/>
      <c r="J17791" s="63"/>
    </row>
    <row r="17792" spans="9:10" x14ac:dyDescent="0.35">
      <c r="I17792" s="63"/>
      <c r="J17792" s="63"/>
    </row>
    <row r="17793" spans="9:10" x14ac:dyDescent="0.35">
      <c r="I17793" s="63"/>
      <c r="J17793" s="63"/>
    </row>
    <row r="17794" spans="9:10" x14ac:dyDescent="0.35">
      <c r="I17794" s="63"/>
      <c r="J17794" s="63"/>
    </row>
    <row r="17795" spans="9:10" x14ac:dyDescent="0.35">
      <c r="I17795" s="63"/>
      <c r="J17795" s="63"/>
    </row>
    <row r="17796" spans="9:10" x14ac:dyDescent="0.35">
      <c r="I17796" s="63"/>
      <c r="J17796" s="63"/>
    </row>
    <row r="17797" spans="9:10" x14ac:dyDescent="0.35">
      <c r="I17797" s="63"/>
      <c r="J17797" s="63"/>
    </row>
    <row r="17798" spans="9:10" x14ac:dyDescent="0.35">
      <c r="I17798" s="63"/>
      <c r="J17798" s="63"/>
    </row>
    <row r="17799" spans="9:10" x14ac:dyDescent="0.35">
      <c r="I17799" s="63"/>
      <c r="J17799" s="63"/>
    </row>
    <row r="17800" spans="9:10" x14ac:dyDescent="0.35">
      <c r="I17800" s="63"/>
      <c r="J17800" s="63"/>
    </row>
    <row r="17801" spans="9:10" x14ac:dyDescent="0.35">
      <c r="I17801" s="63"/>
      <c r="J17801" s="63"/>
    </row>
    <row r="17802" spans="9:10" x14ac:dyDescent="0.35">
      <c r="I17802" s="63"/>
      <c r="J17802" s="63"/>
    </row>
    <row r="17803" spans="9:10" x14ac:dyDescent="0.35">
      <c r="I17803" s="63"/>
      <c r="J17803" s="63"/>
    </row>
    <row r="17804" spans="9:10" x14ac:dyDescent="0.35">
      <c r="I17804" s="63"/>
      <c r="J17804" s="63"/>
    </row>
    <row r="17805" spans="9:10" x14ac:dyDescent="0.35">
      <c r="I17805" s="63"/>
      <c r="J17805" s="63"/>
    </row>
    <row r="17806" spans="9:10" x14ac:dyDescent="0.35">
      <c r="I17806" s="63"/>
      <c r="J17806" s="63"/>
    </row>
    <row r="17807" spans="9:10" x14ac:dyDescent="0.35">
      <c r="I17807" s="63"/>
      <c r="J17807" s="63"/>
    </row>
    <row r="17808" spans="9:10" x14ac:dyDescent="0.35">
      <c r="I17808" s="63"/>
      <c r="J17808" s="63"/>
    </row>
    <row r="17809" spans="9:10" x14ac:dyDescent="0.35">
      <c r="I17809" s="63"/>
      <c r="J17809" s="63"/>
    </row>
    <row r="17810" spans="9:10" x14ac:dyDescent="0.35">
      <c r="I17810" s="63"/>
      <c r="J17810" s="63"/>
    </row>
    <row r="17811" spans="9:10" x14ac:dyDescent="0.35">
      <c r="I17811" s="63"/>
      <c r="J17811" s="63"/>
    </row>
    <row r="17812" spans="9:10" x14ac:dyDescent="0.35">
      <c r="I17812" s="63"/>
      <c r="J17812" s="63"/>
    </row>
    <row r="17813" spans="9:10" x14ac:dyDescent="0.35">
      <c r="I17813" s="63"/>
      <c r="J17813" s="63"/>
    </row>
    <row r="17814" spans="9:10" x14ac:dyDescent="0.35">
      <c r="I17814" s="63"/>
      <c r="J17814" s="63"/>
    </row>
    <row r="17815" spans="9:10" x14ac:dyDescent="0.35">
      <c r="I17815" s="63"/>
      <c r="J17815" s="63"/>
    </row>
    <row r="17816" spans="9:10" x14ac:dyDescent="0.35">
      <c r="I17816" s="63"/>
      <c r="J17816" s="63"/>
    </row>
    <row r="17817" spans="9:10" x14ac:dyDescent="0.35">
      <c r="I17817" s="63"/>
      <c r="J17817" s="63"/>
    </row>
    <row r="17818" spans="9:10" x14ac:dyDescent="0.35">
      <c r="I17818" s="63"/>
      <c r="J17818" s="63"/>
    </row>
    <row r="17819" spans="9:10" x14ac:dyDescent="0.35">
      <c r="I17819" s="63"/>
      <c r="J17819" s="63"/>
    </row>
    <row r="17820" spans="9:10" x14ac:dyDescent="0.35">
      <c r="I17820" s="63"/>
      <c r="J17820" s="63"/>
    </row>
    <row r="17821" spans="9:10" x14ac:dyDescent="0.35">
      <c r="I17821" s="63"/>
      <c r="J17821" s="63"/>
    </row>
    <row r="17822" spans="9:10" x14ac:dyDescent="0.35">
      <c r="I17822" s="63"/>
      <c r="J17822" s="63"/>
    </row>
    <row r="17823" spans="9:10" x14ac:dyDescent="0.35">
      <c r="I17823" s="63"/>
      <c r="J17823" s="63"/>
    </row>
    <row r="17824" spans="9:10" x14ac:dyDescent="0.35">
      <c r="I17824" s="63"/>
      <c r="J17824" s="63"/>
    </row>
    <row r="17825" spans="9:10" x14ac:dyDescent="0.35">
      <c r="I17825" s="63"/>
      <c r="J17825" s="63"/>
    </row>
    <row r="17826" spans="9:10" x14ac:dyDescent="0.35">
      <c r="I17826" s="63"/>
      <c r="J17826" s="63"/>
    </row>
    <row r="17827" spans="9:10" x14ac:dyDescent="0.35">
      <c r="I17827" s="63"/>
      <c r="J17827" s="63"/>
    </row>
    <row r="17828" spans="9:10" x14ac:dyDescent="0.35">
      <c r="I17828" s="63"/>
      <c r="J17828" s="63"/>
    </row>
    <row r="17829" spans="9:10" x14ac:dyDescent="0.35">
      <c r="I17829" s="63"/>
      <c r="J17829" s="63"/>
    </row>
    <row r="17830" spans="9:10" x14ac:dyDescent="0.35">
      <c r="I17830" s="63"/>
      <c r="J17830" s="63"/>
    </row>
    <row r="17831" spans="9:10" x14ac:dyDescent="0.35">
      <c r="I17831" s="63"/>
      <c r="J17831" s="63"/>
    </row>
    <row r="17832" spans="9:10" x14ac:dyDescent="0.35">
      <c r="I17832" s="63"/>
      <c r="J17832" s="63"/>
    </row>
    <row r="17833" spans="9:10" x14ac:dyDescent="0.35">
      <c r="I17833" s="63"/>
      <c r="J17833" s="63"/>
    </row>
    <row r="17834" spans="9:10" x14ac:dyDescent="0.35">
      <c r="I17834" s="63"/>
      <c r="J17834" s="63"/>
    </row>
    <row r="17835" spans="9:10" x14ac:dyDescent="0.35">
      <c r="I17835" s="63"/>
      <c r="J17835" s="63"/>
    </row>
    <row r="17836" spans="9:10" x14ac:dyDescent="0.35">
      <c r="I17836" s="63"/>
      <c r="J17836" s="63"/>
    </row>
    <row r="17837" spans="9:10" x14ac:dyDescent="0.35">
      <c r="I17837" s="63"/>
      <c r="J17837" s="63"/>
    </row>
    <row r="17838" spans="9:10" x14ac:dyDescent="0.35">
      <c r="I17838" s="63"/>
      <c r="J17838" s="63"/>
    </row>
    <row r="17839" spans="9:10" x14ac:dyDescent="0.35">
      <c r="I17839" s="63"/>
      <c r="J17839" s="63"/>
    </row>
    <row r="17840" spans="9:10" x14ac:dyDescent="0.35">
      <c r="I17840" s="63"/>
      <c r="J17840" s="63"/>
    </row>
    <row r="17841" spans="9:10" x14ac:dyDescent="0.35">
      <c r="I17841" s="63"/>
      <c r="J17841" s="63"/>
    </row>
    <row r="17842" spans="9:10" x14ac:dyDescent="0.35">
      <c r="I17842" s="63"/>
      <c r="J17842" s="63"/>
    </row>
    <row r="17843" spans="9:10" x14ac:dyDescent="0.35">
      <c r="I17843" s="63"/>
      <c r="J17843" s="63"/>
    </row>
    <row r="17844" spans="9:10" x14ac:dyDescent="0.35">
      <c r="I17844" s="63"/>
      <c r="J17844" s="63"/>
    </row>
    <row r="17845" spans="9:10" x14ac:dyDescent="0.35">
      <c r="I17845" s="63"/>
      <c r="J17845" s="63"/>
    </row>
    <row r="17846" spans="9:10" x14ac:dyDescent="0.35">
      <c r="I17846" s="63"/>
      <c r="J17846" s="63"/>
    </row>
    <row r="17847" spans="9:10" x14ac:dyDescent="0.35">
      <c r="I17847" s="63"/>
      <c r="J17847" s="63"/>
    </row>
    <row r="17848" spans="9:10" x14ac:dyDescent="0.35">
      <c r="I17848" s="63"/>
      <c r="J17848" s="63"/>
    </row>
    <row r="17849" spans="9:10" x14ac:dyDescent="0.35">
      <c r="I17849" s="63"/>
      <c r="J17849" s="63"/>
    </row>
    <row r="17850" spans="9:10" x14ac:dyDescent="0.35">
      <c r="I17850" s="63"/>
      <c r="J17850" s="63"/>
    </row>
    <row r="17851" spans="9:10" x14ac:dyDescent="0.35">
      <c r="I17851" s="63"/>
      <c r="J17851" s="63"/>
    </row>
    <row r="17852" spans="9:10" x14ac:dyDescent="0.35">
      <c r="I17852" s="63"/>
      <c r="J17852" s="63"/>
    </row>
    <row r="17853" spans="9:10" x14ac:dyDescent="0.35">
      <c r="I17853" s="63"/>
      <c r="J17853" s="63"/>
    </row>
    <row r="17854" spans="9:10" x14ac:dyDescent="0.35">
      <c r="I17854" s="63"/>
      <c r="J17854" s="63"/>
    </row>
    <row r="17855" spans="9:10" x14ac:dyDescent="0.35">
      <c r="I17855" s="63"/>
      <c r="J17855" s="63"/>
    </row>
    <row r="17856" spans="9:10" x14ac:dyDescent="0.35">
      <c r="I17856" s="63"/>
      <c r="J17856" s="63"/>
    </row>
    <row r="17857" spans="9:10" x14ac:dyDescent="0.35">
      <c r="I17857" s="63"/>
      <c r="J17857" s="63"/>
    </row>
    <row r="17858" spans="9:10" x14ac:dyDescent="0.35">
      <c r="I17858" s="63"/>
      <c r="J17858" s="63"/>
    </row>
    <row r="17859" spans="9:10" x14ac:dyDescent="0.35">
      <c r="I17859" s="63"/>
      <c r="J17859" s="63"/>
    </row>
    <row r="17860" spans="9:10" x14ac:dyDescent="0.35">
      <c r="I17860" s="63"/>
      <c r="J17860" s="63"/>
    </row>
    <row r="17861" spans="9:10" x14ac:dyDescent="0.35">
      <c r="I17861" s="63"/>
      <c r="J17861" s="63"/>
    </row>
    <row r="17862" spans="9:10" x14ac:dyDescent="0.35">
      <c r="I17862" s="63"/>
      <c r="J17862" s="63"/>
    </row>
    <row r="17863" spans="9:10" x14ac:dyDescent="0.35">
      <c r="I17863" s="63"/>
      <c r="J17863" s="63"/>
    </row>
    <row r="17864" spans="9:10" x14ac:dyDescent="0.35">
      <c r="I17864" s="63"/>
      <c r="J17864" s="63"/>
    </row>
    <row r="17865" spans="9:10" x14ac:dyDescent="0.35">
      <c r="I17865" s="63"/>
      <c r="J17865" s="63"/>
    </row>
    <row r="17866" spans="9:10" x14ac:dyDescent="0.35">
      <c r="I17866" s="63"/>
      <c r="J17866" s="63"/>
    </row>
    <row r="17867" spans="9:10" x14ac:dyDescent="0.35">
      <c r="I17867" s="63"/>
      <c r="J17867" s="63"/>
    </row>
    <row r="17868" spans="9:10" x14ac:dyDescent="0.35">
      <c r="I17868" s="63"/>
      <c r="J17868" s="63"/>
    </row>
    <row r="17869" spans="9:10" x14ac:dyDescent="0.35">
      <c r="I17869" s="63"/>
      <c r="J17869" s="63"/>
    </row>
    <row r="17870" spans="9:10" x14ac:dyDescent="0.35">
      <c r="I17870" s="63"/>
      <c r="J17870" s="63"/>
    </row>
    <row r="17871" spans="9:10" x14ac:dyDescent="0.35">
      <c r="I17871" s="63"/>
      <c r="J17871" s="63"/>
    </row>
    <row r="17872" spans="9:10" x14ac:dyDescent="0.35">
      <c r="I17872" s="63"/>
      <c r="J17872" s="63"/>
    </row>
    <row r="17873" spans="9:10" x14ac:dyDescent="0.35">
      <c r="I17873" s="63"/>
      <c r="J17873" s="63"/>
    </row>
    <row r="17874" spans="9:10" x14ac:dyDescent="0.35">
      <c r="I17874" s="63"/>
      <c r="J17874" s="63"/>
    </row>
    <row r="17875" spans="9:10" x14ac:dyDescent="0.35">
      <c r="I17875" s="63"/>
      <c r="J17875" s="63"/>
    </row>
    <row r="17876" spans="9:10" x14ac:dyDescent="0.35">
      <c r="I17876" s="63"/>
      <c r="J17876" s="63"/>
    </row>
    <row r="17877" spans="9:10" x14ac:dyDescent="0.35">
      <c r="I17877" s="63"/>
      <c r="J17877" s="63"/>
    </row>
    <row r="17878" spans="9:10" x14ac:dyDescent="0.35">
      <c r="I17878" s="63"/>
      <c r="J17878" s="63"/>
    </row>
    <row r="17879" spans="9:10" x14ac:dyDescent="0.35">
      <c r="I17879" s="63"/>
      <c r="J17879" s="63"/>
    </row>
    <row r="17880" spans="9:10" x14ac:dyDescent="0.35">
      <c r="I17880" s="63"/>
      <c r="J17880" s="63"/>
    </row>
    <row r="17881" spans="9:10" x14ac:dyDescent="0.35">
      <c r="I17881" s="63"/>
      <c r="J17881" s="63"/>
    </row>
    <row r="17882" spans="9:10" x14ac:dyDescent="0.35">
      <c r="I17882" s="63"/>
      <c r="J17882" s="63"/>
    </row>
    <row r="17883" spans="9:10" x14ac:dyDescent="0.35">
      <c r="I17883" s="63"/>
      <c r="J17883" s="63"/>
    </row>
    <row r="17884" spans="9:10" x14ac:dyDescent="0.35">
      <c r="I17884" s="63"/>
      <c r="J17884" s="63"/>
    </row>
    <row r="17885" spans="9:10" x14ac:dyDescent="0.35">
      <c r="I17885" s="63"/>
      <c r="J17885" s="63"/>
    </row>
    <row r="17886" spans="9:10" x14ac:dyDescent="0.35">
      <c r="I17886" s="63"/>
      <c r="J17886" s="63"/>
    </row>
    <row r="17887" spans="9:10" x14ac:dyDescent="0.35">
      <c r="I17887" s="63"/>
      <c r="J17887" s="63"/>
    </row>
    <row r="17888" spans="9:10" x14ac:dyDescent="0.35">
      <c r="I17888" s="63"/>
      <c r="J17888" s="63"/>
    </row>
    <row r="17889" spans="9:10" x14ac:dyDescent="0.35">
      <c r="I17889" s="63"/>
      <c r="J17889" s="63"/>
    </row>
    <row r="17890" spans="9:10" x14ac:dyDescent="0.35">
      <c r="I17890" s="63"/>
      <c r="J17890" s="63"/>
    </row>
    <row r="17891" spans="9:10" x14ac:dyDescent="0.35">
      <c r="I17891" s="63"/>
      <c r="J17891" s="63"/>
    </row>
    <row r="17892" spans="9:10" x14ac:dyDescent="0.35">
      <c r="I17892" s="63"/>
      <c r="J17892" s="63"/>
    </row>
    <row r="17893" spans="9:10" x14ac:dyDescent="0.35">
      <c r="I17893" s="63"/>
      <c r="J17893" s="63"/>
    </row>
    <row r="17894" spans="9:10" x14ac:dyDescent="0.35">
      <c r="I17894" s="63"/>
      <c r="J17894" s="63"/>
    </row>
    <row r="17895" spans="9:10" x14ac:dyDescent="0.35">
      <c r="I17895" s="63"/>
      <c r="J17895" s="63"/>
    </row>
    <row r="17896" spans="9:10" x14ac:dyDescent="0.35">
      <c r="I17896" s="63"/>
      <c r="J17896" s="63"/>
    </row>
    <row r="17897" spans="9:10" x14ac:dyDescent="0.35">
      <c r="I17897" s="63"/>
      <c r="J17897" s="63"/>
    </row>
    <row r="17898" spans="9:10" x14ac:dyDescent="0.35">
      <c r="I17898" s="63"/>
      <c r="J17898" s="63"/>
    </row>
    <row r="17899" spans="9:10" x14ac:dyDescent="0.35">
      <c r="I17899" s="63"/>
      <c r="J17899" s="63"/>
    </row>
    <row r="17900" spans="9:10" x14ac:dyDescent="0.35">
      <c r="I17900" s="63"/>
      <c r="J17900" s="63"/>
    </row>
    <row r="17901" spans="9:10" x14ac:dyDescent="0.35">
      <c r="I17901" s="63"/>
      <c r="J17901" s="63"/>
    </row>
    <row r="17902" spans="9:10" x14ac:dyDescent="0.35">
      <c r="I17902" s="63"/>
      <c r="J17902" s="63"/>
    </row>
    <row r="17903" spans="9:10" x14ac:dyDescent="0.35">
      <c r="I17903" s="63"/>
      <c r="J17903" s="63"/>
    </row>
    <row r="17904" spans="9:10" x14ac:dyDescent="0.35">
      <c r="I17904" s="63"/>
      <c r="J17904" s="63"/>
    </row>
    <row r="17905" spans="9:10" x14ac:dyDescent="0.35">
      <c r="I17905" s="63"/>
      <c r="J17905" s="63"/>
    </row>
    <row r="17906" spans="9:10" x14ac:dyDescent="0.35">
      <c r="I17906" s="63"/>
      <c r="J17906" s="63"/>
    </row>
    <row r="17907" spans="9:10" x14ac:dyDescent="0.35">
      <c r="I17907" s="63"/>
      <c r="J17907" s="63"/>
    </row>
    <row r="17908" spans="9:10" x14ac:dyDescent="0.35">
      <c r="I17908" s="63"/>
      <c r="J17908" s="63"/>
    </row>
    <row r="17909" spans="9:10" x14ac:dyDescent="0.35">
      <c r="I17909" s="63"/>
      <c r="J17909" s="63"/>
    </row>
    <row r="17910" spans="9:10" x14ac:dyDescent="0.35">
      <c r="I17910" s="63"/>
      <c r="J17910" s="63"/>
    </row>
    <row r="17911" spans="9:10" x14ac:dyDescent="0.35">
      <c r="I17911" s="63"/>
      <c r="J17911" s="63"/>
    </row>
    <row r="17912" spans="9:10" x14ac:dyDescent="0.35">
      <c r="I17912" s="63"/>
      <c r="J17912" s="63"/>
    </row>
    <row r="17913" spans="9:10" x14ac:dyDescent="0.35">
      <c r="I17913" s="63"/>
      <c r="J17913" s="63"/>
    </row>
    <row r="17914" spans="9:10" x14ac:dyDescent="0.35">
      <c r="I17914" s="63"/>
      <c r="J17914" s="63"/>
    </row>
    <row r="17915" spans="9:10" x14ac:dyDescent="0.35">
      <c r="I17915" s="63"/>
      <c r="J17915" s="63"/>
    </row>
    <row r="17916" spans="9:10" x14ac:dyDescent="0.35">
      <c r="I17916" s="63"/>
      <c r="J17916" s="63"/>
    </row>
    <row r="17917" spans="9:10" x14ac:dyDescent="0.35">
      <c r="I17917" s="63"/>
      <c r="J17917" s="63"/>
    </row>
    <row r="17918" spans="9:10" x14ac:dyDescent="0.35">
      <c r="I17918" s="63"/>
      <c r="J17918" s="63"/>
    </row>
    <row r="17919" spans="9:10" x14ac:dyDescent="0.35">
      <c r="I17919" s="63"/>
      <c r="J17919" s="63"/>
    </row>
    <row r="17920" spans="9:10" x14ac:dyDescent="0.35">
      <c r="I17920" s="63"/>
      <c r="J17920" s="63"/>
    </row>
    <row r="17921" spans="9:10" x14ac:dyDescent="0.35">
      <c r="I17921" s="63"/>
      <c r="J17921" s="63"/>
    </row>
    <row r="17922" spans="9:10" x14ac:dyDescent="0.35">
      <c r="I17922" s="63"/>
      <c r="J17922" s="63"/>
    </row>
    <row r="17923" spans="9:10" x14ac:dyDescent="0.35">
      <c r="I17923" s="63"/>
      <c r="J17923" s="63"/>
    </row>
    <row r="17924" spans="9:10" x14ac:dyDescent="0.35">
      <c r="I17924" s="63"/>
      <c r="J17924" s="63"/>
    </row>
    <row r="17925" spans="9:10" x14ac:dyDescent="0.35">
      <c r="I17925" s="63"/>
      <c r="J17925" s="63"/>
    </row>
    <row r="17926" spans="9:10" x14ac:dyDescent="0.35">
      <c r="I17926" s="63"/>
      <c r="J17926" s="63"/>
    </row>
    <row r="17927" spans="9:10" x14ac:dyDescent="0.35">
      <c r="I17927" s="63"/>
      <c r="J17927" s="63"/>
    </row>
    <row r="17928" spans="9:10" x14ac:dyDescent="0.35">
      <c r="I17928" s="63"/>
      <c r="J17928" s="63"/>
    </row>
    <row r="17929" spans="9:10" x14ac:dyDescent="0.35">
      <c r="I17929" s="63"/>
      <c r="J17929" s="63"/>
    </row>
    <row r="17930" spans="9:10" x14ac:dyDescent="0.35">
      <c r="I17930" s="63"/>
      <c r="J17930" s="63"/>
    </row>
    <row r="17931" spans="9:10" x14ac:dyDescent="0.35">
      <c r="I17931" s="63"/>
      <c r="J17931" s="63"/>
    </row>
    <row r="17932" spans="9:10" x14ac:dyDescent="0.35">
      <c r="I17932" s="63"/>
      <c r="J17932" s="63"/>
    </row>
    <row r="17933" spans="9:10" x14ac:dyDescent="0.35">
      <c r="I17933" s="63"/>
      <c r="J17933" s="63"/>
    </row>
    <row r="17934" spans="9:10" x14ac:dyDescent="0.35">
      <c r="I17934" s="63"/>
      <c r="J17934" s="63"/>
    </row>
    <row r="17935" spans="9:10" x14ac:dyDescent="0.35">
      <c r="I17935" s="63"/>
      <c r="J17935" s="63"/>
    </row>
    <row r="17936" spans="9:10" x14ac:dyDescent="0.35">
      <c r="I17936" s="63"/>
      <c r="J17936" s="63"/>
    </row>
    <row r="17937" spans="9:10" x14ac:dyDescent="0.35">
      <c r="I17937" s="63"/>
      <c r="J17937" s="63"/>
    </row>
    <row r="17938" spans="9:10" x14ac:dyDescent="0.35">
      <c r="I17938" s="63"/>
      <c r="J17938" s="63"/>
    </row>
    <row r="17939" spans="9:10" x14ac:dyDescent="0.35">
      <c r="I17939" s="63"/>
      <c r="J17939" s="63"/>
    </row>
    <row r="17940" spans="9:10" x14ac:dyDescent="0.35">
      <c r="I17940" s="63"/>
      <c r="J17940" s="63"/>
    </row>
    <row r="17941" spans="9:10" x14ac:dyDescent="0.35">
      <c r="I17941" s="63"/>
      <c r="J17941" s="63"/>
    </row>
    <row r="17942" spans="9:10" x14ac:dyDescent="0.35">
      <c r="I17942" s="63"/>
      <c r="J17942" s="63"/>
    </row>
    <row r="17943" spans="9:10" x14ac:dyDescent="0.35">
      <c r="I17943" s="63"/>
      <c r="J17943" s="63"/>
    </row>
    <row r="17944" spans="9:10" x14ac:dyDescent="0.35">
      <c r="I17944" s="63"/>
      <c r="J17944" s="63"/>
    </row>
    <row r="17945" spans="9:10" x14ac:dyDescent="0.35">
      <c r="I17945" s="63"/>
      <c r="J17945" s="63"/>
    </row>
    <row r="17946" spans="9:10" x14ac:dyDescent="0.35">
      <c r="I17946" s="63"/>
      <c r="J17946" s="63"/>
    </row>
    <row r="17947" spans="9:10" x14ac:dyDescent="0.35">
      <c r="I17947" s="63"/>
      <c r="J17947" s="63"/>
    </row>
    <row r="17948" spans="9:10" x14ac:dyDescent="0.35">
      <c r="I17948" s="63"/>
      <c r="J17948" s="63"/>
    </row>
    <row r="17949" spans="9:10" x14ac:dyDescent="0.35">
      <c r="I17949" s="63"/>
      <c r="J17949" s="63"/>
    </row>
    <row r="17950" spans="9:10" x14ac:dyDescent="0.35">
      <c r="I17950" s="63"/>
      <c r="J17950" s="63"/>
    </row>
    <row r="17951" spans="9:10" x14ac:dyDescent="0.35">
      <c r="I17951" s="63"/>
      <c r="J17951" s="63"/>
    </row>
    <row r="17952" spans="9:10" x14ac:dyDescent="0.35">
      <c r="I17952" s="63"/>
      <c r="J17952" s="63"/>
    </row>
    <row r="17953" spans="9:10" x14ac:dyDescent="0.35">
      <c r="I17953" s="63"/>
      <c r="J17953" s="63"/>
    </row>
    <row r="17954" spans="9:10" x14ac:dyDescent="0.35">
      <c r="I17954" s="63"/>
      <c r="J17954" s="63"/>
    </row>
    <row r="17955" spans="9:10" x14ac:dyDescent="0.35">
      <c r="I17955" s="63"/>
      <c r="J17955" s="63"/>
    </row>
    <row r="17956" spans="9:10" x14ac:dyDescent="0.35">
      <c r="I17956" s="63"/>
      <c r="J17956" s="63"/>
    </row>
    <row r="17957" spans="9:10" x14ac:dyDescent="0.35">
      <c r="I17957" s="63"/>
      <c r="J17957" s="63"/>
    </row>
    <row r="17958" spans="9:10" x14ac:dyDescent="0.35">
      <c r="I17958" s="63"/>
      <c r="J17958" s="63"/>
    </row>
    <row r="17959" spans="9:10" x14ac:dyDescent="0.35">
      <c r="I17959" s="63"/>
      <c r="J17959" s="63"/>
    </row>
    <row r="17960" spans="9:10" x14ac:dyDescent="0.35">
      <c r="I17960" s="63"/>
      <c r="J17960" s="63"/>
    </row>
    <row r="17961" spans="9:10" x14ac:dyDescent="0.35">
      <c r="I17961" s="63"/>
      <c r="J17961" s="63"/>
    </row>
    <row r="17962" spans="9:10" x14ac:dyDescent="0.35">
      <c r="I17962" s="63"/>
      <c r="J17962" s="63"/>
    </row>
    <row r="17963" spans="9:10" x14ac:dyDescent="0.35">
      <c r="I17963" s="63"/>
      <c r="J17963" s="63"/>
    </row>
    <row r="17964" spans="9:10" x14ac:dyDescent="0.35">
      <c r="I17964" s="63"/>
      <c r="J17964" s="63"/>
    </row>
    <row r="17965" spans="9:10" x14ac:dyDescent="0.35">
      <c r="I17965" s="63"/>
      <c r="J17965" s="63"/>
    </row>
    <row r="17966" spans="9:10" x14ac:dyDescent="0.35">
      <c r="I17966" s="63"/>
      <c r="J17966" s="63"/>
    </row>
    <row r="17967" spans="9:10" x14ac:dyDescent="0.35">
      <c r="I17967" s="63"/>
      <c r="J17967" s="63"/>
    </row>
    <row r="17968" spans="9:10" x14ac:dyDescent="0.35">
      <c r="I17968" s="63"/>
      <c r="J17968" s="63"/>
    </row>
    <row r="17969" spans="9:10" x14ac:dyDescent="0.35">
      <c r="I17969" s="63"/>
      <c r="J17969" s="63"/>
    </row>
    <row r="17970" spans="9:10" x14ac:dyDescent="0.35">
      <c r="I17970" s="63"/>
      <c r="J17970" s="63"/>
    </row>
    <row r="17971" spans="9:10" x14ac:dyDescent="0.35">
      <c r="I17971" s="63"/>
      <c r="J17971" s="63"/>
    </row>
    <row r="17972" spans="9:10" x14ac:dyDescent="0.35">
      <c r="I17972" s="63"/>
      <c r="J17972" s="63"/>
    </row>
    <row r="17973" spans="9:10" x14ac:dyDescent="0.35">
      <c r="I17973" s="63"/>
      <c r="J17973" s="63"/>
    </row>
    <row r="17974" spans="9:10" x14ac:dyDescent="0.35">
      <c r="I17974" s="63"/>
      <c r="J17974" s="63"/>
    </row>
    <row r="17975" spans="9:10" x14ac:dyDescent="0.35">
      <c r="I17975" s="63"/>
      <c r="J17975" s="63"/>
    </row>
    <row r="17976" spans="9:10" x14ac:dyDescent="0.35">
      <c r="I17976" s="63"/>
      <c r="J17976" s="63"/>
    </row>
    <row r="17977" spans="9:10" x14ac:dyDescent="0.35">
      <c r="I17977" s="63"/>
      <c r="J17977" s="63"/>
    </row>
    <row r="17978" spans="9:10" x14ac:dyDescent="0.35">
      <c r="I17978" s="63"/>
      <c r="J17978" s="63"/>
    </row>
    <row r="17979" spans="9:10" x14ac:dyDescent="0.35">
      <c r="I17979" s="63"/>
      <c r="J17979" s="63"/>
    </row>
    <row r="17980" spans="9:10" x14ac:dyDescent="0.35">
      <c r="I17980" s="63"/>
      <c r="J17980" s="63"/>
    </row>
    <row r="17981" spans="9:10" x14ac:dyDescent="0.35">
      <c r="I17981" s="63"/>
      <c r="J17981" s="63"/>
    </row>
    <row r="17982" spans="9:10" x14ac:dyDescent="0.35">
      <c r="I17982" s="63"/>
      <c r="J17982" s="63"/>
    </row>
    <row r="17983" spans="9:10" x14ac:dyDescent="0.35">
      <c r="I17983" s="63"/>
      <c r="J17983" s="63"/>
    </row>
    <row r="17984" spans="9:10" x14ac:dyDescent="0.35">
      <c r="I17984" s="63"/>
      <c r="J17984" s="63"/>
    </row>
    <row r="17985" spans="9:10" x14ac:dyDescent="0.35">
      <c r="I17985" s="63"/>
      <c r="J17985" s="63"/>
    </row>
    <row r="17986" spans="9:10" x14ac:dyDescent="0.35">
      <c r="I17986" s="63"/>
      <c r="J17986" s="63"/>
    </row>
    <row r="17987" spans="9:10" x14ac:dyDescent="0.35">
      <c r="I17987" s="63"/>
      <c r="J17987" s="63"/>
    </row>
    <row r="17988" spans="9:10" x14ac:dyDescent="0.35">
      <c r="I17988" s="63"/>
      <c r="J17988" s="63"/>
    </row>
    <row r="17989" spans="9:10" x14ac:dyDescent="0.35">
      <c r="I17989" s="63"/>
      <c r="J17989" s="63"/>
    </row>
    <row r="17990" spans="9:10" x14ac:dyDescent="0.35">
      <c r="I17990" s="63"/>
      <c r="J17990" s="63"/>
    </row>
    <row r="17991" spans="9:10" x14ac:dyDescent="0.35">
      <c r="I17991" s="63"/>
      <c r="J17991" s="63"/>
    </row>
    <row r="17992" spans="9:10" x14ac:dyDescent="0.35">
      <c r="I17992" s="63"/>
      <c r="J17992" s="63"/>
    </row>
    <row r="17993" spans="9:10" x14ac:dyDescent="0.35">
      <c r="I17993" s="63"/>
      <c r="J17993" s="63"/>
    </row>
    <row r="17994" spans="9:10" x14ac:dyDescent="0.35">
      <c r="I17994" s="63"/>
      <c r="J17994" s="63"/>
    </row>
    <row r="17995" spans="9:10" x14ac:dyDescent="0.35">
      <c r="I17995" s="63"/>
      <c r="J17995" s="63"/>
    </row>
    <row r="17996" spans="9:10" x14ac:dyDescent="0.35">
      <c r="I17996" s="63"/>
      <c r="J17996" s="63"/>
    </row>
    <row r="17997" spans="9:10" x14ac:dyDescent="0.35">
      <c r="I17997" s="63"/>
      <c r="J17997" s="63"/>
    </row>
    <row r="17998" spans="9:10" x14ac:dyDescent="0.35">
      <c r="I17998" s="63"/>
      <c r="J17998" s="63"/>
    </row>
    <row r="17999" spans="9:10" x14ac:dyDescent="0.35">
      <c r="I17999" s="63"/>
      <c r="J17999" s="63"/>
    </row>
    <row r="18000" spans="9:10" x14ac:dyDescent="0.35">
      <c r="I18000" s="63"/>
      <c r="J18000" s="63"/>
    </row>
    <row r="18001" spans="9:10" x14ac:dyDescent="0.35">
      <c r="I18001" s="63"/>
      <c r="J18001" s="63"/>
    </row>
    <row r="18002" spans="9:10" x14ac:dyDescent="0.35">
      <c r="I18002" s="63"/>
      <c r="J18002" s="63"/>
    </row>
    <row r="18003" spans="9:10" x14ac:dyDescent="0.35">
      <c r="I18003" s="63"/>
      <c r="J18003" s="63"/>
    </row>
    <row r="18004" spans="9:10" x14ac:dyDescent="0.35">
      <c r="I18004" s="63"/>
      <c r="J18004" s="63"/>
    </row>
    <row r="18005" spans="9:10" x14ac:dyDescent="0.35">
      <c r="I18005" s="63"/>
      <c r="J18005" s="63"/>
    </row>
    <row r="18006" spans="9:10" x14ac:dyDescent="0.35">
      <c r="I18006" s="63"/>
      <c r="J18006" s="63"/>
    </row>
    <row r="18007" spans="9:10" x14ac:dyDescent="0.35">
      <c r="I18007" s="63"/>
      <c r="J18007" s="63"/>
    </row>
    <row r="18008" spans="9:10" x14ac:dyDescent="0.35">
      <c r="I18008" s="63"/>
      <c r="J18008" s="63"/>
    </row>
    <row r="18009" spans="9:10" x14ac:dyDescent="0.35">
      <c r="I18009" s="63"/>
      <c r="J18009" s="63"/>
    </row>
    <row r="18010" spans="9:10" x14ac:dyDescent="0.35">
      <c r="I18010" s="63"/>
      <c r="J18010" s="63"/>
    </row>
    <row r="18011" spans="9:10" x14ac:dyDescent="0.35">
      <c r="I18011" s="63"/>
      <c r="J18011" s="63"/>
    </row>
    <row r="18012" spans="9:10" x14ac:dyDescent="0.35">
      <c r="I18012" s="63"/>
      <c r="J18012" s="63"/>
    </row>
    <row r="18013" spans="9:10" x14ac:dyDescent="0.35">
      <c r="I18013" s="63"/>
      <c r="J18013" s="63"/>
    </row>
    <row r="18014" spans="9:10" x14ac:dyDescent="0.35">
      <c r="I18014" s="63"/>
      <c r="J18014" s="63"/>
    </row>
    <row r="18015" spans="9:10" x14ac:dyDescent="0.35">
      <c r="I18015" s="63"/>
      <c r="J18015" s="63"/>
    </row>
    <row r="18016" spans="9:10" x14ac:dyDescent="0.35">
      <c r="I18016" s="63"/>
      <c r="J18016" s="63"/>
    </row>
    <row r="18017" spans="9:10" x14ac:dyDescent="0.35">
      <c r="I18017" s="63"/>
      <c r="J18017" s="63"/>
    </row>
    <row r="18018" spans="9:10" x14ac:dyDescent="0.35">
      <c r="I18018" s="63"/>
      <c r="J18018" s="63"/>
    </row>
    <row r="18019" spans="9:10" x14ac:dyDescent="0.35">
      <c r="I18019" s="63"/>
      <c r="J18019" s="63"/>
    </row>
    <row r="18020" spans="9:10" x14ac:dyDescent="0.35">
      <c r="I18020" s="63"/>
      <c r="J18020" s="63"/>
    </row>
    <row r="18021" spans="9:10" x14ac:dyDescent="0.35">
      <c r="I18021" s="63"/>
      <c r="J18021" s="63"/>
    </row>
    <row r="18022" spans="9:10" x14ac:dyDescent="0.35">
      <c r="I18022" s="63"/>
      <c r="J18022" s="63"/>
    </row>
    <row r="18023" spans="9:10" x14ac:dyDescent="0.35">
      <c r="I18023" s="63"/>
      <c r="J18023" s="63"/>
    </row>
    <row r="18024" spans="9:10" x14ac:dyDescent="0.35">
      <c r="I18024" s="63"/>
      <c r="J18024" s="63"/>
    </row>
    <row r="18025" spans="9:10" x14ac:dyDescent="0.35">
      <c r="I18025" s="63"/>
      <c r="J18025" s="63"/>
    </row>
    <row r="18026" spans="9:10" x14ac:dyDescent="0.35">
      <c r="I18026" s="63"/>
      <c r="J18026" s="63"/>
    </row>
    <row r="18027" spans="9:10" x14ac:dyDescent="0.35">
      <c r="I18027" s="63"/>
      <c r="J18027" s="63"/>
    </row>
    <row r="18028" spans="9:10" x14ac:dyDescent="0.35">
      <c r="I18028" s="63"/>
      <c r="J18028" s="63"/>
    </row>
    <row r="18029" spans="9:10" x14ac:dyDescent="0.35">
      <c r="I18029" s="63"/>
      <c r="J18029" s="63"/>
    </row>
    <row r="18030" spans="9:10" x14ac:dyDescent="0.35">
      <c r="I18030" s="63"/>
      <c r="J18030" s="63"/>
    </row>
    <row r="18031" spans="9:10" x14ac:dyDescent="0.35">
      <c r="I18031" s="63"/>
      <c r="J18031" s="63"/>
    </row>
    <row r="18032" spans="9:10" x14ac:dyDescent="0.35">
      <c r="I18032" s="63"/>
      <c r="J18032" s="63"/>
    </row>
    <row r="18033" spans="9:10" x14ac:dyDescent="0.35">
      <c r="I18033" s="63"/>
      <c r="J18033" s="63"/>
    </row>
    <row r="18034" spans="9:10" x14ac:dyDescent="0.35">
      <c r="I18034" s="63"/>
      <c r="J18034" s="63"/>
    </row>
    <row r="18035" spans="9:10" x14ac:dyDescent="0.35">
      <c r="I18035" s="63"/>
      <c r="J18035" s="63"/>
    </row>
    <row r="18036" spans="9:10" x14ac:dyDescent="0.35">
      <c r="I18036" s="63"/>
      <c r="J18036" s="63"/>
    </row>
    <row r="18037" spans="9:10" x14ac:dyDescent="0.35">
      <c r="I18037" s="63"/>
      <c r="J18037" s="63"/>
    </row>
    <row r="18038" spans="9:10" x14ac:dyDescent="0.35">
      <c r="I18038" s="63"/>
      <c r="J18038" s="63"/>
    </row>
    <row r="18039" spans="9:10" x14ac:dyDescent="0.35">
      <c r="I18039" s="63"/>
      <c r="J18039" s="63"/>
    </row>
    <row r="18040" spans="9:10" x14ac:dyDescent="0.35">
      <c r="I18040" s="63"/>
      <c r="J18040" s="63"/>
    </row>
    <row r="18041" spans="9:10" x14ac:dyDescent="0.35">
      <c r="I18041" s="63"/>
      <c r="J18041" s="63"/>
    </row>
    <row r="18042" spans="9:10" x14ac:dyDescent="0.35">
      <c r="I18042" s="63"/>
      <c r="J18042" s="63"/>
    </row>
    <row r="18043" spans="9:10" x14ac:dyDescent="0.35">
      <c r="I18043" s="63"/>
      <c r="J18043" s="63"/>
    </row>
    <row r="18044" spans="9:10" x14ac:dyDescent="0.35">
      <c r="I18044" s="63"/>
      <c r="J18044" s="63"/>
    </row>
    <row r="18045" spans="9:10" x14ac:dyDescent="0.35">
      <c r="I18045" s="63"/>
      <c r="J18045" s="63"/>
    </row>
    <row r="18046" spans="9:10" x14ac:dyDescent="0.35">
      <c r="I18046" s="63"/>
      <c r="J18046" s="63"/>
    </row>
    <row r="18047" spans="9:10" x14ac:dyDescent="0.35">
      <c r="I18047" s="63"/>
      <c r="J18047" s="63"/>
    </row>
    <row r="18048" spans="9:10" x14ac:dyDescent="0.35">
      <c r="I18048" s="63"/>
      <c r="J18048" s="63"/>
    </row>
    <row r="18049" spans="9:10" x14ac:dyDescent="0.35">
      <c r="I18049" s="63"/>
      <c r="J18049" s="63"/>
    </row>
    <row r="18050" spans="9:10" x14ac:dyDescent="0.35">
      <c r="I18050" s="63"/>
      <c r="J18050" s="63"/>
    </row>
    <row r="18051" spans="9:10" x14ac:dyDescent="0.35">
      <c r="I18051" s="63"/>
      <c r="J18051" s="63"/>
    </row>
    <row r="18052" spans="9:10" x14ac:dyDescent="0.35">
      <c r="I18052" s="63"/>
      <c r="J18052" s="63"/>
    </row>
    <row r="18053" spans="9:10" x14ac:dyDescent="0.35">
      <c r="I18053" s="63"/>
      <c r="J18053" s="63"/>
    </row>
    <row r="18054" spans="9:10" x14ac:dyDescent="0.35">
      <c r="I18054" s="63"/>
      <c r="J18054" s="63"/>
    </row>
    <row r="18055" spans="9:10" x14ac:dyDescent="0.35">
      <c r="I18055" s="63"/>
      <c r="J18055" s="63"/>
    </row>
    <row r="18056" spans="9:10" x14ac:dyDescent="0.35">
      <c r="I18056" s="63"/>
      <c r="J18056" s="63"/>
    </row>
    <row r="18057" spans="9:10" x14ac:dyDescent="0.35">
      <c r="I18057" s="63"/>
      <c r="J18057" s="63"/>
    </row>
    <row r="18058" spans="9:10" x14ac:dyDescent="0.35">
      <c r="I18058" s="63"/>
      <c r="J18058" s="63"/>
    </row>
    <row r="18059" spans="9:10" x14ac:dyDescent="0.35">
      <c r="I18059" s="63"/>
      <c r="J18059" s="63"/>
    </row>
    <row r="18060" spans="9:10" x14ac:dyDescent="0.35">
      <c r="I18060" s="63"/>
      <c r="J18060" s="63"/>
    </row>
    <row r="18061" spans="9:10" x14ac:dyDescent="0.35">
      <c r="I18061" s="63"/>
      <c r="J18061" s="63"/>
    </row>
    <row r="18062" spans="9:10" x14ac:dyDescent="0.35">
      <c r="I18062" s="63"/>
      <c r="J18062" s="63"/>
    </row>
    <row r="18063" spans="9:10" x14ac:dyDescent="0.35">
      <c r="I18063" s="63"/>
      <c r="J18063" s="63"/>
    </row>
    <row r="18064" spans="9:10" x14ac:dyDescent="0.35">
      <c r="I18064" s="63"/>
      <c r="J18064" s="63"/>
    </row>
    <row r="18065" spans="9:10" x14ac:dyDescent="0.35">
      <c r="I18065" s="63"/>
      <c r="J18065" s="63"/>
    </row>
    <row r="18066" spans="9:10" x14ac:dyDescent="0.35">
      <c r="I18066" s="63"/>
      <c r="J18066" s="63"/>
    </row>
    <row r="18067" spans="9:10" x14ac:dyDescent="0.35">
      <c r="I18067" s="63"/>
      <c r="J18067" s="63"/>
    </row>
    <row r="18068" spans="9:10" x14ac:dyDescent="0.35">
      <c r="I18068" s="63"/>
      <c r="J18068" s="63"/>
    </row>
    <row r="18069" spans="9:10" x14ac:dyDescent="0.35">
      <c r="I18069" s="63"/>
      <c r="J18069" s="63"/>
    </row>
    <row r="18070" spans="9:10" x14ac:dyDescent="0.35">
      <c r="I18070" s="63"/>
      <c r="J18070" s="63"/>
    </row>
    <row r="18071" spans="9:10" x14ac:dyDescent="0.35">
      <c r="I18071" s="63"/>
      <c r="J18071" s="63"/>
    </row>
    <row r="18072" spans="9:10" x14ac:dyDescent="0.35">
      <c r="I18072" s="63"/>
      <c r="J18072" s="63"/>
    </row>
    <row r="18073" spans="9:10" x14ac:dyDescent="0.35">
      <c r="I18073" s="63"/>
      <c r="J18073" s="63"/>
    </row>
    <row r="18074" spans="9:10" x14ac:dyDescent="0.35">
      <c r="I18074" s="63"/>
      <c r="J18074" s="63"/>
    </row>
    <row r="18075" spans="9:10" x14ac:dyDescent="0.35">
      <c r="I18075" s="63"/>
      <c r="J18075" s="63"/>
    </row>
    <row r="18076" spans="9:10" x14ac:dyDescent="0.35">
      <c r="I18076" s="63"/>
      <c r="J18076" s="63"/>
    </row>
    <row r="18077" spans="9:10" x14ac:dyDescent="0.35">
      <c r="I18077" s="63"/>
      <c r="J18077" s="63"/>
    </row>
    <row r="18078" spans="9:10" x14ac:dyDescent="0.35">
      <c r="I18078" s="63"/>
      <c r="J18078" s="63"/>
    </row>
    <row r="18079" spans="9:10" x14ac:dyDescent="0.35">
      <c r="I18079" s="63"/>
      <c r="J18079" s="63"/>
    </row>
    <row r="18080" spans="9:10" x14ac:dyDescent="0.35">
      <c r="I18080" s="63"/>
      <c r="J18080" s="63"/>
    </row>
    <row r="18081" spans="9:10" x14ac:dyDescent="0.35">
      <c r="I18081" s="63"/>
      <c r="J18081" s="63"/>
    </row>
    <row r="18082" spans="9:10" x14ac:dyDescent="0.35">
      <c r="I18082" s="63"/>
      <c r="J18082" s="63"/>
    </row>
    <row r="18083" spans="9:10" x14ac:dyDescent="0.35">
      <c r="I18083" s="63"/>
      <c r="J18083" s="63"/>
    </row>
    <row r="18084" spans="9:10" x14ac:dyDescent="0.35">
      <c r="I18084" s="63"/>
      <c r="J18084" s="63"/>
    </row>
    <row r="18085" spans="9:10" x14ac:dyDescent="0.35">
      <c r="I18085" s="63"/>
      <c r="J18085" s="63"/>
    </row>
    <row r="18086" spans="9:10" x14ac:dyDescent="0.35">
      <c r="I18086" s="63"/>
      <c r="J18086" s="63"/>
    </row>
    <row r="18087" spans="9:10" x14ac:dyDescent="0.35">
      <c r="I18087" s="63"/>
      <c r="J18087" s="63"/>
    </row>
    <row r="18088" spans="9:10" x14ac:dyDescent="0.35">
      <c r="I18088" s="63"/>
      <c r="J18088" s="63"/>
    </row>
    <row r="18089" spans="9:10" x14ac:dyDescent="0.35">
      <c r="I18089" s="63"/>
      <c r="J18089" s="63"/>
    </row>
    <row r="18090" spans="9:10" x14ac:dyDescent="0.35">
      <c r="I18090" s="63"/>
      <c r="J18090" s="63"/>
    </row>
    <row r="18091" spans="9:10" x14ac:dyDescent="0.35">
      <c r="I18091" s="63"/>
      <c r="J18091" s="63"/>
    </row>
    <row r="18092" spans="9:10" x14ac:dyDescent="0.35">
      <c r="I18092" s="63"/>
      <c r="J18092" s="63"/>
    </row>
    <row r="18093" spans="9:10" x14ac:dyDescent="0.35">
      <c r="I18093" s="63"/>
      <c r="J18093" s="63"/>
    </row>
    <row r="18094" spans="9:10" x14ac:dyDescent="0.35">
      <c r="I18094" s="63"/>
      <c r="J18094" s="63"/>
    </row>
    <row r="18095" spans="9:10" x14ac:dyDescent="0.35">
      <c r="I18095" s="63"/>
      <c r="J18095" s="63"/>
    </row>
    <row r="18096" spans="9:10" x14ac:dyDescent="0.35">
      <c r="I18096" s="63"/>
      <c r="J18096" s="63"/>
    </row>
    <row r="18097" spans="9:10" x14ac:dyDescent="0.35">
      <c r="I18097" s="63"/>
      <c r="J18097" s="63"/>
    </row>
    <row r="18098" spans="9:10" x14ac:dyDescent="0.35">
      <c r="I18098" s="63"/>
      <c r="J18098" s="63"/>
    </row>
    <row r="18099" spans="9:10" x14ac:dyDescent="0.35">
      <c r="I18099" s="63"/>
      <c r="J18099" s="63"/>
    </row>
    <row r="18100" spans="9:10" x14ac:dyDescent="0.35">
      <c r="I18100" s="63"/>
      <c r="J18100" s="63"/>
    </row>
    <row r="18101" spans="9:10" x14ac:dyDescent="0.35">
      <c r="I18101" s="63"/>
      <c r="J18101" s="63"/>
    </row>
    <row r="18102" spans="9:10" x14ac:dyDescent="0.35">
      <c r="I18102" s="63"/>
      <c r="J18102" s="63"/>
    </row>
    <row r="18103" spans="9:10" x14ac:dyDescent="0.35">
      <c r="I18103" s="63"/>
      <c r="J18103" s="63"/>
    </row>
    <row r="18104" spans="9:10" x14ac:dyDescent="0.35">
      <c r="I18104" s="63"/>
      <c r="J18104" s="63"/>
    </row>
    <row r="18105" spans="9:10" x14ac:dyDescent="0.35">
      <c r="I18105" s="63"/>
      <c r="J18105" s="63"/>
    </row>
    <row r="18106" spans="9:10" x14ac:dyDescent="0.35">
      <c r="I18106" s="63"/>
      <c r="J18106" s="63"/>
    </row>
    <row r="18107" spans="9:10" x14ac:dyDescent="0.35">
      <c r="I18107" s="63"/>
      <c r="J18107" s="63"/>
    </row>
    <row r="18108" spans="9:10" x14ac:dyDescent="0.35">
      <c r="I18108" s="63"/>
      <c r="J18108" s="63"/>
    </row>
    <row r="18109" spans="9:10" x14ac:dyDescent="0.35">
      <c r="I18109" s="63"/>
      <c r="J18109" s="63"/>
    </row>
    <row r="18110" spans="9:10" x14ac:dyDescent="0.35">
      <c r="I18110" s="63"/>
      <c r="J18110" s="63"/>
    </row>
    <row r="18111" spans="9:10" x14ac:dyDescent="0.35">
      <c r="I18111" s="63"/>
      <c r="J18111" s="63"/>
    </row>
    <row r="18112" spans="9:10" x14ac:dyDescent="0.35">
      <c r="I18112" s="63"/>
      <c r="J18112" s="63"/>
    </row>
    <row r="18113" spans="9:10" x14ac:dyDescent="0.35">
      <c r="I18113" s="63"/>
      <c r="J18113" s="63"/>
    </row>
    <row r="18114" spans="9:10" x14ac:dyDescent="0.35">
      <c r="I18114" s="63"/>
      <c r="J18114" s="63"/>
    </row>
    <row r="18115" spans="9:10" x14ac:dyDescent="0.35">
      <c r="I18115" s="63"/>
      <c r="J18115" s="63"/>
    </row>
    <row r="18116" spans="9:10" x14ac:dyDescent="0.35">
      <c r="I18116" s="63"/>
      <c r="J18116" s="63"/>
    </row>
    <row r="18117" spans="9:10" x14ac:dyDescent="0.35">
      <c r="I18117" s="63"/>
      <c r="J18117" s="63"/>
    </row>
    <row r="18118" spans="9:10" x14ac:dyDescent="0.35">
      <c r="I18118" s="63"/>
      <c r="J18118" s="63"/>
    </row>
    <row r="18119" spans="9:10" x14ac:dyDescent="0.35">
      <c r="I18119" s="63"/>
      <c r="J18119" s="63"/>
    </row>
    <row r="18120" spans="9:10" x14ac:dyDescent="0.35">
      <c r="I18120" s="63"/>
      <c r="J18120" s="63"/>
    </row>
    <row r="18121" spans="9:10" x14ac:dyDescent="0.35">
      <c r="I18121" s="63"/>
      <c r="J18121" s="63"/>
    </row>
    <row r="18122" spans="9:10" x14ac:dyDescent="0.35">
      <c r="I18122" s="63"/>
      <c r="J18122" s="63"/>
    </row>
    <row r="18123" spans="9:10" x14ac:dyDescent="0.35">
      <c r="I18123" s="63"/>
      <c r="J18123" s="63"/>
    </row>
    <row r="18124" spans="9:10" x14ac:dyDescent="0.35">
      <c r="I18124" s="63"/>
      <c r="J18124" s="63"/>
    </row>
    <row r="18125" spans="9:10" x14ac:dyDescent="0.35">
      <c r="I18125" s="63"/>
      <c r="J18125" s="63"/>
    </row>
    <row r="18126" spans="9:10" x14ac:dyDescent="0.35">
      <c r="I18126" s="63"/>
      <c r="J18126" s="63"/>
    </row>
    <row r="18127" spans="9:10" x14ac:dyDescent="0.35">
      <c r="I18127" s="63"/>
      <c r="J18127" s="63"/>
    </row>
    <row r="18128" spans="9:10" x14ac:dyDescent="0.35">
      <c r="I18128" s="63"/>
      <c r="J18128" s="63"/>
    </row>
    <row r="18129" spans="9:10" x14ac:dyDescent="0.35">
      <c r="I18129" s="63"/>
      <c r="J18129" s="63"/>
    </row>
    <row r="18130" spans="9:10" x14ac:dyDescent="0.35">
      <c r="I18130" s="63"/>
      <c r="J18130" s="63"/>
    </row>
    <row r="18131" spans="9:10" x14ac:dyDescent="0.35">
      <c r="I18131" s="63"/>
      <c r="J18131" s="63"/>
    </row>
    <row r="18132" spans="9:10" x14ac:dyDescent="0.35">
      <c r="I18132" s="63"/>
      <c r="J18132" s="63"/>
    </row>
    <row r="18133" spans="9:10" x14ac:dyDescent="0.35">
      <c r="I18133" s="63"/>
      <c r="J18133" s="63"/>
    </row>
    <row r="18134" spans="9:10" x14ac:dyDescent="0.35">
      <c r="I18134" s="63"/>
      <c r="J18134" s="63"/>
    </row>
    <row r="18135" spans="9:10" x14ac:dyDescent="0.35">
      <c r="I18135" s="63"/>
      <c r="J18135" s="63"/>
    </row>
    <row r="18136" spans="9:10" x14ac:dyDescent="0.35">
      <c r="I18136" s="63"/>
      <c r="J18136" s="63"/>
    </row>
    <row r="18137" spans="9:10" x14ac:dyDescent="0.35">
      <c r="I18137" s="63"/>
      <c r="J18137" s="63"/>
    </row>
    <row r="18138" spans="9:10" x14ac:dyDescent="0.35">
      <c r="I18138" s="63"/>
      <c r="J18138" s="63"/>
    </row>
    <row r="18139" spans="9:10" x14ac:dyDescent="0.35">
      <c r="I18139" s="63"/>
      <c r="J18139" s="63"/>
    </row>
    <row r="18140" spans="9:10" x14ac:dyDescent="0.35">
      <c r="I18140" s="63"/>
      <c r="J18140" s="63"/>
    </row>
    <row r="18141" spans="9:10" x14ac:dyDescent="0.35">
      <c r="I18141" s="63"/>
      <c r="J18141" s="63"/>
    </row>
    <row r="18142" spans="9:10" x14ac:dyDescent="0.35">
      <c r="I18142" s="63"/>
      <c r="J18142" s="63"/>
    </row>
    <row r="18143" spans="9:10" x14ac:dyDescent="0.35">
      <c r="I18143" s="63"/>
      <c r="J18143" s="63"/>
    </row>
    <row r="18144" spans="9:10" x14ac:dyDescent="0.35">
      <c r="I18144" s="63"/>
      <c r="J18144" s="63"/>
    </row>
    <row r="18145" spans="9:10" x14ac:dyDescent="0.35">
      <c r="I18145" s="63"/>
      <c r="J18145" s="63"/>
    </row>
    <row r="18146" spans="9:10" x14ac:dyDescent="0.35">
      <c r="I18146" s="63"/>
      <c r="J18146" s="63"/>
    </row>
    <row r="18147" spans="9:10" x14ac:dyDescent="0.35">
      <c r="I18147" s="63"/>
      <c r="J18147" s="63"/>
    </row>
    <row r="18148" spans="9:10" x14ac:dyDescent="0.35">
      <c r="I18148" s="63"/>
      <c r="J18148" s="63"/>
    </row>
    <row r="18149" spans="9:10" x14ac:dyDescent="0.35">
      <c r="I18149" s="63"/>
      <c r="J18149" s="63"/>
    </row>
    <row r="18150" spans="9:10" x14ac:dyDescent="0.35">
      <c r="I18150" s="63"/>
      <c r="J18150" s="63"/>
    </row>
    <row r="18151" spans="9:10" x14ac:dyDescent="0.35">
      <c r="I18151" s="63"/>
      <c r="J18151" s="63"/>
    </row>
    <row r="18152" spans="9:10" x14ac:dyDescent="0.35">
      <c r="I18152" s="63"/>
      <c r="J18152" s="63"/>
    </row>
    <row r="18153" spans="9:10" x14ac:dyDescent="0.35">
      <c r="I18153" s="63"/>
      <c r="J18153" s="63"/>
    </row>
    <row r="18154" spans="9:10" x14ac:dyDescent="0.35">
      <c r="I18154" s="63"/>
      <c r="J18154" s="63"/>
    </row>
    <row r="18155" spans="9:10" x14ac:dyDescent="0.35">
      <c r="I18155" s="63"/>
      <c r="J18155" s="63"/>
    </row>
    <row r="18156" spans="9:10" x14ac:dyDescent="0.35">
      <c r="I18156" s="63"/>
      <c r="J18156" s="63"/>
    </row>
    <row r="18157" spans="9:10" x14ac:dyDescent="0.35">
      <c r="I18157" s="63"/>
      <c r="J18157" s="63"/>
    </row>
    <row r="18158" spans="9:10" x14ac:dyDescent="0.35">
      <c r="I18158" s="63"/>
      <c r="J18158" s="63"/>
    </row>
    <row r="18159" spans="9:10" x14ac:dyDescent="0.35">
      <c r="I18159" s="63"/>
      <c r="J18159" s="63"/>
    </row>
    <row r="18160" spans="9:10" x14ac:dyDescent="0.35">
      <c r="I18160" s="63"/>
      <c r="J18160" s="63"/>
    </row>
    <row r="18161" spans="9:10" x14ac:dyDescent="0.35">
      <c r="I18161" s="63"/>
      <c r="J18161" s="63"/>
    </row>
    <row r="18162" spans="9:10" x14ac:dyDescent="0.35">
      <c r="I18162" s="63"/>
      <c r="J18162" s="63"/>
    </row>
    <row r="18163" spans="9:10" x14ac:dyDescent="0.35">
      <c r="I18163" s="63"/>
      <c r="J18163" s="63"/>
    </row>
    <row r="18164" spans="9:10" x14ac:dyDescent="0.35">
      <c r="I18164" s="63"/>
      <c r="J18164" s="63"/>
    </row>
    <row r="18165" spans="9:10" x14ac:dyDescent="0.35">
      <c r="I18165" s="63"/>
      <c r="J18165" s="63"/>
    </row>
    <row r="18166" spans="9:10" x14ac:dyDescent="0.35">
      <c r="I18166" s="63"/>
      <c r="J18166" s="63"/>
    </row>
    <row r="18167" spans="9:10" x14ac:dyDescent="0.35">
      <c r="I18167" s="63"/>
      <c r="J18167" s="63"/>
    </row>
    <row r="18168" spans="9:10" x14ac:dyDescent="0.35">
      <c r="I18168" s="63"/>
      <c r="J18168" s="63"/>
    </row>
    <row r="18169" spans="9:10" x14ac:dyDescent="0.35">
      <c r="I18169" s="63"/>
      <c r="J18169" s="63"/>
    </row>
    <row r="18170" spans="9:10" x14ac:dyDescent="0.35">
      <c r="I18170" s="63"/>
      <c r="J18170" s="63"/>
    </row>
    <row r="18171" spans="9:10" x14ac:dyDescent="0.35">
      <c r="I18171" s="63"/>
      <c r="J18171" s="63"/>
    </row>
    <row r="18172" spans="9:10" x14ac:dyDescent="0.35">
      <c r="I18172" s="63"/>
      <c r="J18172" s="63"/>
    </row>
    <row r="18173" spans="9:10" x14ac:dyDescent="0.35">
      <c r="I18173" s="63"/>
      <c r="J18173" s="63"/>
    </row>
    <row r="18174" spans="9:10" x14ac:dyDescent="0.35">
      <c r="I18174" s="63"/>
      <c r="J18174" s="63"/>
    </row>
    <row r="18175" spans="9:10" x14ac:dyDescent="0.35">
      <c r="I18175" s="63"/>
      <c r="J18175" s="63"/>
    </row>
    <row r="18176" spans="9:10" x14ac:dyDescent="0.35">
      <c r="I18176" s="63"/>
      <c r="J18176" s="63"/>
    </row>
    <row r="18177" spans="9:10" x14ac:dyDescent="0.35">
      <c r="I18177" s="63"/>
      <c r="J18177" s="63"/>
    </row>
    <row r="18178" spans="9:10" x14ac:dyDescent="0.35">
      <c r="I18178" s="63"/>
      <c r="J18178" s="63"/>
    </row>
    <row r="18179" spans="9:10" x14ac:dyDescent="0.35">
      <c r="I18179" s="63"/>
      <c r="J18179" s="63"/>
    </row>
    <row r="18180" spans="9:10" x14ac:dyDescent="0.35">
      <c r="I18180" s="63"/>
      <c r="J18180" s="63"/>
    </row>
    <row r="18181" spans="9:10" x14ac:dyDescent="0.35">
      <c r="I18181" s="63"/>
      <c r="J18181" s="63"/>
    </row>
    <row r="18182" spans="9:10" x14ac:dyDescent="0.35">
      <c r="I18182" s="63"/>
      <c r="J18182" s="63"/>
    </row>
    <row r="18183" spans="9:10" x14ac:dyDescent="0.35">
      <c r="I18183" s="63"/>
      <c r="J18183" s="63"/>
    </row>
    <row r="18184" spans="9:10" x14ac:dyDescent="0.35">
      <c r="I18184" s="63"/>
      <c r="J18184" s="63"/>
    </row>
    <row r="18185" spans="9:10" x14ac:dyDescent="0.35">
      <c r="I18185" s="63"/>
      <c r="J18185" s="63"/>
    </row>
    <row r="18186" spans="9:10" x14ac:dyDescent="0.35">
      <c r="I18186" s="63"/>
      <c r="J18186" s="63"/>
    </row>
    <row r="18187" spans="9:10" x14ac:dyDescent="0.35">
      <c r="I18187" s="63"/>
      <c r="J18187" s="63"/>
    </row>
    <row r="18188" spans="9:10" x14ac:dyDescent="0.35">
      <c r="I18188" s="63"/>
      <c r="J18188" s="63"/>
    </row>
    <row r="18189" spans="9:10" x14ac:dyDescent="0.35">
      <c r="I18189" s="63"/>
      <c r="J18189" s="63"/>
    </row>
    <row r="18190" spans="9:10" x14ac:dyDescent="0.35">
      <c r="I18190" s="63"/>
      <c r="J18190" s="63"/>
    </row>
    <row r="18191" spans="9:10" x14ac:dyDescent="0.35">
      <c r="I18191" s="63"/>
      <c r="J18191" s="63"/>
    </row>
    <row r="18192" spans="9:10" x14ac:dyDescent="0.35">
      <c r="I18192" s="63"/>
      <c r="J18192" s="63"/>
    </row>
    <row r="18193" spans="9:10" x14ac:dyDescent="0.35">
      <c r="I18193" s="63"/>
      <c r="J18193" s="63"/>
    </row>
    <row r="18194" spans="9:10" x14ac:dyDescent="0.35">
      <c r="I18194" s="63"/>
      <c r="J18194" s="63"/>
    </row>
    <row r="18195" spans="9:10" x14ac:dyDescent="0.35">
      <c r="I18195" s="63"/>
      <c r="J18195" s="63"/>
    </row>
    <row r="18196" spans="9:10" x14ac:dyDescent="0.35">
      <c r="I18196" s="63"/>
      <c r="J18196" s="63"/>
    </row>
    <row r="18197" spans="9:10" x14ac:dyDescent="0.35">
      <c r="I18197" s="63"/>
      <c r="J18197" s="63"/>
    </row>
    <row r="18198" spans="9:10" x14ac:dyDescent="0.35">
      <c r="I18198" s="63"/>
      <c r="J18198" s="63"/>
    </row>
    <row r="18199" spans="9:10" x14ac:dyDescent="0.35">
      <c r="I18199" s="63"/>
      <c r="J18199" s="63"/>
    </row>
    <row r="18200" spans="9:10" x14ac:dyDescent="0.35">
      <c r="I18200" s="63"/>
      <c r="J18200" s="63"/>
    </row>
    <row r="18201" spans="9:10" x14ac:dyDescent="0.35">
      <c r="I18201" s="63"/>
      <c r="J18201" s="63"/>
    </row>
    <row r="18202" spans="9:10" x14ac:dyDescent="0.35">
      <c r="I18202" s="63"/>
      <c r="J18202" s="63"/>
    </row>
    <row r="18203" spans="9:10" x14ac:dyDescent="0.35">
      <c r="I18203" s="63"/>
      <c r="J18203" s="63"/>
    </row>
    <row r="18204" spans="9:10" x14ac:dyDescent="0.35">
      <c r="I18204" s="63"/>
      <c r="J18204" s="63"/>
    </row>
    <row r="18205" spans="9:10" x14ac:dyDescent="0.35">
      <c r="I18205" s="63"/>
      <c r="J18205" s="63"/>
    </row>
    <row r="18206" spans="9:10" x14ac:dyDescent="0.35">
      <c r="I18206" s="63"/>
      <c r="J18206" s="63"/>
    </row>
    <row r="18207" spans="9:10" x14ac:dyDescent="0.35">
      <c r="I18207" s="63"/>
      <c r="J18207" s="63"/>
    </row>
    <row r="18208" spans="9:10" x14ac:dyDescent="0.35">
      <c r="I18208" s="63"/>
      <c r="J18208" s="63"/>
    </row>
    <row r="18209" spans="9:10" x14ac:dyDescent="0.35">
      <c r="I18209" s="63"/>
      <c r="J18209" s="63"/>
    </row>
    <row r="18210" spans="9:10" x14ac:dyDescent="0.35">
      <c r="I18210" s="63"/>
      <c r="J18210" s="63"/>
    </row>
    <row r="18211" spans="9:10" x14ac:dyDescent="0.35">
      <c r="I18211" s="63"/>
      <c r="J18211" s="63"/>
    </row>
    <row r="18212" spans="9:10" x14ac:dyDescent="0.35">
      <c r="I18212" s="63"/>
      <c r="J18212" s="63"/>
    </row>
    <row r="18213" spans="9:10" x14ac:dyDescent="0.35">
      <c r="I18213" s="63"/>
      <c r="J18213" s="63"/>
    </row>
    <row r="18214" spans="9:10" x14ac:dyDescent="0.35">
      <c r="I18214" s="63"/>
      <c r="J18214" s="63"/>
    </row>
    <row r="18215" spans="9:10" x14ac:dyDescent="0.35">
      <c r="I18215" s="63"/>
      <c r="J18215" s="63"/>
    </row>
    <row r="18216" spans="9:10" x14ac:dyDescent="0.35">
      <c r="I18216" s="63"/>
      <c r="J18216" s="63"/>
    </row>
    <row r="18217" spans="9:10" x14ac:dyDescent="0.35">
      <c r="I18217" s="63"/>
      <c r="J18217" s="63"/>
    </row>
    <row r="18218" spans="9:10" x14ac:dyDescent="0.35">
      <c r="I18218" s="63"/>
      <c r="J18218" s="63"/>
    </row>
    <row r="18219" spans="9:10" x14ac:dyDescent="0.35">
      <c r="I18219" s="63"/>
      <c r="J18219" s="63"/>
    </row>
    <row r="18220" spans="9:10" x14ac:dyDescent="0.35">
      <c r="I18220" s="63"/>
      <c r="J18220" s="63"/>
    </row>
    <row r="18221" spans="9:10" x14ac:dyDescent="0.35">
      <c r="I18221" s="63"/>
      <c r="J18221" s="63"/>
    </row>
    <row r="18222" spans="9:10" x14ac:dyDescent="0.35">
      <c r="I18222" s="63"/>
      <c r="J18222" s="63"/>
    </row>
    <row r="18223" spans="9:10" x14ac:dyDescent="0.35">
      <c r="I18223" s="63"/>
      <c r="J18223" s="63"/>
    </row>
    <row r="18224" spans="9:10" x14ac:dyDescent="0.35">
      <c r="I18224" s="63"/>
      <c r="J18224" s="63"/>
    </row>
    <row r="18225" spans="9:10" x14ac:dyDescent="0.35">
      <c r="I18225" s="63"/>
      <c r="J18225" s="63"/>
    </row>
    <row r="18226" spans="9:10" x14ac:dyDescent="0.35">
      <c r="I18226" s="63"/>
      <c r="J18226" s="63"/>
    </row>
    <row r="18227" spans="9:10" x14ac:dyDescent="0.35">
      <c r="I18227" s="63"/>
      <c r="J18227" s="63"/>
    </row>
    <row r="18228" spans="9:10" x14ac:dyDescent="0.35">
      <c r="I18228" s="63"/>
      <c r="J18228" s="63"/>
    </row>
    <row r="18229" spans="9:10" x14ac:dyDescent="0.35">
      <c r="I18229" s="63"/>
      <c r="J18229" s="63"/>
    </row>
    <row r="18230" spans="9:10" x14ac:dyDescent="0.35">
      <c r="I18230" s="63"/>
      <c r="J18230" s="63"/>
    </row>
    <row r="18231" spans="9:10" x14ac:dyDescent="0.35">
      <c r="I18231" s="63"/>
      <c r="J18231" s="63"/>
    </row>
    <row r="18232" spans="9:10" x14ac:dyDescent="0.35">
      <c r="I18232" s="63"/>
      <c r="J18232" s="63"/>
    </row>
    <row r="18233" spans="9:10" x14ac:dyDescent="0.35">
      <c r="I18233" s="63"/>
      <c r="J18233" s="63"/>
    </row>
    <row r="18234" spans="9:10" x14ac:dyDescent="0.35">
      <c r="I18234" s="63"/>
      <c r="J18234" s="63"/>
    </row>
    <row r="18235" spans="9:10" x14ac:dyDescent="0.35">
      <c r="I18235" s="63"/>
      <c r="J18235" s="63"/>
    </row>
    <row r="18236" spans="9:10" x14ac:dyDescent="0.35">
      <c r="I18236" s="63"/>
      <c r="J18236" s="63"/>
    </row>
    <row r="18237" spans="9:10" x14ac:dyDescent="0.35">
      <c r="I18237" s="63"/>
      <c r="J18237" s="63"/>
    </row>
    <row r="18238" spans="9:10" x14ac:dyDescent="0.35">
      <c r="I18238" s="63"/>
      <c r="J18238" s="63"/>
    </row>
    <row r="18239" spans="9:10" x14ac:dyDescent="0.35">
      <c r="I18239" s="63"/>
      <c r="J18239" s="63"/>
    </row>
    <row r="18240" spans="9:10" x14ac:dyDescent="0.35">
      <c r="I18240" s="63"/>
      <c r="J18240" s="63"/>
    </row>
    <row r="18241" spans="9:10" x14ac:dyDescent="0.35">
      <c r="I18241" s="63"/>
      <c r="J18241" s="63"/>
    </row>
    <row r="18242" spans="9:10" x14ac:dyDescent="0.35">
      <c r="I18242" s="63"/>
      <c r="J18242" s="63"/>
    </row>
    <row r="18243" spans="9:10" x14ac:dyDescent="0.35">
      <c r="I18243" s="63"/>
      <c r="J18243" s="63"/>
    </row>
    <row r="18244" spans="9:10" x14ac:dyDescent="0.35">
      <c r="I18244" s="63"/>
      <c r="J18244" s="63"/>
    </row>
    <row r="18245" spans="9:10" x14ac:dyDescent="0.35">
      <c r="I18245" s="63"/>
      <c r="J18245" s="63"/>
    </row>
    <row r="18246" spans="9:10" x14ac:dyDescent="0.35">
      <c r="I18246" s="63"/>
      <c r="J18246" s="63"/>
    </row>
    <row r="18247" spans="9:10" x14ac:dyDescent="0.35">
      <c r="I18247" s="63"/>
      <c r="J18247" s="63"/>
    </row>
    <row r="18248" spans="9:10" x14ac:dyDescent="0.35">
      <c r="I18248" s="63"/>
      <c r="J18248" s="63"/>
    </row>
    <row r="18249" spans="9:10" x14ac:dyDescent="0.35">
      <c r="I18249" s="63"/>
      <c r="J18249" s="63"/>
    </row>
    <row r="18250" spans="9:10" x14ac:dyDescent="0.35">
      <c r="I18250" s="63"/>
      <c r="J18250" s="63"/>
    </row>
    <row r="18251" spans="9:10" x14ac:dyDescent="0.35">
      <c r="I18251" s="63"/>
      <c r="J18251" s="63"/>
    </row>
    <row r="18252" spans="9:10" x14ac:dyDescent="0.35">
      <c r="I18252" s="63"/>
      <c r="J18252" s="63"/>
    </row>
    <row r="18253" spans="9:10" x14ac:dyDescent="0.35">
      <c r="I18253" s="63"/>
      <c r="J18253" s="63"/>
    </row>
    <row r="18254" spans="9:10" x14ac:dyDescent="0.35">
      <c r="I18254" s="63"/>
      <c r="J18254" s="63"/>
    </row>
    <row r="18255" spans="9:10" x14ac:dyDescent="0.35">
      <c r="I18255" s="63"/>
      <c r="J18255" s="63"/>
    </row>
    <row r="18256" spans="9:10" x14ac:dyDescent="0.35">
      <c r="I18256" s="63"/>
      <c r="J18256" s="63"/>
    </row>
    <row r="18257" spans="9:10" x14ac:dyDescent="0.35">
      <c r="I18257" s="63"/>
      <c r="J18257" s="63"/>
    </row>
    <row r="18258" spans="9:10" x14ac:dyDescent="0.35">
      <c r="I18258" s="63"/>
      <c r="J18258" s="63"/>
    </row>
    <row r="18259" spans="9:10" x14ac:dyDescent="0.35">
      <c r="I18259" s="63"/>
      <c r="J18259" s="63"/>
    </row>
    <row r="18260" spans="9:10" x14ac:dyDescent="0.35">
      <c r="I18260" s="63"/>
      <c r="J18260" s="63"/>
    </row>
    <row r="18261" spans="9:10" x14ac:dyDescent="0.35">
      <c r="I18261" s="63"/>
      <c r="J18261" s="63"/>
    </row>
    <row r="18262" spans="9:10" x14ac:dyDescent="0.35">
      <c r="I18262" s="63"/>
      <c r="J18262" s="63"/>
    </row>
    <row r="18263" spans="9:10" x14ac:dyDescent="0.35">
      <c r="I18263" s="63"/>
      <c r="J18263" s="63"/>
    </row>
    <row r="18264" spans="9:10" x14ac:dyDescent="0.35">
      <c r="I18264" s="63"/>
      <c r="J18264" s="63"/>
    </row>
    <row r="18265" spans="9:10" x14ac:dyDescent="0.35">
      <c r="I18265" s="63"/>
      <c r="J18265" s="63"/>
    </row>
    <row r="18266" spans="9:10" x14ac:dyDescent="0.35">
      <c r="I18266" s="63"/>
      <c r="J18266" s="63"/>
    </row>
    <row r="18267" spans="9:10" x14ac:dyDescent="0.35">
      <c r="I18267" s="63"/>
      <c r="J18267" s="63"/>
    </row>
    <row r="18268" spans="9:10" x14ac:dyDescent="0.35">
      <c r="I18268" s="63"/>
      <c r="J18268" s="63"/>
    </row>
    <row r="18269" spans="9:10" x14ac:dyDescent="0.35">
      <c r="I18269" s="63"/>
      <c r="J18269" s="63"/>
    </row>
    <row r="18270" spans="9:10" x14ac:dyDescent="0.35">
      <c r="I18270" s="63"/>
      <c r="J18270" s="63"/>
    </row>
    <row r="18271" spans="9:10" x14ac:dyDescent="0.35">
      <c r="I18271" s="63"/>
      <c r="J18271" s="63"/>
    </row>
    <row r="18272" spans="9:10" x14ac:dyDescent="0.35">
      <c r="I18272" s="63"/>
      <c r="J18272" s="63"/>
    </row>
    <row r="18273" spans="9:10" x14ac:dyDescent="0.35">
      <c r="I18273" s="63"/>
      <c r="J18273" s="63"/>
    </row>
    <row r="18274" spans="9:10" x14ac:dyDescent="0.35">
      <c r="I18274" s="63"/>
      <c r="J18274" s="63"/>
    </row>
    <row r="18275" spans="9:10" x14ac:dyDescent="0.35">
      <c r="I18275" s="63"/>
      <c r="J18275" s="63"/>
    </row>
    <row r="18276" spans="9:10" x14ac:dyDescent="0.35">
      <c r="I18276" s="63"/>
      <c r="J18276" s="63"/>
    </row>
    <row r="18277" spans="9:10" x14ac:dyDescent="0.35">
      <c r="I18277" s="63"/>
      <c r="J18277" s="63"/>
    </row>
    <row r="18278" spans="9:10" x14ac:dyDescent="0.35">
      <c r="I18278" s="63"/>
      <c r="J18278" s="63"/>
    </row>
    <row r="18279" spans="9:10" x14ac:dyDescent="0.35">
      <c r="I18279" s="63"/>
      <c r="J18279" s="63"/>
    </row>
    <row r="18280" spans="9:10" x14ac:dyDescent="0.35">
      <c r="I18280" s="63"/>
      <c r="J18280" s="63"/>
    </row>
    <row r="18281" spans="9:10" x14ac:dyDescent="0.35">
      <c r="I18281" s="63"/>
      <c r="J18281" s="63"/>
    </row>
    <row r="18282" spans="9:10" x14ac:dyDescent="0.35">
      <c r="I18282" s="63"/>
      <c r="J18282" s="63"/>
    </row>
    <row r="18283" spans="9:10" x14ac:dyDescent="0.35">
      <c r="I18283" s="63"/>
      <c r="J18283" s="63"/>
    </row>
    <row r="18284" spans="9:10" x14ac:dyDescent="0.35">
      <c r="I18284" s="63"/>
      <c r="J18284" s="63"/>
    </row>
    <row r="18285" spans="9:10" x14ac:dyDescent="0.35">
      <c r="I18285" s="63"/>
      <c r="J18285" s="63"/>
    </row>
    <row r="18286" spans="9:10" x14ac:dyDescent="0.35">
      <c r="I18286" s="63"/>
      <c r="J18286" s="63"/>
    </row>
    <row r="18287" spans="9:10" x14ac:dyDescent="0.35">
      <c r="I18287" s="63"/>
      <c r="J18287" s="63"/>
    </row>
    <row r="18288" spans="9:10" x14ac:dyDescent="0.35">
      <c r="I18288" s="63"/>
      <c r="J18288" s="63"/>
    </row>
    <row r="18289" spans="9:10" x14ac:dyDescent="0.35">
      <c r="I18289" s="63"/>
      <c r="J18289" s="63"/>
    </row>
    <row r="18290" spans="9:10" x14ac:dyDescent="0.35">
      <c r="I18290" s="63"/>
      <c r="J18290" s="63"/>
    </row>
    <row r="18291" spans="9:10" x14ac:dyDescent="0.35">
      <c r="I18291" s="63"/>
      <c r="J18291" s="63"/>
    </row>
    <row r="18292" spans="9:10" x14ac:dyDescent="0.35">
      <c r="I18292" s="63"/>
      <c r="J18292" s="63"/>
    </row>
    <row r="18293" spans="9:10" x14ac:dyDescent="0.35">
      <c r="I18293" s="63"/>
      <c r="J18293" s="63"/>
    </row>
    <row r="18294" spans="9:10" x14ac:dyDescent="0.35">
      <c r="I18294" s="63"/>
      <c r="J18294" s="63"/>
    </row>
    <row r="18295" spans="9:10" x14ac:dyDescent="0.35">
      <c r="I18295" s="63"/>
      <c r="J18295" s="63"/>
    </row>
    <row r="18296" spans="9:10" x14ac:dyDescent="0.35">
      <c r="I18296" s="63"/>
      <c r="J18296" s="63"/>
    </row>
    <row r="18297" spans="9:10" x14ac:dyDescent="0.35">
      <c r="I18297" s="63"/>
      <c r="J18297" s="63"/>
    </row>
    <row r="18298" spans="9:10" x14ac:dyDescent="0.35">
      <c r="I18298" s="63"/>
      <c r="J18298" s="63"/>
    </row>
    <row r="18299" spans="9:10" x14ac:dyDescent="0.35">
      <c r="I18299" s="63"/>
      <c r="J18299" s="63"/>
    </row>
    <row r="18300" spans="9:10" x14ac:dyDescent="0.35">
      <c r="I18300" s="63"/>
      <c r="J18300" s="63"/>
    </row>
    <row r="18301" spans="9:10" x14ac:dyDescent="0.35">
      <c r="I18301" s="63"/>
      <c r="J18301" s="63"/>
    </row>
    <row r="18302" spans="9:10" x14ac:dyDescent="0.35">
      <c r="I18302" s="63"/>
      <c r="J18302" s="63"/>
    </row>
    <row r="18303" spans="9:10" x14ac:dyDescent="0.35">
      <c r="I18303" s="63"/>
      <c r="J18303" s="63"/>
    </row>
    <row r="18304" spans="9:10" x14ac:dyDescent="0.35">
      <c r="I18304" s="63"/>
      <c r="J18304" s="63"/>
    </row>
    <row r="18305" spans="9:10" x14ac:dyDescent="0.35">
      <c r="I18305" s="63"/>
      <c r="J18305" s="63"/>
    </row>
    <row r="18306" spans="9:10" x14ac:dyDescent="0.35">
      <c r="I18306" s="63"/>
      <c r="J18306" s="63"/>
    </row>
    <row r="18307" spans="9:10" x14ac:dyDescent="0.35">
      <c r="I18307" s="63"/>
      <c r="J18307" s="63"/>
    </row>
    <row r="18308" spans="9:10" x14ac:dyDescent="0.35">
      <c r="I18308" s="63"/>
      <c r="J18308" s="63"/>
    </row>
    <row r="18309" spans="9:10" x14ac:dyDescent="0.35">
      <c r="I18309" s="63"/>
      <c r="J18309" s="63"/>
    </row>
    <row r="18310" spans="9:10" x14ac:dyDescent="0.35">
      <c r="I18310" s="63"/>
      <c r="J18310" s="63"/>
    </row>
    <row r="18311" spans="9:10" x14ac:dyDescent="0.35">
      <c r="I18311" s="63"/>
      <c r="J18311" s="63"/>
    </row>
    <row r="18312" spans="9:10" x14ac:dyDescent="0.35">
      <c r="I18312" s="63"/>
      <c r="J18312" s="63"/>
    </row>
    <row r="18313" spans="9:10" x14ac:dyDescent="0.35">
      <c r="I18313" s="63"/>
      <c r="J18313" s="63"/>
    </row>
    <row r="18314" spans="9:10" x14ac:dyDescent="0.35">
      <c r="I18314" s="63"/>
      <c r="J18314" s="63"/>
    </row>
    <row r="18315" spans="9:10" x14ac:dyDescent="0.35">
      <c r="I18315" s="63"/>
      <c r="J18315" s="63"/>
    </row>
    <row r="18316" spans="9:10" x14ac:dyDescent="0.35">
      <c r="I18316" s="63"/>
      <c r="J18316" s="63"/>
    </row>
    <row r="18317" spans="9:10" x14ac:dyDescent="0.35">
      <c r="I18317" s="63"/>
      <c r="J18317" s="63"/>
    </row>
    <row r="18318" spans="9:10" x14ac:dyDescent="0.35">
      <c r="I18318" s="63"/>
      <c r="J18318" s="63"/>
    </row>
    <row r="18319" spans="9:10" x14ac:dyDescent="0.35">
      <c r="I18319" s="63"/>
      <c r="J18319" s="63"/>
    </row>
    <row r="18320" spans="9:10" x14ac:dyDescent="0.35">
      <c r="I18320" s="63"/>
      <c r="J18320" s="63"/>
    </row>
    <row r="18321" spans="9:10" x14ac:dyDescent="0.35">
      <c r="I18321" s="63"/>
      <c r="J18321" s="63"/>
    </row>
    <row r="18322" spans="9:10" x14ac:dyDescent="0.35">
      <c r="I18322" s="63"/>
      <c r="J18322" s="63"/>
    </row>
    <row r="18323" spans="9:10" x14ac:dyDescent="0.35">
      <c r="I18323" s="63"/>
      <c r="J18323" s="63"/>
    </row>
    <row r="18324" spans="9:10" x14ac:dyDescent="0.35">
      <c r="I18324" s="63"/>
      <c r="J18324" s="63"/>
    </row>
    <row r="18325" spans="9:10" x14ac:dyDescent="0.35">
      <c r="I18325" s="63"/>
      <c r="J18325" s="63"/>
    </row>
    <row r="18326" spans="9:10" x14ac:dyDescent="0.35">
      <c r="I18326" s="63"/>
      <c r="J18326" s="63"/>
    </row>
    <row r="18327" spans="9:10" x14ac:dyDescent="0.35">
      <c r="I18327" s="63"/>
      <c r="J18327" s="63"/>
    </row>
    <row r="18328" spans="9:10" x14ac:dyDescent="0.35">
      <c r="I18328" s="63"/>
      <c r="J18328" s="63"/>
    </row>
    <row r="18329" spans="9:10" x14ac:dyDescent="0.35">
      <c r="I18329" s="63"/>
      <c r="J18329" s="63"/>
    </row>
    <row r="18330" spans="9:10" x14ac:dyDescent="0.35">
      <c r="I18330" s="63"/>
      <c r="J18330" s="63"/>
    </row>
    <row r="18331" spans="9:10" x14ac:dyDescent="0.35">
      <c r="I18331" s="63"/>
      <c r="J18331" s="63"/>
    </row>
    <row r="18332" spans="9:10" x14ac:dyDescent="0.35">
      <c r="I18332" s="63"/>
      <c r="J18332" s="63"/>
    </row>
    <row r="18333" spans="9:10" x14ac:dyDescent="0.35">
      <c r="I18333" s="63"/>
      <c r="J18333" s="63"/>
    </row>
    <row r="18334" spans="9:10" x14ac:dyDescent="0.35">
      <c r="I18334" s="63"/>
      <c r="J18334" s="63"/>
    </row>
    <row r="18335" spans="9:10" x14ac:dyDescent="0.35">
      <c r="I18335" s="63"/>
      <c r="J18335" s="63"/>
    </row>
    <row r="18336" spans="9:10" x14ac:dyDescent="0.35">
      <c r="I18336" s="63"/>
      <c r="J18336" s="63"/>
    </row>
    <row r="18337" spans="9:10" x14ac:dyDescent="0.35">
      <c r="I18337" s="63"/>
      <c r="J18337" s="63"/>
    </row>
    <row r="18338" spans="9:10" x14ac:dyDescent="0.35">
      <c r="I18338" s="63"/>
      <c r="J18338" s="63"/>
    </row>
    <row r="18339" spans="9:10" x14ac:dyDescent="0.35">
      <c r="I18339" s="63"/>
      <c r="J18339" s="63"/>
    </row>
    <row r="18340" spans="9:10" x14ac:dyDescent="0.35">
      <c r="I18340" s="63"/>
      <c r="J18340" s="63"/>
    </row>
    <row r="18341" spans="9:10" x14ac:dyDescent="0.35">
      <c r="I18341" s="63"/>
      <c r="J18341" s="63"/>
    </row>
    <row r="18342" spans="9:10" x14ac:dyDescent="0.35">
      <c r="I18342" s="63"/>
      <c r="J18342" s="63"/>
    </row>
    <row r="18343" spans="9:10" x14ac:dyDescent="0.35">
      <c r="I18343" s="63"/>
      <c r="J18343" s="63"/>
    </row>
    <row r="18344" spans="9:10" x14ac:dyDescent="0.35">
      <c r="I18344" s="63"/>
      <c r="J18344" s="63"/>
    </row>
    <row r="18345" spans="9:10" x14ac:dyDescent="0.35">
      <c r="I18345" s="63"/>
      <c r="J18345" s="63"/>
    </row>
    <row r="18346" spans="9:10" x14ac:dyDescent="0.35">
      <c r="I18346" s="63"/>
      <c r="J18346" s="63"/>
    </row>
    <row r="18347" spans="9:10" x14ac:dyDescent="0.35">
      <c r="I18347" s="63"/>
      <c r="J18347" s="63"/>
    </row>
    <row r="18348" spans="9:10" x14ac:dyDescent="0.35">
      <c r="I18348" s="63"/>
      <c r="J18348" s="63"/>
    </row>
    <row r="18349" spans="9:10" x14ac:dyDescent="0.35">
      <c r="I18349" s="63"/>
      <c r="J18349" s="63"/>
    </row>
    <row r="18350" spans="9:10" x14ac:dyDescent="0.35">
      <c r="I18350" s="63"/>
      <c r="J18350" s="63"/>
    </row>
    <row r="18351" spans="9:10" x14ac:dyDescent="0.35">
      <c r="I18351" s="63"/>
      <c r="J18351" s="63"/>
    </row>
    <row r="18352" spans="9:10" x14ac:dyDescent="0.35">
      <c r="I18352" s="63"/>
      <c r="J18352" s="63"/>
    </row>
    <row r="18353" spans="9:10" x14ac:dyDescent="0.35">
      <c r="I18353" s="63"/>
      <c r="J18353" s="63"/>
    </row>
    <row r="18354" spans="9:10" x14ac:dyDescent="0.35">
      <c r="I18354" s="63"/>
      <c r="J18354" s="63"/>
    </row>
    <row r="18355" spans="9:10" x14ac:dyDescent="0.35">
      <c r="I18355" s="63"/>
      <c r="J18355" s="63"/>
    </row>
    <row r="18356" spans="9:10" x14ac:dyDescent="0.35">
      <c r="I18356" s="63"/>
      <c r="J18356" s="63"/>
    </row>
    <row r="18357" spans="9:10" x14ac:dyDescent="0.35">
      <c r="I18357" s="63"/>
      <c r="J18357" s="63"/>
    </row>
    <row r="18358" spans="9:10" x14ac:dyDescent="0.35">
      <c r="I18358" s="63"/>
      <c r="J18358" s="63"/>
    </row>
    <row r="18359" spans="9:10" x14ac:dyDescent="0.35">
      <c r="I18359" s="63"/>
      <c r="J18359" s="63"/>
    </row>
    <row r="18360" spans="9:10" x14ac:dyDescent="0.35">
      <c r="I18360" s="63"/>
      <c r="J18360" s="63"/>
    </row>
    <row r="18361" spans="9:10" x14ac:dyDescent="0.35">
      <c r="I18361" s="63"/>
      <c r="J18361" s="63"/>
    </row>
    <row r="18362" spans="9:10" x14ac:dyDescent="0.35">
      <c r="I18362" s="63"/>
      <c r="J18362" s="63"/>
    </row>
    <row r="18363" spans="9:10" x14ac:dyDescent="0.35">
      <c r="I18363" s="63"/>
      <c r="J18363" s="63"/>
    </row>
    <row r="18364" spans="9:10" x14ac:dyDescent="0.35">
      <c r="I18364" s="63"/>
      <c r="J18364" s="63"/>
    </row>
    <row r="18365" spans="9:10" x14ac:dyDescent="0.35">
      <c r="I18365" s="63"/>
      <c r="J18365" s="63"/>
    </row>
    <row r="18366" spans="9:10" x14ac:dyDescent="0.35">
      <c r="I18366" s="63"/>
      <c r="J18366" s="63"/>
    </row>
    <row r="18367" spans="9:10" x14ac:dyDescent="0.35">
      <c r="I18367" s="63"/>
      <c r="J18367" s="63"/>
    </row>
    <row r="18368" spans="9:10" x14ac:dyDescent="0.35">
      <c r="I18368" s="63"/>
      <c r="J18368" s="63"/>
    </row>
    <row r="18369" spans="9:10" x14ac:dyDescent="0.35">
      <c r="I18369" s="63"/>
      <c r="J18369" s="63"/>
    </row>
    <row r="18370" spans="9:10" x14ac:dyDescent="0.35">
      <c r="I18370" s="63"/>
      <c r="J18370" s="63"/>
    </row>
    <row r="18371" spans="9:10" x14ac:dyDescent="0.35">
      <c r="I18371" s="63"/>
      <c r="J18371" s="63"/>
    </row>
    <row r="18372" spans="9:10" x14ac:dyDescent="0.35">
      <c r="I18372" s="63"/>
      <c r="J18372" s="63"/>
    </row>
    <row r="18373" spans="9:10" x14ac:dyDescent="0.35">
      <c r="I18373" s="63"/>
      <c r="J18373" s="63"/>
    </row>
    <row r="18374" spans="9:10" x14ac:dyDescent="0.35">
      <c r="I18374" s="63"/>
      <c r="J18374" s="63"/>
    </row>
    <row r="18375" spans="9:10" x14ac:dyDescent="0.35">
      <c r="I18375" s="63"/>
      <c r="J18375" s="63"/>
    </row>
    <row r="18376" spans="9:10" x14ac:dyDescent="0.35">
      <c r="I18376" s="63"/>
      <c r="J18376" s="63"/>
    </row>
    <row r="18377" spans="9:10" x14ac:dyDescent="0.35">
      <c r="I18377" s="63"/>
      <c r="J18377" s="63"/>
    </row>
    <row r="18378" spans="9:10" x14ac:dyDescent="0.35">
      <c r="I18378" s="63"/>
      <c r="J18378" s="63"/>
    </row>
    <row r="18379" spans="9:10" x14ac:dyDescent="0.35">
      <c r="I18379" s="63"/>
      <c r="J18379" s="63"/>
    </row>
    <row r="18380" spans="9:10" x14ac:dyDescent="0.35">
      <c r="I18380" s="63"/>
      <c r="J18380" s="63"/>
    </row>
    <row r="18381" spans="9:10" x14ac:dyDescent="0.35">
      <c r="I18381" s="63"/>
      <c r="J18381" s="63"/>
    </row>
    <row r="18382" spans="9:10" x14ac:dyDescent="0.35">
      <c r="I18382" s="63"/>
      <c r="J18382" s="63"/>
    </row>
    <row r="18383" spans="9:10" x14ac:dyDescent="0.35">
      <c r="I18383" s="63"/>
      <c r="J18383" s="63"/>
    </row>
    <row r="18384" spans="9:10" x14ac:dyDescent="0.35">
      <c r="I18384" s="63"/>
      <c r="J18384" s="63"/>
    </row>
    <row r="18385" spans="9:10" x14ac:dyDescent="0.35">
      <c r="I18385" s="63"/>
      <c r="J18385" s="63"/>
    </row>
    <row r="18386" spans="9:10" x14ac:dyDescent="0.35">
      <c r="I18386" s="63"/>
      <c r="J18386" s="63"/>
    </row>
    <row r="18387" spans="9:10" x14ac:dyDescent="0.35">
      <c r="I18387" s="63"/>
      <c r="J18387" s="63"/>
    </row>
    <row r="18388" spans="9:10" x14ac:dyDescent="0.35">
      <c r="I18388" s="63"/>
      <c r="J18388" s="63"/>
    </row>
    <row r="18389" spans="9:10" x14ac:dyDescent="0.35">
      <c r="I18389" s="63"/>
      <c r="J18389" s="63"/>
    </row>
    <row r="18390" spans="9:10" x14ac:dyDescent="0.35">
      <c r="I18390" s="63"/>
      <c r="J18390" s="63"/>
    </row>
    <row r="18391" spans="9:10" x14ac:dyDescent="0.35">
      <c r="I18391" s="63"/>
      <c r="J18391" s="63"/>
    </row>
    <row r="18392" spans="9:10" x14ac:dyDescent="0.35">
      <c r="I18392" s="63"/>
      <c r="J18392" s="63"/>
    </row>
    <row r="18393" spans="9:10" x14ac:dyDescent="0.35">
      <c r="I18393" s="63"/>
      <c r="J18393" s="63"/>
    </row>
    <row r="18394" spans="9:10" x14ac:dyDescent="0.35">
      <c r="I18394" s="63"/>
      <c r="J18394" s="63"/>
    </row>
    <row r="18395" spans="9:10" x14ac:dyDescent="0.35">
      <c r="I18395" s="63"/>
      <c r="J18395" s="63"/>
    </row>
    <row r="18396" spans="9:10" x14ac:dyDescent="0.35">
      <c r="I18396" s="63"/>
      <c r="J18396" s="63"/>
    </row>
    <row r="18397" spans="9:10" x14ac:dyDescent="0.35">
      <c r="I18397" s="63"/>
      <c r="J18397" s="63"/>
    </row>
    <row r="18398" spans="9:10" x14ac:dyDescent="0.35">
      <c r="I18398" s="63"/>
      <c r="J18398" s="63"/>
    </row>
    <row r="18399" spans="9:10" x14ac:dyDescent="0.35">
      <c r="I18399" s="63"/>
      <c r="J18399" s="63"/>
    </row>
    <row r="18400" spans="9:10" x14ac:dyDescent="0.35">
      <c r="I18400" s="63"/>
      <c r="J18400" s="63"/>
    </row>
    <row r="18401" spans="9:10" x14ac:dyDescent="0.35">
      <c r="I18401" s="63"/>
      <c r="J18401" s="63"/>
    </row>
    <row r="18402" spans="9:10" x14ac:dyDescent="0.35">
      <c r="I18402" s="63"/>
      <c r="J18402" s="63"/>
    </row>
    <row r="18403" spans="9:10" x14ac:dyDescent="0.35">
      <c r="I18403" s="63"/>
      <c r="J18403" s="63"/>
    </row>
    <row r="18404" spans="9:10" x14ac:dyDescent="0.35">
      <c r="I18404" s="63"/>
      <c r="J18404" s="63"/>
    </row>
    <row r="18405" spans="9:10" x14ac:dyDescent="0.35">
      <c r="I18405" s="63"/>
      <c r="J18405" s="63"/>
    </row>
    <row r="18406" spans="9:10" x14ac:dyDescent="0.35">
      <c r="I18406" s="63"/>
      <c r="J18406" s="63"/>
    </row>
    <row r="18407" spans="9:10" x14ac:dyDescent="0.35">
      <c r="I18407" s="63"/>
      <c r="J18407" s="63"/>
    </row>
    <row r="18408" spans="9:10" x14ac:dyDescent="0.35">
      <c r="I18408" s="63"/>
      <c r="J18408" s="63"/>
    </row>
    <row r="18409" spans="9:10" x14ac:dyDescent="0.35">
      <c r="I18409" s="63"/>
      <c r="J18409" s="63"/>
    </row>
    <row r="18410" spans="9:10" x14ac:dyDescent="0.35">
      <c r="I18410" s="63"/>
      <c r="J18410" s="63"/>
    </row>
    <row r="18411" spans="9:10" x14ac:dyDescent="0.35">
      <c r="I18411" s="63"/>
      <c r="J18411" s="63"/>
    </row>
    <row r="18412" spans="9:10" x14ac:dyDescent="0.35">
      <c r="I18412" s="63"/>
      <c r="J18412" s="63"/>
    </row>
    <row r="18413" spans="9:10" x14ac:dyDescent="0.35">
      <c r="I18413" s="63"/>
      <c r="J18413" s="63"/>
    </row>
    <row r="18414" spans="9:10" x14ac:dyDescent="0.35">
      <c r="I18414" s="63"/>
      <c r="J18414" s="63"/>
    </row>
    <row r="18415" spans="9:10" x14ac:dyDescent="0.35">
      <c r="I18415" s="63"/>
      <c r="J18415" s="63"/>
    </row>
    <row r="18416" spans="9:10" x14ac:dyDescent="0.35">
      <c r="I18416" s="63"/>
      <c r="J18416" s="63"/>
    </row>
    <row r="18417" spans="9:10" x14ac:dyDescent="0.35">
      <c r="I18417" s="63"/>
      <c r="J18417" s="63"/>
    </row>
    <row r="18418" spans="9:10" x14ac:dyDescent="0.35">
      <c r="I18418" s="63"/>
      <c r="J18418" s="63"/>
    </row>
    <row r="18419" spans="9:10" x14ac:dyDescent="0.35">
      <c r="I18419" s="63"/>
      <c r="J18419" s="63"/>
    </row>
    <row r="18420" spans="9:10" x14ac:dyDescent="0.35">
      <c r="I18420" s="63"/>
      <c r="J18420" s="63"/>
    </row>
    <row r="18421" spans="9:10" x14ac:dyDescent="0.35">
      <c r="I18421" s="63"/>
      <c r="J18421" s="63"/>
    </row>
    <row r="18422" spans="9:10" x14ac:dyDescent="0.35">
      <c r="I18422" s="63"/>
      <c r="J18422" s="63"/>
    </row>
    <row r="18423" spans="9:10" x14ac:dyDescent="0.35">
      <c r="I18423" s="63"/>
      <c r="J18423" s="63"/>
    </row>
    <row r="18424" spans="9:10" x14ac:dyDescent="0.35">
      <c r="I18424" s="63"/>
      <c r="J18424" s="63"/>
    </row>
    <row r="18425" spans="9:10" x14ac:dyDescent="0.35">
      <c r="I18425" s="63"/>
      <c r="J18425" s="63"/>
    </row>
    <row r="18426" spans="9:10" x14ac:dyDescent="0.35">
      <c r="I18426" s="63"/>
      <c r="J18426" s="63"/>
    </row>
    <row r="18427" spans="9:10" x14ac:dyDescent="0.35">
      <c r="I18427" s="63"/>
      <c r="J18427" s="63"/>
    </row>
    <row r="18428" spans="9:10" x14ac:dyDescent="0.35">
      <c r="I18428" s="63"/>
      <c r="J18428" s="63"/>
    </row>
    <row r="18429" spans="9:10" x14ac:dyDescent="0.35">
      <c r="I18429" s="63"/>
      <c r="J18429" s="63"/>
    </row>
    <row r="18430" spans="9:10" x14ac:dyDescent="0.35">
      <c r="I18430" s="63"/>
      <c r="J18430" s="63"/>
    </row>
    <row r="18431" spans="9:10" x14ac:dyDescent="0.35">
      <c r="I18431" s="63"/>
      <c r="J18431" s="63"/>
    </row>
    <row r="18432" spans="9:10" x14ac:dyDescent="0.35">
      <c r="I18432" s="63"/>
      <c r="J18432" s="63"/>
    </row>
    <row r="18433" spans="9:10" x14ac:dyDescent="0.35">
      <c r="I18433" s="63"/>
      <c r="J18433" s="63"/>
    </row>
    <row r="18434" spans="9:10" x14ac:dyDescent="0.35">
      <c r="I18434" s="63"/>
      <c r="J18434" s="63"/>
    </row>
    <row r="18435" spans="9:10" x14ac:dyDescent="0.35">
      <c r="I18435" s="63"/>
      <c r="J18435" s="63"/>
    </row>
    <row r="18436" spans="9:10" x14ac:dyDescent="0.35">
      <c r="I18436" s="63"/>
      <c r="J18436" s="63"/>
    </row>
    <row r="18437" spans="9:10" x14ac:dyDescent="0.35">
      <c r="I18437" s="63"/>
      <c r="J18437" s="63"/>
    </row>
    <row r="18438" spans="9:10" x14ac:dyDescent="0.35">
      <c r="I18438" s="63"/>
      <c r="J18438" s="63"/>
    </row>
    <row r="18439" spans="9:10" x14ac:dyDescent="0.35">
      <c r="I18439" s="63"/>
      <c r="J18439" s="63"/>
    </row>
    <row r="18440" spans="9:10" x14ac:dyDescent="0.35">
      <c r="I18440" s="63"/>
      <c r="J18440" s="63"/>
    </row>
    <row r="18441" spans="9:10" x14ac:dyDescent="0.35">
      <c r="I18441" s="63"/>
      <c r="J18441" s="63"/>
    </row>
    <row r="18442" spans="9:10" x14ac:dyDescent="0.35">
      <c r="I18442" s="63"/>
      <c r="J18442" s="63"/>
    </row>
    <row r="18443" spans="9:10" x14ac:dyDescent="0.35">
      <c r="I18443" s="63"/>
      <c r="J18443" s="63"/>
    </row>
    <row r="18444" spans="9:10" x14ac:dyDescent="0.35">
      <c r="I18444" s="63"/>
      <c r="J18444" s="63"/>
    </row>
    <row r="18445" spans="9:10" x14ac:dyDescent="0.35">
      <c r="I18445" s="63"/>
      <c r="J18445" s="63"/>
    </row>
    <row r="18446" spans="9:10" x14ac:dyDescent="0.35">
      <c r="I18446" s="63"/>
      <c r="J18446" s="63"/>
    </row>
    <row r="18447" spans="9:10" x14ac:dyDescent="0.35">
      <c r="I18447" s="63"/>
      <c r="J18447" s="63"/>
    </row>
    <row r="18448" spans="9:10" x14ac:dyDescent="0.35">
      <c r="I18448" s="63"/>
      <c r="J18448" s="63"/>
    </row>
    <row r="18449" spans="9:10" x14ac:dyDescent="0.35">
      <c r="I18449" s="63"/>
      <c r="J18449" s="63"/>
    </row>
    <row r="18450" spans="9:10" x14ac:dyDescent="0.35">
      <c r="I18450" s="63"/>
      <c r="J18450" s="63"/>
    </row>
    <row r="18451" spans="9:10" x14ac:dyDescent="0.35">
      <c r="I18451" s="63"/>
      <c r="J18451" s="63"/>
    </row>
    <row r="18452" spans="9:10" x14ac:dyDescent="0.35">
      <c r="I18452" s="63"/>
      <c r="J18452" s="63"/>
    </row>
    <row r="18453" spans="9:10" x14ac:dyDescent="0.35">
      <c r="I18453" s="63"/>
      <c r="J18453" s="63"/>
    </row>
    <row r="18454" spans="9:10" x14ac:dyDescent="0.35">
      <c r="I18454" s="63"/>
      <c r="J18454" s="63"/>
    </row>
    <row r="18455" spans="9:10" x14ac:dyDescent="0.35">
      <c r="I18455" s="63"/>
      <c r="J18455" s="63"/>
    </row>
    <row r="18456" spans="9:10" x14ac:dyDescent="0.35">
      <c r="I18456" s="63"/>
      <c r="J18456" s="63"/>
    </row>
    <row r="18457" spans="9:10" x14ac:dyDescent="0.35">
      <c r="I18457" s="63"/>
      <c r="J18457" s="63"/>
    </row>
    <row r="18458" spans="9:10" x14ac:dyDescent="0.35">
      <c r="I18458" s="63"/>
      <c r="J18458" s="63"/>
    </row>
    <row r="18459" spans="9:10" x14ac:dyDescent="0.35">
      <c r="I18459" s="63"/>
      <c r="J18459" s="63"/>
    </row>
    <row r="18460" spans="9:10" x14ac:dyDescent="0.35">
      <c r="I18460" s="63"/>
      <c r="J18460" s="63"/>
    </row>
    <row r="18461" spans="9:10" x14ac:dyDescent="0.35">
      <c r="I18461" s="63"/>
      <c r="J18461" s="63"/>
    </row>
    <row r="18462" spans="9:10" x14ac:dyDescent="0.35">
      <c r="I18462" s="63"/>
      <c r="J18462" s="63"/>
    </row>
    <row r="18463" spans="9:10" x14ac:dyDescent="0.35">
      <c r="I18463" s="63"/>
      <c r="J18463" s="63"/>
    </row>
    <row r="18464" spans="9:10" x14ac:dyDescent="0.35">
      <c r="I18464" s="63"/>
      <c r="J18464" s="63"/>
    </row>
    <row r="18465" spans="9:10" x14ac:dyDescent="0.35">
      <c r="I18465" s="63"/>
      <c r="J18465" s="63"/>
    </row>
    <row r="18466" spans="9:10" x14ac:dyDescent="0.35">
      <c r="I18466" s="63"/>
      <c r="J18466" s="63"/>
    </row>
    <row r="18467" spans="9:10" x14ac:dyDescent="0.35">
      <c r="I18467" s="63"/>
      <c r="J18467" s="63"/>
    </row>
    <row r="18468" spans="9:10" x14ac:dyDescent="0.35">
      <c r="I18468" s="63"/>
      <c r="J18468" s="63"/>
    </row>
    <row r="18469" spans="9:10" x14ac:dyDescent="0.35">
      <c r="I18469" s="63"/>
      <c r="J18469" s="63"/>
    </row>
    <row r="18470" spans="9:10" x14ac:dyDescent="0.35">
      <c r="I18470" s="63"/>
      <c r="J18470" s="63"/>
    </row>
    <row r="18471" spans="9:10" x14ac:dyDescent="0.35">
      <c r="I18471" s="63"/>
      <c r="J18471" s="63"/>
    </row>
    <row r="18472" spans="9:10" x14ac:dyDescent="0.35">
      <c r="I18472" s="63"/>
      <c r="J18472" s="63"/>
    </row>
    <row r="18473" spans="9:10" x14ac:dyDescent="0.35">
      <c r="I18473" s="63"/>
      <c r="J18473" s="63"/>
    </row>
    <row r="18474" spans="9:10" x14ac:dyDescent="0.35">
      <c r="I18474" s="63"/>
      <c r="J18474" s="63"/>
    </row>
    <row r="18475" spans="9:10" x14ac:dyDescent="0.35">
      <c r="I18475" s="63"/>
      <c r="J18475" s="63"/>
    </row>
    <row r="18476" spans="9:10" x14ac:dyDescent="0.35">
      <c r="I18476" s="63"/>
      <c r="J18476" s="63"/>
    </row>
    <row r="18477" spans="9:10" x14ac:dyDescent="0.35">
      <c r="I18477" s="63"/>
      <c r="J18477" s="63"/>
    </row>
    <row r="18478" spans="9:10" x14ac:dyDescent="0.35">
      <c r="I18478" s="63"/>
      <c r="J18478" s="63"/>
    </row>
    <row r="18479" spans="9:10" x14ac:dyDescent="0.35">
      <c r="I18479" s="63"/>
      <c r="J18479" s="63"/>
    </row>
    <row r="18480" spans="9:10" x14ac:dyDescent="0.35">
      <c r="I18480" s="63"/>
      <c r="J18480" s="63"/>
    </row>
    <row r="18481" spans="9:10" x14ac:dyDescent="0.35">
      <c r="I18481" s="63"/>
      <c r="J18481" s="63"/>
    </row>
    <row r="18482" spans="9:10" x14ac:dyDescent="0.35">
      <c r="I18482" s="63"/>
      <c r="J18482" s="63"/>
    </row>
    <row r="18483" spans="9:10" x14ac:dyDescent="0.35">
      <c r="I18483" s="63"/>
      <c r="J18483" s="63"/>
    </row>
    <row r="18484" spans="9:10" x14ac:dyDescent="0.35">
      <c r="I18484" s="63"/>
      <c r="J18484" s="63"/>
    </row>
    <row r="18485" spans="9:10" x14ac:dyDescent="0.35">
      <c r="I18485" s="63"/>
      <c r="J18485" s="63"/>
    </row>
    <row r="18486" spans="9:10" x14ac:dyDescent="0.35">
      <c r="I18486" s="63"/>
      <c r="J18486" s="63"/>
    </row>
    <row r="18487" spans="9:10" x14ac:dyDescent="0.35">
      <c r="I18487" s="63"/>
      <c r="J18487" s="63"/>
    </row>
    <row r="18488" spans="9:10" x14ac:dyDescent="0.35">
      <c r="I18488" s="63"/>
      <c r="J18488" s="63"/>
    </row>
    <row r="18489" spans="9:10" x14ac:dyDescent="0.35">
      <c r="I18489" s="63"/>
      <c r="J18489" s="63"/>
    </row>
    <row r="18490" spans="9:10" x14ac:dyDescent="0.35">
      <c r="I18490" s="63"/>
      <c r="J18490" s="63"/>
    </row>
    <row r="18491" spans="9:10" x14ac:dyDescent="0.35">
      <c r="I18491" s="63"/>
      <c r="J18491" s="63"/>
    </row>
    <row r="18492" spans="9:10" x14ac:dyDescent="0.35">
      <c r="I18492" s="63"/>
      <c r="J18492" s="63"/>
    </row>
    <row r="18493" spans="9:10" x14ac:dyDescent="0.35">
      <c r="I18493" s="63"/>
      <c r="J18493" s="63"/>
    </row>
    <row r="18494" spans="9:10" x14ac:dyDescent="0.35">
      <c r="I18494" s="63"/>
      <c r="J18494" s="63"/>
    </row>
    <row r="18495" spans="9:10" x14ac:dyDescent="0.35">
      <c r="I18495" s="63"/>
      <c r="J18495" s="63"/>
    </row>
    <row r="18496" spans="9:10" x14ac:dyDescent="0.35">
      <c r="I18496" s="63"/>
      <c r="J18496" s="63"/>
    </row>
    <row r="18497" spans="9:10" x14ac:dyDescent="0.35">
      <c r="I18497" s="63"/>
      <c r="J18497" s="63"/>
    </row>
    <row r="18498" spans="9:10" x14ac:dyDescent="0.35">
      <c r="I18498" s="63"/>
      <c r="J18498" s="63"/>
    </row>
    <row r="18499" spans="9:10" x14ac:dyDescent="0.35">
      <c r="I18499" s="63"/>
      <c r="J18499" s="63"/>
    </row>
    <row r="18500" spans="9:10" x14ac:dyDescent="0.35">
      <c r="I18500" s="63"/>
      <c r="J18500" s="63"/>
    </row>
    <row r="18501" spans="9:10" x14ac:dyDescent="0.35">
      <c r="I18501" s="63"/>
      <c r="J18501" s="63"/>
    </row>
    <row r="18502" spans="9:10" x14ac:dyDescent="0.35">
      <c r="I18502" s="63"/>
      <c r="J18502" s="63"/>
    </row>
    <row r="18503" spans="9:10" x14ac:dyDescent="0.35">
      <c r="I18503" s="63"/>
      <c r="J18503" s="63"/>
    </row>
    <row r="18504" spans="9:10" x14ac:dyDescent="0.35">
      <c r="I18504" s="63"/>
      <c r="J18504" s="63"/>
    </row>
    <row r="18505" spans="9:10" x14ac:dyDescent="0.35">
      <c r="I18505" s="63"/>
      <c r="J18505" s="63"/>
    </row>
    <row r="18506" spans="9:10" x14ac:dyDescent="0.35">
      <c r="I18506" s="63"/>
      <c r="J18506" s="63"/>
    </row>
    <row r="18507" spans="9:10" x14ac:dyDescent="0.35">
      <c r="I18507" s="63"/>
      <c r="J18507" s="63"/>
    </row>
    <row r="18508" spans="9:10" x14ac:dyDescent="0.35">
      <c r="I18508" s="63"/>
      <c r="J18508" s="63"/>
    </row>
    <row r="18509" spans="9:10" x14ac:dyDescent="0.35">
      <c r="I18509" s="63"/>
      <c r="J18509" s="63"/>
    </row>
    <row r="18510" spans="9:10" x14ac:dyDescent="0.35">
      <c r="I18510" s="63"/>
      <c r="J18510" s="63"/>
    </row>
    <row r="18511" spans="9:10" x14ac:dyDescent="0.35">
      <c r="I18511" s="63"/>
      <c r="J18511" s="63"/>
    </row>
    <row r="18512" spans="9:10" x14ac:dyDescent="0.35">
      <c r="I18512" s="63"/>
      <c r="J18512" s="63"/>
    </row>
    <row r="18513" spans="9:10" x14ac:dyDescent="0.35">
      <c r="I18513" s="63"/>
      <c r="J18513" s="63"/>
    </row>
    <row r="18514" spans="9:10" x14ac:dyDescent="0.35">
      <c r="I18514" s="63"/>
      <c r="J18514" s="63"/>
    </row>
    <row r="18515" spans="9:10" x14ac:dyDescent="0.35">
      <c r="I18515" s="63"/>
      <c r="J18515" s="63"/>
    </row>
    <row r="18516" spans="9:10" x14ac:dyDescent="0.35">
      <c r="I18516" s="63"/>
      <c r="J18516" s="63"/>
    </row>
    <row r="18517" spans="9:10" x14ac:dyDescent="0.35">
      <c r="I18517" s="63"/>
      <c r="J18517" s="63"/>
    </row>
    <row r="18518" spans="9:10" x14ac:dyDescent="0.35">
      <c r="I18518" s="63"/>
      <c r="J18518" s="63"/>
    </row>
    <row r="18519" spans="9:10" x14ac:dyDescent="0.35">
      <c r="I18519" s="63"/>
      <c r="J18519" s="63"/>
    </row>
    <row r="18520" spans="9:10" x14ac:dyDescent="0.35">
      <c r="I18520" s="63"/>
      <c r="J18520" s="63"/>
    </row>
    <row r="18521" spans="9:10" x14ac:dyDescent="0.35">
      <c r="I18521" s="63"/>
      <c r="J18521" s="63"/>
    </row>
    <row r="18522" spans="9:10" x14ac:dyDescent="0.35">
      <c r="I18522" s="63"/>
      <c r="J18522" s="63"/>
    </row>
    <row r="18523" spans="9:10" x14ac:dyDescent="0.35">
      <c r="I18523" s="63"/>
      <c r="J18523" s="63"/>
    </row>
    <row r="18524" spans="9:10" x14ac:dyDescent="0.35">
      <c r="I18524" s="63"/>
      <c r="J18524" s="63"/>
    </row>
    <row r="18525" spans="9:10" x14ac:dyDescent="0.35">
      <c r="I18525" s="63"/>
      <c r="J18525" s="63"/>
    </row>
    <row r="18526" spans="9:10" x14ac:dyDescent="0.35">
      <c r="I18526" s="63"/>
      <c r="J18526" s="63"/>
    </row>
    <row r="18527" spans="9:10" x14ac:dyDescent="0.35">
      <c r="I18527" s="63"/>
      <c r="J18527" s="63"/>
    </row>
    <row r="18528" spans="9:10" x14ac:dyDescent="0.35">
      <c r="I18528" s="63"/>
      <c r="J18528" s="63"/>
    </row>
    <row r="18529" spans="9:10" x14ac:dyDescent="0.35">
      <c r="I18529" s="63"/>
      <c r="J18529" s="63"/>
    </row>
    <row r="18530" spans="9:10" x14ac:dyDescent="0.35">
      <c r="I18530" s="63"/>
      <c r="J18530" s="63"/>
    </row>
    <row r="18531" spans="9:10" x14ac:dyDescent="0.35">
      <c r="I18531" s="63"/>
      <c r="J18531" s="63"/>
    </row>
    <row r="18532" spans="9:10" x14ac:dyDescent="0.35">
      <c r="I18532" s="63"/>
      <c r="J18532" s="63"/>
    </row>
    <row r="18533" spans="9:10" x14ac:dyDescent="0.35">
      <c r="I18533" s="63"/>
      <c r="J18533" s="63"/>
    </row>
    <row r="18534" spans="9:10" x14ac:dyDescent="0.35">
      <c r="I18534" s="63"/>
      <c r="J18534" s="63"/>
    </row>
    <row r="18535" spans="9:10" x14ac:dyDescent="0.35">
      <c r="I18535" s="63"/>
      <c r="J18535" s="63"/>
    </row>
    <row r="18536" spans="9:10" x14ac:dyDescent="0.35">
      <c r="I18536" s="63"/>
      <c r="J18536" s="63"/>
    </row>
    <row r="18537" spans="9:10" x14ac:dyDescent="0.35">
      <c r="I18537" s="63"/>
      <c r="J18537" s="63"/>
    </row>
    <row r="18538" spans="9:10" x14ac:dyDescent="0.35">
      <c r="I18538" s="63"/>
      <c r="J18538" s="63"/>
    </row>
    <row r="18539" spans="9:10" x14ac:dyDescent="0.35">
      <c r="I18539" s="63"/>
      <c r="J18539" s="63"/>
    </row>
    <row r="18540" spans="9:10" x14ac:dyDescent="0.35">
      <c r="I18540" s="63"/>
      <c r="J18540" s="63"/>
    </row>
    <row r="18541" spans="9:10" x14ac:dyDescent="0.35">
      <c r="I18541" s="63"/>
      <c r="J18541" s="63"/>
    </row>
    <row r="18542" spans="9:10" x14ac:dyDescent="0.35">
      <c r="I18542" s="63"/>
      <c r="J18542" s="63"/>
    </row>
    <row r="18543" spans="9:10" x14ac:dyDescent="0.35">
      <c r="I18543" s="63"/>
      <c r="J18543" s="63"/>
    </row>
    <row r="18544" spans="9:10" x14ac:dyDescent="0.35">
      <c r="I18544" s="63"/>
      <c r="J18544" s="63"/>
    </row>
    <row r="18545" spans="9:10" x14ac:dyDescent="0.35">
      <c r="I18545" s="63"/>
      <c r="J18545" s="63"/>
    </row>
    <row r="18546" spans="9:10" x14ac:dyDescent="0.35">
      <c r="I18546" s="63"/>
      <c r="J18546" s="63"/>
    </row>
    <row r="18547" spans="9:10" x14ac:dyDescent="0.35">
      <c r="I18547" s="63"/>
      <c r="J18547" s="63"/>
    </row>
    <row r="18548" spans="9:10" x14ac:dyDescent="0.35">
      <c r="I18548" s="63"/>
      <c r="J18548" s="63"/>
    </row>
    <row r="18549" spans="9:10" x14ac:dyDescent="0.35">
      <c r="I18549" s="63"/>
      <c r="J18549" s="63"/>
    </row>
    <row r="18550" spans="9:10" x14ac:dyDescent="0.35">
      <c r="I18550" s="63"/>
      <c r="J18550" s="63"/>
    </row>
    <row r="18551" spans="9:10" x14ac:dyDescent="0.35">
      <c r="I18551" s="63"/>
      <c r="J18551" s="63"/>
    </row>
    <row r="18552" spans="9:10" x14ac:dyDescent="0.35">
      <c r="I18552" s="63"/>
      <c r="J18552" s="63"/>
    </row>
    <row r="18553" spans="9:10" x14ac:dyDescent="0.35">
      <c r="I18553" s="63"/>
      <c r="J18553" s="63"/>
    </row>
    <row r="18554" spans="9:10" x14ac:dyDescent="0.35">
      <c r="I18554" s="63"/>
      <c r="J18554" s="63"/>
    </row>
    <row r="18555" spans="9:10" x14ac:dyDescent="0.35">
      <c r="I18555" s="63"/>
      <c r="J18555" s="63"/>
    </row>
    <row r="18556" spans="9:10" x14ac:dyDescent="0.35">
      <c r="I18556" s="63"/>
      <c r="J18556" s="63"/>
    </row>
    <row r="18557" spans="9:10" x14ac:dyDescent="0.35">
      <c r="I18557" s="63"/>
      <c r="J18557" s="63"/>
    </row>
    <row r="18558" spans="9:10" x14ac:dyDescent="0.35">
      <c r="I18558" s="63"/>
      <c r="J18558" s="63"/>
    </row>
    <row r="18559" spans="9:10" x14ac:dyDescent="0.35">
      <c r="I18559" s="63"/>
      <c r="J18559" s="63"/>
    </row>
    <row r="18560" spans="9:10" x14ac:dyDescent="0.35">
      <c r="I18560" s="63"/>
      <c r="J18560" s="63"/>
    </row>
    <row r="18561" spans="9:10" x14ac:dyDescent="0.35">
      <c r="I18561" s="63"/>
      <c r="J18561" s="63"/>
    </row>
    <row r="18562" spans="9:10" x14ac:dyDescent="0.35">
      <c r="I18562" s="63"/>
      <c r="J18562" s="63"/>
    </row>
    <row r="18563" spans="9:10" x14ac:dyDescent="0.35">
      <c r="I18563" s="63"/>
      <c r="J18563" s="63"/>
    </row>
    <row r="18564" spans="9:10" x14ac:dyDescent="0.35">
      <c r="I18564" s="63"/>
      <c r="J18564" s="63"/>
    </row>
    <row r="18565" spans="9:10" x14ac:dyDescent="0.35">
      <c r="I18565" s="63"/>
      <c r="J18565" s="63"/>
    </row>
    <row r="18566" spans="9:10" x14ac:dyDescent="0.35">
      <c r="I18566" s="63"/>
      <c r="J18566" s="63"/>
    </row>
    <row r="18567" spans="9:10" x14ac:dyDescent="0.35">
      <c r="I18567" s="63"/>
      <c r="J18567" s="63"/>
    </row>
    <row r="18568" spans="9:10" x14ac:dyDescent="0.35">
      <c r="I18568" s="63"/>
      <c r="J18568" s="63"/>
    </row>
    <row r="18569" spans="9:10" x14ac:dyDescent="0.35">
      <c r="I18569" s="63"/>
      <c r="J18569" s="63"/>
    </row>
    <row r="18570" spans="9:10" x14ac:dyDescent="0.35">
      <c r="I18570" s="63"/>
      <c r="J18570" s="63"/>
    </row>
    <row r="18571" spans="9:10" x14ac:dyDescent="0.35">
      <c r="I18571" s="63"/>
      <c r="J18571" s="63"/>
    </row>
    <row r="18572" spans="9:10" x14ac:dyDescent="0.35">
      <c r="I18572" s="63"/>
      <c r="J18572" s="63"/>
    </row>
    <row r="18573" spans="9:10" x14ac:dyDescent="0.35">
      <c r="I18573" s="63"/>
      <c r="J18573" s="63"/>
    </row>
    <row r="18574" spans="9:10" x14ac:dyDescent="0.35">
      <c r="I18574" s="63"/>
      <c r="J18574" s="63"/>
    </row>
    <row r="18575" spans="9:10" x14ac:dyDescent="0.35">
      <c r="I18575" s="63"/>
      <c r="J18575" s="63"/>
    </row>
    <row r="18576" spans="9:10" x14ac:dyDescent="0.35">
      <c r="I18576" s="63"/>
      <c r="J18576" s="63"/>
    </row>
    <row r="18577" spans="9:10" x14ac:dyDescent="0.35">
      <c r="I18577" s="63"/>
      <c r="J18577" s="63"/>
    </row>
    <row r="18578" spans="9:10" x14ac:dyDescent="0.35">
      <c r="I18578" s="63"/>
      <c r="J18578" s="63"/>
    </row>
    <row r="18579" spans="9:10" x14ac:dyDescent="0.35">
      <c r="I18579" s="63"/>
      <c r="J18579" s="63"/>
    </row>
    <row r="18580" spans="9:10" x14ac:dyDescent="0.35">
      <c r="I18580" s="63"/>
      <c r="J18580" s="63"/>
    </row>
    <row r="18581" spans="9:10" x14ac:dyDescent="0.35">
      <c r="I18581" s="63"/>
      <c r="J18581" s="63"/>
    </row>
    <row r="18582" spans="9:10" x14ac:dyDescent="0.35">
      <c r="I18582" s="63"/>
      <c r="J18582" s="63"/>
    </row>
    <row r="18583" spans="9:10" x14ac:dyDescent="0.35">
      <c r="I18583" s="63"/>
      <c r="J18583" s="63"/>
    </row>
    <row r="18584" spans="9:10" x14ac:dyDescent="0.35">
      <c r="I18584" s="63"/>
      <c r="J18584" s="63"/>
    </row>
    <row r="18585" spans="9:10" x14ac:dyDescent="0.35">
      <c r="I18585" s="63"/>
      <c r="J18585" s="63"/>
    </row>
    <row r="18586" spans="9:10" x14ac:dyDescent="0.35">
      <c r="I18586" s="63"/>
      <c r="J18586" s="63"/>
    </row>
    <row r="18587" spans="9:10" x14ac:dyDescent="0.35">
      <c r="I18587" s="63"/>
      <c r="J18587" s="63"/>
    </row>
    <row r="18588" spans="9:10" x14ac:dyDescent="0.35">
      <c r="I18588" s="63"/>
      <c r="J18588" s="63"/>
    </row>
    <row r="18589" spans="9:10" x14ac:dyDescent="0.35">
      <c r="I18589" s="63"/>
      <c r="J18589" s="63"/>
    </row>
    <row r="18590" spans="9:10" x14ac:dyDescent="0.35">
      <c r="I18590" s="63"/>
      <c r="J18590" s="63"/>
    </row>
    <row r="18591" spans="9:10" x14ac:dyDescent="0.35">
      <c r="I18591" s="63"/>
      <c r="J18591" s="63"/>
    </row>
    <row r="18592" spans="9:10" x14ac:dyDescent="0.35">
      <c r="I18592" s="63"/>
      <c r="J18592" s="63"/>
    </row>
    <row r="18593" spans="9:10" x14ac:dyDescent="0.35">
      <c r="I18593" s="63"/>
      <c r="J18593" s="63"/>
    </row>
    <row r="18594" spans="9:10" x14ac:dyDescent="0.35">
      <c r="I18594" s="63"/>
      <c r="J18594" s="63"/>
    </row>
    <row r="18595" spans="9:10" x14ac:dyDescent="0.35">
      <c r="I18595" s="63"/>
      <c r="J18595" s="63"/>
    </row>
    <row r="18596" spans="9:10" x14ac:dyDescent="0.35">
      <c r="I18596" s="63"/>
      <c r="J18596" s="63"/>
    </row>
    <row r="18597" spans="9:10" x14ac:dyDescent="0.35">
      <c r="I18597" s="63"/>
      <c r="J18597" s="63"/>
    </row>
    <row r="18598" spans="9:10" x14ac:dyDescent="0.35">
      <c r="I18598" s="63"/>
      <c r="J18598" s="63"/>
    </row>
    <row r="18599" spans="9:10" x14ac:dyDescent="0.35">
      <c r="I18599" s="63"/>
      <c r="J18599" s="63"/>
    </row>
    <row r="18600" spans="9:10" x14ac:dyDescent="0.35">
      <c r="I18600" s="63"/>
      <c r="J18600" s="63"/>
    </row>
    <row r="18601" spans="9:10" x14ac:dyDescent="0.35">
      <c r="I18601" s="63"/>
      <c r="J18601" s="63"/>
    </row>
    <row r="18602" spans="9:10" x14ac:dyDescent="0.35">
      <c r="I18602" s="63"/>
      <c r="J18602" s="63"/>
    </row>
    <row r="18603" spans="9:10" x14ac:dyDescent="0.35">
      <c r="I18603" s="63"/>
      <c r="J18603" s="63"/>
    </row>
    <row r="18604" spans="9:10" x14ac:dyDescent="0.35">
      <c r="I18604" s="63"/>
      <c r="J18604" s="63"/>
    </row>
    <row r="18605" spans="9:10" x14ac:dyDescent="0.35">
      <c r="I18605" s="63"/>
      <c r="J18605" s="63"/>
    </row>
    <row r="18606" spans="9:10" x14ac:dyDescent="0.35">
      <c r="I18606" s="63"/>
      <c r="J18606" s="63"/>
    </row>
    <row r="18607" spans="9:10" x14ac:dyDescent="0.35">
      <c r="I18607" s="63"/>
      <c r="J18607" s="63"/>
    </row>
    <row r="18608" spans="9:10" x14ac:dyDescent="0.35">
      <c r="I18608" s="63"/>
      <c r="J18608" s="63"/>
    </row>
    <row r="18609" spans="9:10" x14ac:dyDescent="0.35">
      <c r="I18609" s="63"/>
      <c r="J18609" s="63"/>
    </row>
    <row r="18610" spans="9:10" x14ac:dyDescent="0.35">
      <c r="I18610" s="63"/>
      <c r="J18610" s="63"/>
    </row>
    <row r="18611" spans="9:10" x14ac:dyDescent="0.35">
      <c r="I18611" s="63"/>
      <c r="J18611" s="63"/>
    </row>
    <row r="18612" spans="9:10" x14ac:dyDescent="0.35">
      <c r="I18612" s="63"/>
      <c r="J18612" s="63"/>
    </row>
    <row r="18613" spans="9:10" x14ac:dyDescent="0.35">
      <c r="I18613" s="63"/>
      <c r="J18613" s="63"/>
    </row>
    <row r="18614" spans="9:10" x14ac:dyDescent="0.35">
      <c r="I18614" s="63"/>
      <c r="J18614" s="63"/>
    </row>
    <row r="18615" spans="9:10" x14ac:dyDescent="0.35">
      <c r="I18615" s="63"/>
      <c r="J18615" s="63"/>
    </row>
    <row r="18616" spans="9:10" x14ac:dyDescent="0.35">
      <c r="I18616" s="63"/>
      <c r="J18616" s="63"/>
    </row>
    <row r="18617" spans="9:10" x14ac:dyDescent="0.35">
      <c r="I18617" s="63"/>
      <c r="J18617" s="63"/>
    </row>
    <row r="18618" spans="9:10" x14ac:dyDescent="0.35">
      <c r="I18618" s="63"/>
      <c r="J18618" s="63"/>
    </row>
    <row r="18619" spans="9:10" x14ac:dyDescent="0.35">
      <c r="I18619" s="63"/>
      <c r="J18619" s="63"/>
    </row>
    <row r="18620" spans="9:10" x14ac:dyDescent="0.35">
      <c r="I18620" s="63"/>
      <c r="J18620" s="63"/>
    </row>
    <row r="18621" spans="9:10" x14ac:dyDescent="0.35">
      <c r="I18621" s="63"/>
      <c r="J18621" s="63"/>
    </row>
    <row r="18622" spans="9:10" x14ac:dyDescent="0.35">
      <c r="I18622" s="63"/>
      <c r="J18622" s="63"/>
    </row>
    <row r="18623" spans="9:10" x14ac:dyDescent="0.35">
      <c r="I18623" s="63"/>
      <c r="J18623" s="63"/>
    </row>
    <row r="18624" spans="9:10" x14ac:dyDescent="0.35">
      <c r="I18624" s="63"/>
      <c r="J18624" s="63"/>
    </row>
    <row r="18625" spans="9:10" x14ac:dyDescent="0.35">
      <c r="I18625" s="63"/>
      <c r="J18625" s="63"/>
    </row>
    <row r="18626" spans="9:10" x14ac:dyDescent="0.35">
      <c r="I18626" s="63"/>
      <c r="J18626" s="63"/>
    </row>
    <row r="18627" spans="9:10" x14ac:dyDescent="0.35">
      <c r="I18627" s="63"/>
      <c r="J18627" s="63"/>
    </row>
    <row r="18628" spans="9:10" x14ac:dyDescent="0.35">
      <c r="I18628" s="63"/>
      <c r="J18628" s="63"/>
    </row>
    <row r="18629" spans="9:10" x14ac:dyDescent="0.35">
      <c r="I18629" s="63"/>
      <c r="J18629" s="63"/>
    </row>
    <row r="18630" spans="9:10" x14ac:dyDescent="0.35">
      <c r="I18630" s="63"/>
      <c r="J18630" s="63"/>
    </row>
    <row r="18631" spans="9:10" x14ac:dyDescent="0.35">
      <c r="I18631" s="63"/>
      <c r="J18631" s="63"/>
    </row>
    <row r="18632" spans="9:10" x14ac:dyDescent="0.35">
      <c r="I18632" s="63"/>
      <c r="J18632" s="63"/>
    </row>
    <row r="18633" spans="9:10" x14ac:dyDescent="0.35">
      <c r="I18633" s="63"/>
      <c r="J18633" s="63"/>
    </row>
    <row r="18634" spans="9:10" x14ac:dyDescent="0.35">
      <c r="I18634" s="63"/>
      <c r="J18634" s="63"/>
    </row>
    <row r="18635" spans="9:10" x14ac:dyDescent="0.35">
      <c r="I18635" s="63"/>
      <c r="J18635" s="63"/>
    </row>
    <row r="18636" spans="9:10" x14ac:dyDescent="0.35">
      <c r="I18636" s="63"/>
      <c r="J18636" s="63"/>
    </row>
    <row r="18637" spans="9:10" x14ac:dyDescent="0.35">
      <c r="I18637" s="63"/>
      <c r="J18637" s="63"/>
    </row>
    <row r="18638" spans="9:10" x14ac:dyDescent="0.35">
      <c r="I18638" s="63"/>
      <c r="J18638" s="63"/>
    </row>
    <row r="18639" spans="9:10" x14ac:dyDescent="0.35">
      <c r="I18639" s="63"/>
      <c r="J18639" s="63"/>
    </row>
    <row r="18640" spans="9:10" x14ac:dyDescent="0.35">
      <c r="I18640" s="63"/>
      <c r="J18640" s="63"/>
    </row>
    <row r="18641" spans="9:10" x14ac:dyDescent="0.35">
      <c r="I18641" s="63"/>
      <c r="J18641" s="63"/>
    </row>
    <row r="18642" spans="9:10" x14ac:dyDescent="0.35">
      <c r="I18642" s="63"/>
      <c r="J18642" s="63"/>
    </row>
    <row r="18643" spans="9:10" x14ac:dyDescent="0.35">
      <c r="I18643" s="63"/>
      <c r="J18643" s="63"/>
    </row>
    <row r="18644" spans="9:10" x14ac:dyDescent="0.35">
      <c r="I18644" s="63"/>
      <c r="J18644" s="63"/>
    </row>
    <row r="18645" spans="9:10" x14ac:dyDescent="0.35">
      <c r="I18645" s="63"/>
      <c r="J18645" s="63"/>
    </row>
    <row r="18646" spans="9:10" x14ac:dyDescent="0.35">
      <c r="I18646" s="63"/>
      <c r="J18646" s="63"/>
    </row>
    <row r="18647" spans="9:10" x14ac:dyDescent="0.35">
      <c r="I18647" s="63"/>
      <c r="J18647" s="63"/>
    </row>
    <row r="18648" spans="9:10" x14ac:dyDescent="0.35">
      <c r="I18648" s="63"/>
      <c r="J18648" s="63"/>
    </row>
    <row r="18649" spans="9:10" x14ac:dyDescent="0.35">
      <c r="I18649" s="63"/>
      <c r="J18649" s="63"/>
    </row>
    <row r="18650" spans="9:10" x14ac:dyDescent="0.35">
      <c r="I18650" s="63"/>
      <c r="J18650" s="63"/>
    </row>
    <row r="18651" spans="9:10" x14ac:dyDescent="0.35">
      <c r="I18651" s="63"/>
      <c r="J18651" s="63"/>
    </row>
    <row r="18652" spans="9:10" x14ac:dyDescent="0.35">
      <c r="I18652" s="63"/>
      <c r="J18652" s="63"/>
    </row>
    <row r="18653" spans="9:10" x14ac:dyDescent="0.35">
      <c r="I18653" s="63"/>
      <c r="J18653" s="63"/>
    </row>
    <row r="18654" spans="9:10" x14ac:dyDescent="0.35">
      <c r="I18654" s="63"/>
      <c r="J18654" s="63"/>
    </row>
    <row r="18655" spans="9:10" x14ac:dyDescent="0.35">
      <c r="I18655" s="63"/>
      <c r="J18655" s="63"/>
    </row>
    <row r="18656" spans="9:10" x14ac:dyDescent="0.35">
      <c r="I18656" s="63"/>
      <c r="J18656" s="63"/>
    </row>
    <row r="18657" spans="9:10" x14ac:dyDescent="0.35">
      <c r="I18657" s="63"/>
      <c r="J18657" s="63"/>
    </row>
    <row r="18658" spans="9:10" x14ac:dyDescent="0.35">
      <c r="I18658" s="63"/>
      <c r="J18658" s="63"/>
    </row>
    <row r="18659" spans="9:10" x14ac:dyDescent="0.35">
      <c r="I18659" s="63"/>
      <c r="J18659" s="63"/>
    </row>
    <row r="18660" spans="9:10" x14ac:dyDescent="0.35">
      <c r="I18660" s="63"/>
      <c r="J18660" s="63"/>
    </row>
    <row r="18661" spans="9:10" x14ac:dyDescent="0.35">
      <c r="I18661" s="63"/>
      <c r="J18661" s="63"/>
    </row>
    <row r="18662" spans="9:10" x14ac:dyDescent="0.35">
      <c r="I18662" s="63"/>
      <c r="J18662" s="63"/>
    </row>
    <row r="18663" spans="9:10" x14ac:dyDescent="0.35">
      <c r="I18663" s="63"/>
      <c r="J18663" s="63"/>
    </row>
    <row r="18664" spans="9:10" x14ac:dyDescent="0.35">
      <c r="I18664" s="63"/>
      <c r="J18664" s="63"/>
    </row>
    <row r="18665" spans="9:10" x14ac:dyDescent="0.35">
      <c r="I18665" s="63"/>
      <c r="J18665" s="63"/>
    </row>
    <row r="18666" spans="9:10" x14ac:dyDescent="0.35">
      <c r="I18666" s="63"/>
      <c r="J18666" s="63"/>
    </row>
    <row r="18667" spans="9:10" x14ac:dyDescent="0.35">
      <c r="I18667" s="63"/>
      <c r="J18667" s="63"/>
    </row>
    <row r="18668" spans="9:10" x14ac:dyDescent="0.35">
      <c r="I18668" s="63"/>
      <c r="J18668" s="63"/>
    </row>
    <row r="18669" spans="9:10" x14ac:dyDescent="0.35">
      <c r="I18669" s="63"/>
      <c r="J18669" s="63"/>
    </row>
    <row r="18670" spans="9:10" x14ac:dyDescent="0.35">
      <c r="I18670" s="63"/>
      <c r="J18670" s="63"/>
    </row>
    <row r="18671" spans="9:10" x14ac:dyDescent="0.35">
      <c r="I18671" s="63"/>
      <c r="J18671" s="63"/>
    </row>
    <row r="18672" spans="9:10" x14ac:dyDescent="0.35">
      <c r="I18672" s="63"/>
      <c r="J18672" s="63"/>
    </row>
    <row r="18673" spans="9:10" x14ac:dyDescent="0.35">
      <c r="I18673" s="63"/>
      <c r="J18673" s="63"/>
    </row>
    <row r="18674" spans="9:10" x14ac:dyDescent="0.35">
      <c r="I18674" s="63"/>
      <c r="J18674" s="63"/>
    </row>
    <row r="18675" spans="9:10" x14ac:dyDescent="0.35">
      <c r="I18675" s="63"/>
      <c r="J18675" s="63"/>
    </row>
    <row r="18676" spans="9:10" x14ac:dyDescent="0.35">
      <c r="I18676" s="63"/>
      <c r="J18676" s="63"/>
    </row>
    <row r="18677" spans="9:10" x14ac:dyDescent="0.35">
      <c r="I18677" s="63"/>
      <c r="J18677" s="63"/>
    </row>
    <row r="18678" spans="9:10" x14ac:dyDescent="0.35">
      <c r="I18678" s="63"/>
      <c r="J18678" s="63"/>
    </row>
    <row r="18679" spans="9:10" x14ac:dyDescent="0.35">
      <c r="I18679" s="63"/>
      <c r="J18679" s="63"/>
    </row>
    <row r="18680" spans="9:10" x14ac:dyDescent="0.35">
      <c r="I18680" s="63"/>
      <c r="J18680" s="63"/>
    </row>
    <row r="18681" spans="9:10" x14ac:dyDescent="0.35">
      <c r="I18681" s="63"/>
      <c r="J18681" s="63"/>
    </row>
    <row r="18682" spans="9:10" x14ac:dyDescent="0.35">
      <c r="I18682" s="63"/>
      <c r="J18682" s="63"/>
    </row>
    <row r="18683" spans="9:10" x14ac:dyDescent="0.35">
      <c r="I18683" s="63"/>
      <c r="J18683" s="63"/>
    </row>
    <row r="18684" spans="9:10" x14ac:dyDescent="0.35">
      <c r="I18684" s="63"/>
      <c r="J18684" s="63"/>
    </row>
    <row r="18685" spans="9:10" x14ac:dyDescent="0.35">
      <c r="I18685" s="63"/>
      <c r="J18685" s="63"/>
    </row>
    <row r="18686" spans="9:10" x14ac:dyDescent="0.35">
      <c r="I18686" s="63"/>
      <c r="J18686" s="63"/>
    </row>
    <row r="18687" spans="9:10" x14ac:dyDescent="0.35">
      <c r="I18687" s="63"/>
      <c r="J18687" s="63"/>
    </row>
    <row r="18688" spans="9:10" x14ac:dyDescent="0.35">
      <c r="I18688" s="63"/>
      <c r="J18688" s="63"/>
    </row>
    <row r="18689" spans="9:10" x14ac:dyDescent="0.35">
      <c r="I18689" s="63"/>
      <c r="J18689" s="63"/>
    </row>
    <row r="18690" spans="9:10" x14ac:dyDescent="0.35">
      <c r="I18690" s="63"/>
      <c r="J18690" s="63"/>
    </row>
    <row r="18691" spans="9:10" x14ac:dyDescent="0.35">
      <c r="I18691" s="63"/>
      <c r="J18691" s="63"/>
    </row>
    <row r="18692" spans="9:10" x14ac:dyDescent="0.35">
      <c r="I18692" s="63"/>
      <c r="J18692" s="63"/>
    </row>
    <row r="18693" spans="9:10" x14ac:dyDescent="0.35">
      <c r="I18693" s="63"/>
      <c r="J18693" s="63"/>
    </row>
    <row r="18694" spans="9:10" x14ac:dyDescent="0.35">
      <c r="I18694" s="63"/>
      <c r="J18694" s="63"/>
    </row>
    <row r="18695" spans="9:10" x14ac:dyDescent="0.35">
      <c r="I18695" s="63"/>
      <c r="J18695" s="63"/>
    </row>
    <row r="18696" spans="9:10" x14ac:dyDescent="0.35">
      <c r="I18696" s="63"/>
      <c r="J18696" s="63"/>
    </row>
    <row r="18697" spans="9:10" x14ac:dyDescent="0.35">
      <c r="I18697" s="63"/>
      <c r="J18697" s="63"/>
    </row>
    <row r="18698" spans="9:10" x14ac:dyDescent="0.35">
      <c r="I18698" s="63"/>
      <c r="J18698" s="63"/>
    </row>
    <row r="18699" spans="9:10" x14ac:dyDescent="0.35">
      <c r="I18699" s="63"/>
      <c r="J18699" s="63"/>
    </row>
    <row r="18700" spans="9:10" x14ac:dyDescent="0.35">
      <c r="I18700" s="63"/>
      <c r="J18700" s="63"/>
    </row>
    <row r="18701" spans="9:10" x14ac:dyDescent="0.35">
      <c r="I18701" s="63"/>
      <c r="J18701" s="63"/>
    </row>
    <row r="18702" spans="9:10" x14ac:dyDescent="0.35">
      <c r="I18702" s="63"/>
      <c r="J18702" s="63"/>
    </row>
    <row r="18703" spans="9:10" x14ac:dyDescent="0.35">
      <c r="I18703" s="63"/>
      <c r="J18703" s="63"/>
    </row>
    <row r="18704" spans="9:10" x14ac:dyDescent="0.35">
      <c r="I18704" s="63"/>
      <c r="J18704" s="63"/>
    </row>
    <row r="18705" spans="9:10" x14ac:dyDescent="0.35">
      <c r="I18705" s="63"/>
      <c r="J18705" s="63"/>
    </row>
    <row r="18706" spans="9:10" x14ac:dyDescent="0.35">
      <c r="I18706" s="63"/>
      <c r="J18706" s="63"/>
    </row>
    <row r="18707" spans="9:10" x14ac:dyDescent="0.35">
      <c r="I18707" s="63"/>
      <c r="J18707" s="63"/>
    </row>
    <row r="18708" spans="9:10" x14ac:dyDescent="0.35">
      <c r="I18708" s="63"/>
      <c r="J18708" s="63"/>
    </row>
    <row r="18709" spans="9:10" x14ac:dyDescent="0.35">
      <c r="I18709" s="63"/>
      <c r="J18709" s="63"/>
    </row>
    <row r="18710" spans="9:10" x14ac:dyDescent="0.35">
      <c r="I18710" s="63"/>
      <c r="J18710" s="63"/>
    </row>
    <row r="18711" spans="9:10" x14ac:dyDescent="0.35">
      <c r="I18711" s="63"/>
      <c r="J18711" s="63"/>
    </row>
    <row r="18712" spans="9:10" x14ac:dyDescent="0.35">
      <c r="I18712" s="63"/>
      <c r="J18712" s="63"/>
    </row>
    <row r="18713" spans="9:10" x14ac:dyDescent="0.35">
      <c r="I18713" s="63"/>
      <c r="J18713" s="63"/>
    </row>
    <row r="18714" spans="9:10" x14ac:dyDescent="0.35">
      <c r="I18714" s="63"/>
      <c r="J18714" s="63"/>
    </row>
    <row r="18715" spans="9:10" x14ac:dyDescent="0.35">
      <c r="I18715" s="63"/>
      <c r="J18715" s="63"/>
    </row>
    <row r="18716" spans="9:10" x14ac:dyDescent="0.35">
      <c r="I18716" s="63"/>
      <c r="J18716" s="63"/>
    </row>
    <row r="18717" spans="9:10" x14ac:dyDescent="0.35">
      <c r="I18717" s="63"/>
      <c r="J18717" s="63"/>
    </row>
    <row r="18718" spans="9:10" x14ac:dyDescent="0.35">
      <c r="I18718" s="63"/>
      <c r="J18718" s="63"/>
    </row>
    <row r="18719" spans="9:10" x14ac:dyDescent="0.35">
      <c r="I18719" s="63"/>
      <c r="J18719" s="63"/>
    </row>
    <row r="18720" spans="9:10" x14ac:dyDescent="0.35">
      <c r="I18720" s="63"/>
      <c r="J18720" s="63"/>
    </row>
    <row r="18721" spans="9:10" x14ac:dyDescent="0.35">
      <c r="I18721" s="63"/>
      <c r="J18721" s="63"/>
    </row>
    <row r="18722" spans="9:10" x14ac:dyDescent="0.35">
      <c r="I18722" s="63"/>
      <c r="J18722" s="63"/>
    </row>
    <row r="18723" spans="9:10" x14ac:dyDescent="0.35">
      <c r="I18723" s="63"/>
      <c r="J18723" s="63"/>
    </row>
    <row r="18724" spans="9:10" x14ac:dyDescent="0.35">
      <c r="I18724" s="63"/>
      <c r="J18724" s="63"/>
    </row>
    <row r="18725" spans="9:10" x14ac:dyDescent="0.35">
      <c r="I18725" s="63"/>
      <c r="J18725" s="63"/>
    </row>
    <row r="18726" spans="9:10" x14ac:dyDescent="0.35">
      <c r="I18726" s="63"/>
      <c r="J18726" s="63"/>
    </row>
    <row r="18727" spans="9:10" x14ac:dyDescent="0.35">
      <c r="I18727" s="63"/>
      <c r="J18727" s="63"/>
    </row>
    <row r="18728" spans="9:10" x14ac:dyDescent="0.35">
      <c r="I18728" s="63"/>
      <c r="J18728" s="63"/>
    </row>
    <row r="18729" spans="9:10" x14ac:dyDescent="0.35">
      <c r="I18729" s="63"/>
      <c r="J18729" s="63"/>
    </row>
    <row r="18730" spans="9:10" x14ac:dyDescent="0.35">
      <c r="I18730" s="63"/>
      <c r="J18730" s="63"/>
    </row>
    <row r="18731" spans="9:10" x14ac:dyDescent="0.35">
      <c r="I18731" s="63"/>
      <c r="J18731" s="63"/>
    </row>
    <row r="18732" spans="9:10" x14ac:dyDescent="0.35">
      <c r="I18732" s="63"/>
      <c r="J18732" s="63"/>
    </row>
    <row r="18733" spans="9:10" x14ac:dyDescent="0.35">
      <c r="I18733" s="63"/>
      <c r="J18733" s="63"/>
    </row>
    <row r="18734" spans="9:10" x14ac:dyDescent="0.35">
      <c r="I18734" s="63"/>
      <c r="J18734" s="63"/>
    </row>
    <row r="18735" spans="9:10" x14ac:dyDescent="0.35">
      <c r="I18735" s="63"/>
      <c r="J18735" s="63"/>
    </row>
    <row r="18736" spans="9:10" x14ac:dyDescent="0.35">
      <c r="I18736" s="63"/>
      <c r="J18736" s="63"/>
    </row>
    <row r="18737" spans="9:10" x14ac:dyDescent="0.35">
      <c r="I18737" s="63"/>
      <c r="J18737" s="63"/>
    </row>
    <row r="18738" spans="9:10" x14ac:dyDescent="0.35">
      <c r="I18738" s="63"/>
      <c r="J18738" s="63"/>
    </row>
    <row r="18739" spans="9:10" x14ac:dyDescent="0.35">
      <c r="I18739" s="63"/>
      <c r="J18739" s="63"/>
    </row>
    <row r="18740" spans="9:10" x14ac:dyDescent="0.35">
      <c r="I18740" s="63"/>
      <c r="J18740" s="63"/>
    </row>
    <row r="18741" spans="9:10" x14ac:dyDescent="0.35">
      <c r="I18741" s="63"/>
      <c r="J18741" s="63"/>
    </row>
    <row r="18742" spans="9:10" x14ac:dyDescent="0.35">
      <c r="I18742" s="63"/>
      <c r="J18742" s="63"/>
    </row>
    <row r="18743" spans="9:10" x14ac:dyDescent="0.35">
      <c r="I18743" s="63"/>
      <c r="J18743" s="63"/>
    </row>
    <row r="18744" spans="9:10" x14ac:dyDescent="0.35">
      <c r="I18744" s="63"/>
      <c r="J18744" s="63"/>
    </row>
    <row r="18745" spans="9:10" x14ac:dyDescent="0.35">
      <c r="I18745" s="63"/>
      <c r="J18745" s="63"/>
    </row>
    <row r="18746" spans="9:10" x14ac:dyDescent="0.35">
      <c r="I18746" s="63"/>
      <c r="J18746" s="63"/>
    </row>
    <row r="18747" spans="9:10" x14ac:dyDescent="0.35">
      <c r="I18747" s="63"/>
      <c r="J18747" s="63"/>
    </row>
    <row r="18748" spans="9:10" x14ac:dyDescent="0.35">
      <c r="I18748" s="63"/>
      <c r="J18748" s="63"/>
    </row>
    <row r="18749" spans="9:10" x14ac:dyDescent="0.35">
      <c r="I18749" s="63"/>
      <c r="J18749" s="63"/>
    </row>
    <row r="18750" spans="9:10" x14ac:dyDescent="0.35">
      <c r="I18750" s="63"/>
      <c r="J18750" s="63"/>
    </row>
    <row r="18751" spans="9:10" x14ac:dyDescent="0.35">
      <c r="I18751" s="63"/>
      <c r="J18751" s="63"/>
    </row>
    <row r="18752" spans="9:10" x14ac:dyDescent="0.35">
      <c r="I18752" s="63"/>
      <c r="J18752" s="63"/>
    </row>
    <row r="18753" spans="9:10" x14ac:dyDescent="0.35">
      <c r="I18753" s="63"/>
      <c r="J18753" s="63"/>
    </row>
    <row r="18754" spans="9:10" x14ac:dyDescent="0.35">
      <c r="I18754" s="63"/>
      <c r="J18754" s="63"/>
    </row>
    <row r="18755" spans="9:10" x14ac:dyDescent="0.35">
      <c r="I18755" s="63"/>
      <c r="J18755" s="63"/>
    </row>
    <row r="18756" spans="9:10" x14ac:dyDescent="0.35">
      <c r="I18756" s="63"/>
      <c r="J18756" s="63"/>
    </row>
    <row r="18757" spans="9:10" x14ac:dyDescent="0.35">
      <c r="I18757" s="63"/>
      <c r="J18757" s="63"/>
    </row>
    <row r="18758" spans="9:10" x14ac:dyDescent="0.35">
      <c r="I18758" s="63"/>
      <c r="J18758" s="63"/>
    </row>
    <row r="18759" spans="9:10" x14ac:dyDescent="0.35">
      <c r="I18759" s="63"/>
      <c r="J18759" s="63"/>
    </row>
    <row r="18760" spans="9:10" x14ac:dyDescent="0.35">
      <c r="I18760" s="63"/>
      <c r="J18760" s="63"/>
    </row>
    <row r="18761" spans="9:10" x14ac:dyDescent="0.35">
      <c r="I18761" s="63"/>
      <c r="J18761" s="63"/>
    </row>
    <row r="18762" spans="9:10" x14ac:dyDescent="0.35">
      <c r="I18762" s="63"/>
      <c r="J18762" s="63"/>
    </row>
    <row r="18763" spans="9:10" x14ac:dyDescent="0.35">
      <c r="I18763" s="63"/>
      <c r="J18763" s="63"/>
    </row>
    <row r="18764" spans="9:10" x14ac:dyDescent="0.35">
      <c r="I18764" s="63"/>
      <c r="J18764" s="63"/>
    </row>
    <row r="18765" spans="9:10" x14ac:dyDescent="0.35">
      <c r="I18765" s="63"/>
      <c r="J18765" s="63"/>
    </row>
    <row r="18766" spans="9:10" x14ac:dyDescent="0.35">
      <c r="I18766" s="63"/>
      <c r="J18766" s="63"/>
    </row>
    <row r="18767" spans="9:10" x14ac:dyDescent="0.35">
      <c r="I18767" s="63"/>
      <c r="J18767" s="63"/>
    </row>
    <row r="18768" spans="9:10" x14ac:dyDescent="0.35">
      <c r="I18768" s="63"/>
      <c r="J18768" s="63"/>
    </row>
    <row r="18769" spans="9:10" x14ac:dyDescent="0.35">
      <c r="I18769" s="63"/>
      <c r="J18769" s="63"/>
    </row>
    <row r="18770" spans="9:10" x14ac:dyDescent="0.35">
      <c r="I18770" s="63"/>
      <c r="J18770" s="63"/>
    </row>
    <row r="18771" spans="9:10" x14ac:dyDescent="0.35">
      <c r="I18771" s="63"/>
      <c r="J18771" s="63"/>
    </row>
    <row r="18772" spans="9:10" x14ac:dyDescent="0.35">
      <c r="I18772" s="63"/>
      <c r="J18772" s="63"/>
    </row>
    <row r="18773" spans="9:10" x14ac:dyDescent="0.35">
      <c r="I18773" s="63"/>
      <c r="J18773" s="63"/>
    </row>
    <row r="18774" spans="9:10" x14ac:dyDescent="0.35">
      <c r="I18774" s="63"/>
      <c r="J18774" s="63"/>
    </row>
    <row r="18775" spans="9:10" x14ac:dyDescent="0.35">
      <c r="I18775" s="63"/>
      <c r="J18775" s="63"/>
    </row>
    <row r="18776" spans="9:10" x14ac:dyDescent="0.35">
      <c r="I18776" s="63"/>
      <c r="J18776" s="63"/>
    </row>
    <row r="18777" spans="9:10" x14ac:dyDescent="0.35">
      <c r="I18777" s="63"/>
      <c r="J18777" s="63"/>
    </row>
    <row r="18778" spans="9:10" x14ac:dyDescent="0.35">
      <c r="I18778" s="63"/>
      <c r="J18778" s="63"/>
    </row>
    <row r="18779" spans="9:10" x14ac:dyDescent="0.35">
      <c r="I18779" s="63"/>
      <c r="J18779" s="63"/>
    </row>
    <row r="18780" spans="9:10" x14ac:dyDescent="0.35">
      <c r="I18780" s="63"/>
      <c r="J18780" s="63"/>
    </row>
    <row r="18781" spans="9:10" x14ac:dyDescent="0.35">
      <c r="I18781" s="63"/>
      <c r="J18781" s="63"/>
    </row>
    <row r="18782" spans="9:10" x14ac:dyDescent="0.35">
      <c r="I18782" s="63"/>
      <c r="J18782" s="63"/>
    </row>
    <row r="18783" spans="9:10" x14ac:dyDescent="0.35">
      <c r="I18783" s="63"/>
      <c r="J18783" s="63"/>
    </row>
    <row r="18784" spans="9:10" x14ac:dyDescent="0.35">
      <c r="I18784" s="63"/>
      <c r="J18784" s="63"/>
    </row>
    <row r="18785" spans="9:10" x14ac:dyDescent="0.35">
      <c r="I18785" s="63"/>
      <c r="J18785" s="63"/>
    </row>
    <row r="18786" spans="9:10" x14ac:dyDescent="0.35">
      <c r="I18786" s="63"/>
      <c r="J18786" s="63"/>
    </row>
    <row r="18787" spans="9:10" x14ac:dyDescent="0.35">
      <c r="I18787" s="63"/>
      <c r="J18787" s="63"/>
    </row>
    <row r="18788" spans="9:10" x14ac:dyDescent="0.35">
      <c r="I18788" s="63"/>
      <c r="J18788" s="63"/>
    </row>
    <row r="18789" spans="9:10" x14ac:dyDescent="0.35">
      <c r="I18789" s="63"/>
      <c r="J18789" s="63"/>
    </row>
    <row r="18790" spans="9:10" x14ac:dyDescent="0.35">
      <c r="I18790" s="63"/>
      <c r="J18790" s="63"/>
    </row>
    <row r="18791" spans="9:10" x14ac:dyDescent="0.35">
      <c r="I18791" s="63"/>
      <c r="J18791" s="63"/>
    </row>
    <row r="18792" spans="9:10" x14ac:dyDescent="0.35">
      <c r="I18792" s="63"/>
      <c r="J18792" s="63"/>
    </row>
    <row r="18793" spans="9:10" x14ac:dyDescent="0.35">
      <c r="I18793" s="63"/>
      <c r="J18793" s="63"/>
    </row>
    <row r="18794" spans="9:10" x14ac:dyDescent="0.35">
      <c r="I18794" s="63"/>
      <c r="J18794" s="63"/>
    </row>
    <row r="18795" spans="9:10" x14ac:dyDescent="0.35">
      <c r="I18795" s="63"/>
      <c r="J18795" s="63"/>
    </row>
    <row r="18796" spans="9:10" x14ac:dyDescent="0.35">
      <c r="I18796" s="63"/>
      <c r="J18796" s="63"/>
    </row>
    <row r="18797" spans="9:10" x14ac:dyDescent="0.35">
      <c r="I18797" s="63"/>
      <c r="J18797" s="63"/>
    </row>
    <row r="18798" spans="9:10" x14ac:dyDescent="0.35">
      <c r="I18798" s="63"/>
      <c r="J18798" s="63"/>
    </row>
    <row r="18799" spans="9:10" x14ac:dyDescent="0.35">
      <c r="I18799" s="63"/>
      <c r="J18799" s="63"/>
    </row>
    <row r="18800" spans="9:10" x14ac:dyDescent="0.35">
      <c r="I18800" s="63"/>
      <c r="J18800" s="63"/>
    </row>
    <row r="18801" spans="9:10" x14ac:dyDescent="0.35">
      <c r="I18801" s="63"/>
      <c r="J18801" s="63"/>
    </row>
    <row r="18802" spans="9:10" x14ac:dyDescent="0.35">
      <c r="I18802" s="63"/>
      <c r="J18802" s="63"/>
    </row>
    <row r="18803" spans="9:10" x14ac:dyDescent="0.35">
      <c r="I18803" s="63"/>
      <c r="J18803" s="63"/>
    </row>
    <row r="18804" spans="9:10" x14ac:dyDescent="0.35">
      <c r="I18804" s="63"/>
      <c r="J18804" s="63"/>
    </row>
    <row r="18805" spans="9:10" x14ac:dyDescent="0.35">
      <c r="I18805" s="63"/>
      <c r="J18805" s="63"/>
    </row>
    <row r="18806" spans="9:10" x14ac:dyDescent="0.35">
      <c r="I18806" s="63"/>
      <c r="J18806" s="63"/>
    </row>
    <row r="18807" spans="9:10" x14ac:dyDescent="0.35">
      <c r="I18807" s="63"/>
      <c r="J18807" s="63"/>
    </row>
    <row r="18808" spans="9:10" x14ac:dyDescent="0.35">
      <c r="I18808" s="63"/>
      <c r="J18808" s="63"/>
    </row>
    <row r="18809" spans="9:10" x14ac:dyDescent="0.35">
      <c r="I18809" s="63"/>
      <c r="J18809" s="63"/>
    </row>
    <row r="18810" spans="9:10" x14ac:dyDescent="0.35">
      <c r="I18810" s="63"/>
      <c r="J18810" s="63"/>
    </row>
    <row r="18811" spans="9:10" x14ac:dyDescent="0.35">
      <c r="I18811" s="63"/>
      <c r="J18811" s="63"/>
    </row>
    <row r="18812" spans="9:10" x14ac:dyDescent="0.35">
      <c r="I18812" s="63"/>
      <c r="J18812" s="63"/>
    </row>
    <row r="18813" spans="9:10" x14ac:dyDescent="0.35">
      <c r="I18813" s="63"/>
      <c r="J18813" s="63"/>
    </row>
    <row r="18814" spans="9:10" x14ac:dyDescent="0.35">
      <c r="I18814" s="63"/>
      <c r="J18814" s="63"/>
    </row>
    <row r="18815" spans="9:10" x14ac:dyDescent="0.35">
      <c r="I18815" s="63"/>
      <c r="J18815" s="63"/>
    </row>
    <row r="18816" spans="9:10" x14ac:dyDescent="0.35">
      <c r="I18816" s="63"/>
      <c r="J18816" s="63"/>
    </row>
    <row r="18817" spans="9:10" x14ac:dyDescent="0.35">
      <c r="I18817" s="63"/>
      <c r="J18817" s="63"/>
    </row>
    <row r="18818" spans="9:10" x14ac:dyDescent="0.35">
      <c r="I18818" s="63"/>
      <c r="J18818" s="63"/>
    </row>
    <row r="18819" spans="9:10" x14ac:dyDescent="0.35">
      <c r="I18819" s="63"/>
      <c r="J18819" s="63"/>
    </row>
    <row r="18820" spans="9:10" x14ac:dyDescent="0.35">
      <c r="I18820" s="63"/>
      <c r="J18820" s="63"/>
    </row>
    <row r="18821" spans="9:10" x14ac:dyDescent="0.35">
      <c r="I18821" s="63"/>
      <c r="J18821" s="63"/>
    </row>
    <row r="18822" spans="9:10" x14ac:dyDescent="0.35">
      <c r="I18822" s="63"/>
      <c r="J18822" s="63"/>
    </row>
    <row r="18823" spans="9:10" x14ac:dyDescent="0.35">
      <c r="I18823" s="63"/>
      <c r="J18823" s="63"/>
    </row>
    <row r="18824" spans="9:10" x14ac:dyDescent="0.35">
      <c r="I18824" s="63"/>
      <c r="J18824" s="63"/>
    </row>
    <row r="18825" spans="9:10" x14ac:dyDescent="0.35">
      <c r="I18825" s="63"/>
      <c r="J18825" s="63"/>
    </row>
    <row r="18826" spans="9:10" x14ac:dyDescent="0.35">
      <c r="I18826" s="63"/>
      <c r="J18826" s="63"/>
    </row>
    <row r="18827" spans="9:10" x14ac:dyDescent="0.35">
      <c r="I18827" s="63"/>
      <c r="J18827" s="63"/>
    </row>
    <row r="18828" spans="9:10" x14ac:dyDescent="0.35">
      <c r="I18828" s="63"/>
      <c r="J18828" s="63"/>
    </row>
    <row r="18829" spans="9:10" x14ac:dyDescent="0.35">
      <c r="I18829" s="63"/>
      <c r="J18829" s="63"/>
    </row>
    <row r="18830" spans="9:10" x14ac:dyDescent="0.35">
      <c r="I18830" s="63"/>
      <c r="J18830" s="63"/>
    </row>
    <row r="18831" spans="9:10" x14ac:dyDescent="0.35">
      <c r="I18831" s="63"/>
      <c r="J18831" s="63"/>
    </row>
    <row r="18832" spans="9:10" x14ac:dyDescent="0.35">
      <c r="I18832" s="63"/>
      <c r="J18832" s="63"/>
    </row>
    <row r="18833" spans="9:10" x14ac:dyDescent="0.35">
      <c r="I18833" s="63"/>
      <c r="J18833" s="63"/>
    </row>
    <row r="18834" spans="9:10" x14ac:dyDescent="0.35">
      <c r="I18834" s="63"/>
      <c r="J18834" s="63"/>
    </row>
    <row r="18835" spans="9:10" x14ac:dyDescent="0.35">
      <c r="I18835" s="63"/>
      <c r="J18835" s="63"/>
    </row>
    <row r="18836" spans="9:10" x14ac:dyDescent="0.35">
      <c r="I18836" s="63"/>
      <c r="J18836" s="63"/>
    </row>
    <row r="18837" spans="9:10" x14ac:dyDescent="0.35">
      <c r="I18837" s="63"/>
      <c r="J18837" s="63"/>
    </row>
    <row r="18838" spans="9:10" x14ac:dyDescent="0.35">
      <c r="I18838" s="63"/>
      <c r="J18838" s="63"/>
    </row>
    <row r="18839" spans="9:10" x14ac:dyDescent="0.35">
      <c r="I18839" s="63"/>
      <c r="J18839" s="63"/>
    </row>
    <row r="18840" spans="9:10" x14ac:dyDescent="0.35">
      <c r="I18840" s="63"/>
      <c r="J18840" s="63"/>
    </row>
    <row r="18841" spans="9:10" x14ac:dyDescent="0.35">
      <c r="I18841" s="63"/>
      <c r="J18841" s="63"/>
    </row>
    <row r="18842" spans="9:10" x14ac:dyDescent="0.35">
      <c r="I18842" s="63"/>
      <c r="J18842" s="63"/>
    </row>
    <row r="18843" spans="9:10" x14ac:dyDescent="0.35">
      <c r="I18843" s="63"/>
      <c r="J18843" s="63"/>
    </row>
    <row r="18844" spans="9:10" x14ac:dyDescent="0.35">
      <c r="I18844" s="63"/>
      <c r="J18844" s="63"/>
    </row>
    <row r="18845" spans="9:10" x14ac:dyDescent="0.35">
      <c r="I18845" s="63"/>
      <c r="J18845" s="63"/>
    </row>
    <row r="18846" spans="9:10" x14ac:dyDescent="0.35">
      <c r="I18846" s="63"/>
      <c r="J18846" s="63"/>
    </row>
    <row r="18847" spans="9:10" x14ac:dyDescent="0.35">
      <c r="I18847" s="63"/>
      <c r="J18847" s="63"/>
    </row>
    <row r="18848" spans="9:10" x14ac:dyDescent="0.35">
      <c r="I18848" s="63"/>
      <c r="J18848" s="63"/>
    </row>
    <row r="18849" spans="9:10" x14ac:dyDescent="0.35">
      <c r="I18849" s="63"/>
      <c r="J18849" s="63"/>
    </row>
    <row r="18850" spans="9:10" x14ac:dyDescent="0.35">
      <c r="I18850" s="63"/>
      <c r="J18850" s="63"/>
    </row>
    <row r="18851" spans="9:10" x14ac:dyDescent="0.35">
      <c r="I18851" s="63"/>
      <c r="J18851" s="63"/>
    </row>
    <row r="18852" spans="9:10" x14ac:dyDescent="0.35">
      <c r="I18852" s="63"/>
      <c r="J18852" s="63"/>
    </row>
    <row r="18853" spans="9:10" x14ac:dyDescent="0.35">
      <c r="I18853" s="63"/>
      <c r="J18853" s="63"/>
    </row>
    <row r="18854" spans="9:10" x14ac:dyDescent="0.35">
      <c r="I18854" s="63"/>
      <c r="J18854" s="63"/>
    </row>
    <row r="18855" spans="9:10" x14ac:dyDescent="0.35">
      <c r="I18855" s="63"/>
      <c r="J18855" s="63"/>
    </row>
    <row r="18856" spans="9:10" x14ac:dyDescent="0.35">
      <c r="I18856" s="63"/>
      <c r="J18856" s="63"/>
    </row>
    <row r="18857" spans="9:10" x14ac:dyDescent="0.35">
      <c r="I18857" s="63"/>
      <c r="J18857" s="63"/>
    </row>
    <row r="18858" spans="9:10" x14ac:dyDescent="0.35">
      <c r="I18858" s="63"/>
      <c r="J18858" s="63"/>
    </row>
    <row r="18859" spans="9:10" x14ac:dyDescent="0.35">
      <c r="I18859" s="63"/>
      <c r="J18859" s="63"/>
    </row>
    <row r="18860" spans="9:10" x14ac:dyDescent="0.35">
      <c r="I18860" s="63"/>
      <c r="J18860" s="63"/>
    </row>
    <row r="18861" spans="9:10" x14ac:dyDescent="0.35">
      <c r="I18861" s="63"/>
      <c r="J18861" s="63"/>
    </row>
    <row r="18862" spans="9:10" x14ac:dyDescent="0.35">
      <c r="I18862" s="63"/>
      <c r="J18862" s="63"/>
    </row>
    <row r="18863" spans="9:10" x14ac:dyDescent="0.35">
      <c r="I18863" s="63"/>
      <c r="J18863" s="63"/>
    </row>
    <row r="18864" spans="9:10" x14ac:dyDescent="0.35">
      <c r="I18864" s="63"/>
      <c r="J18864" s="63"/>
    </row>
    <row r="18865" spans="9:10" x14ac:dyDescent="0.35">
      <c r="I18865" s="63"/>
      <c r="J18865" s="63"/>
    </row>
    <row r="18866" spans="9:10" x14ac:dyDescent="0.35">
      <c r="I18866" s="63"/>
      <c r="J18866" s="63"/>
    </row>
    <row r="18867" spans="9:10" x14ac:dyDescent="0.35">
      <c r="I18867" s="63"/>
      <c r="J18867" s="63"/>
    </row>
    <row r="18868" spans="9:10" x14ac:dyDescent="0.35">
      <c r="I18868" s="63"/>
      <c r="J18868" s="63"/>
    </row>
    <row r="18869" spans="9:10" x14ac:dyDescent="0.35">
      <c r="I18869" s="63"/>
      <c r="J18869" s="63"/>
    </row>
    <row r="18870" spans="9:10" x14ac:dyDescent="0.35">
      <c r="I18870" s="63"/>
      <c r="J18870" s="63"/>
    </row>
    <row r="18871" spans="9:10" x14ac:dyDescent="0.35">
      <c r="I18871" s="63"/>
      <c r="J18871" s="63"/>
    </row>
    <row r="18872" spans="9:10" x14ac:dyDescent="0.35">
      <c r="I18872" s="63"/>
      <c r="J18872" s="63"/>
    </row>
    <row r="18873" spans="9:10" x14ac:dyDescent="0.35">
      <c r="I18873" s="63"/>
      <c r="J18873" s="63"/>
    </row>
    <row r="18874" spans="9:10" x14ac:dyDescent="0.35">
      <c r="I18874" s="63"/>
      <c r="J18874" s="63"/>
    </row>
    <row r="18875" spans="9:10" x14ac:dyDescent="0.35">
      <c r="I18875" s="63"/>
      <c r="J18875" s="63"/>
    </row>
    <row r="18876" spans="9:10" x14ac:dyDescent="0.35">
      <c r="I18876" s="63"/>
      <c r="J18876" s="63"/>
    </row>
    <row r="18877" spans="9:10" x14ac:dyDescent="0.35">
      <c r="I18877" s="63"/>
      <c r="J18877" s="63"/>
    </row>
    <row r="18878" spans="9:10" x14ac:dyDescent="0.35">
      <c r="I18878" s="63"/>
      <c r="J18878" s="63"/>
    </row>
    <row r="18879" spans="9:10" x14ac:dyDescent="0.35">
      <c r="I18879" s="63"/>
      <c r="J18879" s="63"/>
    </row>
    <row r="18880" spans="9:10" x14ac:dyDescent="0.35">
      <c r="I18880" s="63"/>
      <c r="J18880" s="63"/>
    </row>
    <row r="18881" spans="9:10" x14ac:dyDescent="0.35">
      <c r="I18881" s="63"/>
      <c r="J18881" s="63"/>
    </row>
    <row r="18882" spans="9:10" x14ac:dyDescent="0.35">
      <c r="I18882" s="63"/>
      <c r="J18882" s="63"/>
    </row>
    <row r="18883" spans="9:10" x14ac:dyDescent="0.35">
      <c r="I18883" s="63"/>
      <c r="J18883" s="63"/>
    </row>
    <row r="18884" spans="9:10" x14ac:dyDescent="0.35">
      <c r="I18884" s="63"/>
      <c r="J18884" s="63"/>
    </row>
    <row r="18885" spans="9:10" x14ac:dyDescent="0.35">
      <c r="I18885" s="63"/>
      <c r="J18885" s="63"/>
    </row>
    <row r="18886" spans="9:10" x14ac:dyDescent="0.35">
      <c r="I18886" s="63"/>
      <c r="J18886" s="63"/>
    </row>
    <row r="18887" spans="9:10" x14ac:dyDescent="0.35">
      <c r="I18887" s="63"/>
      <c r="J18887" s="63"/>
    </row>
    <row r="18888" spans="9:10" x14ac:dyDescent="0.35">
      <c r="I18888" s="63"/>
      <c r="J18888" s="63"/>
    </row>
    <row r="18889" spans="9:10" x14ac:dyDescent="0.35">
      <c r="I18889" s="63"/>
      <c r="J18889" s="63"/>
    </row>
    <row r="18890" spans="9:10" x14ac:dyDescent="0.35">
      <c r="I18890" s="63"/>
      <c r="J18890" s="63"/>
    </row>
    <row r="18891" spans="9:10" x14ac:dyDescent="0.35">
      <c r="I18891" s="63"/>
      <c r="J18891" s="63"/>
    </row>
    <row r="18892" spans="9:10" x14ac:dyDescent="0.35">
      <c r="I18892" s="63"/>
      <c r="J18892" s="63"/>
    </row>
    <row r="18893" spans="9:10" x14ac:dyDescent="0.35">
      <c r="I18893" s="63"/>
      <c r="J18893" s="63"/>
    </row>
    <row r="18894" spans="9:10" x14ac:dyDescent="0.35">
      <c r="I18894" s="63"/>
      <c r="J18894" s="63"/>
    </row>
    <row r="18895" spans="9:10" x14ac:dyDescent="0.35">
      <c r="I18895" s="63"/>
      <c r="J18895" s="63"/>
    </row>
    <row r="18896" spans="9:10" x14ac:dyDescent="0.35">
      <c r="I18896" s="63"/>
      <c r="J18896" s="63"/>
    </row>
    <row r="18897" spans="9:10" x14ac:dyDescent="0.35">
      <c r="I18897" s="63"/>
      <c r="J18897" s="63"/>
    </row>
    <row r="18898" spans="9:10" x14ac:dyDescent="0.35">
      <c r="I18898" s="63"/>
      <c r="J18898" s="63"/>
    </row>
    <row r="18899" spans="9:10" x14ac:dyDescent="0.35">
      <c r="I18899" s="63"/>
      <c r="J18899" s="63"/>
    </row>
    <row r="18900" spans="9:10" x14ac:dyDescent="0.35">
      <c r="I18900" s="63"/>
      <c r="J18900" s="63"/>
    </row>
    <row r="18901" spans="9:10" x14ac:dyDescent="0.35">
      <c r="I18901" s="63"/>
      <c r="J18901" s="63"/>
    </row>
    <row r="18902" spans="9:10" x14ac:dyDescent="0.35">
      <c r="I18902" s="63"/>
      <c r="J18902" s="63"/>
    </row>
    <row r="18903" spans="9:10" x14ac:dyDescent="0.35">
      <c r="I18903" s="63"/>
      <c r="J18903" s="63"/>
    </row>
    <row r="18904" spans="9:10" x14ac:dyDescent="0.35">
      <c r="I18904" s="63"/>
      <c r="J18904" s="63"/>
    </row>
    <row r="18905" spans="9:10" x14ac:dyDescent="0.35">
      <c r="I18905" s="63"/>
      <c r="J18905" s="63"/>
    </row>
    <row r="18906" spans="9:10" x14ac:dyDescent="0.35">
      <c r="I18906" s="63"/>
      <c r="J18906" s="63"/>
    </row>
    <row r="18907" spans="9:10" x14ac:dyDescent="0.35">
      <c r="I18907" s="63"/>
      <c r="J18907" s="63"/>
    </row>
    <row r="18908" spans="9:10" x14ac:dyDescent="0.35">
      <c r="I18908" s="63"/>
      <c r="J18908" s="63"/>
    </row>
    <row r="18909" spans="9:10" x14ac:dyDescent="0.35">
      <c r="I18909" s="63"/>
      <c r="J18909" s="63"/>
    </row>
    <row r="18910" spans="9:10" x14ac:dyDescent="0.35">
      <c r="I18910" s="63"/>
      <c r="J18910" s="63"/>
    </row>
    <row r="18911" spans="9:10" x14ac:dyDescent="0.35">
      <c r="I18911" s="63"/>
      <c r="J18911" s="63"/>
    </row>
    <row r="18912" spans="9:10" x14ac:dyDescent="0.35">
      <c r="I18912" s="63"/>
      <c r="J18912" s="63"/>
    </row>
    <row r="18913" spans="9:10" x14ac:dyDescent="0.35">
      <c r="I18913" s="63"/>
      <c r="J18913" s="63"/>
    </row>
    <row r="18914" spans="9:10" x14ac:dyDescent="0.35">
      <c r="I18914" s="63"/>
      <c r="J18914" s="63"/>
    </row>
    <row r="18915" spans="9:10" x14ac:dyDescent="0.35">
      <c r="I18915" s="63"/>
      <c r="J18915" s="63"/>
    </row>
    <row r="18916" spans="9:10" x14ac:dyDescent="0.35">
      <c r="I18916" s="63"/>
      <c r="J18916" s="63"/>
    </row>
    <row r="18917" spans="9:10" x14ac:dyDescent="0.35">
      <c r="I18917" s="63"/>
      <c r="J18917" s="63"/>
    </row>
    <row r="18918" spans="9:10" x14ac:dyDescent="0.35">
      <c r="I18918" s="63"/>
      <c r="J18918" s="63"/>
    </row>
    <row r="18919" spans="9:10" x14ac:dyDescent="0.35">
      <c r="I18919" s="63"/>
      <c r="J18919" s="63"/>
    </row>
    <row r="18920" spans="9:10" x14ac:dyDescent="0.35">
      <c r="I18920" s="63"/>
      <c r="J18920" s="63"/>
    </row>
    <row r="18921" spans="9:10" x14ac:dyDescent="0.35">
      <c r="I18921" s="63"/>
      <c r="J18921" s="63"/>
    </row>
    <row r="18922" spans="9:10" x14ac:dyDescent="0.35">
      <c r="I18922" s="63"/>
      <c r="J18922" s="63"/>
    </row>
    <row r="18923" spans="9:10" x14ac:dyDescent="0.35">
      <c r="I18923" s="63"/>
      <c r="J18923" s="63"/>
    </row>
    <row r="18924" spans="9:10" x14ac:dyDescent="0.35">
      <c r="I18924" s="63"/>
      <c r="J18924" s="63"/>
    </row>
    <row r="18925" spans="9:10" x14ac:dyDescent="0.35">
      <c r="I18925" s="63"/>
      <c r="J18925" s="63"/>
    </row>
    <row r="18926" spans="9:10" x14ac:dyDescent="0.35">
      <c r="I18926" s="63"/>
      <c r="J18926" s="63"/>
    </row>
    <row r="18927" spans="9:10" x14ac:dyDescent="0.35">
      <c r="I18927" s="63"/>
      <c r="J18927" s="63"/>
    </row>
    <row r="18928" spans="9:10" x14ac:dyDescent="0.35">
      <c r="I18928" s="63"/>
      <c r="J18928" s="63"/>
    </row>
    <row r="18929" spans="9:10" x14ac:dyDescent="0.35">
      <c r="I18929" s="63"/>
      <c r="J18929" s="63"/>
    </row>
    <row r="18930" spans="9:10" x14ac:dyDescent="0.35">
      <c r="I18930" s="63"/>
      <c r="J18930" s="63"/>
    </row>
    <row r="18931" spans="9:10" x14ac:dyDescent="0.35">
      <c r="I18931" s="63"/>
      <c r="J18931" s="63"/>
    </row>
    <row r="18932" spans="9:10" x14ac:dyDescent="0.35">
      <c r="I18932" s="63"/>
      <c r="J18932" s="63"/>
    </row>
    <row r="18933" spans="9:10" x14ac:dyDescent="0.35">
      <c r="I18933" s="63"/>
      <c r="J18933" s="63"/>
    </row>
    <row r="18934" spans="9:10" x14ac:dyDescent="0.35">
      <c r="I18934" s="63"/>
      <c r="J18934" s="63"/>
    </row>
    <row r="18935" spans="9:10" x14ac:dyDescent="0.35">
      <c r="I18935" s="63"/>
      <c r="J18935" s="63"/>
    </row>
    <row r="18936" spans="9:10" x14ac:dyDescent="0.35">
      <c r="I18936" s="63"/>
      <c r="J18936" s="63"/>
    </row>
    <row r="18937" spans="9:10" x14ac:dyDescent="0.35">
      <c r="I18937" s="63"/>
      <c r="J18937" s="63"/>
    </row>
    <row r="18938" spans="9:10" x14ac:dyDescent="0.35">
      <c r="I18938" s="63"/>
      <c r="J18938" s="63"/>
    </row>
    <row r="18939" spans="9:10" x14ac:dyDescent="0.35">
      <c r="I18939" s="63"/>
      <c r="J18939" s="63"/>
    </row>
    <row r="18940" spans="9:10" x14ac:dyDescent="0.35">
      <c r="I18940" s="63"/>
      <c r="J18940" s="63"/>
    </row>
    <row r="18941" spans="9:10" x14ac:dyDescent="0.35">
      <c r="I18941" s="63"/>
      <c r="J18941" s="63"/>
    </row>
    <row r="18942" spans="9:10" x14ac:dyDescent="0.35">
      <c r="I18942" s="63"/>
      <c r="J18942" s="63"/>
    </row>
    <row r="18943" spans="9:10" x14ac:dyDescent="0.35">
      <c r="I18943" s="63"/>
      <c r="J18943" s="63"/>
    </row>
    <row r="18944" spans="9:10" x14ac:dyDescent="0.35">
      <c r="I18944" s="63"/>
      <c r="J18944" s="63"/>
    </row>
    <row r="18945" spans="9:10" x14ac:dyDescent="0.35">
      <c r="I18945" s="63"/>
      <c r="J18945" s="63"/>
    </row>
    <row r="18946" spans="9:10" x14ac:dyDescent="0.35">
      <c r="I18946" s="63"/>
      <c r="J18946" s="63"/>
    </row>
    <row r="18947" spans="9:10" x14ac:dyDescent="0.35">
      <c r="I18947" s="63"/>
      <c r="J18947" s="63"/>
    </row>
    <row r="18948" spans="9:10" x14ac:dyDescent="0.35">
      <c r="I18948" s="63"/>
      <c r="J18948" s="63"/>
    </row>
    <row r="18949" spans="9:10" x14ac:dyDescent="0.35">
      <c r="I18949" s="63"/>
      <c r="J18949" s="63"/>
    </row>
    <row r="18950" spans="9:10" x14ac:dyDescent="0.35">
      <c r="I18950" s="63"/>
      <c r="J18950" s="63"/>
    </row>
    <row r="18951" spans="9:10" x14ac:dyDescent="0.35">
      <c r="I18951" s="63"/>
      <c r="J18951" s="63"/>
    </row>
    <row r="18952" spans="9:10" x14ac:dyDescent="0.35">
      <c r="I18952" s="63"/>
      <c r="J18952" s="63"/>
    </row>
    <row r="18953" spans="9:10" x14ac:dyDescent="0.35">
      <c r="I18953" s="63"/>
      <c r="J18953" s="63"/>
    </row>
    <row r="18954" spans="9:10" x14ac:dyDescent="0.35">
      <c r="I18954" s="63"/>
      <c r="J18954" s="63"/>
    </row>
    <row r="18955" spans="9:10" x14ac:dyDescent="0.35">
      <c r="I18955" s="63"/>
      <c r="J18955" s="63"/>
    </row>
    <row r="18956" spans="9:10" x14ac:dyDescent="0.35">
      <c r="I18956" s="63"/>
      <c r="J18956" s="63"/>
    </row>
    <row r="18957" spans="9:10" x14ac:dyDescent="0.35">
      <c r="I18957" s="63"/>
      <c r="J18957" s="63"/>
    </row>
    <row r="18958" spans="9:10" x14ac:dyDescent="0.35">
      <c r="I18958" s="63"/>
      <c r="J18958" s="63"/>
    </row>
    <row r="18959" spans="9:10" x14ac:dyDescent="0.35">
      <c r="I18959" s="63"/>
      <c r="J18959" s="63"/>
    </row>
    <row r="18960" spans="9:10" x14ac:dyDescent="0.35">
      <c r="I18960" s="63"/>
      <c r="J18960" s="63"/>
    </row>
    <row r="18961" spans="9:10" x14ac:dyDescent="0.35">
      <c r="I18961" s="63"/>
      <c r="J18961" s="63"/>
    </row>
    <row r="18962" spans="9:10" x14ac:dyDescent="0.35">
      <c r="I18962" s="63"/>
      <c r="J18962" s="63"/>
    </row>
    <row r="18963" spans="9:10" x14ac:dyDescent="0.35">
      <c r="I18963" s="63"/>
      <c r="J18963" s="63"/>
    </row>
    <row r="18964" spans="9:10" x14ac:dyDescent="0.35">
      <c r="I18964" s="63"/>
      <c r="J18964" s="63"/>
    </row>
    <row r="18965" spans="9:10" x14ac:dyDescent="0.35">
      <c r="I18965" s="63"/>
      <c r="J18965" s="63"/>
    </row>
    <row r="18966" spans="9:10" x14ac:dyDescent="0.35">
      <c r="I18966" s="63"/>
      <c r="J18966" s="63"/>
    </row>
    <row r="18967" spans="9:10" x14ac:dyDescent="0.35">
      <c r="I18967" s="63"/>
      <c r="J18967" s="63"/>
    </row>
    <row r="18968" spans="9:10" x14ac:dyDescent="0.35">
      <c r="I18968" s="63"/>
      <c r="J18968" s="63"/>
    </row>
    <row r="18969" spans="9:10" x14ac:dyDescent="0.35">
      <c r="I18969" s="63"/>
      <c r="J18969" s="63"/>
    </row>
    <row r="18970" spans="9:10" x14ac:dyDescent="0.35">
      <c r="I18970" s="63"/>
      <c r="J18970" s="63"/>
    </row>
    <row r="18971" spans="9:10" x14ac:dyDescent="0.35">
      <c r="I18971" s="63"/>
      <c r="J18971" s="63"/>
    </row>
    <row r="18972" spans="9:10" x14ac:dyDescent="0.35">
      <c r="I18972" s="63"/>
      <c r="J18972" s="63"/>
    </row>
    <row r="18973" spans="9:10" x14ac:dyDescent="0.35">
      <c r="I18973" s="63"/>
      <c r="J18973" s="63"/>
    </row>
    <row r="18974" spans="9:10" x14ac:dyDescent="0.35">
      <c r="I18974" s="63"/>
      <c r="J18974" s="63"/>
    </row>
    <row r="18975" spans="9:10" x14ac:dyDescent="0.35">
      <c r="I18975" s="63"/>
      <c r="J18975" s="63"/>
    </row>
    <row r="18976" spans="9:10" x14ac:dyDescent="0.35">
      <c r="I18976" s="63"/>
      <c r="J18976" s="63"/>
    </row>
    <row r="18977" spans="9:10" x14ac:dyDescent="0.35">
      <c r="I18977" s="63"/>
      <c r="J18977" s="63"/>
    </row>
    <row r="18978" spans="9:10" x14ac:dyDescent="0.35">
      <c r="I18978" s="63"/>
      <c r="J18978" s="63"/>
    </row>
    <row r="18979" spans="9:10" x14ac:dyDescent="0.35">
      <c r="I18979" s="63"/>
      <c r="J18979" s="63"/>
    </row>
    <row r="18980" spans="9:10" x14ac:dyDescent="0.35">
      <c r="I18980" s="63"/>
      <c r="J18980" s="63"/>
    </row>
    <row r="18981" spans="9:10" x14ac:dyDescent="0.35">
      <c r="I18981" s="63"/>
      <c r="J18981" s="63"/>
    </row>
    <row r="18982" spans="9:10" x14ac:dyDescent="0.35">
      <c r="I18982" s="63"/>
      <c r="J18982" s="63"/>
    </row>
    <row r="18983" spans="9:10" x14ac:dyDescent="0.35">
      <c r="I18983" s="63"/>
      <c r="J18983" s="63"/>
    </row>
    <row r="18984" spans="9:10" x14ac:dyDescent="0.35">
      <c r="I18984" s="63"/>
      <c r="J18984" s="63"/>
    </row>
    <row r="18985" spans="9:10" x14ac:dyDescent="0.35">
      <c r="I18985" s="63"/>
      <c r="J18985" s="63"/>
    </row>
    <row r="18986" spans="9:10" x14ac:dyDescent="0.35">
      <c r="I18986" s="63"/>
      <c r="J18986" s="63"/>
    </row>
    <row r="18987" spans="9:10" x14ac:dyDescent="0.35">
      <c r="I18987" s="63"/>
      <c r="J18987" s="63"/>
    </row>
    <row r="18988" spans="9:10" x14ac:dyDescent="0.35">
      <c r="I18988" s="63"/>
      <c r="J18988" s="63"/>
    </row>
    <row r="18989" spans="9:10" x14ac:dyDescent="0.35">
      <c r="I18989" s="63"/>
      <c r="J18989" s="63"/>
    </row>
    <row r="18990" spans="9:10" x14ac:dyDescent="0.35">
      <c r="I18990" s="63"/>
      <c r="J18990" s="63"/>
    </row>
    <row r="18991" spans="9:10" x14ac:dyDescent="0.35">
      <c r="I18991" s="63"/>
      <c r="J18991" s="63"/>
    </row>
    <row r="18992" spans="9:10" x14ac:dyDescent="0.35">
      <c r="I18992" s="63"/>
      <c r="J18992" s="63"/>
    </row>
    <row r="18993" spans="9:10" x14ac:dyDescent="0.35">
      <c r="I18993" s="63"/>
      <c r="J18993" s="63"/>
    </row>
    <row r="18994" spans="9:10" x14ac:dyDescent="0.35">
      <c r="I18994" s="63"/>
      <c r="J18994" s="63"/>
    </row>
    <row r="18995" spans="9:10" x14ac:dyDescent="0.35">
      <c r="I18995" s="63"/>
      <c r="J18995" s="63"/>
    </row>
    <row r="18996" spans="9:10" x14ac:dyDescent="0.35">
      <c r="I18996" s="63"/>
      <c r="J18996" s="63"/>
    </row>
    <row r="18997" spans="9:10" x14ac:dyDescent="0.35">
      <c r="I18997" s="63"/>
      <c r="J18997" s="63"/>
    </row>
    <row r="18998" spans="9:10" x14ac:dyDescent="0.35">
      <c r="I18998" s="63"/>
      <c r="J18998" s="63"/>
    </row>
    <row r="18999" spans="9:10" x14ac:dyDescent="0.35">
      <c r="I18999" s="63"/>
      <c r="J18999" s="63"/>
    </row>
    <row r="19000" spans="9:10" x14ac:dyDescent="0.35">
      <c r="I19000" s="63"/>
      <c r="J19000" s="63"/>
    </row>
    <row r="19001" spans="9:10" x14ac:dyDescent="0.35">
      <c r="I19001" s="63"/>
      <c r="J19001" s="63"/>
    </row>
    <row r="19002" spans="9:10" x14ac:dyDescent="0.35">
      <c r="I19002" s="63"/>
      <c r="J19002" s="63"/>
    </row>
    <row r="19003" spans="9:10" x14ac:dyDescent="0.35">
      <c r="I19003" s="63"/>
      <c r="J19003" s="63"/>
    </row>
    <row r="19004" spans="9:10" x14ac:dyDescent="0.35">
      <c r="I19004" s="63"/>
      <c r="J19004" s="63"/>
    </row>
    <row r="19005" spans="9:10" x14ac:dyDescent="0.35">
      <c r="I19005" s="63"/>
      <c r="J19005" s="63"/>
    </row>
    <row r="19006" spans="9:10" x14ac:dyDescent="0.35">
      <c r="I19006" s="63"/>
      <c r="J19006" s="63"/>
    </row>
    <row r="19007" spans="9:10" x14ac:dyDescent="0.35">
      <c r="I19007" s="63"/>
      <c r="J19007" s="63"/>
    </row>
    <row r="19008" spans="9:10" x14ac:dyDescent="0.35">
      <c r="I19008" s="63"/>
      <c r="J19008" s="63"/>
    </row>
    <row r="19009" spans="9:10" x14ac:dyDescent="0.35">
      <c r="I19009" s="63"/>
      <c r="J19009" s="63"/>
    </row>
    <row r="19010" spans="9:10" x14ac:dyDescent="0.35">
      <c r="I19010" s="63"/>
      <c r="J19010" s="63"/>
    </row>
    <row r="19011" spans="9:10" x14ac:dyDescent="0.35">
      <c r="I19011" s="63"/>
      <c r="J19011" s="63"/>
    </row>
    <row r="19012" spans="9:10" x14ac:dyDescent="0.35">
      <c r="I19012" s="63"/>
      <c r="J19012" s="63"/>
    </row>
    <row r="19013" spans="9:10" x14ac:dyDescent="0.35">
      <c r="I19013" s="63"/>
      <c r="J19013" s="63"/>
    </row>
    <row r="19014" spans="9:10" x14ac:dyDescent="0.35">
      <c r="I19014" s="63"/>
      <c r="J19014" s="63"/>
    </row>
    <row r="19015" spans="9:10" x14ac:dyDescent="0.35">
      <c r="I19015" s="63"/>
      <c r="J19015" s="63"/>
    </row>
    <row r="19016" spans="9:10" x14ac:dyDescent="0.35">
      <c r="I19016" s="63"/>
      <c r="J19016" s="63"/>
    </row>
    <row r="19017" spans="9:10" x14ac:dyDescent="0.35">
      <c r="I19017" s="63"/>
      <c r="J19017" s="63"/>
    </row>
    <row r="19018" spans="9:10" x14ac:dyDescent="0.35">
      <c r="I19018" s="63"/>
      <c r="J19018" s="63"/>
    </row>
    <row r="19019" spans="9:10" x14ac:dyDescent="0.35">
      <c r="I19019" s="63"/>
      <c r="J19019" s="63"/>
    </row>
    <row r="19020" spans="9:10" x14ac:dyDescent="0.35">
      <c r="I19020" s="63"/>
      <c r="J19020" s="63"/>
    </row>
    <row r="19021" spans="9:10" x14ac:dyDescent="0.35">
      <c r="I19021" s="63"/>
      <c r="J19021" s="63"/>
    </row>
    <row r="19022" spans="9:10" x14ac:dyDescent="0.35">
      <c r="I19022" s="63"/>
      <c r="J19022" s="63"/>
    </row>
    <row r="19023" spans="9:10" x14ac:dyDescent="0.35">
      <c r="I19023" s="63"/>
      <c r="J19023" s="63"/>
    </row>
    <row r="19024" spans="9:10" x14ac:dyDescent="0.35">
      <c r="I19024" s="63"/>
      <c r="J19024" s="63"/>
    </row>
    <row r="19025" spans="9:10" x14ac:dyDescent="0.35">
      <c r="I19025" s="63"/>
      <c r="J19025" s="63"/>
    </row>
    <row r="19026" spans="9:10" x14ac:dyDescent="0.35">
      <c r="I19026" s="63"/>
      <c r="J19026" s="63"/>
    </row>
    <row r="19027" spans="9:10" x14ac:dyDescent="0.35">
      <c r="I19027" s="63"/>
      <c r="J19027" s="63"/>
    </row>
    <row r="19028" spans="9:10" x14ac:dyDescent="0.35">
      <c r="I19028" s="63"/>
      <c r="J19028" s="63"/>
    </row>
    <row r="19029" spans="9:10" x14ac:dyDescent="0.35">
      <c r="I19029" s="63"/>
      <c r="J19029" s="63"/>
    </row>
    <row r="19030" spans="9:10" x14ac:dyDescent="0.35">
      <c r="I19030" s="63"/>
      <c r="J19030" s="63"/>
    </row>
    <row r="19031" spans="9:10" x14ac:dyDescent="0.35">
      <c r="I19031" s="63"/>
      <c r="J19031" s="63"/>
    </row>
    <row r="19032" spans="9:10" x14ac:dyDescent="0.35">
      <c r="I19032" s="63"/>
      <c r="J19032" s="63"/>
    </row>
    <row r="19033" spans="9:10" x14ac:dyDescent="0.35">
      <c r="I19033" s="63"/>
      <c r="J19033" s="63"/>
    </row>
    <row r="19034" spans="9:10" x14ac:dyDescent="0.35">
      <c r="I19034" s="63"/>
      <c r="J19034" s="63"/>
    </row>
    <row r="19035" spans="9:10" x14ac:dyDescent="0.35">
      <c r="I19035" s="63"/>
      <c r="J19035" s="63"/>
    </row>
    <row r="19036" spans="9:10" x14ac:dyDescent="0.35">
      <c r="I19036" s="63"/>
      <c r="J19036" s="63"/>
    </row>
    <row r="19037" spans="9:10" x14ac:dyDescent="0.35">
      <c r="I19037" s="63"/>
      <c r="J19037" s="63"/>
    </row>
    <row r="19038" spans="9:10" x14ac:dyDescent="0.35">
      <c r="I19038" s="63"/>
      <c r="J19038" s="63"/>
    </row>
    <row r="19039" spans="9:10" x14ac:dyDescent="0.35">
      <c r="I19039" s="63"/>
      <c r="J19039" s="63"/>
    </row>
    <row r="19040" spans="9:10" x14ac:dyDescent="0.35">
      <c r="I19040" s="63"/>
      <c r="J19040" s="63"/>
    </row>
    <row r="19041" spans="9:10" x14ac:dyDescent="0.35">
      <c r="I19041" s="63"/>
      <c r="J19041" s="63"/>
    </row>
    <row r="19042" spans="9:10" x14ac:dyDescent="0.35">
      <c r="I19042" s="63"/>
      <c r="J19042" s="63"/>
    </row>
    <row r="19043" spans="9:10" x14ac:dyDescent="0.35">
      <c r="I19043" s="63"/>
      <c r="J19043" s="63"/>
    </row>
    <row r="19044" spans="9:10" x14ac:dyDescent="0.35">
      <c r="I19044" s="63"/>
      <c r="J19044" s="63"/>
    </row>
    <row r="19045" spans="9:10" x14ac:dyDescent="0.35">
      <c r="I19045" s="63"/>
      <c r="J19045" s="63"/>
    </row>
    <row r="19046" spans="9:10" x14ac:dyDescent="0.35">
      <c r="I19046" s="63"/>
      <c r="J19046" s="63"/>
    </row>
    <row r="19047" spans="9:10" x14ac:dyDescent="0.35">
      <c r="I19047" s="63"/>
      <c r="J19047" s="63"/>
    </row>
    <row r="19048" spans="9:10" x14ac:dyDescent="0.35">
      <c r="I19048" s="63"/>
      <c r="J19048" s="63"/>
    </row>
    <row r="19049" spans="9:10" x14ac:dyDescent="0.35">
      <c r="I19049" s="63"/>
      <c r="J19049" s="63"/>
    </row>
    <row r="19050" spans="9:10" x14ac:dyDescent="0.35">
      <c r="I19050" s="63"/>
      <c r="J19050" s="63"/>
    </row>
    <row r="19051" spans="9:10" x14ac:dyDescent="0.35">
      <c r="I19051" s="63"/>
      <c r="J19051" s="63"/>
    </row>
    <row r="19052" spans="9:10" x14ac:dyDescent="0.35">
      <c r="I19052" s="63"/>
      <c r="J19052" s="63"/>
    </row>
    <row r="19053" spans="9:10" x14ac:dyDescent="0.35">
      <c r="I19053" s="63"/>
      <c r="J19053" s="63"/>
    </row>
    <row r="19054" spans="9:10" x14ac:dyDescent="0.35">
      <c r="I19054" s="63"/>
      <c r="J19054" s="63"/>
    </row>
    <row r="19055" spans="9:10" x14ac:dyDescent="0.35">
      <c r="I19055" s="63"/>
      <c r="J19055" s="63"/>
    </row>
    <row r="19056" spans="9:10" x14ac:dyDescent="0.35">
      <c r="I19056" s="63"/>
      <c r="J19056" s="63"/>
    </row>
    <row r="19057" spans="9:10" x14ac:dyDescent="0.35">
      <c r="I19057" s="63"/>
      <c r="J19057" s="63"/>
    </row>
    <row r="19058" spans="9:10" x14ac:dyDescent="0.35">
      <c r="I19058" s="63"/>
      <c r="J19058" s="63"/>
    </row>
    <row r="19059" spans="9:10" x14ac:dyDescent="0.35">
      <c r="I19059" s="63"/>
      <c r="J19059" s="63"/>
    </row>
    <row r="19060" spans="9:10" x14ac:dyDescent="0.35">
      <c r="I19060" s="63"/>
      <c r="J19060" s="63"/>
    </row>
    <row r="19061" spans="9:10" x14ac:dyDescent="0.35">
      <c r="I19061" s="63"/>
      <c r="J19061" s="63"/>
    </row>
    <row r="19062" spans="9:10" x14ac:dyDescent="0.35">
      <c r="I19062" s="63"/>
      <c r="J19062" s="63"/>
    </row>
    <row r="19063" spans="9:10" x14ac:dyDescent="0.35">
      <c r="I19063" s="63"/>
      <c r="J19063" s="63"/>
    </row>
    <row r="19064" spans="9:10" x14ac:dyDescent="0.35">
      <c r="I19064" s="63"/>
      <c r="J19064" s="63"/>
    </row>
    <row r="19065" spans="9:10" x14ac:dyDescent="0.35">
      <c r="I19065" s="63"/>
      <c r="J19065" s="63"/>
    </row>
    <row r="19066" spans="9:10" x14ac:dyDescent="0.35">
      <c r="I19066" s="63"/>
      <c r="J19066" s="63"/>
    </row>
    <row r="19067" spans="9:10" x14ac:dyDescent="0.35">
      <c r="I19067" s="63"/>
      <c r="J19067" s="63"/>
    </row>
    <row r="19068" spans="9:10" x14ac:dyDescent="0.35">
      <c r="I19068" s="63"/>
      <c r="J19068" s="63"/>
    </row>
    <row r="19069" spans="9:10" x14ac:dyDescent="0.35">
      <c r="I19069" s="63"/>
      <c r="J19069" s="63"/>
    </row>
    <row r="19070" spans="9:10" x14ac:dyDescent="0.35">
      <c r="I19070" s="63"/>
      <c r="J19070" s="63"/>
    </row>
    <row r="19071" spans="9:10" x14ac:dyDescent="0.35">
      <c r="I19071" s="63"/>
      <c r="J19071" s="63"/>
    </row>
    <row r="19072" spans="9:10" x14ac:dyDescent="0.35">
      <c r="I19072" s="63"/>
      <c r="J19072" s="63"/>
    </row>
    <row r="19073" spans="9:10" x14ac:dyDescent="0.35">
      <c r="I19073" s="63"/>
      <c r="J19073" s="63"/>
    </row>
    <row r="19074" spans="9:10" x14ac:dyDescent="0.35">
      <c r="I19074" s="63"/>
      <c r="J19074" s="63"/>
    </row>
    <row r="19075" spans="9:10" x14ac:dyDescent="0.35">
      <c r="I19075" s="63"/>
      <c r="J19075" s="63"/>
    </row>
    <row r="19076" spans="9:10" x14ac:dyDescent="0.35">
      <c r="I19076" s="63"/>
      <c r="J19076" s="63"/>
    </row>
    <row r="19077" spans="9:10" x14ac:dyDescent="0.35">
      <c r="I19077" s="63"/>
      <c r="J19077" s="63"/>
    </row>
    <row r="19078" spans="9:10" x14ac:dyDescent="0.35">
      <c r="I19078" s="63"/>
      <c r="J19078" s="63"/>
    </row>
    <row r="19079" spans="9:10" x14ac:dyDescent="0.35">
      <c r="I19079" s="63"/>
      <c r="J19079" s="63"/>
    </row>
    <row r="19080" spans="9:10" x14ac:dyDescent="0.35">
      <c r="I19080" s="63"/>
      <c r="J19080" s="63"/>
    </row>
    <row r="19081" spans="9:10" x14ac:dyDescent="0.35">
      <c r="I19081" s="63"/>
      <c r="J19081" s="63"/>
    </row>
    <row r="19082" spans="9:10" x14ac:dyDescent="0.35">
      <c r="I19082" s="63"/>
      <c r="J19082" s="63"/>
    </row>
    <row r="19083" spans="9:10" x14ac:dyDescent="0.35">
      <c r="I19083" s="63"/>
      <c r="J19083" s="63"/>
    </row>
    <row r="19084" spans="9:10" x14ac:dyDescent="0.35">
      <c r="I19084" s="63"/>
      <c r="J19084" s="63"/>
    </row>
    <row r="19085" spans="9:10" x14ac:dyDescent="0.35">
      <c r="I19085" s="63"/>
      <c r="J19085" s="63"/>
    </row>
    <row r="19086" spans="9:10" x14ac:dyDescent="0.35">
      <c r="I19086" s="63"/>
      <c r="J19086" s="63"/>
    </row>
    <row r="19087" spans="9:10" x14ac:dyDescent="0.35">
      <c r="I19087" s="63"/>
      <c r="J19087" s="63"/>
    </row>
    <row r="19088" spans="9:10" x14ac:dyDescent="0.35">
      <c r="I19088" s="63"/>
      <c r="J19088" s="63"/>
    </row>
    <row r="19089" spans="9:10" x14ac:dyDescent="0.35">
      <c r="I19089" s="63"/>
      <c r="J19089" s="63"/>
    </row>
    <row r="19090" spans="9:10" x14ac:dyDescent="0.35">
      <c r="I19090" s="63"/>
      <c r="J19090" s="63"/>
    </row>
    <row r="19091" spans="9:10" x14ac:dyDescent="0.35">
      <c r="I19091" s="63"/>
      <c r="J19091" s="63"/>
    </row>
    <row r="19092" spans="9:10" x14ac:dyDescent="0.35">
      <c r="I19092" s="63"/>
      <c r="J19092" s="63"/>
    </row>
    <row r="19093" spans="9:10" x14ac:dyDescent="0.35">
      <c r="I19093" s="63"/>
      <c r="J19093" s="63"/>
    </row>
    <row r="19094" spans="9:10" x14ac:dyDescent="0.35">
      <c r="I19094" s="63"/>
      <c r="J19094" s="63"/>
    </row>
    <row r="19095" spans="9:10" x14ac:dyDescent="0.35">
      <c r="I19095" s="63"/>
      <c r="J19095" s="63"/>
    </row>
    <row r="19096" spans="9:10" x14ac:dyDescent="0.35">
      <c r="I19096" s="63"/>
      <c r="J19096" s="63"/>
    </row>
    <row r="19097" spans="9:10" x14ac:dyDescent="0.35">
      <c r="I19097" s="63"/>
      <c r="J19097" s="63"/>
    </row>
    <row r="19098" spans="9:10" x14ac:dyDescent="0.35">
      <c r="I19098" s="63"/>
      <c r="J19098" s="63"/>
    </row>
    <row r="19099" spans="9:10" x14ac:dyDescent="0.35">
      <c r="I19099" s="63"/>
      <c r="J19099" s="63"/>
    </row>
    <row r="19100" spans="9:10" x14ac:dyDescent="0.35">
      <c r="I19100" s="63"/>
      <c r="J19100" s="63"/>
    </row>
    <row r="19101" spans="9:10" x14ac:dyDescent="0.35">
      <c r="I19101" s="63"/>
      <c r="J19101" s="63"/>
    </row>
    <row r="19102" spans="9:10" x14ac:dyDescent="0.35">
      <c r="I19102" s="63"/>
      <c r="J19102" s="63"/>
    </row>
    <row r="19103" spans="9:10" x14ac:dyDescent="0.35">
      <c r="I19103" s="63"/>
      <c r="J19103" s="63"/>
    </row>
    <row r="19104" spans="9:10" x14ac:dyDescent="0.35">
      <c r="I19104" s="63"/>
      <c r="J19104" s="63"/>
    </row>
    <row r="19105" spans="9:10" x14ac:dyDescent="0.35">
      <c r="I19105" s="63"/>
      <c r="J19105" s="63"/>
    </row>
    <row r="19106" spans="9:10" x14ac:dyDescent="0.35">
      <c r="I19106" s="63"/>
      <c r="J19106" s="63"/>
    </row>
    <row r="19107" spans="9:10" x14ac:dyDescent="0.35">
      <c r="I19107" s="63"/>
      <c r="J19107" s="63"/>
    </row>
    <row r="19108" spans="9:10" x14ac:dyDescent="0.35">
      <c r="I19108" s="63"/>
      <c r="J19108" s="63"/>
    </row>
    <row r="19109" spans="9:10" x14ac:dyDescent="0.35">
      <c r="I19109" s="63"/>
      <c r="J19109" s="63"/>
    </row>
    <row r="19110" spans="9:10" x14ac:dyDescent="0.35">
      <c r="I19110" s="63"/>
      <c r="J19110" s="63"/>
    </row>
    <row r="19111" spans="9:10" x14ac:dyDescent="0.35">
      <c r="I19111" s="63"/>
      <c r="J19111" s="63"/>
    </row>
    <row r="19112" spans="9:10" x14ac:dyDescent="0.35">
      <c r="I19112" s="63"/>
      <c r="J19112" s="63"/>
    </row>
    <row r="19113" spans="9:10" x14ac:dyDescent="0.35">
      <c r="I19113" s="63"/>
      <c r="J19113" s="63"/>
    </row>
    <row r="19114" spans="9:10" x14ac:dyDescent="0.35">
      <c r="I19114" s="63"/>
      <c r="J19114" s="63"/>
    </row>
    <row r="19115" spans="9:10" x14ac:dyDescent="0.35">
      <c r="I19115" s="63"/>
      <c r="J19115" s="63"/>
    </row>
    <row r="19116" spans="9:10" x14ac:dyDescent="0.35">
      <c r="I19116" s="63"/>
      <c r="J19116" s="63"/>
    </row>
    <row r="19117" spans="9:10" x14ac:dyDescent="0.35">
      <c r="I19117" s="63"/>
      <c r="J19117" s="63"/>
    </row>
    <row r="19118" spans="9:10" x14ac:dyDescent="0.35">
      <c r="I19118" s="63"/>
      <c r="J19118" s="63"/>
    </row>
    <row r="19119" spans="9:10" x14ac:dyDescent="0.35">
      <c r="I19119" s="63"/>
      <c r="J19119" s="63"/>
    </row>
    <row r="19120" spans="9:10" x14ac:dyDescent="0.35">
      <c r="I19120" s="63"/>
      <c r="J19120" s="63"/>
    </row>
    <row r="19121" spans="9:10" x14ac:dyDescent="0.35">
      <c r="I19121" s="63"/>
      <c r="J19121" s="63"/>
    </row>
    <row r="19122" spans="9:10" x14ac:dyDescent="0.35">
      <c r="I19122" s="63"/>
      <c r="J19122" s="63"/>
    </row>
    <row r="19123" spans="9:10" x14ac:dyDescent="0.35">
      <c r="I19123" s="63"/>
      <c r="J19123" s="63"/>
    </row>
    <row r="19124" spans="9:10" x14ac:dyDescent="0.35">
      <c r="I19124" s="63"/>
      <c r="J19124" s="63"/>
    </row>
    <row r="19125" spans="9:10" x14ac:dyDescent="0.35">
      <c r="I19125" s="63"/>
      <c r="J19125" s="63"/>
    </row>
    <row r="19126" spans="9:10" x14ac:dyDescent="0.35">
      <c r="I19126" s="63"/>
      <c r="J19126" s="63"/>
    </row>
    <row r="19127" spans="9:10" x14ac:dyDescent="0.35">
      <c r="I19127" s="63"/>
      <c r="J19127" s="63"/>
    </row>
    <row r="19128" spans="9:10" x14ac:dyDescent="0.35">
      <c r="I19128" s="63"/>
      <c r="J19128" s="63"/>
    </row>
    <row r="19129" spans="9:10" x14ac:dyDescent="0.35">
      <c r="I19129" s="63"/>
      <c r="J19129" s="63"/>
    </row>
    <row r="19130" spans="9:10" x14ac:dyDescent="0.35">
      <c r="I19130" s="63"/>
      <c r="J19130" s="63"/>
    </row>
    <row r="19131" spans="9:10" x14ac:dyDescent="0.35">
      <c r="I19131" s="63"/>
      <c r="J19131" s="63"/>
    </row>
    <row r="19132" spans="9:10" x14ac:dyDescent="0.35">
      <c r="I19132" s="63"/>
      <c r="J19132" s="63"/>
    </row>
    <row r="19133" spans="9:10" x14ac:dyDescent="0.35">
      <c r="I19133" s="63"/>
      <c r="J19133" s="63"/>
    </row>
    <row r="19134" spans="9:10" x14ac:dyDescent="0.35">
      <c r="I19134" s="63"/>
      <c r="J19134" s="63"/>
    </row>
    <row r="19135" spans="9:10" x14ac:dyDescent="0.35">
      <c r="I19135" s="63"/>
      <c r="J19135" s="63"/>
    </row>
    <row r="19136" spans="9:10" x14ac:dyDescent="0.35">
      <c r="I19136" s="63"/>
      <c r="J19136" s="63"/>
    </row>
    <row r="19137" spans="9:10" x14ac:dyDescent="0.35">
      <c r="I19137" s="63"/>
      <c r="J19137" s="63"/>
    </row>
    <row r="19138" spans="9:10" x14ac:dyDescent="0.35">
      <c r="I19138" s="63"/>
      <c r="J19138" s="63"/>
    </row>
    <row r="19139" spans="9:10" x14ac:dyDescent="0.35">
      <c r="I19139" s="63"/>
      <c r="J19139" s="63"/>
    </row>
    <row r="19140" spans="9:10" x14ac:dyDescent="0.35">
      <c r="I19140" s="63"/>
      <c r="J19140" s="63"/>
    </row>
    <row r="19141" spans="9:10" x14ac:dyDescent="0.35">
      <c r="I19141" s="63"/>
      <c r="J19141" s="63"/>
    </row>
    <row r="19142" spans="9:10" x14ac:dyDescent="0.35">
      <c r="I19142" s="63"/>
      <c r="J19142" s="63"/>
    </row>
    <row r="19143" spans="9:10" x14ac:dyDescent="0.35">
      <c r="I19143" s="63"/>
      <c r="J19143" s="63"/>
    </row>
    <row r="19144" spans="9:10" x14ac:dyDescent="0.35">
      <c r="I19144" s="63"/>
      <c r="J19144" s="63"/>
    </row>
    <row r="19145" spans="9:10" x14ac:dyDescent="0.35">
      <c r="I19145" s="63"/>
      <c r="J19145" s="63"/>
    </row>
    <row r="19146" spans="9:10" x14ac:dyDescent="0.35">
      <c r="I19146" s="63"/>
      <c r="J19146" s="63"/>
    </row>
    <row r="19147" spans="9:10" x14ac:dyDescent="0.35">
      <c r="I19147" s="63"/>
      <c r="J19147" s="63"/>
    </row>
    <row r="19148" spans="9:10" x14ac:dyDescent="0.35">
      <c r="I19148" s="63"/>
      <c r="J19148" s="63"/>
    </row>
    <row r="19149" spans="9:10" x14ac:dyDescent="0.35">
      <c r="I19149" s="63"/>
      <c r="J19149" s="63"/>
    </row>
    <row r="19150" spans="9:10" x14ac:dyDescent="0.35">
      <c r="I19150" s="63"/>
      <c r="J19150" s="63"/>
    </row>
    <row r="19151" spans="9:10" x14ac:dyDescent="0.35">
      <c r="I19151" s="63"/>
      <c r="J19151" s="63"/>
    </row>
    <row r="19152" spans="9:10" x14ac:dyDescent="0.35">
      <c r="I19152" s="63"/>
      <c r="J19152" s="63"/>
    </row>
    <row r="19153" spans="9:10" x14ac:dyDescent="0.35">
      <c r="I19153" s="63"/>
      <c r="J19153" s="63"/>
    </row>
    <row r="19154" spans="9:10" x14ac:dyDescent="0.35">
      <c r="I19154" s="63"/>
      <c r="J19154" s="63"/>
    </row>
    <row r="19155" spans="9:10" x14ac:dyDescent="0.35">
      <c r="I19155" s="63"/>
      <c r="J19155" s="63"/>
    </row>
    <row r="19156" spans="9:10" x14ac:dyDescent="0.35">
      <c r="I19156" s="63"/>
      <c r="J19156" s="63"/>
    </row>
    <row r="19157" spans="9:10" x14ac:dyDescent="0.35">
      <c r="I19157" s="63"/>
      <c r="J19157" s="63"/>
    </row>
    <row r="19158" spans="9:10" x14ac:dyDescent="0.35">
      <c r="I19158" s="63"/>
      <c r="J19158" s="63"/>
    </row>
    <row r="19159" spans="9:10" x14ac:dyDescent="0.35">
      <c r="I19159" s="63"/>
      <c r="J19159" s="63"/>
    </row>
    <row r="19160" spans="9:10" x14ac:dyDescent="0.35">
      <c r="I19160" s="63"/>
      <c r="J19160" s="63"/>
    </row>
    <row r="19161" spans="9:10" x14ac:dyDescent="0.35">
      <c r="I19161" s="63"/>
      <c r="J19161" s="63"/>
    </row>
    <row r="19162" spans="9:10" x14ac:dyDescent="0.35">
      <c r="I19162" s="63"/>
      <c r="J19162" s="63"/>
    </row>
    <row r="19163" spans="9:10" x14ac:dyDescent="0.35">
      <c r="I19163" s="63"/>
      <c r="J19163" s="63"/>
    </row>
    <row r="19164" spans="9:10" x14ac:dyDescent="0.35">
      <c r="I19164" s="63"/>
      <c r="J19164" s="63"/>
    </row>
    <row r="19165" spans="9:10" x14ac:dyDescent="0.35">
      <c r="I19165" s="63"/>
      <c r="J19165" s="63"/>
    </row>
    <row r="19166" spans="9:10" x14ac:dyDescent="0.35">
      <c r="I19166" s="63"/>
      <c r="J19166" s="63"/>
    </row>
    <row r="19167" spans="9:10" x14ac:dyDescent="0.35">
      <c r="I19167" s="63"/>
      <c r="J19167" s="63"/>
    </row>
    <row r="19168" spans="9:10" x14ac:dyDescent="0.35">
      <c r="I19168" s="63"/>
      <c r="J19168" s="63"/>
    </row>
    <row r="19169" spans="9:10" x14ac:dyDescent="0.35">
      <c r="I19169" s="63"/>
      <c r="J19169" s="63"/>
    </row>
    <row r="19170" spans="9:10" x14ac:dyDescent="0.35">
      <c r="I19170" s="63"/>
      <c r="J19170" s="63"/>
    </row>
    <row r="19171" spans="9:10" x14ac:dyDescent="0.35">
      <c r="I19171" s="63"/>
      <c r="J19171" s="63"/>
    </row>
    <row r="19172" spans="9:10" x14ac:dyDescent="0.35">
      <c r="I19172" s="63"/>
      <c r="J19172" s="63"/>
    </row>
    <row r="19173" spans="9:10" x14ac:dyDescent="0.35">
      <c r="I19173" s="63"/>
      <c r="J19173" s="63"/>
    </row>
    <row r="19174" spans="9:10" x14ac:dyDescent="0.35">
      <c r="I19174" s="63"/>
      <c r="J19174" s="63"/>
    </row>
    <row r="19175" spans="9:10" x14ac:dyDescent="0.35">
      <c r="I19175" s="63"/>
      <c r="J19175" s="63"/>
    </row>
    <row r="19176" spans="9:10" x14ac:dyDescent="0.35">
      <c r="I19176" s="63"/>
      <c r="J19176" s="63"/>
    </row>
    <row r="19177" spans="9:10" x14ac:dyDescent="0.35">
      <c r="I19177" s="63"/>
      <c r="J19177" s="63"/>
    </row>
    <row r="19178" spans="9:10" x14ac:dyDescent="0.35">
      <c r="I19178" s="63"/>
      <c r="J19178" s="63"/>
    </row>
    <row r="19179" spans="9:10" x14ac:dyDescent="0.35">
      <c r="I19179" s="63"/>
      <c r="J19179" s="63"/>
    </row>
    <row r="19180" spans="9:10" x14ac:dyDescent="0.35">
      <c r="I19180" s="63"/>
      <c r="J19180" s="63"/>
    </row>
    <row r="19181" spans="9:10" x14ac:dyDescent="0.35">
      <c r="I19181" s="63"/>
      <c r="J19181" s="63"/>
    </row>
    <row r="19182" spans="9:10" x14ac:dyDescent="0.35">
      <c r="I19182" s="63"/>
      <c r="J19182" s="63"/>
    </row>
    <row r="19183" spans="9:10" x14ac:dyDescent="0.35">
      <c r="I19183" s="63"/>
      <c r="J19183" s="63"/>
    </row>
    <row r="19184" spans="9:10" x14ac:dyDescent="0.35">
      <c r="I19184" s="63"/>
      <c r="J19184" s="63"/>
    </row>
    <row r="19185" spans="9:10" x14ac:dyDescent="0.35">
      <c r="I19185" s="63"/>
      <c r="J19185" s="63"/>
    </row>
    <row r="19186" spans="9:10" x14ac:dyDescent="0.35">
      <c r="I19186" s="63"/>
      <c r="J19186" s="63"/>
    </row>
    <row r="19187" spans="9:10" x14ac:dyDescent="0.35">
      <c r="I19187" s="63"/>
      <c r="J19187" s="63"/>
    </row>
    <row r="19188" spans="9:10" x14ac:dyDescent="0.35">
      <c r="I19188" s="63"/>
      <c r="J19188" s="63"/>
    </row>
    <row r="19189" spans="9:10" x14ac:dyDescent="0.35">
      <c r="I19189" s="63"/>
      <c r="J19189" s="63"/>
    </row>
    <row r="19190" spans="9:10" x14ac:dyDescent="0.35">
      <c r="I19190" s="63"/>
      <c r="J19190" s="63"/>
    </row>
    <row r="19191" spans="9:10" x14ac:dyDescent="0.35">
      <c r="I19191" s="63"/>
      <c r="J19191" s="63"/>
    </row>
    <row r="19192" spans="9:10" x14ac:dyDescent="0.35">
      <c r="I19192" s="63"/>
      <c r="J19192" s="63"/>
    </row>
    <row r="19193" spans="9:10" x14ac:dyDescent="0.35">
      <c r="I19193" s="63"/>
      <c r="J19193" s="63"/>
    </row>
    <row r="19194" spans="9:10" x14ac:dyDescent="0.35">
      <c r="I19194" s="63"/>
      <c r="J19194" s="63"/>
    </row>
    <row r="19195" spans="9:10" x14ac:dyDescent="0.35">
      <c r="I19195" s="63"/>
      <c r="J19195" s="63"/>
    </row>
    <row r="19196" spans="9:10" x14ac:dyDescent="0.35">
      <c r="I19196" s="63"/>
      <c r="J19196" s="63"/>
    </row>
    <row r="19197" spans="9:10" x14ac:dyDescent="0.35">
      <c r="I19197" s="63"/>
      <c r="J19197" s="63"/>
    </row>
    <row r="19198" spans="9:10" x14ac:dyDescent="0.35">
      <c r="I19198" s="63"/>
      <c r="J19198" s="63"/>
    </row>
    <row r="19199" spans="9:10" x14ac:dyDescent="0.35">
      <c r="I19199" s="63"/>
      <c r="J19199" s="63"/>
    </row>
    <row r="19200" spans="9:10" x14ac:dyDescent="0.35">
      <c r="I19200" s="63"/>
      <c r="J19200" s="63"/>
    </row>
    <row r="19201" spans="9:10" x14ac:dyDescent="0.35">
      <c r="I19201" s="63"/>
      <c r="J19201" s="63"/>
    </row>
    <row r="19202" spans="9:10" x14ac:dyDescent="0.35">
      <c r="I19202" s="63"/>
      <c r="J19202" s="63"/>
    </row>
    <row r="19203" spans="9:10" x14ac:dyDescent="0.35">
      <c r="I19203" s="63"/>
      <c r="J19203" s="63"/>
    </row>
    <row r="19204" spans="9:10" x14ac:dyDescent="0.35">
      <c r="I19204" s="63"/>
      <c r="J19204" s="63"/>
    </row>
    <row r="19205" spans="9:10" x14ac:dyDescent="0.35">
      <c r="I19205" s="63"/>
      <c r="J19205" s="63"/>
    </row>
    <row r="19206" spans="9:10" x14ac:dyDescent="0.35">
      <c r="I19206" s="63"/>
      <c r="J19206" s="63"/>
    </row>
    <row r="19207" spans="9:10" x14ac:dyDescent="0.35">
      <c r="I19207" s="63"/>
      <c r="J19207" s="63"/>
    </row>
    <row r="19208" spans="9:10" x14ac:dyDescent="0.35">
      <c r="I19208" s="63"/>
      <c r="J19208" s="63"/>
    </row>
    <row r="19209" spans="9:10" x14ac:dyDescent="0.35">
      <c r="I19209" s="63"/>
      <c r="J19209" s="63"/>
    </row>
    <row r="19210" spans="9:10" x14ac:dyDescent="0.35">
      <c r="I19210" s="63"/>
      <c r="J19210" s="63"/>
    </row>
    <row r="19211" spans="9:10" x14ac:dyDescent="0.35">
      <c r="I19211" s="63"/>
      <c r="J19211" s="63"/>
    </row>
    <row r="19212" spans="9:10" x14ac:dyDescent="0.35">
      <c r="I19212" s="63"/>
      <c r="J19212" s="63"/>
    </row>
    <row r="19213" spans="9:10" x14ac:dyDescent="0.35">
      <c r="I19213" s="63"/>
      <c r="J19213" s="63"/>
    </row>
    <row r="19214" spans="9:10" x14ac:dyDescent="0.35">
      <c r="I19214" s="63"/>
      <c r="J19214" s="63"/>
    </row>
    <row r="19215" spans="9:10" x14ac:dyDescent="0.35">
      <c r="I19215" s="63"/>
      <c r="J19215" s="63"/>
    </row>
    <row r="19216" spans="9:10" x14ac:dyDescent="0.35">
      <c r="I19216" s="63"/>
      <c r="J19216" s="63"/>
    </row>
    <row r="19217" spans="9:10" x14ac:dyDescent="0.35">
      <c r="I19217" s="63"/>
      <c r="J19217" s="63"/>
    </row>
    <row r="19218" spans="9:10" x14ac:dyDescent="0.35">
      <c r="I19218" s="63"/>
      <c r="J19218" s="63"/>
    </row>
    <row r="19219" spans="9:10" x14ac:dyDescent="0.35">
      <c r="I19219" s="63"/>
      <c r="J19219" s="63"/>
    </row>
    <row r="19220" spans="9:10" x14ac:dyDescent="0.35">
      <c r="I19220" s="63"/>
      <c r="J19220" s="63"/>
    </row>
    <row r="19221" spans="9:10" x14ac:dyDescent="0.35">
      <c r="I19221" s="63"/>
      <c r="J19221" s="63"/>
    </row>
    <row r="19222" spans="9:10" x14ac:dyDescent="0.35">
      <c r="I19222" s="63"/>
      <c r="J19222" s="63"/>
    </row>
    <row r="19223" spans="9:10" x14ac:dyDescent="0.35">
      <c r="I19223" s="63"/>
      <c r="J19223" s="63"/>
    </row>
    <row r="19224" spans="9:10" x14ac:dyDescent="0.35">
      <c r="I19224" s="63"/>
      <c r="J19224" s="63"/>
    </row>
    <row r="19225" spans="9:10" x14ac:dyDescent="0.35">
      <c r="I19225" s="63"/>
      <c r="J19225" s="63"/>
    </row>
    <row r="19226" spans="9:10" x14ac:dyDescent="0.35">
      <c r="I19226" s="63"/>
      <c r="J19226" s="63"/>
    </row>
    <row r="19227" spans="9:10" x14ac:dyDescent="0.35">
      <c r="I19227" s="63"/>
      <c r="J19227" s="63"/>
    </row>
    <row r="19228" spans="9:10" x14ac:dyDescent="0.35">
      <c r="I19228" s="63"/>
      <c r="J19228" s="63"/>
    </row>
    <row r="19229" spans="9:10" x14ac:dyDescent="0.35">
      <c r="I19229" s="63"/>
      <c r="J19229" s="63"/>
    </row>
    <row r="19230" spans="9:10" x14ac:dyDescent="0.35">
      <c r="I19230" s="63"/>
      <c r="J19230" s="63"/>
    </row>
    <row r="19231" spans="9:10" x14ac:dyDescent="0.35">
      <c r="I19231" s="63"/>
      <c r="J19231" s="63"/>
    </row>
    <row r="19232" spans="9:10" x14ac:dyDescent="0.35">
      <c r="I19232" s="63"/>
      <c r="J19232" s="63"/>
    </row>
    <row r="19233" spans="9:10" x14ac:dyDescent="0.35">
      <c r="I19233" s="63"/>
      <c r="J19233" s="63"/>
    </row>
    <row r="19234" spans="9:10" x14ac:dyDescent="0.35">
      <c r="I19234" s="63"/>
      <c r="J19234" s="63"/>
    </row>
    <row r="19235" spans="9:10" x14ac:dyDescent="0.35">
      <c r="I19235" s="63"/>
      <c r="J19235" s="63"/>
    </row>
    <row r="19236" spans="9:10" x14ac:dyDescent="0.35">
      <c r="I19236" s="63"/>
      <c r="J19236" s="63"/>
    </row>
    <row r="19237" spans="9:10" x14ac:dyDescent="0.35">
      <c r="I19237" s="63"/>
      <c r="J19237" s="63"/>
    </row>
    <row r="19238" spans="9:10" x14ac:dyDescent="0.35">
      <c r="I19238" s="63"/>
      <c r="J19238" s="63"/>
    </row>
    <row r="19239" spans="9:10" x14ac:dyDescent="0.35">
      <c r="I19239" s="63"/>
      <c r="J19239" s="63"/>
    </row>
    <row r="19240" spans="9:10" x14ac:dyDescent="0.35">
      <c r="I19240" s="63"/>
      <c r="J19240" s="63"/>
    </row>
    <row r="19241" spans="9:10" x14ac:dyDescent="0.35">
      <c r="I19241" s="63"/>
      <c r="J19241" s="63"/>
    </row>
    <row r="19242" spans="9:10" x14ac:dyDescent="0.35">
      <c r="I19242" s="63"/>
      <c r="J19242" s="63"/>
    </row>
    <row r="19243" spans="9:10" x14ac:dyDescent="0.35">
      <c r="I19243" s="63"/>
      <c r="J19243" s="63"/>
    </row>
    <row r="19244" spans="9:10" x14ac:dyDescent="0.35">
      <c r="I19244" s="63"/>
      <c r="J19244" s="63"/>
    </row>
    <row r="19245" spans="9:10" x14ac:dyDescent="0.35">
      <c r="I19245" s="63"/>
      <c r="J19245" s="63"/>
    </row>
    <row r="19246" spans="9:10" x14ac:dyDescent="0.35">
      <c r="I19246" s="63"/>
      <c r="J19246" s="63"/>
    </row>
    <row r="19247" spans="9:10" x14ac:dyDescent="0.35">
      <c r="I19247" s="63"/>
      <c r="J19247" s="63"/>
    </row>
    <row r="19248" spans="9:10" x14ac:dyDescent="0.35">
      <c r="I19248" s="63"/>
      <c r="J19248" s="63"/>
    </row>
    <row r="19249" spans="9:10" x14ac:dyDescent="0.35">
      <c r="I19249" s="63"/>
      <c r="J19249" s="63"/>
    </row>
    <row r="19250" spans="9:10" x14ac:dyDescent="0.35">
      <c r="I19250" s="63"/>
      <c r="J19250" s="63"/>
    </row>
    <row r="19251" spans="9:10" x14ac:dyDescent="0.35">
      <c r="I19251" s="63"/>
      <c r="J19251" s="63"/>
    </row>
    <row r="19252" spans="9:10" x14ac:dyDescent="0.35">
      <c r="I19252" s="63"/>
      <c r="J19252" s="63"/>
    </row>
    <row r="19253" spans="9:10" x14ac:dyDescent="0.35">
      <c r="I19253" s="63"/>
      <c r="J19253" s="63"/>
    </row>
    <row r="19254" spans="9:10" x14ac:dyDescent="0.35">
      <c r="I19254" s="63"/>
      <c r="J19254" s="63"/>
    </row>
    <row r="19255" spans="9:10" x14ac:dyDescent="0.35">
      <c r="I19255" s="63"/>
      <c r="J19255" s="63"/>
    </row>
    <row r="19256" spans="9:10" x14ac:dyDescent="0.35">
      <c r="I19256" s="63"/>
      <c r="J19256" s="63"/>
    </row>
    <row r="19257" spans="9:10" x14ac:dyDescent="0.35">
      <c r="I19257" s="63"/>
      <c r="J19257" s="63"/>
    </row>
    <row r="19258" spans="9:10" x14ac:dyDescent="0.35">
      <c r="I19258" s="63"/>
      <c r="J19258" s="63"/>
    </row>
    <row r="19259" spans="9:10" x14ac:dyDescent="0.35">
      <c r="I19259" s="63"/>
      <c r="J19259" s="63"/>
    </row>
    <row r="19260" spans="9:10" x14ac:dyDescent="0.35">
      <c r="I19260" s="63"/>
      <c r="J19260" s="63"/>
    </row>
    <row r="19261" spans="9:10" x14ac:dyDescent="0.35">
      <c r="I19261" s="63"/>
      <c r="J19261" s="63"/>
    </row>
    <row r="19262" spans="9:10" x14ac:dyDescent="0.35">
      <c r="I19262" s="63"/>
      <c r="J19262" s="63"/>
    </row>
    <row r="19263" spans="9:10" x14ac:dyDescent="0.35">
      <c r="I19263" s="63"/>
      <c r="J19263" s="63"/>
    </row>
    <row r="19264" spans="9:10" x14ac:dyDescent="0.35">
      <c r="I19264" s="63"/>
      <c r="J19264" s="63"/>
    </row>
    <row r="19265" spans="9:10" x14ac:dyDescent="0.35">
      <c r="I19265" s="63"/>
      <c r="J19265" s="63"/>
    </row>
    <row r="19266" spans="9:10" x14ac:dyDescent="0.35">
      <c r="I19266" s="63"/>
      <c r="J19266" s="63"/>
    </row>
    <row r="19267" spans="9:10" x14ac:dyDescent="0.35">
      <c r="I19267" s="63"/>
      <c r="J19267" s="63"/>
    </row>
    <row r="19268" spans="9:10" x14ac:dyDescent="0.35">
      <c r="I19268" s="63"/>
      <c r="J19268" s="63"/>
    </row>
    <row r="19269" spans="9:10" x14ac:dyDescent="0.35">
      <c r="I19269" s="63"/>
      <c r="J19269" s="63"/>
    </row>
    <row r="19270" spans="9:10" x14ac:dyDescent="0.35">
      <c r="I19270" s="63"/>
      <c r="J19270" s="63"/>
    </row>
    <row r="19271" spans="9:10" x14ac:dyDescent="0.35">
      <c r="I19271" s="63"/>
      <c r="J19271" s="63"/>
    </row>
    <row r="19272" spans="9:10" x14ac:dyDescent="0.35">
      <c r="I19272" s="63"/>
      <c r="J19272" s="63"/>
    </row>
    <row r="19273" spans="9:10" x14ac:dyDescent="0.35">
      <c r="I19273" s="63"/>
      <c r="J19273" s="63"/>
    </row>
    <row r="19274" spans="9:10" x14ac:dyDescent="0.35">
      <c r="I19274" s="63"/>
      <c r="J19274" s="63"/>
    </row>
    <row r="19275" spans="9:10" x14ac:dyDescent="0.35">
      <c r="I19275" s="63"/>
      <c r="J19275" s="63"/>
    </row>
    <row r="19276" spans="9:10" x14ac:dyDescent="0.35">
      <c r="I19276" s="63"/>
      <c r="J19276" s="63"/>
    </row>
    <row r="19277" spans="9:10" x14ac:dyDescent="0.35">
      <c r="I19277" s="63"/>
      <c r="J19277" s="63"/>
    </row>
    <row r="19278" spans="9:10" x14ac:dyDescent="0.35">
      <c r="I19278" s="63"/>
      <c r="J19278" s="63"/>
    </row>
    <row r="19279" spans="9:10" x14ac:dyDescent="0.35">
      <c r="I19279" s="63"/>
      <c r="J19279" s="63"/>
    </row>
    <row r="19280" spans="9:10" x14ac:dyDescent="0.35">
      <c r="I19280" s="63"/>
      <c r="J19280" s="63"/>
    </row>
    <row r="19281" spans="9:10" x14ac:dyDescent="0.35">
      <c r="I19281" s="63"/>
      <c r="J19281" s="63"/>
    </row>
    <row r="19282" spans="9:10" x14ac:dyDescent="0.35">
      <c r="I19282" s="63"/>
      <c r="J19282" s="63"/>
    </row>
    <row r="19283" spans="9:10" x14ac:dyDescent="0.35">
      <c r="I19283" s="63"/>
      <c r="J19283" s="63"/>
    </row>
    <row r="19284" spans="9:10" x14ac:dyDescent="0.35">
      <c r="I19284" s="63"/>
      <c r="J19284" s="63"/>
    </row>
    <row r="19285" spans="9:10" x14ac:dyDescent="0.35">
      <c r="I19285" s="63"/>
      <c r="J19285" s="63"/>
    </row>
    <row r="19286" spans="9:10" x14ac:dyDescent="0.35">
      <c r="I19286" s="63"/>
      <c r="J19286" s="63"/>
    </row>
    <row r="19287" spans="9:10" x14ac:dyDescent="0.35">
      <c r="I19287" s="63"/>
      <c r="J19287" s="63"/>
    </row>
    <row r="19288" spans="9:10" x14ac:dyDescent="0.35">
      <c r="I19288" s="63"/>
      <c r="J19288" s="63"/>
    </row>
    <row r="19289" spans="9:10" x14ac:dyDescent="0.35">
      <c r="I19289" s="63"/>
      <c r="J19289" s="63"/>
    </row>
    <row r="19290" spans="9:10" x14ac:dyDescent="0.35">
      <c r="I19290" s="63"/>
      <c r="J19290" s="63"/>
    </row>
    <row r="19291" spans="9:10" x14ac:dyDescent="0.35">
      <c r="I19291" s="63"/>
      <c r="J19291" s="63"/>
    </row>
    <row r="19292" spans="9:10" x14ac:dyDescent="0.35">
      <c r="I19292" s="63"/>
      <c r="J19292" s="63"/>
    </row>
    <row r="19293" spans="9:10" x14ac:dyDescent="0.35">
      <c r="I19293" s="63"/>
      <c r="J19293" s="63"/>
    </row>
    <row r="19294" spans="9:10" x14ac:dyDescent="0.35">
      <c r="I19294" s="63"/>
      <c r="J19294" s="63"/>
    </row>
    <row r="19295" spans="9:10" x14ac:dyDescent="0.35">
      <c r="I19295" s="63"/>
      <c r="J19295" s="63"/>
    </row>
    <row r="19296" spans="9:10" x14ac:dyDescent="0.35">
      <c r="I19296" s="63"/>
      <c r="J19296" s="63"/>
    </row>
    <row r="19297" spans="9:10" x14ac:dyDescent="0.35">
      <c r="I19297" s="63"/>
      <c r="J19297" s="63"/>
    </row>
    <row r="19298" spans="9:10" x14ac:dyDescent="0.35">
      <c r="I19298" s="63"/>
      <c r="J19298" s="63"/>
    </row>
    <row r="19299" spans="9:10" x14ac:dyDescent="0.35">
      <c r="I19299" s="63"/>
      <c r="J19299" s="63"/>
    </row>
    <row r="19300" spans="9:10" x14ac:dyDescent="0.35">
      <c r="I19300" s="63"/>
      <c r="J19300" s="63"/>
    </row>
    <row r="19301" spans="9:10" x14ac:dyDescent="0.35">
      <c r="I19301" s="63"/>
      <c r="J19301" s="63"/>
    </row>
    <row r="19302" spans="9:10" x14ac:dyDescent="0.35">
      <c r="I19302" s="63"/>
      <c r="J19302" s="63"/>
    </row>
    <row r="19303" spans="9:10" x14ac:dyDescent="0.35">
      <c r="I19303" s="63"/>
      <c r="J19303" s="63"/>
    </row>
    <row r="19304" spans="9:10" x14ac:dyDescent="0.35">
      <c r="I19304" s="63"/>
      <c r="J19304" s="63"/>
    </row>
    <row r="19305" spans="9:10" x14ac:dyDescent="0.35">
      <c r="I19305" s="63"/>
      <c r="J19305" s="63"/>
    </row>
    <row r="19306" spans="9:10" x14ac:dyDescent="0.35">
      <c r="I19306" s="63"/>
      <c r="J19306" s="63"/>
    </row>
    <row r="19307" spans="9:10" x14ac:dyDescent="0.35">
      <c r="I19307" s="63"/>
      <c r="J19307" s="63"/>
    </row>
    <row r="19308" spans="9:10" x14ac:dyDescent="0.35">
      <c r="I19308" s="63"/>
      <c r="J19308" s="63"/>
    </row>
    <row r="19309" spans="9:10" x14ac:dyDescent="0.35">
      <c r="I19309" s="63"/>
      <c r="J19309" s="63"/>
    </row>
    <row r="19310" spans="9:10" x14ac:dyDescent="0.35">
      <c r="I19310" s="63"/>
      <c r="J19310" s="63"/>
    </row>
    <row r="19311" spans="9:10" x14ac:dyDescent="0.35">
      <c r="I19311" s="63"/>
      <c r="J19311" s="63"/>
    </row>
    <row r="19312" spans="9:10" x14ac:dyDescent="0.35">
      <c r="I19312" s="63"/>
      <c r="J19312" s="63"/>
    </row>
    <row r="19313" spans="9:10" x14ac:dyDescent="0.35">
      <c r="I19313" s="63"/>
      <c r="J19313" s="63"/>
    </row>
    <row r="19314" spans="9:10" x14ac:dyDescent="0.35">
      <c r="I19314" s="63"/>
      <c r="J19314" s="63"/>
    </row>
    <row r="19315" spans="9:10" x14ac:dyDescent="0.35">
      <c r="I19315" s="63"/>
      <c r="J19315" s="63"/>
    </row>
    <row r="19316" spans="9:10" x14ac:dyDescent="0.35">
      <c r="I19316" s="63"/>
      <c r="J19316" s="63"/>
    </row>
    <row r="19317" spans="9:10" x14ac:dyDescent="0.35">
      <c r="I19317" s="63"/>
      <c r="J19317" s="63"/>
    </row>
    <row r="19318" spans="9:10" x14ac:dyDescent="0.35">
      <c r="I19318" s="63"/>
      <c r="J19318" s="63"/>
    </row>
    <row r="19319" spans="9:10" x14ac:dyDescent="0.35">
      <c r="I19319" s="63"/>
      <c r="J19319" s="63"/>
    </row>
    <row r="19320" spans="9:10" x14ac:dyDescent="0.35">
      <c r="I19320" s="63"/>
      <c r="J19320" s="63"/>
    </row>
    <row r="19321" spans="9:10" x14ac:dyDescent="0.35">
      <c r="I19321" s="63"/>
      <c r="J19321" s="63"/>
    </row>
    <row r="19322" spans="9:10" x14ac:dyDescent="0.35">
      <c r="I19322" s="63"/>
      <c r="J19322" s="63"/>
    </row>
    <row r="19323" spans="9:10" x14ac:dyDescent="0.35">
      <c r="I19323" s="63"/>
      <c r="J19323" s="63"/>
    </row>
    <row r="19324" spans="9:10" x14ac:dyDescent="0.35">
      <c r="I19324" s="63"/>
      <c r="J19324" s="63"/>
    </row>
    <row r="19325" spans="9:10" x14ac:dyDescent="0.35">
      <c r="I19325" s="63"/>
      <c r="J19325" s="63"/>
    </row>
    <row r="19326" spans="9:10" x14ac:dyDescent="0.35">
      <c r="I19326" s="63"/>
      <c r="J19326" s="63"/>
    </row>
    <row r="19327" spans="9:10" x14ac:dyDescent="0.35">
      <c r="I19327" s="63"/>
      <c r="J19327" s="63"/>
    </row>
    <row r="19328" spans="9:10" x14ac:dyDescent="0.35">
      <c r="I19328" s="63"/>
      <c r="J19328" s="63"/>
    </row>
    <row r="19329" spans="9:10" x14ac:dyDescent="0.35">
      <c r="I19329" s="63"/>
      <c r="J19329" s="63"/>
    </row>
    <row r="19330" spans="9:10" x14ac:dyDescent="0.35">
      <c r="I19330" s="63"/>
      <c r="J19330" s="63"/>
    </row>
    <row r="19331" spans="9:10" x14ac:dyDescent="0.35">
      <c r="I19331" s="63"/>
      <c r="J19331" s="63"/>
    </row>
    <row r="19332" spans="9:10" x14ac:dyDescent="0.35">
      <c r="I19332" s="63"/>
      <c r="J19332" s="63"/>
    </row>
    <row r="19333" spans="9:10" x14ac:dyDescent="0.35">
      <c r="I19333" s="63"/>
      <c r="J19333" s="63"/>
    </row>
    <row r="19334" spans="9:10" x14ac:dyDescent="0.35">
      <c r="I19334" s="63"/>
      <c r="J19334" s="63"/>
    </row>
    <row r="19335" spans="9:10" x14ac:dyDescent="0.35">
      <c r="I19335" s="63"/>
      <c r="J19335" s="63"/>
    </row>
    <row r="19336" spans="9:10" x14ac:dyDescent="0.35">
      <c r="I19336" s="63"/>
      <c r="J19336" s="63"/>
    </row>
    <row r="19337" spans="9:10" x14ac:dyDescent="0.35">
      <c r="I19337" s="63"/>
      <c r="J19337" s="63"/>
    </row>
    <row r="19338" spans="9:10" x14ac:dyDescent="0.35">
      <c r="I19338" s="63"/>
      <c r="J19338" s="63"/>
    </row>
    <row r="19339" spans="9:10" x14ac:dyDescent="0.35">
      <c r="I19339" s="63"/>
      <c r="J19339" s="63"/>
    </row>
    <row r="19340" spans="9:10" x14ac:dyDescent="0.35">
      <c r="I19340" s="63"/>
      <c r="J19340" s="63"/>
    </row>
    <row r="19341" spans="9:10" x14ac:dyDescent="0.35">
      <c r="I19341" s="63"/>
      <c r="J19341" s="63"/>
    </row>
    <row r="19342" spans="9:10" x14ac:dyDescent="0.35">
      <c r="I19342" s="63"/>
      <c r="J19342" s="63"/>
    </row>
    <row r="19343" spans="9:10" x14ac:dyDescent="0.35">
      <c r="I19343" s="63"/>
      <c r="J19343" s="63"/>
    </row>
    <row r="19344" spans="9:10" x14ac:dyDescent="0.35">
      <c r="I19344" s="63"/>
      <c r="J19344" s="63"/>
    </row>
    <row r="19345" spans="9:10" x14ac:dyDescent="0.35">
      <c r="I19345" s="63"/>
      <c r="J19345" s="63"/>
    </row>
    <row r="19346" spans="9:10" x14ac:dyDescent="0.35">
      <c r="I19346" s="63"/>
      <c r="J19346" s="63"/>
    </row>
    <row r="19347" spans="9:10" x14ac:dyDescent="0.35">
      <c r="I19347" s="63"/>
      <c r="J19347" s="63"/>
    </row>
    <row r="19348" spans="9:10" x14ac:dyDescent="0.35">
      <c r="I19348" s="63"/>
      <c r="J19348" s="63"/>
    </row>
    <row r="19349" spans="9:10" x14ac:dyDescent="0.35">
      <c r="I19349" s="63"/>
      <c r="J19349" s="63"/>
    </row>
    <row r="19350" spans="9:10" x14ac:dyDescent="0.35">
      <c r="I19350" s="63"/>
      <c r="J19350" s="63"/>
    </row>
    <row r="19351" spans="9:10" x14ac:dyDescent="0.35">
      <c r="I19351" s="63"/>
      <c r="J19351" s="63"/>
    </row>
    <row r="19352" spans="9:10" x14ac:dyDescent="0.35">
      <c r="I19352" s="63"/>
      <c r="J19352" s="63"/>
    </row>
    <row r="19353" spans="9:10" x14ac:dyDescent="0.35">
      <c r="I19353" s="63"/>
      <c r="J19353" s="63"/>
    </row>
    <row r="19354" spans="9:10" x14ac:dyDescent="0.35">
      <c r="I19354" s="63"/>
      <c r="J19354" s="63"/>
    </row>
    <row r="19355" spans="9:10" x14ac:dyDescent="0.35">
      <c r="I19355" s="63"/>
      <c r="J19355" s="63"/>
    </row>
    <row r="19356" spans="9:10" x14ac:dyDescent="0.35">
      <c r="I19356" s="63"/>
      <c r="J19356" s="63"/>
    </row>
    <row r="19357" spans="9:10" x14ac:dyDescent="0.35">
      <c r="I19357" s="63"/>
      <c r="J19357" s="63"/>
    </row>
    <row r="19358" spans="9:10" x14ac:dyDescent="0.35">
      <c r="I19358" s="63"/>
      <c r="J19358" s="63"/>
    </row>
    <row r="19359" spans="9:10" x14ac:dyDescent="0.35">
      <c r="I19359" s="63"/>
      <c r="J19359" s="63"/>
    </row>
    <row r="19360" spans="9:10" x14ac:dyDescent="0.35">
      <c r="I19360" s="63"/>
      <c r="J19360" s="63"/>
    </row>
    <row r="19361" spans="9:10" x14ac:dyDescent="0.35">
      <c r="I19361" s="63"/>
      <c r="J19361" s="63"/>
    </row>
    <row r="19362" spans="9:10" x14ac:dyDescent="0.35">
      <c r="I19362" s="63"/>
      <c r="J19362" s="63"/>
    </row>
    <row r="19363" spans="9:10" x14ac:dyDescent="0.35">
      <c r="I19363" s="63"/>
      <c r="J19363" s="63"/>
    </row>
    <row r="19364" spans="9:10" x14ac:dyDescent="0.35">
      <c r="I19364" s="63"/>
      <c r="J19364" s="63"/>
    </row>
    <row r="19365" spans="9:10" x14ac:dyDescent="0.35">
      <c r="I19365" s="63"/>
      <c r="J19365" s="63"/>
    </row>
    <row r="19366" spans="9:10" x14ac:dyDescent="0.35">
      <c r="I19366" s="63"/>
      <c r="J19366" s="63"/>
    </row>
    <row r="19367" spans="9:10" x14ac:dyDescent="0.35">
      <c r="I19367" s="63"/>
      <c r="J19367" s="63"/>
    </row>
    <row r="19368" spans="9:10" x14ac:dyDescent="0.35">
      <c r="I19368" s="63"/>
      <c r="J19368" s="63"/>
    </row>
    <row r="19369" spans="9:10" x14ac:dyDescent="0.35">
      <c r="I19369" s="63"/>
      <c r="J19369" s="63"/>
    </row>
    <row r="19370" spans="9:10" x14ac:dyDescent="0.35">
      <c r="I19370" s="63"/>
      <c r="J19370" s="63"/>
    </row>
    <row r="19371" spans="9:10" x14ac:dyDescent="0.35">
      <c r="I19371" s="63"/>
      <c r="J19371" s="63"/>
    </row>
    <row r="19372" spans="9:10" x14ac:dyDescent="0.35">
      <c r="I19372" s="63"/>
      <c r="J19372" s="63"/>
    </row>
    <row r="19373" spans="9:10" x14ac:dyDescent="0.35">
      <c r="I19373" s="63"/>
      <c r="J19373" s="63"/>
    </row>
    <row r="19374" spans="9:10" x14ac:dyDescent="0.35">
      <c r="I19374" s="63"/>
      <c r="J19374" s="63"/>
    </row>
    <row r="19375" spans="9:10" x14ac:dyDescent="0.35">
      <c r="I19375" s="63"/>
      <c r="J19375" s="63"/>
    </row>
    <row r="19376" spans="9:10" x14ac:dyDescent="0.35">
      <c r="I19376" s="63"/>
      <c r="J19376" s="63"/>
    </row>
    <row r="19377" spans="9:10" x14ac:dyDescent="0.35">
      <c r="I19377" s="63"/>
      <c r="J19377" s="63"/>
    </row>
    <row r="19378" spans="9:10" x14ac:dyDescent="0.35">
      <c r="I19378" s="63"/>
      <c r="J19378" s="63"/>
    </row>
    <row r="19379" spans="9:10" x14ac:dyDescent="0.35">
      <c r="I19379" s="63"/>
      <c r="J19379" s="63"/>
    </row>
    <row r="19380" spans="9:10" x14ac:dyDescent="0.35">
      <c r="I19380" s="63"/>
      <c r="J19380" s="63"/>
    </row>
    <row r="19381" spans="9:10" x14ac:dyDescent="0.35">
      <c r="I19381" s="63"/>
      <c r="J19381" s="63"/>
    </row>
    <row r="19382" spans="9:10" x14ac:dyDescent="0.35">
      <c r="I19382" s="63"/>
      <c r="J19382" s="63"/>
    </row>
    <row r="19383" spans="9:10" x14ac:dyDescent="0.35">
      <c r="I19383" s="63"/>
      <c r="J19383" s="63"/>
    </row>
    <row r="19384" spans="9:10" x14ac:dyDescent="0.35">
      <c r="I19384" s="63"/>
      <c r="J19384" s="63"/>
    </row>
    <row r="19385" spans="9:10" x14ac:dyDescent="0.35">
      <c r="I19385" s="63"/>
      <c r="J19385" s="63"/>
    </row>
    <row r="19386" spans="9:10" x14ac:dyDescent="0.35">
      <c r="I19386" s="63"/>
      <c r="J19386" s="63"/>
    </row>
    <row r="19387" spans="9:10" x14ac:dyDescent="0.35">
      <c r="I19387" s="63"/>
      <c r="J19387" s="63"/>
    </row>
    <row r="19388" spans="9:10" x14ac:dyDescent="0.35">
      <c r="I19388" s="63"/>
      <c r="J19388" s="63"/>
    </row>
    <row r="19389" spans="9:10" x14ac:dyDescent="0.35">
      <c r="I19389" s="63"/>
      <c r="J19389" s="63"/>
    </row>
    <row r="19390" spans="9:10" x14ac:dyDescent="0.35">
      <c r="I19390" s="63"/>
      <c r="J19390" s="63"/>
    </row>
    <row r="19391" spans="9:10" x14ac:dyDescent="0.35">
      <c r="I19391" s="63"/>
      <c r="J19391" s="63"/>
    </row>
    <row r="19392" spans="9:10" x14ac:dyDescent="0.35">
      <c r="I19392" s="63"/>
      <c r="J19392" s="63"/>
    </row>
    <row r="19393" spans="9:10" x14ac:dyDescent="0.35">
      <c r="I19393" s="63"/>
      <c r="J19393" s="63"/>
    </row>
    <row r="19394" spans="9:10" x14ac:dyDescent="0.35">
      <c r="I19394" s="63"/>
      <c r="J19394" s="63"/>
    </row>
    <row r="19395" spans="9:10" x14ac:dyDescent="0.35">
      <c r="I19395" s="63"/>
      <c r="J19395" s="63"/>
    </row>
    <row r="19396" spans="9:10" x14ac:dyDescent="0.35">
      <c r="I19396" s="63"/>
      <c r="J19396" s="63"/>
    </row>
    <row r="19397" spans="9:10" x14ac:dyDescent="0.35">
      <c r="I19397" s="63"/>
      <c r="J19397" s="63"/>
    </row>
    <row r="19398" spans="9:10" x14ac:dyDescent="0.35">
      <c r="I19398" s="63"/>
      <c r="J19398" s="63"/>
    </row>
    <row r="19399" spans="9:10" x14ac:dyDescent="0.35">
      <c r="I19399" s="63"/>
      <c r="J19399" s="63"/>
    </row>
    <row r="19400" spans="9:10" x14ac:dyDescent="0.35">
      <c r="I19400" s="63"/>
      <c r="J19400" s="63"/>
    </row>
    <row r="19401" spans="9:10" x14ac:dyDescent="0.35">
      <c r="I19401" s="63"/>
      <c r="J19401" s="63"/>
    </row>
    <row r="19402" spans="9:10" x14ac:dyDescent="0.35">
      <c r="I19402" s="63"/>
      <c r="J19402" s="63"/>
    </row>
    <row r="19403" spans="9:10" x14ac:dyDescent="0.35">
      <c r="I19403" s="63"/>
      <c r="J19403" s="63"/>
    </row>
    <row r="19404" spans="9:10" x14ac:dyDescent="0.35">
      <c r="I19404" s="63"/>
      <c r="J19404" s="63"/>
    </row>
    <row r="19405" spans="9:10" x14ac:dyDescent="0.35">
      <c r="I19405" s="63"/>
      <c r="J19405" s="63"/>
    </row>
    <row r="19406" spans="9:10" x14ac:dyDescent="0.35">
      <c r="I19406" s="63"/>
      <c r="J19406" s="63"/>
    </row>
    <row r="19407" spans="9:10" x14ac:dyDescent="0.35">
      <c r="I19407" s="63"/>
      <c r="J19407" s="63"/>
    </row>
    <row r="19408" spans="9:10" x14ac:dyDescent="0.35">
      <c r="I19408" s="63"/>
      <c r="J19408" s="63"/>
    </row>
    <row r="19409" spans="9:10" x14ac:dyDescent="0.35">
      <c r="I19409" s="63"/>
      <c r="J19409" s="63"/>
    </row>
    <row r="19410" spans="9:10" x14ac:dyDescent="0.35">
      <c r="I19410" s="63"/>
      <c r="J19410" s="63"/>
    </row>
    <row r="19411" spans="9:10" x14ac:dyDescent="0.35">
      <c r="I19411" s="63"/>
      <c r="J19411" s="63"/>
    </row>
    <row r="19412" spans="9:10" x14ac:dyDescent="0.35">
      <c r="I19412" s="63"/>
      <c r="J19412" s="63"/>
    </row>
    <row r="19413" spans="9:10" x14ac:dyDescent="0.35">
      <c r="I19413" s="63"/>
      <c r="J19413" s="63"/>
    </row>
    <row r="19414" spans="9:10" x14ac:dyDescent="0.35">
      <c r="I19414" s="63"/>
      <c r="J19414" s="63"/>
    </row>
    <row r="19415" spans="9:10" x14ac:dyDescent="0.35">
      <c r="I19415" s="63"/>
      <c r="J19415" s="63"/>
    </row>
    <row r="19416" spans="9:10" x14ac:dyDescent="0.35">
      <c r="I19416" s="63"/>
      <c r="J19416" s="63"/>
    </row>
    <row r="19417" spans="9:10" x14ac:dyDescent="0.35">
      <c r="I19417" s="63"/>
      <c r="J19417" s="63"/>
    </row>
    <row r="19418" spans="9:10" x14ac:dyDescent="0.35">
      <c r="I19418" s="63"/>
      <c r="J19418" s="63"/>
    </row>
    <row r="19419" spans="9:10" x14ac:dyDescent="0.35">
      <c r="I19419" s="63"/>
      <c r="J19419" s="63"/>
    </row>
    <row r="19420" spans="9:10" x14ac:dyDescent="0.35">
      <c r="I19420" s="63"/>
      <c r="J19420" s="63"/>
    </row>
    <row r="19421" spans="9:10" x14ac:dyDescent="0.35">
      <c r="I19421" s="63"/>
      <c r="J19421" s="63"/>
    </row>
    <row r="19422" spans="9:10" x14ac:dyDescent="0.35">
      <c r="I19422" s="63"/>
      <c r="J19422" s="63"/>
    </row>
    <row r="19423" spans="9:10" x14ac:dyDescent="0.35">
      <c r="I19423" s="63"/>
      <c r="J19423" s="63"/>
    </row>
    <row r="19424" spans="9:10" x14ac:dyDescent="0.35">
      <c r="I19424" s="63"/>
      <c r="J19424" s="63"/>
    </row>
    <row r="19425" spans="9:10" x14ac:dyDescent="0.35">
      <c r="I19425" s="63"/>
      <c r="J19425" s="63"/>
    </row>
    <row r="19426" spans="9:10" x14ac:dyDescent="0.35">
      <c r="I19426" s="63"/>
      <c r="J19426" s="63"/>
    </row>
    <row r="19427" spans="9:10" x14ac:dyDescent="0.35">
      <c r="I19427" s="63"/>
      <c r="J19427" s="63"/>
    </row>
    <row r="19428" spans="9:10" x14ac:dyDescent="0.35">
      <c r="I19428" s="63"/>
      <c r="J19428" s="63"/>
    </row>
    <row r="19429" spans="9:10" x14ac:dyDescent="0.35">
      <c r="I19429" s="63"/>
      <c r="J19429" s="63"/>
    </row>
    <row r="19430" spans="9:10" x14ac:dyDescent="0.35">
      <c r="I19430" s="63"/>
      <c r="J19430" s="63"/>
    </row>
    <row r="19431" spans="9:10" x14ac:dyDescent="0.35">
      <c r="I19431" s="63"/>
      <c r="J19431" s="63"/>
    </row>
    <row r="19432" spans="9:10" x14ac:dyDescent="0.35">
      <c r="I19432" s="63"/>
      <c r="J19432" s="63"/>
    </row>
    <row r="19433" spans="9:10" x14ac:dyDescent="0.35">
      <c r="I19433" s="63"/>
      <c r="J19433" s="63"/>
    </row>
    <row r="19434" spans="9:10" x14ac:dyDescent="0.35">
      <c r="I19434" s="63"/>
      <c r="J19434" s="63"/>
    </row>
    <row r="19435" spans="9:10" x14ac:dyDescent="0.35">
      <c r="I19435" s="63"/>
      <c r="J19435" s="63"/>
    </row>
    <row r="19436" spans="9:10" x14ac:dyDescent="0.35">
      <c r="I19436" s="63"/>
      <c r="J19436" s="63"/>
    </row>
    <row r="19437" spans="9:10" x14ac:dyDescent="0.35">
      <c r="I19437" s="63"/>
      <c r="J19437" s="63"/>
    </row>
    <row r="19438" spans="9:10" x14ac:dyDescent="0.35">
      <c r="I19438" s="63"/>
      <c r="J19438" s="63"/>
    </row>
    <row r="19439" spans="9:10" x14ac:dyDescent="0.35">
      <c r="I19439" s="63"/>
      <c r="J19439" s="63"/>
    </row>
    <row r="19440" spans="9:10" x14ac:dyDescent="0.35">
      <c r="I19440" s="63"/>
      <c r="J19440" s="63"/>
    </row>
    <row r="19441" spans="9:10" x14ac:dyDescent="0.35">
      <c r="I19441" s="63"/>
      <c r="J19441" s="63"/>
    </row>
    <row r="19442" spans="9:10" x14ac:dyDescent="0.35">
      <c r="I19442" s="63"/>
      <c r="J19442" s="63"/>
    </row>
    <row r="19443" spans="9:10" x14ac:dyDescent="0.35">
      <c r="I19443" s="63"/>
      <c r="J19443" s="63"/>
    </row>
    <row r="19444" spans="9:10" x14ac:dyDescent="0.35">
      <c r="I19444" s="63"/>
      <c r="J19444" s="63"/>
    </row>
    <row r="19445" spans="9:10" x14ac:dyDescent="0.35">
      <c r="I19445" s="63"/>
      <c r="J19445" s="63"/>
    </row>
    <row r="19446" spans="9:10" x14ac:dyDescent="0.35">
      <c r="I19446" s="63"/>
      <c r="J19446" s="63"/>
    </row>
    <row r="19447" spans="9:10" x14ac:dyDescent="0.35">
      <c r="I19447" s="63"/>
      <c r="J19447" s="63"/>
    </row>
    <row r="19448" spans="9:10" x14ac:dyDescent="0.35">
      <c r="I19448" s="63"/>
      <c r="J19448" s="63"/>
    </row>
    <row r="19449" spans="9:10" x14ac:dyDescent="0.35">
      <c r="I19449" s="63"/>
      <c r="J19449" s="63"/>
    </row>
    <row r="19450" spans="9:10" x14ac:dyDescent="0.35">
      <c r="I19450" s="63"/>
      <c r="J19450" s="63"/>
    </row>
    <row r="19451" spans="9:10" x14ac:dyDescent="0.35">
      <c r="I19451" s="63"/>
      <c r="J19451" s="63"/>
    </row>
    <row r="19452" spans="9:10" x14ac:dyDescent="0.35">
      <c r="I19452" s="63"/>
      <c r="J19452" s="63"/>
    </row>
    <row r="19453" spans="9:10" x14ac:dyDescent="0.35">
      <c r="I19453" s="63"/>
      <c r="J19453" s="63"/>
    </row>
    <row r="19454" spans="9:10" x14ac:dyDescent="0.35">
      <c r="I19454" s="63"/>
      <c r="J19454" s="63"/>
    </row>
    <row r="19455" spans="9:10" x14ac:dyDescent="0.35">
      <c r="I19455" s="63"/>
      <c r="J19455" s="63"/>
    </row>
    <row r="19456" spans="9:10" x14ac:dyDescent="0.35">
      <c r="I19456" s="63"/>
      <c r="J19456" s="63"/>
    </row>
    <row r="19457" spans="9:10" x14ac:dyDescent="0.35">
      <c r="I19457" s="63"/>
      <c r="J19457" s="63"/>
    </row>
    <row r="19458" spans="9:10" x14ac:dyDescent="0.35">
      <c r="I19458" s="63"/>
      <c r="J19458" s="63"/>
    </row>
    <row r="19459" spans="9:10" x14ac:dyDescent="0.35">
      <c r="I19459" s="63"/>
      <c r="J19459" s="63"/>
    </row>
    <row r="19460" spans="9:10" x14ac:dyDescent="0.35">
      <c r="I19460" s="63"/>
      <c r="J19460" s="63"/>
    </row>
    <row r="19461" spans="9:10" x14ac:dyDescent="0.35">
      <c r="I19461" s="63"/>
      <c r="J19461" s="63"/>
    </row>
    <row r="19462" spans="9:10" x14ac:dyDescent="0.35">
      <c r="I19462" s="63"/>
      <c r="J19462" s="63"/>
    </row>
    <row r="19463" spans="9:10" x14ac:dyDescent="0.35">
      <c r="I19463" s="63"/>
      <c r="J19463" s="63"/>
    </row>
    <row r="19464" spans="9:10" x14ac:dyDescent="0.35">
      <c r="I19464" s="63"/>
      <c r="J19464" s="63"/>
    </row>
    <row r="19465" spans="9:10" x14ac:dyDescent="0.35">
      <c r="I19465" s="63"/>
      <c r="J19465" s="63"/>
    </row>
    <row r="19466" spans="9:10" x14ac:dyDescent="0.35">
      <c r="I19466" s="63"/>
      <c r="J19466" s="63"/>
    </row>
    <row r="19467" spans="9:10" x14ac:dyDescent="0.35">
      <c r="I19467" s="63"/>
      <c r="J19467" s="63"/>
    </row>
    <row r="19468" spans="9:10" x14ac:dyDescent="0.35">
      <c r="I19468" s="63"/>
      <c r="J19468" s="63"/>
    </row>
    <row r="19469" spans="9:10" x14ac:dyDescent="0.35">
      <c r="I19469" s="63"/>
      <c r="J19469" s="63"/>
    </row>
    <row r="19470" spans="9:10" x14ac:dyDescent="0.35">
      <c r="I19470" s="63"/>
      <c r="J19470" s="63"/>
    </row>
    <row r="19471" spans="9:10" x14ac:dyDescent="0.35">
      <c r="I19471" s="63"/>
      <c r="J19471" s="63"/>
    </row>
    <row r="19472" spans="9:10" x14ac:dyDescent="0.35">
      <c r="I19472" s="63"/>
      <c r="J19472" s="63"/>
    </row>
    <row r="19473" spans="9:10" x14ac:dyDescent="0.35">
      <c r="I19473" s="63"/>
      <c r="J19473" s="63"/>
    </row>
    <row r="19474" spans="9:10" x14ac:dyDescent="0.35">
      <c r="I19474" s="63"/>
      <c r="J19474" s="63"/>
    </row>
    <row r="19475" spans="9:10" x14ac:dyDescent="0.35">
      <c r="I19475" s="63"/>
      <c r="J19475" s="63"/>
    </row>
    <row r="19476" spans="9:10" x14ac:dyDescent="0.35">
      <c r="I19476" s="63"/>
      <c r="J19476" s="63"/>
    </row>
    <row r="19477" spans="9:10" x14ac:dyDescent="0.35">
      <c r="I19477" s="63"/>
      <c r="J19477" s="63"/>
    </row>
    <row r="19478" spans="9:10" x14ac:dyDescent="0.35">
      <c r="I19478" s="63"/>
      <c r="J19478" s="63"/>
    </row>
    <row r="19479" spans="9:10" x14ac:dyDescent="0.35">
      <c r="I19479" s="63"/>
      <c r="J19479" s="63"/>
    </row>
    <row r="19480" spans="9:10" x14ac:dyDescent="0.35">
      <c r="I19480" s="63"/>
      <c r="J19480" s="63"/>
    </row>
    <row r="19481" spans="9:10" x14ac:dyDescent="0.35">
      <c r="I19481" s="63"/>
      <c r="J19481" s="63"/>
    </row>
    <row r="19482" spans="9:10" x14ac:dyDescent="0.35">
      <c r="I19482" s="63"/>
      <c r="J19482" s="63"/>
    </row>
    <row r="19483" spans="9:10" x14ac:dyDescent="0.35">
      <c r="I19483" s="63"/>
      <c r="J19483" s="63"/>
    </row>
    <row r="19484" spans="9:10" x14ac:dyDescent="0.35">
      <c r="I19484" s="63"/>
      <c r="J19484" s="63"/>
    </row>
    <row r="19485" spans="9:10" x14ac:dyDescent="0.35">
      <c r="I19485" s="63"/>
      <c r="J19485" s="63"/>
    </row>
    <row r="19486" spans="9:10" x14ac:dyDescent="0.35">
      <c r="I19486" s="63"/>
      <c r="J19486" s="63"/>
    </row>
    <row r="19487" spans="9:10" x14ac:dyDescent="0.35">
      <c r="I19487" s="63"/>
      <c r="J19487" s="63"/>
    </row>
    <row r="19488" spans="9:10" x14ac:dyDescent="0.35">
      <c r="I19488" s="63"/>
      <c r="J19488" s="63"/>
    </row>
    <row r="19489" spans="9:10" x14ac:dyDescent="0.35">
      <c r="I19489" s="63"/>
      <c r="J19489" s="63"/>
    </row>
    <row r="19490" spans="9:10" x14ac:dyDescent="0.35">
      <c r="I19490" s="63"/>
      <c r="J19490" s="63"/>
    </row>
    <row r="19491" spans="9:10" x14ac:dyDescent="0.35">
      <c r="I19491" s="63"/>
      <c r="J19491" s="63"/>
    </row>
    <row r="19492" spans="9:10" x14ac:dyDescent="0.35">
      <c r="I19492" s="63"/>
      <c r="J19492" s="63"/>
    </row>
    <row r="19493" spans="9:10" x14ac:dyDescent="0.35">
      <c r="I19493" s="63"/>
      <c r="J19493" s="63"/>
    </row>
    <row r="19494" spans="9:10" x14ac:dyDescent="0.35">
      <c r="I19494" s="63"/>
      <c r="J19494" s="63"/>
    </row>
    <row r="19495" spans="9:10" x14ac:dyDescent="0.35">
      <c r="I19495" s="63"/>
      <c r="J19495" s="63"/>
    </row>
    <row r="19496" spans="9:10" x14ac:dyDescent="0.35">
      <c r="I19496" s="63"/>
      <c r="J19496" s="63"/>
    </row>
    <row r="19497" spans="9:10" x14ac:dyDescent="0.35">
      <c r="I19497" s="63"/>
      <c r="J19497" s="63"/>
    </row>
    <row r="19498" spans="9:10" x14ac:dyDescent="0.35">
      <c r="I19498" s="63"/>
      <c r="J19498" s="63"/>
    </row>
    <row r="19499" spans="9:10" x14ac:dyDescent="0.35">
      <c r="I19499" s="63"/>
      <c r="J19499" s="63"/>
    </row>
    <row r="19500" spans="9:10" x14ac:dyDescent="0.35">
      <c r="I19500" s="63"/>
      <c r="J19500" s="63"/>
    </row>
    <row r="19501" spans="9:10" x14ac:dyDescent="0.35">
      <c r="I19501" s="63"/>
      <c r="J19501" s="63"/>
    </row>
    <row r="19502" spans="9:10" x14ac:dyDescent="0.35">
      <c r="I19502" s="63"/>
      <c r="J19502" s="63"/>
    </row>
    <row r="19503" spans="9:10" x14ac:dyDescent="0.35">
      <c r="I19503" s="63"/>
      <c r="J19503" s="63"/>
    </row>
    <row r="19504" spans="9:10" x14ac:dyDescent="0.35">
      <c r="I19504" s="63"/>
      <c r="J19504" s="63"/>
    </row>
    <row r="19505" spans="9:10" x14ac:dyDescent="0.35">
      <c r="I19505" s="63"/>
      <c r="J19505" s="63"/>
    </row>
    <row r="19506" spans="9:10" x14ac:dyDescent="0.35">
      <c r="I19506" s="63"/>
      <c r="J19506" s="63"/>
    </row>
    <row r="19507" spans="9:10" x14ac:dyDescent="0.35">
      <c r="I19507" s="63"/>
      <c r="J19507" s="63"/>
    </row>
    <row r="19508" spans="9:10" x14ac:dyDescent="0.35">
      <c r="I19508" s="63"/>
      <c r="J19508" s="63"/>
    </row>
    <row r="19509" spans="9:10" x14ac:dyDescent="0.35">
      <c r="I19509" s="63"/>
      <c r="J19509" s="63"/>
    </row>
    <row r="19510" spans="9:10" x14ac:dyDescent="0.35">
      <c r="I19510" s="63"/>
      <c r="J19510" s="63"/>
    </row>
    <row r="19511" spans="9:10" x14ac:dyDescent="0.35">
      <c r="I19511" s="63"/>
      <c r="J19511" s="63"/>
    </row>
    <row r="19512" spans="9:10" x14ac:dyDescent="0.35">
      <c r="I19512" s="63"/>
      <c r="J19512" s="63"/>
    </row>
    <row r="19513" spans="9:10" x14ac:dyDescent="0.35">
      <c r="I19513" s="63"/>
      <c r="J19513" s="63"/>
    </row>
    <row r="19514" spans="9:10" x14ac:dyDescent="0.35">
      <c r="I19514" s="63"/>
      <c r="J19514" s="63"/>
    </row>
    <row r="19515" spans="9:10" x14ac:dyDescent="0.35">
      <c r="I19515" s="63"/>
      <c r="J19515" s="63"/>
    </row>
    <row r="19516" spans="9:10" x14ac:dyDescent="0.35">
      <c r="I19516" s="63"/>
      <c r="J19516" s="63"/>
    </row>
    <row r="19517" spans="9:10" x14ac:dyDescent="0.35">
      <c r="I19517" s="63"/>
      <c r="J19517" s="63"/>
    </row>
    <row r="19518" spans="9:10" x14ac:dyDescent="0.35">
      <c r="I19518" s="63"/>
      <c r="J19518" s="63"/>
    </row>
    <row r="19519" spans="9:10" x14ac:dyDescent="0.35">
      <c r="I19519" s="63"/>
      <c r="J19519" s="63"/>
    </row>
    <row r="19520" spans="9:10" x14ac:dyDescent="0.35">
      <c r="I19520" s="63"/>
      <c r="J19520" s="63"/>
    </row>
    <row r="19521" spans="9:10" x14ac:dyDescent="0.35">
      <c r="I19521" s="63"/>
      <c r="J19521" s="63"/>
    </row>
    <row r="19522" spans="9:10" x14ac:dyDescent="0.35">
      <c r="I19522" s="63"/>
      <c r="J19522" s="63"/>
    </row>
    <row r="19523" spans="9:10" x14ac:dyDescent="0.35">
      <c r="I19523" s="63"/>
      <c r="J19523" s="63"/>
    </row>
    <row r="19524" spans="9:10" x14ac:dyDescent="0.35">
      <c r="I19524" s="63"/>
      <c r="J19524" s="63"/>
    </row>
    <row r="19525" spans="9:10" x14ac:dyDescent="0.35">
      <c r="I19525" s="63"/>
      <c r="J19525" s="63"/>
    </row>
    <row r="19526" spans="9:10" x14ac:dyDescent="0.35">
      <c r="I19526" s="63"/>
      <c r="J19526" s="63"/>
    </row>
    <row r="19527" spans="9:10" x14ac:dyDescent="0.35">
      <c r="I19527" s="63"/>
      <c r="J19527" s="63"/>
    </row>
    <row r="19528" spans="9:10" x14ac:dyDescent="0.35">
      <c r="I19528" s="63"/>
      <c r="J19528" s="63"/>
    </row>
    <row r="19529" spans="9:10" x14ac:dyDescent="0.35">
      <c r="I19529" s="63"/>
      <c r="J19529" s="63"/>
    </row>
    <row r="19530" spans="9:10" x14ac:dyDescent="0.35">
      <c r="I19530" s="63"/>
      <c r="J19530" s="63"/>
    </row>
    <row r="19531" spans="9:10" x14ac:dyDescent="0.35">
      <c r="I19531" s="63"/>
      <c r="J19531" s="63"/>
    </row>
    <row r="19532" spans="9:10" x14ac:dyDescent="0.35">
      <c r="I19532" s="63"/>
      <c r="J19532" s="63"/>
    </row>
    <row r="19533" spans="9:10" x14ac:dyDescent="0.35">
      <c r="I19533" s="63"/>
      <c r="J19533" s="63"/>
    </row>
    <row r="19534" spans="9:10" x14ac:dyDescent="0.35">
      <c r="I19534" s="63"/>
      <c r="J19534" s="63"/>
    </row>
    <row r="19535" spans="9:10" x14ac:dyDescent="0.35">
      <c r="I19535" s="63"/>
      <c r="J19535" s="63"/>
    </row>
    <row r="19536" spans="9:10" x14ac:dyDescent="0.35">
      <c r="I19536" s="63"/>
      <c r="J19536" s="63"/>
    </row>
    <row r="19537" spans="9:10" x14ac:dyDescent="0.35">
      <c r="I19537" s="63"/>
      <c r="J19537" s="63"/>
    </row>
    <row r="19538" spans="9:10" x14ac:dyDescent="0.35">
      <c r="I19538" s="63"/>
      <c r="J19538" s="63"/>
    </row>
    <row r="19539" spans="9:10" x14ac:dyDescent="0.35">
      <c r="I19539" s="63"/>
      <c r="J19539" s="63"/>
    </row>
    <row r="19540" spans="9:10" x14ac:dyDescent="0.35">
      <c r="I19540" s="63"/>
      <c r="J19540" s="63"/>
    </row>
    <row r="19541" spans="9:10" x14ac:dyDescent="0.35">
      <c r="I19541" s="63"/>
      <c r="J19541" s="63"/>
    </row>
    <row r="19542" spans="9:10" x14ac:dyDescent="0.35">
      <c r="I19542" s="63"/>
      <c r="J19542" s="63"/>
    </row>
    <row r="19543" spans="9:10" x14ac:dyDescent="0.35">
      <c r="I19543" s="63"/>
      <c r="J19543" s="63"/>
    </row>
    <row r="19544" spans="9:10" x14ac:dyDescent="0.35">
      <c r="I19544" s="63"/>
      <c r="J19544" s="63"/>
    </row>
    <row r="19545" spans="9:10" x14ac:dyDescent="0.35">
      <c r="I19545" s="63"/>
      <c r="J19545" s="63"/>
    </row>
    <row r="19546" spans="9:10" x14ac:dyDescent="0.35">
      <c r="I19546" s="63"/>
      <c r="J19546" s="63"/>
    </row>
    <row r="19547" spans="9:10" x14ac:dyDescent="0.35">
      <c r="I19547" s="63"/>
      <c r="J19547" s="63"/>
    </row>
    <row r="19548" spans="9:10" x14ac:dyDescent="0.35">
      <c r="I19548" s="63"/>
      <c r="J19548" s="63"/>
    </row>
    <row r="19549" spans="9:10" x14ac:dyDescent="0.35">
      <c r="I19549" s="63"/>
      <c r="J19549" s="63"/>
    </row>
    <row r="19550" spans="9:10" x14ac:dyDescent="0.35">
      <c r="I19550" s="63"/>
      <c r="J19550" s="63"/>
    </row>
    <row r="19551" spans="9:10" x14ac:dyDescent="0.35">
      <c r="I19551" s="63"/>
      <c r="J19551" s="63"/>
    </row>
    <row r="19552" spans="9:10" x14ac:dyDescent="0.35">
      <c r="I19552" s="63"/>
      <c r="J19552" s="63"/>
    </row>
    <row r="19553" spans="9:10" x14ac:dyDescent="0.35">
      <c r="I19553" s="63"/>
      <c r="J19553" s="63"/>
    </row>
    <row r="19554" spans="9:10" x14ac:dyDescent="0.35">
      <c r="I19554" s="63"/>
      <c r="J19554" s="63"/>
    </row>
    <row r="19555" spans="9:10" x14ac:dyDescent="0.35">
      <c r="I19555" s="63"/>
      <c r="J19555" s="63"/>
    </row>
    <row r="19556" spans="9:10" x14ac:dyDescent="0.35">
      <c r="I19556" s="63"/>
      <c r="J19556" s="63"/>
    </row>
    <row r="19557" spans="9:10" x14ac:dyDescent="0.35">
      <c r="I19557" s="63"/>
      <c r="J19557" s="63"/>
    </row>
    <row r="19558" spans="9:10" x14ac:dyDescent="0.35">
      <c r="I19558" s="63"/>
      <c r="J19558" s="63"/>
    </row>
    <row r="19559" spans="9:10" x14ac:dyDescent="0.35">
      <c r="I19559" s="63"/>
      <c r="J19559" s="63"/>
    </row>
    <row r="19560" spans="9:10" x14ac:dyDescent="0.35">
      <c r="I19560" s="63"/>
      <c r="J19560" s="63"/>
    </row>
    <row r="19561" spans="9:10" x14ac:dyDescent="0.35">
      <c r="I19561" s="63"/>
      <c r="J19561" s="63"/>
    </row>
    <row r="19562" spans="9:10" x14ac:dyDescent="0.35">
      <c r="I19562" s="63"/>
      <c r="J19562" s="63"/>
    </row>
    <row r="19563" spans="9:10" x14ac:dyDescent="0.35">
      <c r="I19563" s="63"/>
      <c r="J19563" s="63"/>
    </row>
    <row r="19564" spans="9:10" x14ac:dyDescent="0.35">
      <c r="I19564" s="63"/>
      <c r="J19564" s="63"/>
    </row>
    <row r="19565" spans="9:10" x14ac:dyDescent="0.35">
      <c r="I19565" s="63"/>
      <c r="J19565" s="63"/>
    </row>
    <row r="19566" spans="9:10" x14ac:dyDescent="0.35">
      <c r="I19566" s="63"/>
      <c r="J19566" s="63"/>
    </row>
    <row r="19567" spans="9:10" x14ac:dyDescent="0.35">
      <c r="I19567" s="63"/>
      <c r="J19567" s="63"/>
    </row>
    <row r="19568" spans="9:10" x14ac:dyDescent="0.35">
      <c r="I19568" s="63"/>
      <c r="J19568" s="63"/>
    </row>
    <row r="19569" spans="9:10" x14ac:dyDescent="0.35">
      <c r="I19569" s="63"/>
      <c r="J19569" s="63"/>
    </row>
    <row r="19570" spans="9:10" x14ac:dyDescent="0.35">
      <c r="I19570" s="63"/>
      <c r="J19570" s="63"/>
    </row>
    <row r="19571" spans="9:10" x14ac:dyDescent="0.35">
      <c r="I19571" s="63"/>
      <c r="J19571" s="63"/>
    </row>
    <row r="19572" spans="9:10" x14ac:dyDescent="0.35">
      <c r="I19572" s="63"/>
      <c r="J19572" s="63"/>
    </row>
    <row r="19573" spans="9:10" x14ac:dyDescent="0.35">
      <c r="I19573" s="63"/>
      <c r="J19573" s="63"/>
    </row>
    <row r="19574" spans="9:10" x14ac:dyDescent="0.35">
      <c r="I19574" s="63"/>
      <c r="J19574" s="63"/>
    </row>
    <row r="19575" spans="9:10" x14ac:dyDescent="0.35">
      <c r="I19575" s="63"/>
      <c r="J19575" s="63"/>
    </row>
    <row r="19576" spans="9:10" x14ac:dyDescent="0.35">
      <c r="I19576" s="63"/>
      <c r="J19576" s="63"/>
    </row>
    <row r="19577" spans="9:10" x14ac:dyDescent="0.35">
      <c r="I19577" s="63"/>
      <c r="J19577" s="63"/>
    </row>
    <row r="19578" spans="9:10" x14ac:dyDescent="0.35">
      <c r="I19578" s="63"/>
      <c r="J19578" s="63"/>
    </row>
    <row r="19579" spans="9:10" x14ac:dyDescent="0.35">
      <c r="I19579" s="63"/>
      <c r="J19579" s="63"/>
    </row>
    <row r="19580" spans="9:10" x14ac:dyDescent="0.35">
      <c r="I19580" s="63"/>
      <c r="J19580" s="63"/>
    </row>
    <row r="19581" spans="9:10" x14ac:dyDescent="0.35">
      <c r="I19581" s="63"/>
      <c r="J19581" s="63"/>
    </row>
    <row r="19582" spans="9:10" x14ac:dyDescent="0.35">
      <c r="I19582" s="63"/>
      <c r="J19582" s="63"/>
    </row>
    <row r="19583" spans="9:10" x14ac:dyDescent="0.35">
      <c r="I19583" s="63"/>
      <c r="J19583" s="63"/>
    </row>
    <row r="19584" spans="9:10" x14ac:dyDescent="0.35">
      <c r="I19584" s="63"/>
      <c r="J19584" s="63"/>
    </row>
    <row r="19585" spans="9:10" x14ac:dyDescent="0.35">
      <c r="I19585" s="63"/>
      <c r="J19585" s="63"/>
    </row>
    <row r="19586" spans="9:10" x14ac:dyDescent="0.35">
      <c r="I19586" s="63"/>
      <c r="J19586" s="63"/>
    </row>
    <row r="19587" spans="9:10" x14ac:dyDescent="0.35">
      <c r="I19587" s="63"/>
      <c r="J19587" s="63"/>
    </row>
    <row r="19588" spans="9:10" x14ac:dyDescent="0.35">
      <c r="I19588" s="63"/>
      <c r="J19588" s="63"/>
    </row>
    <row r="19589" spans="9:10" x14ac:dyDescent="0.35">
      <c r="I19589" s="63"/>
      <c r="J19589" s="63"/>
    </row>
    <row r="19590" spans="9:10" x14ac:dyDescent="0.35">
      <c r="I19590" s="63"/>
      <c r="J19590" s="63"/>
    </row>
    <row r="19591" spans="9:10" x14ac:dyDescent="0.35">
      <c r="I19591" s="63"/>
      <c r="J19591" s="63"/>
    </row>
    <row r="19592" spans="9:10" x14ac:dyDescent="0.35">
      <c r="I19592" s="63"/>
      <c r="J19592" s="63"/>
    </row>
    <row r="19593" spans="9:10" x14ac:dyDescent="0.35">
      <c r="I19593" s="63"/>
      <c r="J19593" s="63"/>
    </row>
    <row r="19594" spans="9:10" x14ac:dyDescent="0.35">
      <c r="I19594" s="63"/>
      <c r="J19594" s="63"/>
    </row>
    <row r="19595" spans="9:10" x14ac:dyDescent="0.35">
      <c r="I19595" s="63"/>
      <c r="J19595" s="63"/>
    </row>
    <row r="19596" spans="9:10" x14ac:dyDescent="0.35">
      <c r="I19596" s="63"/>
      <c r="J19596" s="63"/>
    </row>
    <row r="19597" spans="9:10" x14ac:dyDescent="0.35">
      <c r="I19597" s="63"/>
      <c r="J19597" s="63"/>
    </row>
    <row r="19598" spans="9:10" x14ac:dyDescent="0.35">
      <c r="I19598" s="63"/>
      <c r="J19598" s="63"/>
    </row>
    <row r="19599" spans="9:10" x14ac:dyDescent="0.35">
      <c r="I19599" s="63"/>
      <c r="J19599" s="63"/>
    </row>
    <row r="19600" spans="9:10" x14ac:dyDescent="0.35">
      <c r="I19600" s="63"/>
      <c r="J19600" s="63"/>
    </row>
    <row r="19601" spans="9:10" x14ac:dyDescent="0.35">
      <c r="I19601" s="63"/>
      <c r="J19601" s="63"/>
    </row>
    <row r="19602" spans="9:10" x14ac:dyDescent="0.35">
      <c r="I19602" s="63"/>
      <c r="J19602" s="63"/>
    </row>
    <row r="19603" spans="9:10" x14ac:dyDescent="0.35">
      <c r="I19603" s="63"/>
      <c r="J19603" s="63"/>
    </row>
    <row r="19604" spans="9:10" x14ac:dyDescent="0.35">
      <c r="I19604" s="63"/>
      <c r="J19604" s="63"/>
    </row>
    <row r="19605" spans="9:10" x14ac:dyDescent="0.35">
      <c r="I19605" s="63"/>
      <c r="J19605" s="63"/>
    </row>
    <row r="19606" spans="9:10" x14ac:dyDescent="0.35">
      <c r="I19606" s="63"/>
      <c r="J19606" s="63"/>
    </row>
    <row r="19607" spans="9:10" x14ac:dyDescent="0.35">
      <c r="I19607" s="63"/>
      <c r="J19607" s="63"/>
    </row>
    <row r="19608" spans="9:10" x14ac:dyDescent="0.35">
      <c r="I19608" s="63"/>
      <c r="J19608" s="63"/>
    </row>
    <row r="19609" spans="9:10" x14ac:dyDescent="0.35">
      <c r="I19609" s="63"/>
      <c r="J19609" s="63"/>
    </row>
    <row r="19610" spans="9:10" x14ac:dyDescent="0.35">
      <c r="I19610" s="63"/>
      <c r="J19610" s="63"/>
    </row>
    <row r="19611" spans="9:10" x14ac:dyDescent="0.35">
      <c r="I19611" s="63"/>
      <c r="J19611" s="63"/>
    </row>
    <row r="19612" spans="9:10" x14ac:dyDescent="0.35">
      <c r="I19612" s="63"/>
      <c r="J19612" s="63"/>
    </row>
    <row r="19613" spans="9:10" x14ac:dyDescent="0.35">
      <c r="I19613" s="63"/>
      <c r="J19613" s="63"/>
    </row>
    <row r="19614" spans="9:10" x14ac:dyDescent="0.35">
      <c r="I19614" s="63"/>
      <c r="J19614" s="63"/>
    </row>
    <row r="19615" spans="9:10" x14ac:dyDescent="0.35">
      <c r="I19615" s="63"/>
      <c r="J19615" s="63"/>
    </row>
    <row r="19616" spans="9:10" x14ac:dyDescent="0.35">
      <c r="I19616" s="63"/>
      <c r="J19616" s="63"/>
    </row>
    <row r="19617" spans="9:10" x14ac:dyDescent="0.35">
      <c r="I19617" s="63"/>
      <c r="J19617" s="63"/>
    </row>
    <row r="19618" spans="9:10" x14ac:dyDescent="0.35">
      <c r="I19618" s="63"/>
      <c r="J19618" s="63"/>
    </row>
    <row r="19619" spans="9:10" x14ac:dyDescent="0.35">
      <c r="I19619" s="63"/>
      <c r="J19619" s="63"/>
    </row>
    <row r="19620" spans="9:10" x14ac:dyDescent="0.35">
      <c r="I19620" s="63"/>
      <c r="J19620" s="63"/>
    </row>
    <row r="19621" spans="9:10" x14ac:dyDescent="0.35">
      <c r="I19621" s="63"/>
      <c r="J19621" s="63"/>
    </row>
    <row r="19622" spans="9:10" x14ac:dyDescent="0.35">
      <c r="I19622" s="63"/>
      <c r="J19622" s="63"/>
    </row>
    <row r="19623" spans="9:10" x14ac:dyDescent="0.35">
      <c r="I19623" s="63"/>
      <c r="J19623" s="63"/>
    </row>
    <row r="19624" spans="9:10" x14ac:dyDescent="0.35">
      <c r="I19624" s="63"/>
      <c r="J19624" s="63"/>
    </row>
    <row r="19625" spans="9:10" x14ac:dyDescent="0.35">
      <c r="I19625" s="63"/>
      <c r="J19625" s="63"/>
    </row>
    <row r="19626" spans="9:10" x14ac:dyDescent="0.35">
      <c r="I19626" s="63"/>
      <c r="J19626" s="63"/>
    </row>
    <row r="19627" spans="9:10" x14ac:dyDescent="0.35">
      <c r="I19627" s="63"/>
      <c r="J19627" s="63"/>
    </row>
    <row r="19628" spans="9:10" x14ac:dyDescent="0.35">
      <c r="I19628" s="63"/>
      <c r="J19628" s="63"/>
    </row>
    <row r="19629" spans="9:10" x14ac:dyDescent="0.35">
      <c r="I19629" s="63"/>
      <c r="J19629" s="63"/>
    </row>
    <row r="19630" spans="9:10" x14ac:dyDescent="0.35">
      <c r="I19630" s="63"/>
      <c r="J19630" s="63"/>
    </row>
    <row r="19631" spans="9:10" x14ac:dyDescent="0.35">
      <c r="I19631" s="63"/>
      <c r="J19631" s="63"/>
    </row>
    <row r="19632" spans="9:10" x14ac:dyDescent="0.35">
      <c r="I19632" s="63"/>
      <c r="J19632" s="63"/>
    </row>
    <row r="19633" spans="9:10" x14ac:dyDescent="0.35">
      <c r="I19633" s="63"/>
      <c r="J19633" s="63"/>
    </row>
    <row r="19634" spans="9:10" x14ac:dyDescent="0.35">
      <c r="I19634" s="63"/>
      <c r="J19634" s="63"/>
    </row>
    <row r="19635" spans="9:10" x14ac:dyDescent="0.35">
      <c r="I19635" s="63"/>
      <c r="J19635" s="63"/>
    </row>
    <row r="19636" spans="9:10" x14ac:dyDescent="0.35">
      <c r="I19636" s="63"/>
      <c r="J19636" s="63"/>
    </row>
    <row r="19637" spans="9:10" x14ac:dyDescent="0.35">
      <c r="I19637" s="63"/>
      <c r="J19637" s="63"/>
    </row>
    <row r="19638" spans="9:10" x14ac:dyDescent="0.35">
      <c r="I19638" s="63"/>
      <c r="J19638" s="63"/>
    </row>
    <row r="19639" spans="9:10" x14ac:dyDescent="0.35">
      <c r="I19639" s="63"/>
      <c r="J19639" s="63"/>
    </row>
    <row r="19640" spans="9:10" x14ac:dyDescent="0.35">
      <c r="I19640" s="63"/>
      <c r="J19640" s="63"/>
    </row>
    <row r="19641" spans="9:10" x14ac:dyDescent="0.35">
      <c r="I19641" s="63"/>
      <c r="J19641" s="63"/>
    </row>
    <row r="19642" spans="9:10" x14ac:dyDescent="0.35">
      <c r="I19642" s="63"/>
      <c r="J19642" s="63"/>
    </row>
    <row r="19643" spans="9:10" x14ac:dyDescent="0.35">
      <c r="I19643" s="63"/>
      <c r="J19643" s="63"/>
    </row>
    <row r="19644" spans="9:10" x14ac:dyDescent="0.35">
      <c r="I19644" s="63"/>
      <c r="J19644" s="63"/>
    </row>
    <row r="19645" spans="9:10" x14ac:dyDescent="0.35">
      <c r="I19645" s="63"/>
      <c r="J19645" s="63"/>
    </row>
    <row r="19646" spans="9:10" x14ac:dyDescent="0.35">
      <c r="I19646" s="63"/>
      <c r="J19646" s="63"/>
    </row>
    <row r="19647" spans="9:10" x14ac:dyDescent="0.35">
      <c r="I19647" s="63"/>
      <c r="J19647" s="63"/>
    </row>
    <row r="19648" spans="9:10" x14ac:dyDescent="0.35">
      <c r="I19648" s="63"/>
      <c r="J19648" s="63"/>
    </row>
    <row r="19649" spans="9:10" x14ac:dyDescent="0.35">
      <c r="I19649" s="63"/>
      <c r="J19649" s="63"/>
    </row>
    <row r="19650" spans="9:10" x14ac:dyDescent="0.35">
      <c r="I19650" s="63"/>
      <c r="J19650" s="63"/>
    </row>
    <row r="19651" spans="9:10" x14ac:dyDescent="0.35">
      <c r="I19651" s="63"/>
      <c r="J19651" s="63"/>
    </row>
    <row r="19652" spans="9:10" x14ac:dyDescent="0.35">
      <c r="I19652" s="63"/>
      <c r="J19652" s="63"/>
    </row>
    <row r="19653" spans="9:10" x14ac:dyDescent="0.35">
      <c r="I19653" s="63"/>
      <c r="J19653" s="63"/>
    </row>
    <row r="19654" spans="9:10" x14ac:dyDescent="0.35">
      <c r="I19654" s="63"/>
      <c r="J19654" s="63"/>
    </row>
    <row r="19655" spans="9:10" x14ac:dyDescent="0.35">
      <c r="I19655" s="63"/>
      <c r="J19655" s="63"/>
    </row>
    <row r="19656" spans="9:10" x14ac:dyDescent="0.35">
      <c r="I19656" s="63"/>
      <c r="J19656" s="63"/>
    </row>
    <row r="19657" spans="9:10" x14ac:dyDescent="0.35">
      <c r="I19657" s="63"/>
      <c r="J19657" s="63"/>
    </row>
    <row r="19658" spans="9:10" x14ac:dyDescent="0.35">
      <c r="I19658" s="63"/>
      <c r="J19658" s="63"/>
    </row>
    <row r="19659" spans="9:10" x14ac:dyDescent="0.35">
      <c r="I19659" s="63"/>
      <c r="J19659" s="63"/>
    </row>
    <row r="19660" spans="9:10" x14ac:dyDescent="0.35">
      <c r="I19660" s="63"/>
      <c r="J19660" s="63"/>
    </row>
    <row r="19661" spans="9:10" x14ac:dyDescent="0.35">
      <c r="I19661" s="63"/>
      <c r="J19661" s="63"/>
    </row>
    <row r="19662" spans="9:10" x14ac:dyDescent="0.35">
      <c r="I19662" s="63"/>
      <c r="J19662" s="63"/>
    </row>
    <row r="19663" spans="9:10" x14ac:dyDescent="0.35">
      <c r="I19663" s="63"/>
      <c r="J19663" s="63"/>
    </row>
    <row r="19664" spans="9:10" x14ac:dyDescent="0.35">
      <c r="I19664" s="63"/>
      <c r="J19664" s="63"/>
    </row>
    <row r="19665" spans="9:10" x14ac:dyDescent="0.35">
      <c r="I19665" s="63"/>
      <c r="J19665" s="63"/>
    </row>
    <row r="19666" spans="9:10" x14ac:dyDescent="0.35">
      <c r="I19666" s="63"/>
      <c r="J19666" s="63"/>
    </row>
    <row r="19667" spans="9:10" x14ac:dyDescent="0.35">
      <c r="I19667" s="63"/>
      <c r="J19667" s="63"/>
    </row>
    <row r="19668" spans="9:10" x14ac:dyDescent="0.35">
      <c r="I19668" s="63"/>
      <c r="J19668" s="63"/>
    </row>
    <row r="19669" spans="9:10" x14ac:dyDescent="0.35">
      <c r="I19669" s="63"/>
      <c r="J19669" s="63"/>
    </row>
    <row r="19670" spans="9:10" x14ac:dyDescent="0.35">
      <c r="I19670" s="63"/>
      <c r="J19670" s="63"/>
    </row>
    <row r="19671" spans="9:10" x14ac:dyDescent="0.35">
      <c r="I19671" s="63"/>
      <c r="J19671" s="63"/>
    </row>
    <row r="19672" spans="9:10" x14ac:dyDescent="0.35">
      <c r="I19672" s="63"/>
      <c r="J19672" s="63"/>
    </row>
    <row r="19673" spans="9:10" x14ac:dyDescent="0.35">
      <c r="I19673" s="63"/>
      <c r="J19673" s="63"/>
    </row>
    <row r="19674" spans="9:10" x14ac:dyDescent="0.35">
      <c r="I19674" s="63"/>
      <c r="J19674" s="63"/>
    </row>
    <row r="19675" spans="9:10" x14ac:dyDescent="0.35">
      <c r="I19675" s="63"/>
      <c r="J19675" s="63"/>
    </row>
    <row r="19676" spans="9:10" x14ac:dyDescent="0.35">
      <c r="I19676" s="63"/>
      <c r="J19676" s="63"/>
    </row>
    <row r="19677" spans="9:10" x14ac:dyDescent="0.35">
      <c r="I19677" s="63"/>
      <c r="J19677" s="63"/>
    </row>
    <row r="19678" spans="9:10" x14ac:dyDescent="0.35">
      <c r="I19678" s="63"/>
      <c r="J19678" s="63"/>
    </row>
    <row r="19679" spans="9:10" x14ac:dyDescent="0.35">
      <c r="I19679" s="63"/>
      <c r="J19679" s="63"/>
    </row>
    <row r="19680" spans="9:10" x14ac:dyDescent="0.35">
      <c r="I19680" s="63"/>
      <c r="J19680" s="63"/>
    </row>
    <row r="19681" spans="9:10" x14ac:dyDescent="0.35">
      <c r="I19681" s="63"/>
      <c r="J19681" s="63"/>
    </row>
    <row r="19682" spans="9:10" x14ac:dyDescent="0.35">
      <c r="I19682" s="63"/>
      <c r="J19682" s="63"/>
    </row>
    <row r="19683" spans="9:10" x14ac:dyDescent="0.35">
      <c r="I19683" s="63"/>
      <c r="J19683" s="63"/>
    </row>
    <row r="19684" spans="9:10" x14ac:dyDescent="0.35">
      <c r="I19684" s="63"/>
      <c r="J19684" s="63"/>
    </row>
    <row r="19685" spans="9:10" x14ac:dyDescent="0.35">
      <c r="I19685" s="63"/>
      <c r="J19685" s="63"/>
    </row>
    <row r="19686" spans="9:10" x14ac:dyDescent="0.35">
      <c r="I19686" s="63"/>
      <c r="J19686" s="63"/>
    </row>
    <row r="19687" spans="9:10" x14ac:dyDescent="0.35">
      <c r="I19687" s="63"/>
      <c r="J19687" s="63"/>
    </row>
    <row r="19688" spans="9:10" x14ac:dyDescent="0.35">
      <c r="I19688" s="63"/>
      <c r="J19688" s="63"/>
    </row>
    <row r="19689" spans="9:10" x14ac:dyDescent="0.35">
      <c r="I19689" s="63"/>
      <c r="J19689" s="63"/>
    </row>
    <row r="19690" spans="9:10" x14ac:dyDescent="0.35">
      <c r="I19690" s="63"/>
      <c r="J19690" s="63"/>
    </row>
    <row r="19691" spans="9:10" x14ac:dyDescent="0.35">
      <c r="I19691" s="63"/>
      <c r="J19691" s="63"/>
    </row>
    <row r="19692" spans="9:10" x14ac:dyDescent="0.35">
      <c r="I19692" s="63"/>
      <c r="J19692" s="63"/>
    </row>
    <row r="19693" spans="9:10" x14ac:dyDescent="0.35">
      <c r="I19693" s="63"/>
      <c r="J19693" s="63"/>
    </row>
    <row r="19694" spans="9:10" x14ac:dyDescent="0.35">
      <c r="I19694" s="63"/>
      <c r="J19694" s="63"/>
    </row>
    <row r="19695" spans="9:10" x14ac:dyDescent="0.35">
      <c r="I19695" s="63"/>
      <c r="J19695" s="63"/>
    </row>
    <row r="19696" spans="9:10" x14ac:dyDescent="0.35">
      <c r="I19696" s="63"/>
      <c r="J19696" s="63"/>
    </row>
    <row r="19697" spans="9:10" x14ac:dyDescent="0.35">
      <c r="I19697" s="63"/>
      <c r="J19697" s="63"/>
    </row>
    <row r="19698" spans="9:10" x14ac:dyDescent="0.35">
      <c r="I19698" s="63"/>
      <c r="J19698" s="63"/>
    </row>
    <row r="19699" spans="9:10" x14ac:dyDescent="0.35">
      <c r="I19699" s="63"/>
      <c r="J19699" s="63"/>
    </row>
    <row r="19700" spans="9:10" x14ac:dyDescent="0.35">
      <c r="I19700" s="63"/>
      <c r="J19700" s="63"/>
    </row>
    <row r="19701" spans="9:10" x14ac:dyDescent="0.35">
      <c r="I19701" s="63"/>
      <c r="J19701" s="63"/>
    </row>
    <row r="19702" spans="9:10" x14ac:dyDescent="0.35">
      <c r="I19702" s="63"/>
      <c r="J19702" s="63"/>
    </row>
    <row r="19703" spans="9:10" x14ac:dyDescent="0.35">
      <c r="I19703" s="63"/>
      <c r="J19703" s="63"/>
    </row>
    <row r="19704" spans="9:10" x14ac:dyDescent="0.35">
      <c r="I19704" s="63"/>
      <c r="J19704" s="63"/>
    </row>
    <row r="19705" spans="9:10" x14ac:dyDescent="0.35">
      <c r="I19705" s="63"/>
      <c r="J19705" s="63"/>
    </row>
    <row r="19706" spans="9:10" x14ac:dyDescent="0.35">
      <c r="I19706" s="63"/>
      <c r="J19706" s="63"/>
    </row>
    <row r="19707" spans="9:10" x14ac:dyDescent="0.35">
      <c r="I19707" s="63"/>
      <c r="J19707" s="63"/>
    </row>
    <row r="19708" spans="9:10" x14ac:dyDescent="0.35">
      <c r="I19708" s="63"/>
      <c r="J19708" s="63"/>
    </row>
    <row r="19709" spans="9:10" x14ac:dyDescent="0.35">
      <c r="I19709" s="63"/>
      <c r="J19709" s="63"/>
    </row>
    <row r="19710" spans="9:10" x14ac:dyDescent="0.35">
      <c r="I19710" s="63"/>
      <c r="J19710" s="63"/>
    </row>
    <row r="19711" spans="9:10" x14ac:dyDescent="0.35">
      <c r="I19711" s="63"/>
      <c r="J19711" s="63"/>
    </row>
    <row r="19712" spans="9:10" x14ac:dyDescent="0.35">
      <c r="I19712" s="63"/>
      <c r="J19712" s="63"/>
    </row>
    <row r="19713" spans="9:10" x14ac:dyDescent="0.35">
      <c r="I19713" s="63"/>
      <c r="J19713" s="63"/>
    </row>
    <row r="19714" spans="9:10" x14ac:dyDescent="0.35">
      <c r="I19714" s="63"/>
      <c r="J19714" s="63"/>
    </row>
    <row r="19715" spans="9:10" x14ac:dyDescent="0.35">
      <c r="I19715" s="63"/>
      <c r="J19715" s="63"/>
    </row>
    <row r="19716" spans="9:10" x14ac:dyDescent="0.35">
      <c r="I19716" s="63"/>
      <c r="J19716" s="63"/>
    </row>
    <row r="19717" spans="9:10" x14ac:dyDescent="0.35">
      <c r="I19717" s="63"/>
      <c r="J19717" s="63"/>
    </row>
    <row r="19718" spans="9:10" x14ac:dyDescent="0.35">
      <c r="I19718" s="63"/>
      <c r="J19718" s="63"/>
    </row>
    <row r="19719" spans="9:10" x14ac:dyDescent="0.35">
      <c r="I19719" s="63"/>
      <c r="J19719" s="63"/>
    </row>
    <row r="19720" spans="9:10" x14ac:dyDescent="0.35">
      <c r="I19720" s="63"/>
      <c r="J19720" s="63"/>
    </row>
    <row r="19721" spans="9:10" x14ac:dyDescent="0.35">
      <c r="I19721" s="63"/>
      <c r="J19721" s="63"/>
    </row>
    <row r="19722" spans="9:10" x14ac:dyDescent="0.35">
      <c r="I19722" s="63"/>
      <c r="J19722" s="63"/>
    </row>
    <row r="19723" spans="9:10" x14ac:dyDescent="0.35">
      <c r="I19723" s="63"/>
      <c r="J19723" s="63"/>
    </row>
    <row r="19724" spans="9:10" x14ac:dyDescent="0.35">
      <c r="I19724" s="63"/>
      <c r="J19724" s="63"/>
    </row>
    <row r="19725" spans="9:10" x14ac:dyDescent="0.35">
      <c r="I19725" s="63"/>
      <c r="J19725" s="63"/>
    </row>
    <row r="19726" spans="9:10" x14ac:dyDescent="0.35">
      <c r="I19726" s="63"/>
      <c r="J19726" s="63"/>
    </row>
    <row r="19727" spans="9:10" x14ac:dyDescent="0.35">
      <c r="I19727" s="63"/>
      <c r="J19727" s="63"/>
    </row>
    <row r="19728" spans="9:10" x14ac:dyDescent="0.35">
      <c r="I19728" s="63"/>
      <c r="J19728" s="63"/>
    </row>
    <row r="19729" spans="9:10" x14ac:dyDescent="0.35">
      <c r="I19729" s="63"/>
      <c r="J19729" s="63"/>
    </row>
    <row r="19730" spans="9:10" x14ac:dyDescent="0.35">
      <c r="I19730" s="63"/>
      <c r="J19730" s="63"/>
    </row>
    <row r="19731" spans="9:10" x14ac:dyDescent="0.35">
      <c r="I19731" s="63"/>
      <c r="J19731" s="63"/>
    </row>
    <row r="19732" spans="9:10" x14ac:dyDescent="0.35">
      <c r="I19732" s="63"/>
      <c r="J19732" s="63"/>
    </row>
    <row r="19733" spans="9:10" x14ac:dyDescent="0.35">
      <c r="I19733" s="63"/>
      <c r="J19733" s="63"/>
    </row>
    <row r="19734" spans="9:10" x14ac:dyDescent="0.35">
      <c r="I19734" s="63"/>
      <c r="J19734" s="63"/>
    </row>
    <row r="19735" spans="9:10" x14ac:dyDescent="0.35">
      <c r="I19735" s="63"/>
      <c r="J19735" s="63"/>
    </row>
    <row r="19736" spans="9:10" x14ac:dyDescent="0.35">
      <c r="I19736" s="63"/>
      <c r="J19736" s="63"/>
    </row>
    <row r="19737" spans="9:10" x14ac:dyDescent="0.35">
      <c r="I19737" s="63"/>
      <c r="J19737" s="63"/>
    </row>
    <row r="19738" spans="9:10" x14ac:dyDescent="0.35">
      <c r="I19738" s="63"/>
      <c r="J19738" s="63"/>
    </row>
    <row r="19739" spans="9:10" x14ac:dyDescent="0.35">
      <c r="I19739" s="63"/>
      <c r="J19739" s="63"/>
    </row>
    <row r="19740" spans="9:10" x14ac:dyDescent="0.35">
      <c r="I19740" s="63"/>
      <c r="J19740" s="63"/>
    </row>
    <row r="19741" spans="9:10" x14ac:dyDescent="0.35">
      <c r="I19741" s="63"/>
      <c r="J19741" s="63"/>
    </row>
    <row r="19742" spans="9:10" x14ac:dyDescent="0.35">
      <c r="I19742" s="63"/>
      <c r="J19742" s="63"/>
    </row>
    <row r="19743" spans="9:10" x14ac:dyDescent="0.35">
      <c r="I19743" s="63"/>
      <c r="J19743" s="63"/>
    </row>
    <row r="19744" spans="9:10" x14ac:dyDescent="0.35">
      <c r="I19744" s="63"/>
      <c r="J19744" s="63"/>
    </row>
    <row r="19745" spans="9:10" x14ac:dyDescent="0.35">
      <c r="I19745" s="63"/>
      <c r="J19745" s="63"/>
    </row>
    <row r="19746" spans="9:10" x14ac:dyDescent="0.35">
      <c r="I19746" s="63"/>
      <c r="J19746" s="63"/>
    </row>
    <row r="19747" spans="9:10" x14ac:dyDescent="0.35">
      <c r="I19747" s="63"/>
      <c r="J19747" s="63"/>
    </row>
    <row r="19748" spans="9:10" x14ac:dyDescent="0.35">
      <c r="I19748" s="63"/>
      <c r="J19748" s="63"/>
    </row>
    <row r="19749" spans="9:10" x14ac:dyDescent="0.35">
      <c r="I19749" s="63"/>
      <c r="J19749" s="63"/>
    </row>
    <row r="19750" spans="9:10" x14ac:dyDescent="0.35">
      <c r="I19750" s="63"/>
      <c r="J19750" s="63"/>
    </row>
    <row r="19751" spans="9:10" x14ac:dyDescent="0.35">
      <c r="I19751" s="63"/>
      <c r="J19751" s="63"/>
    </row>
    <row r="19752" spans="9:10" x14ac:dyDescent="0.35">
      <c r="I19752" s="63"/>
      <c r="J19752" s="63"/>
    </row>
    <row r="19753" spans="9:10" x14ac:dyDescent="0.35">
      <c r="I19753" s="63"/>
      <c r="J19753" s="63"/>
    </row>
    <row r="19754" spans="9:10" x14ac:dyDescent="0.35">
      <c r="I19754" s="63"/>
      <c r="J19754" s="63"/>
    </row>
    <row r="19755" spans="9:10" x14ac:dyDescent="0.35">
      <c r="I19755" s="63"/>
      <c r="J19755" s="63"/>
    </row>
    <row r="19756" spans="9:10" x14ac:dyDescent="0.35">
      <c r="I19756" s="63"/>
      <c r="J19756" s="63"/>
    </row>
    <row r="19757" spans="9:10" x14ac:dyDescent="0.35">
      <c r="I19757" s="63"/>
      <c r="J19757" s="63"/>
    </row>
    <row r="19758" spans="9:10" x14ac:dyDescent="0.35">
      <c r="I19758" s="63"/>
      <c r="J19758" s="63"/>
    </row>
    <row r="19759" spans="9:10" x14ac:dyDescent="0.35">
      <c r="I19759" s="63"/>
      <c r="J19759" s="63"/>
    </row>
    <row r="19760" spans="9:10" x14ac:dyDescent="0.35">
      <c r="I19760" s="63"/>
      <c r="J19760" s="63"/>
    </row>
    <row r="19761" spans="9:10" x14ac:dyDescent="0.35">
      <c r="I19761" s="63"/>
      <c r="J19761" s="63"/>
    </row>
    <row r="19762" spans="9:10" x14ac:dyDescent="0.35">
      <c r="I19762" s="63"/>
      <c r="J19762" s="63"/>
    </row>
    <row r="19763" spans="9:10" x14ac:dyDescent="0.35">
      <c r="I19763" s="63"/>
      <c r="J19763" s="63"/>
    </row>
    <row r="19764" spans="9:10" x14ac:dyDescent="0.35">
      <c r="I19764" s="63"/>
      <c r="J19764" s="63"/>
    </row>
    <row r="19765" spans="9:10" x14ac:dyDescent="0.35">
      <c r="I19765" s="63"/>
      <c r="J19765" s="63"/>
    </row>
    <row r="19766" spans="9:10" x14ac:dyDescent="0.35">
      <c r="I19766" s="63"/>
      <c r="J19766" s="63"/>
    </row>
    <row r="19767" spans="9:10" x14ac:dyDescent="0.35">
      <c r="I19767" s="63"/>
      <c r="J19767" s="63"/>
    </row>
    <row r="19768" spans="9:10" x14ac:dyDescent="0.35">
      <c r="I19768" s="63"/>
      <c r="J19768" s="63"/>
    </row>
    <row r="19769" spans="9:10" x14ac:dyDescent="0.35">
      <c r="I19769" s="63"/>
      <c r="J19769" s="63"/>
    </row>
    <row r="19770" spans="9:10" x14ac:dyDescent="0.35">
      <c r="I19770" s="63"/>
      <c r="J19770" s="63"/>
    </row>
    <row r="19771" spans="9:10" x14ac:dyDescent="0.35">
      <c r="I19771" s="63"/>
      <c r="J19771" s="63"/>
    </row>
    <row r="19772" spans="9:10" x14ac:dyDescent="0.35">
      <c r="I19772" s="63"/>
      <c r="J19772" s="63"/>
    </row>
    <row r="19773" spans="9:10" x14ac:dyDescent="0.35">
      <c r="I19773" s="63"/>
      <c r="J19773" s="63"/>
    </row>
    <row r="19774" spans="9:10" x14ac:dyDescent="0.35">
      <c r="I19774" s="63"/>
      <c r="J19774" s="63"/>
    </row>
    <row r="19775" spans="9:10" x14ac:dyDescent="0.35">
      <c r="I19775" s="63"/>
      <c r="J19775" s="63"/>
    </row>
    <row r="19776" spans="9:10" x14ac:dyDescent="0.35">
      <c r="I19776" s="63"/>
      <c r="J19776" s="63"/>
    </row>
    <row r="19777" spans="9:10" x14ac:dyDescent="0.35">
      <c r="I19777" s="63"/>
      <c r="J19777" s="63"/>
    </row>
    <row r="19778" spans="9:10" x14ac:dyDescent="0.35">
      <c r="I19778" s="63"/>
      <c r="J19778" s="63"/>
    </row>
    <row r="19779" spans="9:10" x14ac:dyDescent="0.35">
      <c r="I19779" s="63"/>
      <c r="J19779" s="63"/>
    </row>
    <row r="19780" spans="9:10" x14ac:dyDescent="0.35">
      <c r="I19780" s="63"/>
      <c r="J19780" s="63"/>
    </row>
    <row r="19781" spans="9:10" x14ac:dyDescent="0.35">
      <c r="I19781" s="63"/>
      <c r="J19781" s="63"/>
    </row>
    <row r="19782" spans="9:10" x14ac:dyDescent="0.35">
      <c r="I19782" s="63"/>
      <c r="J19782" s="63"/>
    </row>
    <row r="19783" spans="9:10" x14ac:dyDescent="0.35">
      <c r="I19783" s="63"/>
      <c r="J19783" s="63"/>
    </row>
    <row r="19784" spans="9:10" x14ac:dyDescent="0.35">
      <c r="I19784" s="63"/>
      <c r="J19784" s="63"/>
    </row>
    <row r="19785" spans="9:10" x14ac:dyDescent="0.35">
      <c r="I19785" s="63"/>
      <c r="J19785" s="63"/>
    </row>
    <row r="19786" spans="9:10" x14ac:dyDescent="0.35">
      <c r="I19786" s="63"/>
      <c r="J19786" s="63"/>
    </row>
    <row r="19787" spans="9:10" x14ac:dyDescent="0.35">
      <c r="I19787" s="63"/>
      <c r="J19787" s="63"/>
    </row>
    <row r="19788" spans="9:10" x14ac:dyDescent="0.35">
      <c r="I19788" s="63"/>
      <c r="J19788" s="63"/>
    </row>
    <row r="19789" spans="9:10" x14ac:dyDescent="0.35">
      <c r="I19789" s="63"/>
      <c r="J19789" s="63"/>
    </row>
    <row r="19790" spans="9:10" x14ac:dyDescent="0.35">
      <c r="I19790" s="63"/>
      <c r="J19790" s="63"/>
    </row>
    <row r="19791" spans="9:10" x14ac:dyDescent="0.35">
      <c r="I19791" s="63"/>
      <c r="J19791" s="63"/>
    </row>
    <row r="19792" spans="9:10" x14ac:dyDescent="0.35">
      <c r="I19792" s="63"/>
      <c r="J19792" s="63"/>
    </row>
    <row r="19793" spans="9:10" x14ac:dyDescent="0.35">
      <c r="I19793" s="63"/>
      <c r="J19793" s="63"/>
    </row>
    <row r="19794" spans="9:10" x14ac:dyDescent="0.35">
      <c r="I19794" s="63"/>
      <c r="J19794" s="63"/>
    </row>
    <row r="19795" spans="9:10" x14ac:dyDescent="0.35">
      <c r="I19795" s="63"/>
      <c r="J19795" s="63"/>
    </row>
    <row r="19796" spans="9:10" x14ac:dyDescent="0.35">
      <c r="I19796" s="63"/>
      <c r="J19796" s="63"/>
    </row>
    <row r="19797" spans="9:10" x14ac:dyDescent="0.35">
      <c r="I19797" s="63"/>
      <c r="J19797" s="63"/>
    </row>
    <row r="19798" spans="9:10" x14ac:dyDescent="0.35">
      <c r="I19798" s="63"/>
      <c r="J19798" s="63"/>
    </row>
    <row r="19799" spans="9:10" x14ac:dyDescent="0.35">
      <c r="I19799" s="63"/>
      <c r="J19799" s="63"/>
    </row>
    <row r="19800" spans="9:10" x14ac:dyDescent="0.35">
      <c r="I19800" s="63"/>
      <c r="J19800" s="63"/>
    </row>
    <row r="19801" spans="9:10" x14ac:dyDescent="0.35">
      <c r="I19801" s="63"/>
      <c r="J19801" s="63"/>
    </row>
    <row r="19802" spans="9:10" x14ac:dyDescent="0.35">
      <c r="I19802" s="63"/>
      <c r="J19802" s="63"/>
    </row>
    <row r="19803" spans="9:10" x14ac:dyDescent="0.35">
      <c r="I19803" s="63"/>
      <c r="J19803" s="63"/>
    </row>
    <row r="19804" spans="9:10" x14ac:dyDescent="0.35">
      <c r="I19804" s="63"/>
      <c r="J19804" s="63"/>
    </row>
    <row r="19805" spans="9:10" x14ac:dyDescent="0.35">
      <c r="I19805" s="63"/>
      <c r="J19805" s="63"/>
    </row>
    <row r="19806" spans="9:10" x14ac:dyDescent="0.35">
      <c r="I19806" s="63"/>
      <c r="J19806" s="63"/>
    </row>
    <row r="19807" spans="9:10" x14ac:dyDescent="0.35">
      <c r="I19807" s="63"/>
      <c r="J19807" s="63"/>
    </row>
    <row r="19808" spans="9:10" x14ac:dyDescent="0.35">
      <c r="I19808" s="63"/>
      <c r="J19808" s="63"/>
    </row>
    <row r="19809" spans="9:10" x14ac:dyDescent="0.35">
      <c r="I19809" s="63"/>
      <c r="J19809" s="63"/>
    </row>
    <row r="19810" spans="9:10" x14ac:dyDescent="0.35">
      <c r="I19810" s="63"/>
      <c r="J19810" s="63"/>
    </row>
    <row r="19811" spans="9:10" x14ac:dyDescent="0.35">
      <c r="I19811" s="63"/>
      <c r="J19811" s="63"/>
    </row>
    <row r="19812" spans="9:10" x14ac:dyDescent="0.35">
      <c r="I19812" s="63"/>
      <c r="J19812" s="63"/>
    </row>
    <row r="19813" spans="9:10" x14ac:dyDescent="0.35">
      <c r="I19813" s="63"/>
      <c r="J19813" s="63"/>
    </row>
    <row r="19814" spans="9:10" x14ac:dyDescent="0.35">
      <c r="I19814" s="63"/>
      <c r="J19814" s="63"/>
    </row>
    <row r="19815" spans="9:10" x14ac:dyDescent="0.35">
      <c r="I19815" s="63"/>
      <c r="J19815" s="63"/>
    </row>
    <row r="19816" spans="9:10" x14ac:dyDescent="0.35">
      <c r="I19816" s="63"/>
      <c r="J19816" s="63"/>
    </row>
    <row r="19817" spans="9:10" x14ac:dyDescent="0.35">
      <c r="I19817" s="63"/>
      <c r="J19817" s="63"/>
    </row>
    <row r="19818" spans="9:10" x14ac:dyDescent="0.35">
      <c r="I19818" s="63"/>
      <c r="J19818" s="63"/>
    </row>
    <row r="19819" spans="9:10" x14ac:dyDescent="0.35">
      <c r="I19819" s="63"/>
      <c r="J19819" s="63"/>
    </row>
    <row r="19820" spans="9:10" x14ac:dyDescent="0.35">
      <c r="I19820" s="63"/>
      <c r="J19820" s="63"/>
    </row>
    <row r="19821" spans="9:10" x14ac:dyDescent="0.35">
      <c r="I19821" s="63"/>
      <c r="J19821" s="63"/>
    </row>
    <row r="19822" spans="9:10" x14ac:dyDescent="0.35">
      <c r="I19822" s="63"/>
      <c r="J19822" s="63"/>
    </row>
    <row r="19823" spans="9:10" x14ac:dyDescent="0.35">
      <c r="I19823" s="63"/>
      <c r="J19823" s="63"/>
    </row>
    <row r="19824" spans="9:10" x14ac:dyDescent="0.35">
      <c r="I19824" s="63"/>
      <c r="J19824" s="63"/>
    </row>
    <row r="19825" spans="9:10" x14ac:dyDescent="0.35">
      <c r="I19825" s="63"/>
      <c r="J19825" s="63"/>
    </row>
    <row r="19826" spans="9:10" x14ac:dyDescent="0.35">
      <c r="I19826" s="63"/>
      <c r="J19826" s="63"/>
    </row>
    <row r="19827" spans="9:10" x14ac:dyDescent="0.35">
      <c r="I19827" s="63"/>
      <c r="J19827" s="63"/>
    </row>
    <row r="19828" spans="9:10" x14ac:dyDescent="0.35">
      <c r="I19828" s="63"/>
      <c r="J19828" s="63"/>
    </row>
    <row r="19829" spans="9:10" x14ac:dyDescent="0.35">
      <c r="I19829" s="63"/>
      <c r="J19829" s="63"/>
    </row>
    <row r="19830" spans="9:10" x14ac:dyDescent="0.35">
      <c r="I19830" s="63"/>
      <c r="J19830" s="63"/>
    </row>
    <row r="19831" spans="9:10" x14ac:dyDescent="0.35">
      <c r="I19831" s="63"/>
      <c r="J19831" s="63"/>
    </row>
    <row r="19832" spans="9:10" x14ac:dyDescent="0.35">
      <c r="I19832" s="63"/>
      <c r="J19832" s="63"/>
    </row>
    <row r="19833" spans="9:10" x14ac:dyDescent="0.35">
      <c r="I19833" s="63"/>
      <c r="J19833" s="63"/>
    </row>
    <row r="19834" spans="9:10" x14ac:dyDescent="0.35">
      <c r="I19834" s="63"/>
      <c r="J19834" s="63"/>
    </row>
    <row r="19835" spans="9:10" x14ac:dyDescent="0.35">
      <c r="I19835" s="63"/>
      <c r="J19835" s="63"/>
    </row>
    <row r="19836" spans="9:10" x14ac:dyDescent="0.35">
      <c r="I19836" s="63"/>
      <c r="J19836" s="63"/>
    </row>
    <row r="19837" spans="9:10" x14ac:dyDescent="0.35">
      <c r="I19837" s="63"/>
      <c r="J19837" s="63"/>
    </row>
    <row r="19838" spans="9:10" x14ac:dyDescent="0.35">
      <c r="I19838" s="63"/>
      <c r="J19838" s="63"/>
    </row>
    <row r="19839" spans="9:10" x14ac:dyDescent="0.35">
      <c r="I19839" s="63"/>
      <c r="J19839" s="63"/>
    </row>
    <row r="19840" spans="9:10" x14ac:dyDescent="0.35">
      <c r="I19840" s="63"/>
      <c r="J19840" s="63"/>
    </row>
    <row r="19841" spans="9:10" x14ac:dyDescent="0.35">
      <c r="I19841" s="63"/>
      <c r="J19841" s="63"/>
    </row>
    <row r="19842" spans="9:10" x14ac:dyDescent="0.35">
      <c r="I19842" s="63"/>
      <c r="J19842" s="63"/>
    </row>
    <row r="19843" spans="9:10" x14ac:dyDescent="0.35">
      <c r="I19843" s="63"/>
      <c r="J19843" s="63"/>
    </row>
    <row r="19844" spans="9:10" x14ac:dyDescent="0.35">
      <c r="I19844" s="63"/>
      <c r="J19844" s="63"/>
    </row>
    <row r="19845" spans="9:10" x14ac:dyDescent="0.35">
      <c r="I19845" s="63"/>
      <c r="J19845" s="63"/>
    </row>
    <row r="19846" spans="9:10" x14ac:dyDescent="0.35">
      <c r="I19846" s="63"/>
      <c r="J19846" s="63"/>
    </row>
    <row r="19847" spans="9:10" x14ac:dyDescent="0.35">
      <c r="I19847" s="63"/>
      <c r="J19847" s="63"/>
    </row>
    <row r="19848" spans="9:10" x14ac:dyDescent="0.35">
      <c r="I19848" s="63"/>
      <c r="J19848" s="63"/>
    </row>
    <row r="19849" spans="9:10" x14ac:dyDescent="0.35">
      <c r="I19849" s="63"/>
      <c r="J19849" s="63"/>
    </row>
    <row r="19850" spans="9:10" x14ac:dyDescent="0.35">
      <c r="I19850" s="63"/>
      <c r="J19850" s="63"/>
    </row>
    <row r="19851" spans="9:10" x14ac:dyDescent="0.35">
      <c r="I19851" s="63"/>
      <c r="J19851" s="63"/>
    </row>
    <row r="19852" spans="9:10" x14ac:dyDescent="0.35">
      <c r="I19852" s="63"/>
      <c r="J19852" s="63"/>
    </row>
    <row r="19853" spans="9:10" x14ac:dyDescent="0.35">
      <c r="I19853" s="63"/>
      <c r="J19853" s="63"/>
    </row>
    <row r="19854" spans="9:10" x14ac:dyDescent="0.35">
      <c r="I19854" s="63"/>
      <c r="J19854" s="63"/>
    </row>
    <row r="19855" spans="9:10" x14ac:dyDescent="0.35">
      <c r="I19855" s="63"/>
      <c r="J19855" s="63"/>
    </row>
    <row r="19856" spans="9:10" x14ac:dyDescent="0.35">
      <c r="I19856" s="63"/>
      <c r="J19856" s="63"/>
    </row>
    <row r="19857" spans="9:10" x14ac:dyDescent="0.35">
      <c r="I19857" s="63"/>
      <c r="J19857" s="63"/>
    </row>
    <row r="19858" spans="9:10" x14ac:dyDescent="0.35">
      <c r="I19858" s="63"/>
      <c r="J19858" s="63"/>
    </row>
    <row r="19859" spans="9:10" x14ac:dyDescent="0.35">
      <c r="I19859" s="63"/>
      <c r="J19859" s="63"/>
    </row>
    <row r="19860" spans="9:10" x14ac:dyDescent="0.35">
      <c r="I19860" s="63"/>
      <c r="J19860" s="63"/>
    </row>
    <row r="19861" spans="9:10" x14ac:dyDescent="0.35">
      <c r="I19861" s="63"/>
      <c r="J19861" s="63"/>
    </row>
    <row r="19862" spans="9:10" x14ac:dyDescent="0.35">
      <c r="I19862" s="63"/>
      <c r="J19862" s="63"/>
    </row>
    <row r="19863" spans="9:10" x14ac:dyDescent="0.35">
      <c r="I19863" s="63"/>
      <c r="J19863" s="63"/>
    </row>
    <row r="19864" spans="9:10" x14ac:dyDescent="0.35">
      <c r="I19864" s="63"/>
      <c r="J19864" s="63"/>
    </row>
    <row r="19865" spans="9:10" x14ac:dyDescent="0.35">
      <c r="I19865" s="63"/>
      <c r="J19865" s="63"/>
    </row>
    <row r="19866" spans="9:10" x14ac:dyDescent="0.35">
      <c r="I19866" s="63"/>
      <c r="J19866" s="63"/>
    </row>
    <row r="19867" spans="9:10" x14ac:dyDescent="0.35">
      <c r="I19867" s="63"/>
      <c r="J19867" s="63"/>
    </row>
    <row r="19868" spans="9:10" x14ac:dyDescent="0.35">
      <c r="I19868" s="63"/>
      <c r="J19868" s="63"/>
    </row>
    <row r="19869" spans="9:10" x14ac:dyDescent="0.35">
      <c r="I19869" s="63"/>
      <c r="J19869" s="63"/>
    </row>
    <row r="19870" spans="9:10" x14ac:dyDescent="0.35">
      <c r="I19870" s="63"/>
      <c r="J19870" s="63"/>
    </row>
    <row r="19871" spans="9:10" x14ac:dyDescent="0.35">
      <c r="I19871" s="63"/>
      <c r="J19871" s="63"/>
    </row>
    <row r="19872" spans="9:10" x14ac:dyDescent="0.35">
      <c r="I19872" s="63"/>
      <c r="J19872" s="63"/>
    </row>
    <row r="19873" spans="9:10" x14ac:dyDescent="0.35">
      <c r="I19873" s="63"/>
      <c r="J19873" s="63"/>
    </row>
    <row r="19874" spans="9:10" x14ac:dyDescent="0.35">
      <c r="I19874" s="63"/>
      <c r="J19874" s="63"/>
    </row>
    <row r="19875" spans="9:10" x14ac:dyDescent="0.35">
      <c r="I19875" s="63"/>
      <c r="J19875" s="63"/>
    </row>
    <row r="19876" spans="9:10" x14ac:dyDescent="0.35">
      <c r="I19876" s="63"/>
      <c r="J19876" s="63"/>
    </row>
    <row r="19877" spans="9:10" x14ac:dyDescent="0.35">
      <c r="I19877" s="63"/>
      <c r="J19877" s="63"/>
    </row>
    <row r="19878" spans="9:10" x14ac:dyDescent="0.35">
      <c r="I19878" s="63"/>
      <c r="J19878" s="63"/>
    </row>
    <row r="19879" spans="9:10" x14ac:dyDescent="0.35">
      <c r="I19879" s="63"/>
      <c r="J19879" s="63"/>
    </row>
    <row r="19880" spans="9:10" x14ac:dyDescent="0.35">
      <c r="I19880" s="63"/>
      <c r="J19880" s="63"/>
    </row>
    <row r="19881" spans="9:10" x14ac:dyDescent="0.35">
      <c r="I19881" s="63"/>
      <c r="J19881" s="63"/>
    </row>
    <row r="19882" spans="9:10" x14ac:dyDescent="0.35">
      <c r="I19882" s="63"/>
      <c r="J19882" s="63"/>
    </row>
    <row r="19883" spans="9:10" x14ac:dyDescent="0.35">
      <c r="I19883" s="63"/>
      <c r="J19883" s="63"/>
    </row>
    <row r="19884" spans="9:10" x14ac:dyDescent="0.35">
      <c r="I19884" s="63"/>
      <c r="J19884" s="63"/>
    </row>
    <row r="19885" spans="9:10" x14ac:dyDescent="0.35">
      <c r="I19885" s="63"/>
      <c r="J19885" s="63"/>
    </row>
    <row r="19886" spans="9:10" x14ac:dyDescent="0.35">
      <c r="I19886" s="63"/>
      <c r="J19886" s="63"/>
    </row>
    <row r="19887" spans="9:10" x14ac:dyDescent="0.35">
      <c r="I19887" s="63"/>
      <c r="J19887" s="63"/>
    </row>
    <row r="19888" spans="9:10" x14ac:dyDescent="0.35">
      <c r="I19888" s="63"/>
      <c r="J19888" s="63"/>
    </row>
    <row r="19889" spans="9:10" x14ac:dyDescent="0.35">
      <c r="I19889" s="63"/>
      <c r="J19889" s="63"/>
    </row>
    <row r="19890" spans="9:10" x14ac:dyDescent="0.35">
      <c r="I19890" s="63"/>
      <c r="J19890" s="63"/>
    </row>
    <row r="19891" spans="9:10" x14ac:dyDescent="0.35">
      <c r="I19891" s="63"/>
      <c r="J19891" s="63"/>
    </row>
    <row r="19892" spans="9:10" x14ac:dyDescent="0.35">
      <c r="I19892" s="63"/>
      <c r="J19892" s="63"/>
    </row>
    <row r="19893" spans="9:10" x14ac:dyDescent="0.35">
      <c r="I19893" s="63"/>
      <c r="J19893" s="63"/>
    </row>
    <row r="19894" spans="9:10" x14ac:dyDescent="0.35">
      <c r="I19894" s="63"/>
      <c r="J19894" s="63"/>
    </row>
    <row r="19895" spans="9:10" x14ac:dyDescent="0.35">
      <c r="I19895" s="63"/>
      <c r="J19895" s="63"/>
    </row>
    <row r="19896" spans="9:10" x14ac:dyDescent="0.35">
      <c r="I19896" s="63"/>
      <c r="J19896" s="63"/>
    </row>
    <row r="19897" spans="9:10" x14ac:dyDescent="0.35">
      <c r="I19897" s="63"/>
      <c r="J19897" s="63"/>
    </row>
    <row r="19898" spans="9:10" x14ac:dyDescent="0.35">
      <c r="I19898" s="63"/>
      <c r="J19898" s="63"/>
    </row>
    <row r="19899" spans="9:10" x14ac:dyDescent="0.35">
      <c r="I19899" s="63"/>
      <c r="J19899" s="63"/>
    </row>
    <row r="19900" spans="9:10" x14ac:dyDescent="0.35">
      <c r="I19900" s="63"/>
      <c r="J19900" s="63"/>
    </row>
    <row r="19901" spans="9:10" x14ac:dyDescent="0.35">
      <c r="I19901" s="63"/>
      <c r="J19901" s="63"/>
    </row>
    <row r="19902" spans="9:10" x14ac:dyDescent="0.35">
      <c r="I19902" s="63"/>
      <c r="J19902" s="63"/>
    </row>
    <row r="19903" spans="9:10" x14ac:dyDescent="0.35">
      <c r="I19903" s="63"/>
      <c r="J19903" s="63"/>
    </row>
    <row r="19904" spans="9:10" x14ac:dyDescent="0.35">
      <c r="I19904" s="63"/>
      <c r="J19904" s="63"/>
    </row>
    <row r="19905" spans="9:10" x14ac:dyDescent="0.35">
      <c r="I19905" s="63"/>
      <c r="J19905" s="63"/>
    </row>
    <row r="19906" spans="9:10" x14ac:dyDescent="0.35">
      <c r="I19906" s="63"/>
      <c r="J19906" s="63"/>
    </row>
    <row r="19907" spans="9:10" x14ac:dyDescent="0.35">
      <c r="I19907" s="63"/>
      <c r="J19907" s="63"/>
    </row>
    <row r="19908" spans="9:10" x14ac:dyDescent="0.35">
      <c r="I19908" s="63"/>
      <c r="J19908" s="63"/>
    </row>
    <row r="19909" spans="9:10" x14ac:dyDescent="0.35">
      <c r="I19909" s="63"/>
      <c r="J19909" s="63"/>
    </row>
    <row r="19910" spans="9:10" x14ac:dyDescent="0.35">
      <c r="I19910" s="63"/>
      <c r="J19910" s="63"/>
    </row>
    <row r="19911" spans="9:10" x14ac:dyDescent="0.35">
      <c r="I19911" s="63"/>
      <c r="J19911" s="63"/>
    </row>
    <row r="19912" spans="9:10" x14ac:dyDescent="0.35">
      <c r="I19912" s="63"/>
      <c r="J19912" s="63"/>
    </row>
    <row r="19913" spans="9:10" x14ac:dyDescent="0.35">
      <c r="I19913" s="63"/>
      <c r="J19913" s="63"/>
    </row>
    <row r="19914" spans="9:10" x14ac:dyDescent="0.35">
      <c r="I19914" s="63"/>
      <c r="J19914" s="63"/>
    </row>
    <row r="19915" spans="9:10" x14ac:dyDescent="0.35">
      <c r="I19915" s="63"/>
      <c r="J19915" s="63"/>
    </row>
    <row r="19916" spans="9:10" x14ac:dyDescent="0.35">
      <c r="I19916" s="63"/>
      <c r="J19916" s="63"/>
    </row>
    <row r="19917" spans="9:10" x14ac:dyDescent="0.35">
      <c r="I19917" s="63"/>
      <c r="J19917" s="63"/>
    </row>
    <row r="19918" spans="9:10" x14ac:dyDescent="0.35">
      <c r="I19918" s="63"/>
      <c r="J19918" s="63"/>
    </row>
    <row r="19919" spans="9:10" x14ac:dyDescent="0.35">
      <c r="I19919" s="63"/>
      <c r="J19919" s="63"/>
    </row>
    <row r="19920" spans="9:10" x14ac:dyDescent="0.35">
      <c r="I19920" s="63"/>
      <c r="J19920" s="63"/>
    </row>
    <row r="19921" spans="9:10" x14ac:dyDescent="0.35">
      <c r="I19921" s="63"/>
      <c r="J19921" s="63"/>
    </row>
    <row r="19922" spans="9:10" x14ac:dyDescent="0.35">
      <c r="I19922" s="63"/>
      <c r="J19922" s="63"/>
    </row>
    <row r="19923" spans="9:10" x14ac:dyDescent="0.35">
      <c r="I19923" s="63"/>
      <c r="J19923" s="63"/>
    </row>
    <row r="19924" spans="9:10" x14ac:dyDescent="0.35">
      <c r="I19924" s="63"/>
      <c r="J19924" s="63"/>
    </row>
    <row r="19925" spans="9:10" x14ac:dyDescent="0.35">
      <c r="I19925" s="63"/>
      <c r="J19925" s="63"/>
    </row>
    <row r="19926" spans="9:10" x14ac:dyDescent="0.35">
      <c r="I19926" s="63"/>
      <c r="J19926" s="63"/>
    </row>
    <row r="19927" spans="9:10" x14ac:dyDescent="0.35">
      <c r="I19927" s="63"/>
      <c r="J19927" s="63"/>
    </row>
    <row r="19928" spans="9:10" x14ac:dyDescent="0.35">
      <c r="I19928" s="63"/>
      <c r="J19928" s="63"/>
    </row>
    <row r="19929" spans="9:10" x14ac:dyDescent="0.35">
      <c r="I19929" s="63"/>
      <c r="J19929" s="63"/>
    </row>
    <row r="19930" spans="9:10" x14ac:dyDescent="0.35">
      <c r="I19930" s="63"/>
      <c r="J19930" s="63"/>
    </row>
    <row r="19931" spans="9:10" x14ac:dyDescent="0.35">
      <c r="I19931" s="63"/>
      <c r="J19931" s="63"/>
    </row>
    <row r="19932" spans="9:10" x14ac:dyDescent="0.35">
      <c r="I19932" s="63"/>
      <c r="J19932" s="63"/>
    </row>
    <row r="19933" spans="9:10" x14ac:dyDescent="0.35">
      <c r="I19933" s="63"/>
      <c r="J19933" s="63"/>
    </row>
    <row r="19934" spans="9:10" x14ac:dyDescent="0.35">
      <c r="I19934" s="63"/>
      <c r="J19934" s="63"/>
    </row>
    <row r="19935" spans="9:10" x14ac:dyDescent="0.35">
      <c r="I19935" s="63"/>
      <c r="J19935" s="63"/>
    </row>
    <row r="19936" spans="9:10" x14ac:dyDescent="0.35">
      <c r="I19936" s="63"/>
      <c r="J19936" s="63"/>
    </row>
    <row r="19937" spans="9:10" x14ac:dyDescent="0.35">
      <c r="I19937" s="63"/>
      <c r="J19937" s="63"/>
    </row>
    <row r="19938" spans="9:10" x14ac:dyDescent="0.35">
      <c r="I19938" s="63"/>
      <c r="J19938" s="63"/>
    </row>
    <row r="19939" spans="9:10" x14ac:dyDescent="0.35">
      <c r="I19939" s="63"/>
      <c r="J19939" s="63"/>
    </row>
    <row r="19940" spans="9:10" x14ac:dyDescent="0.35">
      <c r="I19940" s="63"/>
      <c r="J19940" s="63"/>
    </row>
    <row r="19941" spans="9:10" x14ac:dyDescent="0.35">
      <c r="I19941" s="63"/>
      <c r="J19941" s="63"/>
    </row>
    <row r="19942" spans="9:10" x14ac:dyDescent="0.35">
      <c r="I19942" s="63"/>
      <c r="J19942" s="63"/>
    </row>
    <row r="19943" spans="9:10" x14ac:dyDescent="0.35">
      <c r="I19943" s="63"/>
      <c r="J19943" s="63"/>
    </row>
    <row r="19944" spans="9:10" x14ac:dyDescent="0.35">
      <c r="I19944" s="63"/>
      <c r="J19944" s="63"/>
    </row>
    <row r="19945" spans="9:10" x14ac:dyDescent="0.35">
      <c r="I19945" s="63"/>
      <c r="J19945" s="63"/>
    </row>
    <row r="19946" spans="9:10" x14ac:dyDescent="0.35">
      <c r="I19946" s="63"/>
      <c r="J19946" s="63"/>
    </row>
    <row r="19947" spans="9:10" x14ac:dyDescent="0.35">
      <c r="I19947" s="63"/>
      <c r="J19947" s="63"/>
    </row>
    <row r="19948" spans="9:10" x14ac:dyDescent="0.35">
      <c r="I19948" s="63"/>
      <c r="J19948" s="63"/>
    </row>
    <row r="19949" spans="9:10" x14ac:dyDescent="0.35">
      <c r="I19949" s="63"/>
      <c r="J19949" s="63"/>
    </row>
    <row r="19950" spans="9:10" x14ac:dyDescent="0.35">
      <c r="I19950" s="63"/>
      <c r="J19950" s="63"/>
    </row>
    <row r="19951" spans="9:10" x14ac:dyDescent="0.35">
      <c r="I19951" s="63"/>
      <c r="J19951" s="63"/>
    </row>
    <row r="19952" spans="9:10" x14ac:dyDescent="0.35">
      <c r="I19952" s="63"/>
      <c r="J19952" s="63"/>
    </row>
    <row r="19953" spans="9:10" x14ac:dyDescent="0.35">
      <c r="I19953" s="63"/>
      <c r="J19953" s="63"/>
    </row>
    <row r="19954" spans="9:10" x14ac:dyDescent="0.35">
      <c r="I19954" s="63"/>
      <c r="J19954" s="63"/>
    </row>
    <row r="19955" spans="9:10" x14ac:dyDescent="0.35">
      <c r="I19955" s="63"/>
      <c r="J19955" s="63"/>
    </row>
    <row r="19956" spans="9:10" x14ac:dyDescent="0.35">
      <c r="I19956" s="63"/>
      <c r="J19956" s="63"/>
    </row>
    <row r="19957" spans="9:10" x14ac:dyDescent="0.35">
      <c r="I19957" s="63"/>
      <c r="J19957" s="63"/>
    </row>
    <row r="19958" spans="9:10" x14ac:dyDescent="0.35">
      <c r="I19958" s="63"/>
      <c r="J19958" s="63"/>
    </row>
    <row r="19959" spans="9:10" x14ac:dyDescent="0.35">
      <c r="I19959" s="63"/>
      <c r="J19959" s="63"/>
    </row>
    <row r="19960" spans="9:10" x14ac:dyDescent="0.35">
      <c r="I19960" s="63"/>
      <c r="J19960" s="63"/>
    </row>
    <row r="19961" spans="9:10" x14ac:dyDescent="0.35">
      <c r="I19961" s="63"/>
      <c r="J19961" s="63"/>
    </row>
    <row r="19962" spans="9:10" x14ac:dyDescent="0.35">
      <c r="I19962" s="63"/>
      <c r="J19962" s="63"/>
    </row>
    <row r="19963" spans="9:10" x14ac:dyDescent="0.35">
      <c r="I19963" s="63"/>
      <c r="J19963" s="63"/>
    </row>
    <row r="19964" spans="9:10" x14ac:dyDescent="0.35">
      <c r="I19964" s="63"/>
      <c r="J19964" s="63"/>
    </row>
    <row r="19965" spans="9:10" x14ac:dyDescent="0.35">
      <c r="I19965" s="63"/>
      <c r="J19965" s="63"/>
    </row>
    <row r="19966" spans="9:10" x14ac:dyDescent="0.35">
      <c r="I19966" s="63"/>
      <c r="J19966" s="63"/>
    </row>
    <row r="19967" spans="9:10" x14ac:dyDescent="0.35">
      <c r="I19967" s="63"/>
      <c r="J19967" s="63"/>
    </row>
    <row r="19968" spans="9:10" x14ac:dyDescent="0.35">
      <c r="I19968" s="63"/>
      <c r="J19968" s="63"/>
    </row>
    <row r="19969" spans="9:10" x14ac:dyDescent="0.35">
      <c r="I19969" s="63"/>
      <c r="J19969" s="63"/>
    </row>
    <row r="19970" spans="9:10" x14ac:dyDescent="0.35">
      <c r="I19970" s="63"/>
      <c r="J19970" s="63"/>
    </row>
    <row r="19971" spans="9:10" x14ac:dyDescent="0.35">
      <c r="I19971" s="63"/>
      <c r="J19971" s="63"/>
    </row>
    <row r="19972" spans="9:10" x14ac:dyDescent="0.35">
      <c r="I19972" s="63"/>
      <c r="J19972" s="63"/>
    </row>
    <row r="19973" spans="9:10" x14ac:dyDescent="0.35">
      <c r="I19973" s="63"/>
      <c r="J19973" s="63"/>
    </row>
    <row r="19974" spans="9:10" x14ac:dyDescent="0.35">
      <c r="I19974" s="63"/>
      <c r="J19974" s="63"/>
    </row>
    <row r="19975" spans="9:10" x14ac:dyDescent="0.35">
      <c r="I19975" s="63"/>
      <c r="J19975" s="63"/>
    </row>
    <row r="19976" spans="9:10" x14ac:dyDescent="0.35">
      <c r="I19976" s="63"/>
      <c r="J19976" s="63"/>
    </row>
    <row r="19977" spans="9:10" x14ac:dyDescent="0.35">
      <c r="I19977" s="63"/>
      <c r="J19977" s="63"/>
    </row>
    <row r="19978" spans="9:10" x14ac:dyDescent="0.35">
      <c r="I19978" s="63"/>
      <c r="J19978" s="63"/>
    </row>
    <row r="19979" spans="9:10" x14ac:dyDescent="0.35">
      <c r="I19979" s="63"/>
      <c r="J19979" s="63"/>
    </row>
    <row r="19980" spans="9:10" x14ac:dyDescent="0.35">
      <c r="I19980" s="63"/>
      <c r="J19980" s="63"/>
    </row>
    <row r="19981" spans="9:10" x14ac:dyDescent="0.35">
      <c r="I19981" s="63"/>
      <c r="J19981" s="63"/>
    </row>
    <row r="19982" spans="9:10" x14ac:dyDescent="0.35">
      <c r="I19982" s="63"/>
      <c r="J19982" s="63"/>
    </row>
    <row r="19983" spans="9:10" x14ac:dyDescent="0.35">
      <c r="I19983" s="63"/>
      <c r="J19983" s="63"/>
    </row>
    <row r="19984" spans="9:10" x14ac:dyDescent="0.35">
      <c r="I19984" s="63"/>
      <c r="J19984" s="63"/>
    </row>
    <row r="19985" spans="9:10" x14ac:dyDescent="0.35">
      <c r="I19985" s="63"/>
      <c r="J19985" s="63"/>
    </row>
    <row r="19986" spans="9:10" x14ac:dyDescent="0.35">
      <c r="I19986" s="63"/>
      <c r="J19986" s="63"/>
    </row>
    <row r="19987" spans="9:10" x14ac:dyDescent="0.35">
      <c r="I19987" s="63"/>
      <c r="J19987" s="63"/>
    </row>
    <row r="19988" spans="9:10" x14ac:dyDescent="0.35">
      <c r="I19988" s="63"/>
      <c r="J19988" s="63"/>
    </row>
    <row r="19989" spans="9:10" x14ac:dyDescent="0.35">
      <c r="I19989" s="63"/>
      <c r="J19989" s="63"/>
    </row>
    <row r="19990" spans="9:10" x14ac:dyDescent="0.35">
      <c r="I19990" s="63"/>
      <c r="J19990" s="63"/>
    </row>
    <row r="19991" spans="9:10" x14ac:dyDescent="0.35">
      <c r="I19991" s="63"/>
      <c r="J19991" s="63"/>
    </row>
    <row r="19992" spans="9:10" x14ac:dyDescent="0.35">
      <c r="I19992" s="63"/>
      <c r="J19992" s="63"/>
    </row>
    <row r="19993" spans="9:10" x14ac:dyDescent="0.35">
      <c r="I19993" s="63"/>
      <c r="J19993" s="63"/>
    </row>
    <row r="19994" spans="9:10" x14ac:dyDescent="0.35">
      <c r="I19994" s="63"/>
      <c r="J19994" s="63"/>
    </row>
    <row r="19995" spans="9:10" x14ac:dyDescent="0.35">
      <c r="I19995" s="63"/>
      <c r="J19995" s="63"/>
    </row>
    <row r="19996" spans="9:10" x14ac:dyDescent="0.35">
      <c r="I19996" s="63"/>
      <c r="J19996" s="63"/>
    </row>
    <row r="19997" spans="9:10" x14ac:dyDescent="0.35">
      <c r="I19997" s="63"/>
      <c r="J19997" s="63"/>
    </row>
    <row r="19998" spans="9:10" x14ac:dyDescent="0.35">
      <c r="I19998" s="63"/>
      <c r="J19998" s="63"/>
    </row>
    <row r="19999" spans="9:10" x14ac:dyDescent="0.35">
      <c r="I19999" s="63"/>
      <c r="J19999" s="63"/>
    </row>
    <row r="20000" spans="9:10" x14ac:dyDescent="0.35">
      <c r="I20000" s="63"/>
      <c r="J20000" s="63"/>
    </row>
    <row r="20001" spans="9:10" x14ac:dyDescent="0.35">
      <c r="I20001" s="63"/>
      <c r="J20001" s="63"/>
    </row>
    <row r="20002" spans="9:10" x14ac:dyDescent="0.35">
      <c r="I20002" s="63"/>
      <c r="J20002" s="63"/>
    </row>
    <row r="20003" spans="9:10" x14ac:dyDescent="0.35">
      <c r="I20003" s="63"/>
      <c r="J20003" s="63"/>
    </row>
    <row r="20004" spans="9:10" x14ac:dyDescent="0.35">
      <c r="I20004" s="63"/>
      <c r="J20004" s="63"/>
    </row>
    <row r="20005" spans="9:10" x14ac:dyDescent="0.35">
      <c r="I20005" s="63"/>
      <c r="J20005" s="63"/>
    </row>
    <row r="20006" spans="9:10" x14ac:dyDescent="0.35">
      <c r="I20006" s="63"/>
      <c r="J20006" s="63"/>
    </row>
    <row r="20007" spans="9:10" x14ac:dyDescent="0.35">
      <c r="I20007" s="63"/>
      <c r="J20007" s="63"/>
    </row>
    <row r="20008" spans="9:10" x14ac:dyDescent="0.35">
      <c r="I20008" s="63"/>
      <c r="J20008" s="63"/>
    </row>
    <row r="20009" spans="9:10" x14ac:dyDescent="0.35">
      <c r="I20009" s="63"/>
      <c r="J20009" s="63"/>
    </row>
    <row r="20010" spans="9:10" x14ac:dyDescent="0.35">
      <c r="I20010" s="63"/>
      <c r="J20010" s="63"/>
    </row>
    <row r="20011" spans="9:10" x14ac:dyDescent="0.35">
      <c r="I20011" s="63"/>
      <c r="J20011" s="63"/>
    </row>
    <row r="20012" spans="9:10" x14ac:dyDescent="0.35">
      <c r="I20012" s="63"/>
      <c r="J20012" s="63"/>
    </row>
    <row r="20013" spans="9:10" x14ac:dyDescent="0.35">
      <c r="I20013" s="63"/>
      <c r="J20013" s="63"/>
    </row>
    <row r="20014" spans="9:10" x14ac:dyDescent="0.35">
      <c r="I20014" s="63"/>
      <c r="J20014" s="63"/>
    </row>
    <row r="20015" spans="9:10" x14ac:dyDescent="0.35">
      <c r="I20015" s="63"/>
      <c r="J20015" s="63"/>
    </row>
    <row r="20016" spans="9:10" x14ac:dyDescent="0.35">
      <c r="I20016" s="63"/>
      <c r="J20016" s="63"/>
    </row>
    <row r="20017" spans="9:10" x14ac:dyDescent="0.35">
      <c r="I20017" s="63"/>
      <c r="J20017" s="63"/>
    </row>
    <row r="20018" spans="9:10" x14ac:dyDescent="0.35">
      <c r="I20018" s="63"/>
      <c r="J20018" s="63"/>
    </row>
    <row r="20019" spans="9:10" x14ac:dyDescent="0.35">
      <c r="I20019" s="63"/>
      <c r="J20019" s="63"/>
    </row>
    <row r="20020" spans="9:10" x14ac:dyDescent="0.35">
      <c r="I20020" s="63"/>
      <c r="J20020" s="63"/>
    </row>
    <row r="20021" spans="9:10" x14ac:dyDescent="0.35">
      <c r="I20021" s="63"/>
      <c r="J20021" s="63"/>
    </row>
    <row r="20022" spans="9:10" x14ac:dyDescent="0.35">
      <c r="I20022" s="63"/>
      <c r="J20022" s="63"/>
    </row>
    <row r="20023" spans="9:10" x14ac:dyDescent="0.35">
      <c r="I20023" s="63"/>
      <c r="J20023" s="63"/>
    </row>
    <row r="20024" spans="9:10" x14ac:dyDescent="0.35">
      <c r="I20024" s="63"/>
      <c r="J20024" s="63"/>
    </row>
    <row r="20025" spans="9:10" x14ac:dyDescent="0.35">
      <c r="I20025" s="63"/>
      <c r="J20025" s="63"/>
    </row>
    <row r="20026" spans="9:10" x14ac:dyDescent="0.35">
      <c r="I20026" s="63"/>
      <c r="J20026" s="63"/>
    </row>
    <row r="20027" spans="9:10" x14ac:dyDescent="0.35">
      <c r="I20027" s="63"/>
      <c r="J20027" s="63"/>
    </row>
    <row r="20028" spans="9:10" x14ac:dyDescent="0.35">
      <c r="I20028" s="63"/>
      <c r="J20028" s="63"/>
    </row>
    <row r="20029" spans="9:10" x14ac:dyDescent="0.35">
      <c r="I20029" s="63"/>
      <c r="J20029" s="63"/>
    </row>
    <row r="20030" spans="9:10" x14ac:dyDescent="0.35">
      <c r="I20030" s="63"/>
      <c r="J20030" s="63"/>
    </row>
    <row r="20031" spans="9:10" x14ac:dyDescent="0.35">
      <c r="I20031" s="63"/>
      <c r="J20031" s="63"/>
    </row>
    <row r="20032" spans="9:10" x14ac:dyDescent="0.35">
      <c r="I20032" s="63"/>
      <c r="J20032" s="63"/>
    </row>
    <row r="20033" spans="9:10" x14ac:dyDescent="0.35">
      <c r="I20033" s="63"/>
      <c r="J20033" s="63"/>
    </row>
    <row r="20034" spans="9:10" x14ac:dyDescent="0.35">
      <c r="I20034" s="63"/>
      <c r="J20034" s="63"/>
    </row>
    <row r="20035" spans="9:10" x14ac:dyDescent="0.35">
      <c r="I20035" s="63"/>
      <c r="J20035" s="63"/>
    </row>
    <row r="20036" spans="9:10" x14ac:dyDescent="0.35">
      <c r="I20036" s="63"/>
      <c r="J20036" s="63"/>
    </row>
    <row r="20037" spans="9:10" x14ac:dyDescent="0.35">
      <c r="I20037" s="63"/>
      <c r="J20037" s="63"/>
    </row>
    <row r="20038" spans="9:10" x14ac:dyDescent="0.35">
      <c r="I20038" s="63"/>
      <c r="J20038" s="63"/>
    </row>
    <row r="20039" spans="9:10" x14ac:dyDescent="0.35">
      <c r="I20039" s="63"/>
      <c r="J20039" s="63"/>
    </row>
    <row r="20040" spans="9:10" x14ac:dyDescent="0.35">
      <c r="I20040" s="63"/>
      <c r="J20040" s="63"/>
    </row>
    <row r="20041" spans="9:10" x14ac:dyDescent="0.35">
      <c r="I20041" s="63"/>
      <c r="J20041" s="63"/>
    </row>
    <row r="20042" spans="9:10" x14ac:dyDescent="0.35">
      <c r="I20042" s="63"/>
      <c r="J20042" s="63"/>
    </row>
    <row r="20043" spans="9:10" x14ac:dyDescent="0.35">
      <c r="I20043" s="63"/>
      <c r="J20043" s="63"/>
    </row>
    <row r="20044" spans="9:10" x14ac:dyDescent="0.35">
      <c r="I20044" s="63"/>
      <c r="J20044" s="63"/>
    </row>
    <row r="20045" spans="9:10" x14ac:dyDescent="0.35">
      <c r="I20045" s="63"/>
      <c r="J20045" s="63"/>
    </row>
    <row r="20046" spans="9:10" x14ac:dyDescent="0.35">
      <c r="I20046" s="63"/>
      <c r="J20046" s="63"/>
    </row>
    <row r="20047" spans="9:10" x14ac:dyDescent="0.35">
      <c r="I20047" s="63"/>
      <c r="J20047" s="63"/>
    </row>
    <row r="20048" spans="9:10" x14ac:dyDescent="0.35">
      <c r="I20048" s="63"/>
      <c r="J20048" s="63"/>
    </row>
    <row r="20049" spans="9:10" x14ac:dyDescent="0.35">
      <c r="I20049" s="63"/>
      <c r="J20049" s="63"/>
    </row>
    <row r="20050" spans="9:10" x14ac:dyDescent="0.35">
      <c r="I20050" s="63"/>
      <c r="J20050" s="63"/>
    </row>
    <row r="20051" spans="9:10" x14ac:dyDescent="0.35">
      <c r="I20051" s="63"/>
      <c r="J20051" s="63"/>
    </row>
    <row r="20052" spans="9:10" x14ac:dyDescent="0.35">
      <c r="I20052" s="63"/>
      <c r="J20052" s="63"/>
    </row>
    <row r="20053" spans="9:10" x14ac:dyDescent="0.35">
      <c r="I20053" s="63"/>
      <c r="J20053" s="63"/>
    </row>
    <row r="20054" spans="9:10" x14ac:dyDescent="0.35">
      <c r="I20054" s="63"/>
      <c r="J20054" s="63"/>
    </row>
    <row r="20055" spans="9:10" x14ac:dyDescent="0.35">
      <c r="I20055" s="63"/>
      <c r="J20055" s="63"/>
    </row>
    <row r="20056" spans="9:10" x14ac:dyDescent="0.35">
      <c r="I20056" s="63"/>
      <c r="J20056" s="63"/>
    </row>
    <row r="20057" spans="9:10" x14ac:dyDescent="0.35">
      <c r="I20057" s="63"/>
      <c r="J20057" s="63"/>
    </row>
    <row r="20058" spans="9:10" x14ac:dyDescent="0.35">
      <c r="I20058" s="63"/>
      <c r="J20058" s="63"/>
    </row>
    <row r="20059" spans="9:10" x14ac:dyDescent="0.35">
      <c r="I20059" s="63"/>
      <c r="J20059" s="63"/>
    </row>
    <row r="20060" spans="9:10" x14ac:dyDescent="0.35">
      <c r="I20060" s="63"/>
      <c r="J20060" s="63"/>
    </row>
    <row r="20061" spans="9:10" x14ac:dyDescent="0.35">
      <c r="I20061" s="63"/>
      <c r="J20061" s="63"/>
    </row>
    <row r="20062" spans="9:10" x14ac:dyDescent="0.35">
      <c r="I20062" s="63"/>
      <c r="J20062" s="63"/>
    </row>
    <row r="20063" spans="9:10" x14ac:dyDescent="0.35">
      <c r="I20063" s="63"/>
      <c r="J20063" s="63"/>
    </row>
    <row r="20064" spans="9:10" x14ac:dyDescent="0.35">
      <c r="I20064" s="63"/>
      <c r="J20064" s="63"/>
    </row>
    <row r="20065" spans="9:10" x14ac:dyDescent="0.35">
      <c r="I20065" s="63"/>
      <c r="J20065" s="63"/>
    </row>
    <row r="20066" spans="9:10" x14ac:dyDescent="0.35">
      <c r="I20066" s="63"/>
      <c r="J20066" s="63"/>
    </row>
    <row r="20067" spans="9:10" x14ac:dyDescent="0.35">
      <c r="I20067" s="63"/>
      <c r="J20067" s="63"/>
    </row>
    <row r="20068" spans="9:10" x14ac:dyDescent="0.35">
      <c r="I20068" s="63"/>
      <c r="J20068" s="63"/>
    </row>
    <row r="20069" spans="9:10" x14ac:dyDescent="0.35">
      <c r="I20069" s="63"/>
      <c r="J20069" s="63"/>
    </row>
    <row r="20070" spans="9:10" x14ac:dyDescent="0.35">
      <c r="I20070" s="63"/>
      <c r="J20070" s="63"/>
    </row>
    <row r="20071" spans="9:10" x14ac:dyDescent="0.35">
      <c r="I20071" s="63"/>
      <c r="J20071" s="63"/>
    </row>
    <row r="20072" spans="9:10" x14ac:dyDescent="0.35">
      <c r="I20072" s="63"/>
      <c r="J20072" s="63"/>
    </row>
    <row r="20073" spans="9:10" x14ac:dyDescent="0.35">
      <c r="I20073" s="63"/>
      <c r="J20073" s="63"/>
    </row>
    <row r="20074" spans="9:10" x14ac:dyDescent="0.35">
      <c r="I20074" s="63"/>
      <c r="J20074" s="63"/>
    </row>
    <row r="20075" spans="9:10" x14ac:dyDescent="0.35">
      <c r="I20075" s="63"/>
      <c r="J20075" s="63"/>
    </row>
    <row r="20076" spans="9:10" x14ac:dyDescent="0.35">
      <c r="I20076" s="63"/>
      <c r="J20076" s="63"/>
    </row>
    <row r="20077" spans="9:10" x14ac:dyDescent="0.35">
      <c r="I20077" s="63"/>
      <c r="J20077" s="63"/>
    </row>
    <row r="20078" spans="9:10" x14ac:dyDescent="0.35">
      <c r="I20078" s="63"/>
      <c r="J20078" s="63"/>
    </row>
    <row r="20079" spans="9:10" x14ac:dyDescent="0.35">
      <c r="I20079" s="63"/>
      <c r="J20079" s="63"/>
    </row>
    <row r="20080" spans="9:10" x14ac:dyDescent="0.35">
      <c r="I20080" s="63"/>
      <c r="J20080" s="63"/>
    </row>
    <row r="20081" spans="9:10" x14ac:dyDescent="0.35">
      <c r="I20081" s="63"/>
      <c r="J20081" s="63"/>
    </row>
    <row r="20082" spans="9:10" x14ac:dyDescent="0.35">
      <c r="I20082" s="63"/>
      <c r="J20082" s="63"/>
    </row>
    <row r="20083" spans="9:10" x14ac:dyDescent="0.35">
      <c r="I20083" s="63"/>
      <c r="J20083" s="63"/>
    </row>
    <row r="20084" spans="9:10" x14ac:dyDescent="0.35">
      <c r="I20084" s="63"/>
      <c r="J20084" s="63"/>
    </row>
    <row r="20085" spans="9:10" x14ac:dyDescent="0.35">
      <c r="I20085" s="63"/>
      <c r="J20085" s="63"/>
    </row>
    <row r="20086" spans="9:10" x14ac:dyDescent="0.35">
      <c r="I20086" s="63"/>
      <c r="J20086" s="63"/>
    </row>
    <row r="20087" spans="9:10" x14ac:dyDescent="0.35">
      <c r="I20087" s="63"/>
      <c r="J20087" s="63"/>
    </row>
    <row r="20088" spans="9:10" x14ac:dyDescent="0.35">
      <c r="I20088" s="63"/>
      <c r="J20088" s="63"/>
    </row>
    <row r="20089" spans="9:10" x14ac:dyDescent="0.35">
      <c r="I20089" s="63"/>
      <c r="J20089" s="63"/>
    </row>
    <row r="20090" spans="9:10" x14ac:dyDescent="0.35">
      <c r="I20090" s="63"/>
      <c r="J20090" s="63"/>
    </row>
    <row r="20091" spans="9:10" x14ac:dyDescent="0.35">
      <c r="I20091" s="63"/>
      <c r="J20091" s="63"/>
    </row>
    <row r="20092" spans="9:10" x14ac:dyDescent="0.35">
      <c r="I20092" s="63"/>
      <c r="J20092" s="63"/>
    </row>
    <row r="20093" spans="9:10" x14ac:dyDescent="0.35">
      <c r="I20093" s="63"/>
      <c r="J20093" s="63"/>
    </row>
    <row r="20094" spans="9:10" x14ac:dyDescent="0.35">
      <c r="I20094" s="63"/>
      <c r="J20094" s="63"/>
    </row>
    <row r="20095" spans="9:10" x14ac:dyDescent="0.35">
      <c r="I20095" s="63"/>
      <c r="J20095" s="63"/>
    </row>
    <row r="20096" spans="9:10" x14ac:dyDescent="0.35">
      <c r="I20096" s="63"/>
      <c r="J20096" s="63"/>
    </row>
    <row r="20097" spans="9:10" x14ac:dyDescent="0.35">
      <c r="I20097" s="63"/>
      <c r="J20097" s="63"/>
    </row>
    <row r="20098" spans="9:10" x14ac:dyDescent="0.35">
      <c r="I20098" s="63"/>
      <c r="J20098" s="63"/>
    </row>
    <row r="20099" spans="9:10" x14ac:dyDescent="0.35">
      <c r="I20099" s="63"/>
      <c r="J20099" s="63"/>
    </row>
    <row r="20100" spans="9:10" x14ac:dyDescent="0.35">
      <c r="I20100" s="63"/>
      <c r="J20100" s="63"/>
    </row>
    <row r="20101" spans="9:10" x14ac:dyDescent="0.35">
      <c r="I20101" s="63"/>
      <c r="J20101" s="63"/>
    </row>
    <row r="20102" spans="9:10" x14ac:dyDescent="0.35">
      <c r="I20102" s="63"/>
      <c r="J20102" s="63"/>
    </row>
    <row r="20103" spans="9:10" x14ac:dyDescent="0.35">
      <c r="I20103" s="63"/>
      <c r="J20103" s="63"/>
    </row>
    <row r="20104" spans="9:10" x14ac:dyDescent="0.35">
      <c r="I20104" s="63"/>
      <c r="J20104" s="63"/>
    </row>
    <row r="20105" spans="9:10" x14ac:dyDescent="0.35">
      <c r="I20105" s="63"/>
      <c r="J20105" s="63"/>
    </row>
    <row r="20106" spans="9:10" x14ac:dyDescent="0.35">
      <c r="I20106" s="63"/>
      <c r="J20106" s="63"/>
    </row>
    <row r="20107" spans="9:10" x14ac:dyDescent="0.35">
      <c r="I20107" s="63"/>
      <c r="J20107" s="63"/>
    </row>
    <row r="20108" spans="9:10" x14ac:dyDescent="0.35">
      <c r="I20108" s="63"/>
      <c r="J20108" s="63"/>
    </row>
    <row r="20109" spans="9:10" x14ac:dyDescent="0.35">
      <c r="I20109" s="63"/>
      <c r="J20109" s="63"/>
    </row>
    <row r="20110" spans="9:10" x14ac:dyDescent="0.35">
      <c r="I20110" s="63"/>
      <c r="J20110" s="63"/>
    </row>
    <row r="20111" spans="9:10" x14ac:dyDescent="0.35">
      <c r="I20111" s="63"/>
      <c r="J20111" s="63"/>
    </row>
    <row r="20112" spans="9:10" x14ac:dyDescent="0.35">
      <c r="I20112" s="63"/>
      <c r="J20112" s="63"/>
    </row>
    <row r="20113" spans="9:10" x14ac:dyDescent="0.35">
      <c r="I20113" s="63"/>
      <c r="J20113" s="63"/>
    </row>
    <row r="20114" spans="9:10" x14ac:dyDescent="0.35">
      <c r="I20114" s="63"/>
      <c r="J20114" s="63"/>
    </row>
    <row r="20115" spans="9:10" x14ac:dyDescent="0.35">
      <c r="I20115" s="63"/>
      <c r="J20115" s="63"/>
    </row>
    <row r="20116" spans="9:10" x14ac:dyDescent="0.35">
      <c r="I20116" s="63"/>
      <c r="J20116" s="63"/>
    </row>
    <row r="20117" spans="9:10" x14ac:dyDescent="0.35">
      <c r="I20117" s="63"/>
      <c r="J20117" s="63"/>
    </row>
    <row r="20118" spans="9:10" x14ac:dyDescent="0.35">
      <c r="I20118" s="63"/>
      <c r="J20118" s="63"/>
    </row>
    <row r="20119" spans="9:10" x14ac:dyDescent="0.35">
      <c r="I20119" s="63"/>
      <c r="J20119" s="63"/>
    </row>
    <row r="20120" spans="9:10" x14ac:dyDescent="0.35">
      <c r="I20120" s="63"/>
      <c r="J20120" s="63"/>
    </row>
    <row r="20121" spans="9:10" x14ac:dyDescent="0.35">
      <c r="I20121" s="63"/>
      <c r="J20121" s="63"/>
    </row>
    <row r="20122" spans="9:10" x14ac:dyDescent="0.35">
      <c r="I20122" s="63"/>
      <c r="J20122" s="63"/>
    </row>
    <row r="20123" spans="9:10" x14ac:dyDescent="0.35">
      <c r="I20123" s="63"/>
      <c r="J20123" s="63"/>
    </row>
    <row r="20124" spans="9:10" x14ac:dyDescent="0.35">
      <c r="I20124" s="63"/>
      <c r="J20124" s="63"/>
    </row>
    <row r="20125" spans="9:10" x14ac:dyDescent="0.35">
      <c r="I20125" s="63"/>
      <c r="J20125" s="63"/>
    </row>
    <row r="20126" spans="9:10" x14ac:dyDescent="0.35">
      <c r="I20126" s="63"/>
      <c r="J20126" s="63"/>
    </row>
    <row r="20127" spans="9:10" x14ac:dyDescent="0.35">
      <c r="I20127" s="63"/>
      <c r="J20127" s="63"/>
    </row>
    <row r="20128" spans="9:10" x14ac:dyDescent="0.35">
      <c r="I20128" s="63"/>
      <c r="J20128" s="63"/>
    </row>
    <row r="20129" spans="9:10" x14ac:dyDescent="0.35">
      <c r="I20129" s="63"/>
      <c r="J20129" s="63"/>
    </row>
    <row r="20130" spans="9:10" x14ac:dyDescent="0.35">
      <c r="I20130" s="63"/>
      <c r="J20130" s="63"/>
    </row>
    <row r="20131" spans="9:10" x14ac:dyDescent="0.35">
      <c r="I20131" s="63"/>
      <c r="J20131" s="63"/>
    </row>
    <row r="20132" spans="9:10" x14ac:dyDescent="0.35">
      <c r="I20132" s="63"/>
      <c r="J20132" s="63"/>
    </row>
    <row r="20133" spans="9:10" x14ac:dyDescent="0.35">
      <c r="I20133" s="63"/>
      <c r="J20133" s="63"/>
    </row>
    <row r="20134" spans="9:10" x14ac:dyDescent="0.35">
      <c r="I20134" s="63"/>
      <c r="J20134" s="63"/>
    </row>
    <row r="20135" spans="9:10" x14ac:dyDescent="0.35">
      <c r="I20135" s="63"/>
      <c r="J20135" s="63"/>
    </row>
    <row r="20136" spans="9:10" x14ac:dyDescent="0.35">
      <c r="I20136" s="63"/>
      <c r="J20136" s="63"/>
    </row>
    <row r="20137" spans="9:10" x14ac:dyDescent="0.35">
      <c r="I20137" s="63"/>
      <c r="J20137" s="63"/>
    </row>
    <row r="20138" spans="9:10" x14ac:dyDescent="0.35">
      <c r="I20138" s="63"/>
      <c r="J20138" s="63"/>
    </row>
    <row r="20139" spans="9:10" x14ac:dyDescent="0.35">
      <c r="I20139" s="63"/>
      <c r="J20139" s="63"/>
    </row>
    <row r="20140" spans="9:10" x14ac:dyDescent="0.35">
      <c r="I20140" s="63"/>
      <c r="J20140" s="63"/>
    </row>
    <row r="20141" spans="9:10" x14ac:dyDescent="0.35">
      <c r="I20141" s="63"/>
      <c r="J20141" s="63"/>
    </row>
    <row r="20142" spans="9:10" x14ac:dyDescent="0.35">
      <c r="I20142" s="63"/>
      <c r="J20142" s="63"/>
    </row>
    <row r="20143" spans="9:10" x14ac:dyDescent="0.35">
      <c r="I20143" s="63"/>
      <c r="J20143" s="63"/>
    </row>
    <row r="20144" spans="9:10" x14ac:dyDescent="0.35">
      <c r="I20144" s="63"/>
      <c r="J20144" s="63"/>
    </row>
    <row r="20145" spans="9:10" x14ac:dyDescent="0.35">
      <c r="I20145" s="63"/>
      <c r="J20145" s="63"/>
    </row>
    <row r="20146" spans="9:10" x14ac:dyDescent="0.35">
      <c r="I20146" s="63"/>
      <c r="J20146" s="63"/>
    </row>
    <row r="20147" spans="9:10" x14ac:dyDescent="0.35">
      <c r="I20147" s="63"/>
      <c r="J20147" s="63"/>
    </row>
    <row r="20148" spans="9:10" x14ac:dyDescent="0.35">
      <c r="I20148" s="63"/>
      <c r="J20148" s="63"/>
    </row>
    <row r="20149" spans="9:10" x14ac:dyDescent="0.35">
      <c r="I20149" s="63"/>
      <c r="J20149" s="63"/>
    </row>
    <row r="20150" spans="9:10" x14ac:dyDescent="0.35">
      <c r="I20150" s="63"/>
      <c r="J20150" s="63"/>
    </row>
    <row r="20151" spans="9:10" x14ac:dyDescent="0.35">
      <c r="I20151" s="63"/>
      <c r="J20151" s="63"/>
    </row>
    <row r="20152" spans="9:10" x14ac:dyDescent="0.35">
      <c r="I20152" s="63"/>
      <c r="J20152" s="63"/>
    </row>
    <row r="20153" spans="9:10" x14ac:dyDescent="0.35">
      <c r="I20153" s="63"/>
      <c r="J20153" s="63"/>
    </row>
    <row r="20154" spans="9:10" x14ac:dyDescent="0.35">
      <c r="I20154" s="63"/>
      <c r="J20154" s="63"/>
    </row>
    <row r="20155" spans="9:10" x14ac:dyDescent="0.35">
      <c r="I20155" s="63"/>
      <c r="J20155" s="63"/>
    </row>
    <row r="20156" spans="9:10" x14ac:dyDescent="0.35">
      <c r="I20156" s="63"/>
      <c r="J20156" s="63"/>
    </row>
    <row r="20157" spans="9:10" x14ac:dyDescent="0.35">
      <c r="I20157" s="63"/>
      <c r="J20157" s="63"/>
    </row>
    <row r="20158" spans="9:10" x14ac:dyDescent="0.35">
      <c r="I20158" s="63"/>
      <c r="J20158" s="63"/>
    </row>
    <row r="20159" spans="9:10" x14ac:dyDescent="0.35">
      <c r="I20159" s="63"/>
      <c r="J20159" s="63"/>
    </row>
    <row r="20160" spans="9:10" x14ac:dyDescent="0.35">
      <c r="I20160" s="63"/>
      <c r="J20160" s="63"/>
    </row>
    <row r="20161" spans="9:10" x14ac:dyDescent="0.35">
      <c r="I20161" s="63"/>
      <c r="J20161" s="63"/>
    </row>
    <row r="20162" spans="9:10" x14ac:dyDescent="0.35">
      <c r="I20162" s="63"/>
      <c r="J20162" s="63"/>
    </row>
    <row r="20163" spans="9:10" x14ac:dyDescent="0.35">
      <c r="I20163" s="63"/>
      <c r="J20163" s="63"/>
    </row>
    <row r="20164" spans="9:10" x14ac:dyDescent="0.35">
      <c r="I20164" s="63"/>
      <c r="J20164" s="63"/>
    </row>
    <row r="20165" spans="9:10" x14ac:dyDescent="0.35">
      <c r="I20165" s="63"/>
      <c r="J20165" s="63"/>
    </row>
    <row r="20166" spans="9:10" x14ac:dyDescent="0.35">
      <c r="I20166" s="63"/>
      <c r="J20166" s="63"/>
    </row>
    <row r="20167" spans="9:10" x14ac:dyDescent="0.35">
      <c r="I20167" s="63"/>
      <c r="J20167" s="63"/>
    </row>
    <row r="20168" spans="9:10" x14ac:dyDescent="0.35">
      <c r="I20168" s="63"/>
      <c r="J20168" s="63"/>
    </row>
    <row r="20169" spans="9:10" x14ac:dyDescent="0.35">
      <c r="I20169" s="63"/>
      <c r="J20169" s="63"/>
    </row>
    <row r="20170" spans="9:10" x14ac:dyDescent="0.35">
      <c r="I20170" s="63"/>
      <c r="J20170" s="63"/>
    </row>
    <row r="20171" spans="9:10" x14ac:dyDescent="0.35">
      <c r="I20171" s="63"/>
      <c r="J20171" s="63"/>
    </row>
    <row r="20172" spans="9:10" x14ac:dyDescent="0.35">
      <c r="I20172" s="63"/>
      <c r="J20172" s="63"/>
    </row>
    <row r="20173" spans="9:10" x14ac:dyDescent="0.35">
      <c r="I20173" s="63"/>
      <c r="J20173" s="63"/>
    </row>
    <row r="20174" spans="9:10" x14ac:dyDescent="0.35">
      <c r="I20174" s="63"/>
      <c r="J20174" s="63"/>
    </row>
    <row r="20175" spans="9:10" x14ac:dyDescent="0.35">
      <c r="I20175" s="63"/>
      <c r="J20175" s="63"/>
    </row>
    <row r="20176" spans="9:10" x14ac:dyDescent="0.35">
      <c r="I20176" s="63"/>
      <c r="J20176" s="63"/>
    </row>
    <row r="20177" spans="9:10" x14ac:dyDescent="0.35">
      <c r="I20177" s="63"/>
      <c r="J20177" s="63"/>
    </row>
    <row r="20178" spans="9:10" x14ac:dyDescent="0.35">
      <c r="I20178" s="63"/>
      <c r="J20178" s="63"/>
    </row>
    <row r="20179" spans="9:10" x14ac:dyDescent="0.35">
      <c r="I20179" s="63"/>
      <c r="J20179" s="63"/>
    </row>
    <row r="20180" spans="9:10" x14ac:dyDescent="0.35">
      <c r="I20180" s="63"/>
      <c r="J20180" s="63"/>
    </row>
    <row r="20181" spans="9:10" x14ac:dyDescent="0.35">
      <c r="I20181" s="63"/>
      <c r="J20181" s="63"/>
    </row>
    <row r="20182" spans="9:10" x14ac:dyDescent="0.35">
      <c r="I20182" s="63"/>
      <c r="J20182" s="63"/>
    </row>
    <row r="20183" spans="9:10" x14ac:dyDescent="0.35">
      <c r="I20183" s="63"/>
      <c r="J20183" s="63"/>
    </row>
    <row r="20184" spans="9:10" x14ac:dyDescent="0.35">
      <c r="I20184" s="63"/>
      <c r="J20184" s="63"/>
    </row>
    <row r="20185" spans="9:10" x14ac:dyDescent="0.35">
      <c r="I20185" s="63"/>
      <c r="J20185" s="63"/>
    </row>
    <row r="20186" spans="9:10" x14ac:dyDescent="0.35">
      <c r="I20186" s="63"/>
      <c r="J20186" s="63"/>
    </row>
    <row r="20187" spans="9:10" x14ac:dyDescent="0.35">
      <c r="I20187" s="63"/>
      <c r="J20187" s="63"/>
    </row>
    <row r="20188" spans="9:10" x14ac:dyDescent="0.35">
      <c r="I20188" s="63"/>
      <c r="J20188" s="63"/>
    </row>
    <row r="20189" spans="9:10" x14ac:dyDescent="0.35">
      <c r="I20189" s="63"/>
      <c r="J20189" s="63"/>
    </row>
    <row r="20190" spans="9:10" x14ac:dyDescent="0.35">
      <c r="I20190" s="63"/>
      <c r="J20190" s="63"/>
    </row>
    <row r="20191" spans="9:10" x14ac:dyDescent="0.35">
      <c r="I20191" s="63"/>
      <c r="J20191" s="63"/>
    </row>
    <row r="20192" spans="9:10" x14ac:dyDescent="0.35">
      <c r="I20192" s="63"/>
      <c r="J20192" s="63"/>
    </row>
    <row r="20193" spans="9:10" x14ac:dyDescent="0.35">
      <c r="I20193" s="63"/>
      <c r="J20193" s="63"/>
    </row>
    <row r="20194" spans="9:10" x14ac:dyDescent="0.35">
      <c r="I20194" s="63"/>
      <c r="J20194" s="63"/>
    </row>
    <row r="20195" spans="9:10" x14ac:dyDescent="0.35">
      <c r="I20195" s="63"/>
      <c r="J20195" s="63"/>
    </row>
    <row r="20196" spans="9:10" x14ac:dyDescent="0.35">
      <c r="I20196" s="63"/>
      <c r="J20196" s="63"/>
    </row>
    <row r="20197" spans="9:10" x14ac:dyDescent="0.35">
      <c r="I20197" s="63"/>
      <c r="J20197" s="63"/>
    </row>
    <row r="20198" spans="9:10" x14ac:dyDescent="0.35">
      <c r="I20198" s="63"/>
      <c r="J20198" s="63"/>
    </row>
    <row r="20199" spans="9:10" x14ac:dyDescent="0.35">
      <c r="I20199" s="63"/>
      <c r="J20199" s="63"/>
    </row>
    <row r="20200" spans="9:10" x14ac:dyDescent="0.35">
      <c r="I20200" s="63"/>
      <c r="J20200" s="63"/>
    </row>
    <row r="20201" spans="9:10" x14ac:dyDescent="0.35">
      <c r="I20201" s="63"/>
      <c r="J20201" s="63"/>
    </row>
    <row r="20202" spans="9:10" x14ac:dyDescent="0.35">
      <c r="I20202" s="63"/>
      <c r="J20202" s="63"/>
    </row>
    <row r="20203" spans="9:10" x14ac:dyDescent="0.35">
      <c r="I20203" s="63"/>
      <c r="J20203" s="63"/>
    </row>
    <row r="20204" spans="9:10" x14ac:dyDescent="0.35">
      <c r="I20204" s="63"/>
      <c r="J20204" s="63"/>
    </row>
    <row r="20205" spans="9:10" x14ac:dyDescent="0.35">
      <c r="I20205" s="63"/>
      <c r="J20205" s="63"/>
    </row>
    <row r="20206" spans="9:10" x14ac:dyDescent="0.35">
      <c r="I20206" s="63"/>
      <c r="J20206" s="63"/>
    </row>
    <row r="20207" spans="9:10" x14ac:dyDescent="0.35">
      <c r="I20207" s="63"/>
      <c r="J20207" s="63"/>
    </row>
    <row r="20208" spans="9:10" x14ac:dyDescent="0.35">
      <c r="I20208" s="63"/>
      <c r="J20208" s="63"/>
    </row>
    <row r="20209" spans="9:10" x14ac:dyDescent="0.35">
      <c r="I20209" s="63"/>
      <c r="J20209" s="63"/>
    </row>
    <row r="20210" spans="9:10" x14ac:dyDescent="0.35">
      <c r="I20210" s="63"/>
      <c r="J20210" s="63"/>
    </row>
    <row r="20211" spans="9:10" x14ac:dyDescent="0.35">
      <c r="I20211" s="63"/>
      <c r="J20211" s="63"/>
    </row>
    <row r="20212" spans="9:10" x14ac:dyDescent="0.35">
      <c r="I20212" s="63"/>
      <c r="J20212" s="63"/>
    </row>
    <row r="20213" spans="9:10" x14ac:dyDescent="0.35">
      <c r="I20213" s="63"/>
      <c r="J20213" s="63"/>
    </row>
    <row r="20214" spans="9:10" x14ac:dyDescent="0.35">
      <c r="I20214" s="63"/>
      <c r="J20214" s="63"/>
    </row>
    <row r="20215" spans="9:10" x14ac:dyDescent="0.35">
      <c r="I20215" s="63"/>
      <c r="J20215" s="63"/>
    </row>
    <row r="20216" spans="9:10" x14ac:dyDescent="0.35">
      <c r="I20216" s="63"/>
      <c r="J20216" s="63"/>
    </row>
    <row r="20217" spans="9:10" x14ac:dyDescent="0.35">
      <c r="I20217" s="63"/>
      <c r="J20217" s="63"/>
    </row>
    <row r="20218" spans="9:10" x14ac:dyDescent="0.35">
      <c r="I20218" s="63"/>
      <c r="J20218" s="63"/>
    </row>
    <row r="20219" spans="9:10" x14ac:dyDescent="0.35">
      <c r="I20219" s="63"/>
      <c r="J20219" s="63"/>
    </row>
    <row r="20220" spans="9:10" x14ac:dyDescent="0.35">
      <c r="I20220" s="63"/>
      <c r="J20220" s="63"/>
    </row>
    <row r="20221" spans="9:10" x14ac:dyDescent="0.35">
      <c r="I20221" s="63"/>
      <c r="J20221" s="63"/>
    </row>
    <row r="20222" spans="9:10" x14ac:dyDescent="0.35">
      <c r="I20222" s="63"/>
      <c r="J20222" s="63"/>
    </row>
    <row r="20223" spans="9:10" x14ac:dyDescent="0.35">
      <c r="I20223" s="63"/>
      <c r="J20223" s="63"/>
    </row>
    <row r="20224" spans="9:10" x14ac:dyDescent="0.35">
      <c r="I20224" s="63"/>
      <c r="J20224" s="63"/>
    </row>
    <row r="20225" spans="9:10" x14ac:dyDescent="0.35">
      <c r="I20225" s="63"/>
      <c r="J20225" s="63"/>
    </row>
    <row r="20226" spans="9:10" x14ac:dyDescent="0.35">
      <c r="I20226" s="63"/>
      <c r="J20226" s="63"/>
    </row>
    <row r="20227" spans="9:10" x14ac:dyDescent="0.35">
      <c r="I20227" s="63"/>
      <c r="J20227" s="63"/>
    </row>
    <row r="20228" spans="9:10" x14ac:dyDescent="0.35">
      <c r="I20228" s="63"/>
      <c r="J20228" s="63"/>
    </row>
    <row r="20229" spans="9:10" x14ac:dyDescent="0.35">
      <c r="I20229" s="63"/>
      <c r="J20229" s="63"/>
    </row>
    <row r="20230" spans="9:10" x14ac:dyDescent="0.35">
      <c r="I20230" s="63"/>
      <c r="J20230" s="63"/>
    </row>
    <row r="20231" spans="9:10" x14ac:dyDescent="0.35">
      <c r="I20231" s="63"/>
      <c r="J20231" s="63"/>
    </row>
    <row r="20232" spans="9:10" x14ac:dyDescent="0.35">
      <c r="I20232" s="63"/>
      <c r="J20232" s="63"/>
    </row>
    <row r="20233" spans="9:10" x14ac:dyDescent="0.35">
      <c r="I20233" s="63"/>
      <c r="J20233" s="63"/>
    </row>
    <row r="20234" spans="9:10" x14ac:dyDescent="0.35">
      <c r="I20234" s="63"/>
      <c r="J20234" s="63"/>
    </row>
    <row r="20235" spans="9:10" x14ac:dyDescent="0.35">
      <c r="I20235" s="63"/>
      <c r="J20235" s="63"/>
    </row>
    <row r="20236" spans="9:10" x14ac:dyDescent="0.35">
      <c r="I20236" s="63"/>
      <c r="J20236" s="63"/>
    </row>
    <row r="20237" spans="9:10" x14ac:dyDescent="0.35">
      <c r="I20237" s="63"/>
      <c r="J20237" s="63"/>
    </row>
    <row r="20238" spans="9:10" x14ac:dyDescent="0.35">
      <c r="I20238" s="63"/>
      <c r="J20238" s="63"/>
    </row>
    <row r="20239" spans="9:10" x14ac:dyDescent="0.35">
      <c r="I20239" s="63"/>
      <c r="J20239" s="63"/>
    </row>
    <row r="20240" spans="9:10" x14ac:dyDescent="0.35">
      <c r="I20240" s="63"/>
      <c r="J20240" s="63"/>
    </row>
    <row r="20241" spans="9:10" x14ac:dyDescent="0.35">
      <c r="I20241" s="63"/>
      <c r="J20241" s="63"/>
    </row>
    <row r="20242" spans="9:10" x14ac:dyDescent="0.35">
      <c r="I20242" s="63"/>
      <c r="J20242" s="63"/>
    </row>
    <row r="20243" spans="9:10" x14ac:dyDescent="0.35">
      <c r="I20243" s="63"/>
      <c r="J20243" s="63"/>
    </row>
    <row r="20244" spans="9:10" x14ac:dyDescent="0.35">
      <c r="I20244" s="63"/>
      <c r="J20244" s="63"/>
    </row>
    <row r="20245" spans="9:10" x14ac:dyDescent="0.35">
      <c r="I20245" s="63"/>
      <c r="J20245" s="63"/>
    </row>
    <row r="20246" spans="9:10" x14ac:dyDescent="0.35">
      <c r="I20246" s="63"/>
      <c r="J20246" s="63"/>
    </row>
    <row r="20247" spans="9:10" x14ac:dyDescent="0.35">
      <c r="I20247" s="63"/>
      <c r="J20247" s="63"/>
    </row>
    <row r="20248" spans="9:10" x14ac:dyDescent="0.35">
      <c r="I20248" s="63"/>
      <c r="J20248" s="63"/>
    </row>
    <row r="20249" spans="9:10" x14ac:dyDescent="0.35">
      <c r="I20249" s="63"/>
      <c r="J20249" s="63"/>
    </row>
    <row r="20250" spans="9:10" x14ac:dyDescent="0.35">
      <c r="I20250" s="63"/>
      <c r="J20250" s="63"/>
    </row>
    <row r="20251" spans="9:10" x14ac:dyDescent="0.35">
      <c r="I20251" s="63"/>
      <c r="J20251" s="63"/>
    </row>
    <row r="20252" spans="9:10" x14ac:dyDescent="0.35">
      <c r="I20252" s="63"/>
      <c r="J20252" s="63"/>
    </row>
    <row r="20253" spans="9:10" x14ac:dyDescent="0.35">
      <c r="I20253" s="63"/>
      <c r="J20253" s="63"/>
    </row>
    <row r="20254" spans="9:10" x14ac:dyDescent="0.35">
      <c r="I20254" s="63"/>
      <c r="J20254" s="63"/>
    </row>
    <row r="20255" spans="9:10" x14ac:dyDescent="0.35">
      <c r="I20255" s="63"/>
      <c r="J20255" s="63"/>
    </row>
    <row r="20256" spans="9:10" x14ac:dyDescent="0.35">
      <c r="I20256" s="63"/>
      <c r="J20256" s="63"/>
    </row>
    <row r="20257" spans="9:10" x14ac:dyDescent="0.35">
      <c r="I20257" s="63"/>
      <c r="J20257" s="63"/>
    </row>
    <row r="20258" spans="9:10" x14ac:dyDescent="0.35">
      <c r="I20258" s="63"/>
      <c r="J20258" s="63"/>
    </row>
    <row r="20259" spans="9:10" x14ac:dyDescent="0.35">
      <c r="I20259" s="63"/>
      <c r="J20259" s="63"/>
    </row>
    <row r="20260" spans="9:10" x14ac:dyDescent="0.35">
      <c r="I20260" s="63"/>
      <c r="J20260" s="63"/>
    </row>
    <row r="20261" spans="9:10" x14ac:dyDescent="0.35">
      <c r="I20261" s="63"/>
      <c r="J20261" s="63"/>
    </row>
    <row r="20262" spans="9:10" x14ac:dyDescent="0.35">
      <c r="I20262" s="63"/>
      <c r="J20262" s="63"/>
    </row>
    <row r="20263" spans="9:10" x14ac:dyDescent="0.35">
      <c r="I20263" s="63"/>
      <c r="J20263" s="63"/>
    </row>
    <row r="20264" spans="9:10" x14ac:dyDescent="0.35">
      <c r="I20264" s="63"/>
      <c r="J20264" s="63"/>
    </row>
    <row r="20265" spans="9:10" x14ac:dyDescent="0.35">
      <c r="I20265" s="63"/>
      <c r="J20265" s="63"/>
    </row>
    <row r="20266" spans="9:10" x14ac:dyDescent="0.35">
      <c r="I20266" s="63"/>
      <c r="J20266" s="63"/>
    </row>
    <row r="20267" spans="9:10" x14ac:dyDescent="0.35">
      <c r="I20267" s="63"/>
      <c r="J20267" s="63"/>
    </row>
    <row r="20268" spans="9:10" x14ac:dyDescent="0.35">
      <c r="I20268" s="63"/>
      <c r="J20268" s="63"/>
    </row>
    <row r="20269" spans="9:10" x14ac:dyDescent="0.35">
      <c r="I20269" s="63"/>
      <c r="J20269" s="63"/>
    </row>
    <row r="20270" spans="9:10" x14ac:dyDescent="0.35">
      <c r="I20270" s="63"/>
      <c r="J20270" s="63"/>
    </row>
    <row r="20271" spans="9:10" x14ac:dyDescent="0.35">
      <c r="I20271" s="63"/>
      <c r="J20271" s="63"/>
    </row>
    <row r="20272" spans="9:10" x14ac:dyDescent="0.35">
      <c r="I20272" s="63"/>
      <c r="J20272" s="63"/>
    </row>
    <row r="20273" spans="9:10" x14ac:dyDescent="0.35">
      <c r="I20273" s="63"/>
      <c r="J20273" s="63"/>
    </row>
    <row r="20274" spans="9:10" x14ac:dyDescent="0.35">
      <c r="I20274" s="63"/>
      <c r="J20274" s="63"/>
    </row>
    <row r="20275" spans="9:10" x14ac:dyDescent="0.35">
      <c r="I20275" s="63"/>
      <c r="J20275" s="63"/>
    </row>
    <row r="20276" spans="9:10" x14ac:dyDescent="0.35">
      <c r="I20276" s="63"/>
      <c r="J20276" s="63"/>
    </row>
    <row r="20277" spans="9:10" x14ac:dyDescent="0.35">
      <c r="I20277" s="63"/>
      <c r="J20277" s="63"/>
    </row>
    <row r="20278" spans="9:10" x14ac:dyDescent="0.35">
      <c r="I20278" s="63"/>
      <c r="J20278" s="63"/>
    </row>
    <row r="20279" spans="9:10" x14ac:dyDescent="0.35">
      <c r="I20279" s="63"/>
      <c r="J20279" s="63"/>
    </row>
    <row r="20280" spans="9:10" x14ac:dyDescent="0.35">
      <c r="I20280" s="63"/>
      <c r="J20280" s="63"/>
    </row>
    <row r="20281" spans="9:10" x14ac:dyDescent="0.35">
      <c r="I20281" s="63"/>
      <c r="J20281" s="63"/>
    </row>
    <row r="20282" spans="9:10" x14ac:dyDescent="0.35">
      <c r="I20282" s="63"/>
      <c r="J20282" s="63"/>
    </row>
    <row r="20283" spans="9:10" x14ac:dyDescent="0.35">
      <c r="I20283" s="63"/>
      <c r="J20283" s="63"/>
    </row>
    <row r="20284" spans="9:10" x14ac:dyDescent="0.35">
      <c r="I20284" s="63"/>
      <c r="J20284" s="63"/>
    </row>
    <row r="20285" spans="9:10" x14ac:dyDescent="0.35">
      <c r="I20285" s="63"/>
      <c r="J20285" s="63"/>
    </row>
    <row r="20286" spans="9:10" x14ac:dyDescent="0.35">
      <c r="I20286" s="63"/>
      <c r="J20286" s="63"/>
    </row>
    <row r="20287" spans="9:10" x14ac:dyDescent="0.35">
      <c r="I20287" s="63"/>
      <c r="J20287" s="63"/>
    </row>
    <row r="20288" spans="9:10" x14ac:dyDescent="0.35">
      <c r="I20288" s="63"/>
      <c r="J20288" s="63"/>
    </row>
    <row r="20289" spans="9:10" x14ac:dyDescent="0.35">
      <c r="I20289" s="63"/>
      <c r="J20289" s="63"/>
    </row>
    <row r="20290" spans="9:10" x14ac:dyDescent="0.35">
      <c r="I20290" s="63"/>
      <c r="J20290" s="63"/>
    </row>
    <row r="20291" spans="9:10" x14ac:dyDescent="0.35">
      <c r="I20291" s="63"/>
      <c r="J20291" s="63"/>
    </row>
    <row r="20292" spans="9:10" x14ac:dyDescent="0.35">
      <c r="I20292" s="63"/>
      <c r="J20292" s="63"/>
    </row>
    <row r="20293" spans="9:10" x14ac:dyDescent="0.35">
      <c r="I20293" s="63"/>
      <c r="J20293" s="63"/>
    </row>
    <row r="20294" spans="9:10" x14ac:dyDescent="0.35">
      <c r="I20294" s="63"/>
      <c r="J20294" s="63"/>
    </row>
    <row r="20295" spans="9:10" x14ac:dyDescent="0.35">
      <c r="I20295" s="63"/>
      <c r="J20295" s="63"/>
    </row>
    <row r="20296" spans="9:10" x14ac:dyDescent="0.35">
      <c r="I20296" s="63"/>
      <c r="J20296" s="63"/>
    </row>
    <row r="20297" spans="9:10" x14ac:dyDescent="0.35">
      <c r="I20297" s="63"/>
      <c r="J20297" s="63"/>
    </row>
    <row r="20298" spans="9:10" x14ac:dyDescent="0.35">
      <c r="I20298" s="63"/>
      <c r="J20298" s="63"/>
    </row>
    <row r="20299" spans="9:10" x14ac:dyDescent="0.35">
      <c r="I20299" s="63"/>
      <c r="J20299" s="63"/>
    </row>
    <row r="20300" spans="9:10" x14ac:dyDescent="0.35">
      <c r="I20300" s="63"/>
      <c r="J20300" s="63"/>
    </row>
    <row r="20301" spans="9:10" x14ac:dyDescent="0.35">
      <c r="I20301" s="63"/>
      <c r="J20301" s="63"/>
    </row>
    <row r="20302" spans="9:10" x14ac:dyDescent="0.35">
      <c r="I20302" s="63"/>
      <c r="J20302" s="63"/>
    </row>
    <row r="20303" spans="9:10" x14ac:dyDescent="0.35">
      <c r="I20303" s="63"/>
      <c r="J20303" s="63"/>
    </row>
    <row r="20304" spans="9:10" x14ac:dyDescent="0.35">
      <c r="I20304" s="63"/>
      <c r="J20304" s="63"/>
    </row>
    <row r="20305" spans="9:10" x14ac:dyDescent="0.35">
      <c r="I20305" s="63"/>
      <c r="J20305" s="63"/>
    </row>
    <row r="20306" spans="9:10" x14ac:dyDescent="0.35">
      <c r="I20306" s="63"/>
      <c r="J20306" s="63"/>
    </row>
    <row r="20307" spans="9:10" x14ac:dyDescent="0.35">
      <c r="I20307" s="63"/>
      <c r="J20307" s="63"/>
    </row>
    <row r="20308" spans="9:10" x14ac:dyDescent="0.35">
      <c r="I20308" s="63"/>
      <c r="J20308" s="63"/>
    </row>
    <row r="20309" spans="9:10" x14ac:dyDescent="0.35">
      <c r="I20309" s="63"/>
      <c r="J20309" s="63"/>
    </row>
    <row r="20310" spans="9:10" x14ac:dyDescent="0.35">
      <c r="I20310" s="63"/>
      <c r="J20310" s="63"/>
    </row>
    <row r="20311" spans="9:10" x14ac:dyDescent="0.35">
      <c r="I20311" s="63"/>
      <c r="J20311" s="63"/>
    </row>
    <row r="20312" spans="9:10" x14ac:dyDescent="0.35">
      <c r="I20312" s="63"/>
      <c r="J20312" s="63"/>
    </row>
    <row r="20313" spans="9:10" x14ac:dyDescent="0.35">
      <c r="I20313" s="63"/>
      <c r="J20313" s="63"/>
    </row>
    <row r="20314" spans="9:10" x14ac:dyDescent="0.35">
      <c r="I20314" s="63"/>
      <c r="J20314" s="63"/>
    </row>
    <row r="20315" spans="9:10" x14ac:dyDescent="0.35">
      <c r="I20315" s="63"/>
      <c r="J20315" s="63"/>
    </row>
    <row r="20316" spans="9:10" x14ac:dyDescent="0.35">
      <c r="I20316" s="63"/>
      <c r="J20316" s="63"/>
    </row>
    <row r="20317" spans="9:10" x14ac:dyDescent="0.35">
      <c r="I20317" s="63"/>
      <c r="J20317" s="63"/>
    </row>
    <row r="20318" spans="9:10" x14ac:dyDescent="0.35">
      <c r="I20318" s="63"/>
      <c r="J20318" s="63"/>
    </row>
    <row r="20319" spans="9:10" x14ac:dyDescent="0.35">
      <c r="I20319" s="63"/>
      <c r="J20319" s="63"/>
    </row>
    <row r="20320" spans="9:10" x14ac:dyDescent="0.35">
      <c r="I20320" s="63"/>
      <c r="J20320" s="63"/>
    </row>
    <row r="20321" spans="9:10" x14ac:dyDescent="0.35">
      <c r="I20321" s="63"/>
      <c r="J20321" s="63"/>
    </row>
    <row r="20322" spans="9:10" x14ac:dyDescent="0.35">
      <c r="I20322" s="63"/>
      <c r="J20322" s="63"/>
    </row>
    <row r="20323" spans="9:10" x14ac:dyDescent="0.35">
      <c r="I20323" s="63"/>
      <c r="J20323" s="63"/>
    </row>
    <row r="20324" spans="9:10" x14ac:dyDescent="0.35">
      <c r="I20324" s="63"/>
      <c r="J20324" s="63"/>
    </row>
    <row r="20325" spans="9:10" x14ac:dyDescent="0.35">
      <c r="I20325" s="63"/>
      <c r="J20325" s="63"/>
    </row>
    <row r="20326" spans="9:10" x14ac:dyDescent="0.35">
      <c r="I20326" s="63"/>
      <c r="J20326" s="63"/>
    </row>
    <row r="20327" spans="9:10" x14ac:dyDescent="0.35">
      <c r="I20327" s="63"/>
      <c r="J20327" s="63"/>
    </row>
    <row r="20328" spans="9:10" x14ac:dyDescent="0.35">
      <c r="I20328" s="63"/>
      <c r="J20328" s="63"/>
    </row>
    <row r="20329" spans="9:10" x14ac:dyDescent="0.35">
      <c r="I20329" s="63"/>
      <c r="J20329" s="63"/>
    </row>
    <row r="20330" spans="9:10" x14ac:dyDescent="0.35">
      <c r="I20330" s="63"/>
      <c r="J20330" s="63"/>
    </row>
    <row r="20331" spans="9:10" x14ac:dyDescent="0.35">
      <c r="I20331" s="63"/>
      <c r="J20331" s="63"/>
    </row>
    <row r="20332" spans="9:10" x14ac:dyDescent="0.35">
      <c r="I20332" s="63"/>
      <c r="J20332" s="63"/>
    </row>
    <row r="20333" spans="9:10" x14ac:dyDescent="0.35">
      <c r="I20333" s="63"/>
      <c r="J20333" s="63"/>
    </row>
    <row r="20334" spans="9:10" x14ac:dyDescent="0.35">
      <c r="I20334" s="63"/>
      <c r="J20334" s="63"/>
    </row>
    <row r="20335" spans="9:10" x14ac:dyDescent="0.35">
      <c r="I20335" s="63"/>
      <c r="J20335" s="63"/>
    </row>
    <row r="20336" spans="9:10" x14ac:dyDescent="0.35">
      <c r="I20336" s="63"/>
      <c r="J20336" s="63"/>
    </row>
    <row r="20337" spans="9:10" x14ac:dyDescent="0.35">
      <c r="I20337" s="63"/>
      <c r="J20337" s="63"/>
    </row>
    <row r="20338" spans="9:10" x14ac:dyDescent="0.35">
      <c r="I20338" s="63"/>
      <c r="J20338" s="63"/>
    </row>
    <row r="20339" spans="9:10" x14ac:dyDescent="0.35">
      <c r="I20339" s="63"/>
      <c r="J20339" s="63"/>
    </row>
    <row r="20340" spans="9:10" x14ac:dyDescent="0.35">
      <c r="I20340" s="63"/>
      <c r="J20340" s="63"/>
    </row>
    <row r="20341" spans="9:10" x14ac:dyDescent="0.35">
      <c r="I20341" s="63"/>
      <c r="J20341" s="63"/>
    </row>
    <row r="20342" spans="9:10" x14ac:dyDescent="0.35">
      <c r="I20342" s="63"/>
      <c r="J20342" s="63"/>
    </row>
    <row r="20343" spans="9:10" x14ac:dyDescent="0.35">
      <c r="I20343" s="63"/>
      <c r="J20343" s="63"/>
    </row>
    <row r="20344" spans="9:10" x14ac:dyDescent="0.35">
      <c r="I20344" s="63"/>
      <c r="J20344" s="63"/>
    </row>
    <row r="20345" spans="9:10" x14ac:dyDescent="0.35">
      <c r="I20345" s="63"/>
      <c r="J20345" s="63"/>
    </row>
    <row r="20346" spans="9:10" x14ac:dyDescent="0.35">
      <c r="I20346" s="63"/>
      <c r="J20346" s="63"/>
    </row>
    <row r="20347" spans="9:10" x14ac:dyDescent="0.35">
      <c r="I20347" s="63"/>
      <c r="J20347" s="63"/>
    </row>
    <row r="20348" spans="9:10" x14ac:dyDescent="0.35">
      <c r="I20348" s="63"/>
      <c r="J20348" s="63"/>
    </row>
    <row r="20349" spans="9:10" x14ac:dyDescent="0.35">
      <c r="I20349" s="63"/>
      <c r="J20349" s="63"/>
    </row>
    <row r="20350" spans="9:10" x14ac:dyDescent="0.35">
      <c r="I20350" s="63"/>
      <c r="J20350" s="63"/>
    </row>
    <row r="20351" spans="9:10" x14ac:dyDescent="0.35">
      <c r="I20351" s="63"/>
      <c r="J20351" s="63"/>
    </row>
    <row r="20352" spans="9:10" x14ac:dyDescent="0.35">
      <c r="I20352" s="63"/>
      <c r="J20352" s="63"/>
    </row>
    <row r="20353" spans="9:10" x14ac:dyDescent="0.35">
      <c r="I20353" s="63"/>
      <c r="J20353" s="63"/>
    </row>
    <row r="20354" spans="9:10" x14ac:dyDescent="0.35">
      <c r="I20354" s="63"/>
      <c r="J20354" s="63"/>
    </row>
    <row r="20355" spans="9:10" x14ac:dyDescent="0.35">
      <c r="I20355" s="63"/>
      <c r="J20355" s="63"/>
    </row>
    <row r="20356" spans="9:10" x14ac:dyDescent="0.35">
      <c r="I20356" s="63"/>
      <c r="J20356" s="63"/>
    </row>
    <row r="20357" spans="9:10" x14ac:dyDescent="0.35">
      <c r="I20357" s="63"/>
      <c r="J20357" s="63"/>
    </row>
    <row r="20358" spans="9:10" x14ac:dyDescent="0.35">
      <c r="I20358" s="63"/>
      <c r="J20358" s="63"/>
    </row>
    <row r="20359" spans="9:10" x14ac:dyDescent="0.35">
      <c r="I20359" s="63"/>
      <c r="J20359" s="63"/>
    </row>
    <row r="20360" spans="9:10" x14ac:dyDescent="0.35">
      <c r="I20360" s="63"/>
      <c r="J20360" s="63"/>
    </row>
    <row r="20361" spans="9:10" x14ac:dyDescent="0.35">
      <c r="I20361" s="63"/>
      <c r="J20361" s="63"/>
    </row>
    <row r="20362" spans="9:10" x14ac:dyDescent="0.35">
      <c r="I20362" s="63"/>
      <c r="J20362" s="63"/>
    </row>
    <row r="20363" spans="9:10" x14ac:dyDescent="0.35">
      <c r="I20363" s="63"/>
      <c r="J20363" s="63"/>
    </row>
    <row r="20364" spans="9:10" x14ac:dyDescent="0.35">
      <c r="I20364" s="63"/>
      <c r="J20364" s="63"/>
    </row>
    <row r="20365" spans="9:10" x14ac:dyDescent="0.35">
      <c r="I20365" s="63"/>
      <c r="J20365" s="63"/>
    </row>
    <row r="20366" spans="9:10" x14ac:dyDescent="0.35">
      <c r="I20366" s="63"/>
      <c r="J20366" s="63"/>
    </row>
    <row r="20367" spans="9:10" x14ac:dyDescent="0.35">
      <c r="I20367" s="63"/>
      <c r="J20367" s="63"/>
    </row>
    <row r="20368" spans="9:10" x14ac:dyDescent="0.35">
      <c r="I20368" s="63"/>
      <c r="J20368" s="63"/>
    </row>
    <row r="20369" spans="9:10" x14ac:dyDescent="0.35">
      <c r="I20369" s="63"/>
      <c r="J20369" s="63"/>
    </row>
    <row r="20370" spans="9:10" x14ac:dyDescent="0.35">
      <c r="I20370" s="63"/>
      <c r="J20370" s="63"/>
    </row>
    <row r="20371" spans="9:10" x14ac:dyDescent="0.35">
      <c r="I20371" s="63"/>
      <c r="J20371" s="63"/>
    </row>
    <row r="20372" spans="9:10" x14ac:dyDescent="0.35">
      <c r="I20372" s="63"/>
      <c r="J20372" s="63"/>
    </row>
    <row r="20373" spans="9:10" x14ac:dyDescent="0.35">
      <c r="I20373" s="63"/>
      <c r="J20373" s="63"/>
    </row>
    <row r="20374" spans="9:10" x14ac:dyDescent="0.35">
      <c r="I20374" s="63"/>
      <c r="J20374" s="63"/>
    </row>
    <row r="20375" spans="9:10" x14ac:dyDescent="0.35">
      <c r="I20375" s="63"/>
      <c r="J20375" s="63"/>
    </row>
    <row r="20376" spans="9:10" x14ac:dyDescent="0.35">
      <c r="I20376" s="63"/>
      <c r="J20376" s="63"/>
    </row>
    <row r="20377" spans="9:10" x14ac:dyDescent="0.35">
      <c r="I20377" s="63"/>
      <c r="J20377" s="63"/>
    </row>
    <row r="20378" spans="9:10" x14ac:dyDescent="0.35">
      <c r="I20378" s="63"/>
      <c r="J20378" s="63"/>
    </row>
    <row r="20379" spans="9:10" x14ac:dyDescent="0.35">
      <c r="I20379" s="63"/>
      <c r="J20379" s="63"/>
    </row>
    <row r="20380" spans="9:10" x14ac:dyDescent="0.35">
      <c r="I20380" s="63"/>
      <c r="J20380" s="63"/>
    </row>
    <row r="20381" spans="9:10" x14ac:dyDescent="0.35">
      <c r="I20381" s="63"/>
      <c r="J20381" s="63"/>
    </row>
    <row r="20382" spans="9:10" x14ac:dyDescent="0.35">
      <c r="I20382" s="63"/>
      <c r="J20382" s="63"/>
    </row>
    <row r="20383" spans="9:10" x14ac:dyDescent="0.35">
      <c r="I20383" s="63"/>
      <c r="J20383" s="63"/>
    </row>
    <row r="20384" spans="9:10" x14ac:dyDescent="0.35">
      <c r="I20384" s="63"/>
      <c r="J20384" s="63"/>
    </row>
    <row r="20385" spans="9:10" x14ac:dyDescent="0.35">
      <c r="I20385" s="63"/>
      <c r="J20385" s="63"/>
    </row>
    <row r="20386" spans="9:10" x14ac:dyDescent="0.35">
      <c r="I20386" s="63"/>
      <c r="J20386" s="63"/>
    </row>
    <row r="20387" spans="9:10" x14ac:dyDescent="0.35">
      <c r="I20387" s="63"/>
      <c r="J20387" s="63"/>
    </row>
    <row r="20388" spans="9:10" x14ac:dyDescent="0.35">
      <c r="I20388" s="63"/>
      <c r="J20388" s="63"/>
    </row>
    <row r="20389" spans="9:10" x14ac:dyDescent="0.35">
      <c r="I20389" s="63"/>
      <c r="J20389" s="63"/>
    </row>
    <row r="20390" spans="9:10" x14ac:dyDescent="0.35">
      <c r="I20390" s="63"/>
      <c r="J20390" s="63"/>
    </row>
    <row r="20391" spans="9:10" x14ac:dyDescent="0.35">
      <c r="I20391" s="63"/>
      <c r="J20391" s="63"/>
    </row>
    <row r="20392" spans="9:10" x14ac:dyDescent="0.35">
      <c r="I20392" s="63"/>
      <c r="J20392" s="63"/>
    </row>
    <row r="20393" spans="9:10" x14ac:dyDescent="0.35">
      <c r="I20393" s="63"/>
      <c r="J20393" s="63"/>
    </row>
    <row r="20394" spans="9:10" x14ac:dyDescent="0.35">
      <c r="I20394" s="63"/>
      <c r="J20394" s="63"/>
    </row>
    <row r="20395" spans="9:10" x14ac:dyDescent="0.35">
      <c r="I20395" s="63"/>
      <c r="J20395" s="63"/>
    </row>
    <row r="20396" spans="9:10" x14ac:dyDescent="0.35">
      <c r="I20396" s="63"/>
      <c r="J20396" s="63"/>
    </row>
    <row r="20397" spans="9:10" x14ac:dyDescent="0.35">
      <c r="I20397" s="63"/>
      <c r="J20397" s="63"/>
    </row>
    <row r="20398" spans="9:10" x14ac:dyDescent="0.35">
      <c r="I20398" s="63"/>
      <c r="J20398" s="63"/>
    </row>
    <row r="20399" spans="9:10" x14ac:dyDescent="0.35">
      <c r="I20399" s="63"/>
      <c r="J20399" s="63"/>
    </row>
    <row r="20400" spans="9:10" x14ac:dyDescent="0.35">
      <c r="I20400" s="63"/>
      <c r="J20400" s="63"/>
    </row>
    <row r="20401" spans="9:10" x14ac:dyDescent="0.35">
      <c r="I20401" s="63"/>
      <c r="J20401" s="63"/>
    </row>
    <row r="20402" spans="9:10" x14ac:dyDescent="0.35">
      <c r="I20402" s="63"/>
      <c r="J20402" s="63"/>
    </row>
    <row r="20403" spans="9:10" x14ac:dyDescent="0.35">
      <c r="I20403" s="63"/>
      <c r="J20403" s="63"/>
    </row>
    <row r="20404" spans="9:10" x14ac:dyDescent="0.35">
      <c r="I20404" s="63"/>
      <c r="J20404" s="63"/>
    </row>
    <row r="20405" spans="9:10" x14ac:dyDescent="0.35">
      <c r="I20405" s="63"/>
      <c r="J20405" s="63"/>
    </row>
    <row r="20406" spans="9:10" x14ac:dyDescent="0.35">
      <c r="I20406" s="63"/>
      <c r="J20406" s="63"/>
    </row>
    <row r="20407" spans="9:10" x14ac:dyDescent="0.35">
      <c r="I20407" s="63"/>
      <c r="J20407" s="63"/>
    </row>
    <row r="20408" spans="9:10" x14ac:dyDescent="0.35">
      <c r="I20408" s="63"/>
      <c r="J20408" s="63"/>
    </row>
    <row r="20409" spans="9:10" x14ac:dyDescent="0.35">
      <c r="I20409" s="63"/>
      <c r="J20409" s="63"/>
    </row>
    <row r="20410" spans="9:10" x14ac:dyDescent="0.35">
      <c r="I20410" s="63"/>
      <c r="J20410" s="63"/>
    </row>
    <row r="20411" spans="9:10" x14ac:dyDescent="0.35">
      <c r="I20411" s="63"/>
      <c r="J20411" s="63"/>
    </row>
    <row r="20412" spans="9:10" x14ac:dyDescent="0.35">
      <c r="I20412" s="63"/>
      <c r="J20412" s="63"/>
    </row>
    <row r="20413" spans="9:10" x14ac:dyDescent="0.35">
      <c r="I20413" s="63"/>
      <c r="J20413" s="63"/>
    </row>
    <row r="20414" spans="9:10" x14ac:dyDescent="0.35">
      <c r="I20414" s="63"/>
      <c r="J20414" s="63"/>
    </row>
    <row r="20415" spans="9:10" x14ac:dyDescent="0.35">
      <c r="I20415" s="63"/>
      <c r="J20415" s="63"/>
    </row>
    <row r="20416" spans="9:10" x14ac:dyDescent="0.35">
      <c r="I20416" s="63"/>
      <c r="J20416" s="63"/>
    </row>
    <row r="20417" spans="9:10" x14ac:dyDescent="0.35">
      <c r="I20417" s="63"/>
      <c r="J20417" s="63"/>
    </row>
    <row r="20418" spans="9:10" x14ac:dyDescent="0.35">
      <c r="I20418" s="63"/>
      <c r="J20418" s="63"/>
    </row>
    <row r="20419" spans="9:10" x14ac:dyDescent="0.35">
      <c r="I20419" s="63"/>
      <c r="J20419" s="63"/>
    </row>
    <row r="20420" spans="9:10" x14ac:dyDescent="0.35">
      <c r="I20420" s="63"/>
      <c r="J20420" s="63"/>
    </row>
    <row r="20421" spans="9:10" x14ac:dyDescent="0.35">
      <c r="I20421" s="63"/>
      <c r="J20421" s="63"/>
    </row>
    <row r="20422" spans="9:10" x14ac:dyDescent="0.35">
      <c r="I20422" s="63"/>
      <c r="J20422" s="63"/>
    </row>
    <row r="20423" spans="9:10" x14ac:dyDescent="0.35">
      <c r="I20423" s="63"/>
      <c r="J20423" s="63"/>
    </row>
    <row r="20424" spans="9:10" x14ac:dyDescent="0.35">
      <c r="I20424" s="63"/>
      <c r="J20424" s="63"/>
    </row>
    <row r="20425" spans="9:10" x14ac:dyDescent="0.35">
      <c r="I20425" s="63"/>
      <c r="J20425" s="63"/>
    </row>
    <row r="20426" spans="9:10" x14ac:dyDescent="0.35">
      <c r="I20426" s="63"/>
      <c r="J20426" s="63"/>
    </row>
    <row r="20427" spans="9:10" x14ac:dyDescent="0.35">
      <c r="I20427" s="63"/>
      <c r="J20427" s="63"/>
    </row>
    <row r="20428" spans="9:10" x14ac:dyDescent="0.35">
      <c r="I20428" s="63"/>
      <c r="J20428" s="63"/>
    </row>
    <row r="20429" spans="9:10" x14ac:dyDescent="0.35">
      <c r="I20429" s="63"/>
      <c r="J20429" s="63"/>
    </row>
    <row r="20430" spans="9:10" x14ac:dyDescent="0.35">
      <c r="I20430" s="63"/>
      <c r="J20430" s="63"/>
    </row>
    <row r="20431" spans="9:10" x14ac:dyDescent="0.35">
      <c r="I20431" s="63"/>
      <c r="J20431" s="63"/>
    </row>
    <row r="20432" spans="9:10" x14ac:dyDescent="0.35">
      <c r="I20432" s="63"/>
      <c r="J20432" s="63"/>
    </row>
    <row r="20433" spans="9:10" x14ac:dyDescent="0.35">
      <c r="I20433" s="63"/>
      <c r="J20433" s="63"/>
    </row>
    <row r="20434" spans="9:10" x14ac:dyDescent="0.35">
      <c r="I20434" s="63"/>
      <c r="J20434" s="63"/>
    </row>
    <row r="20435" spans="9:10" x14ac:dyDescent="0.35">
      <c r="I20435" s="63"/>
      <c r="J20435" s="63"/>
    </row>
    <row r="20436" spans="9:10" x14ac:dyDescent="0.35">
      <c r="I20436" s="63"/>
      <c r="J20436" s="63"/>
    </row>
    <row r="20437" spans="9:10" x14ac:dyDescent="0.35">
      <c r="I20437" s="63"/>
      <c r="J20437" s="63"/>
    </row>
    <row r="20438" spans="9:10" x14ac:dyDescent="0.35">
      <c r="I20438" s="63"/>
      <c r="J20438" s="63"/>
    </row>
    <row r="20439" spans="9:10" x14ac:dyDescent="0.35">
      <c r="I20439" s="63"/>
      <c r="J20439" s="63"/>
    </row>
    <row r="20440" spans="9:10" x14ac:dyDescent="0.35">
      <c r="I20440" s="63"/>
      <c r="J20440" s="63"/>
    </row>
    <row r="20441" spans="9:10" x14ac:dyDescent="0.35">
      <c r="I20441" s="63"/>
      <c r="J20441" s="63"/>
    </row>
    <row r="20442" spans="9:10" x14ac:dyDescent="0.35">
      <c r="I20442" s="63"/>
      <c r="J20442" s="63"/>
    </row>
    <row r="20443" spans="9:10" x14ac:dyDescent="0.35">
      <c r="I20443" s="63"/>
      <c r="J20443" s="63"/>
    </row>
    <row r="20444" spans="9:10" x14ac:dyDescent="0.35">
      <c r="I20444" s="63"/>
      <c r="J20444" s="63"/>
    </row>
    <row r="20445" spans="9:10" x14ac:dyDescent="0.35">
      <c r="I20445" s="63"/>
      <c r="J20445" s="63"/>
    </row>
    <row r="20446" spans="9:10" x14ac:dyDescent="0.35">
      <c r="I20446" s="63"/>
      <c r="J20446" s="63"/>
    </row>
    <row r="20447" spans="9:10" x14ac:dyDescent="0.35">
      <c r="I20447" s="63"/>
      <c r="J20447" s="63"/>
    </row>
    <row r="20448" spans="9:10" x14ac:dyDescent="0.35">
      <c r="I20448" s="63"/>
      <c r="J20448" s="63"/>
    </row>
    <row r="20449" spans="9:10" x14ac:dyDescent="0.35">
      <c r="I20449" s="63"/>
      <c r="J20449" s="63"/>
    </row>
    <row r="20450" spans="9:10" x14ac:dyDescent="0.35">
      <c r="I20450" s="63"/>
      <c r="J20450" s="63"/>
    </row>
    <row r="20451" spans="9:10" x14ac:dyDescent="0.35">
      <c r="I20451" s="63"/>
      <c r="J20451" s="63"/>
    </row>
    <row r="20452" spans="9:10" x14ac:dyDescent="0.35">
      <c r="I20452" s="63"/>
      <c r="J20452" s="63"/>
    </row>
    <row r="20453" spans="9:10" x14ac:dyDescent="0.35">
      <c r="I20453" s="63"/>
      <c r="J20453" s="63"/>
    </row>
    <row r="20454" spans="9:10" x14ac:dyDescent="0.35">
      <c r="I20454" s="63"/>
      <c r="J20454" s="63"/>
    </row>
    <row r="20455" spans="9:10" x14ac:dyDescent="0.35">
      <c r="I20455" s="63"/>
      <c r="J20455" s="63"/>
    </row>
    <row r="20456" spans="9:10" x14ac:dyDescent="0.35">
      <c r="I20456" s="63"/>
      <c r="J20456" s="63"/>
    </row>
    <row r="20457" spans="9:10" x14ac:dyDescent="0.35">
      <c r="I20457" s="63"/>
      <c r="J20457" s="63"/>
    </row>
    <row r="20458" spans="9:10" x14ac:dyDescent="0.35">
      <c r="I20458" s="63"/>
      <c r="J20458" s="63"/>
    </row>
    <row r="20459" spans="9:10" x14ac:dyDescent="0.35">
      <c r="I20459" s="63"/>
      <c r="J20459" s="63"/>
    </row>
    <row r="20460" spans="9:10" x14ac:dyDescent="0.35">
      <c r="I20460" s="63"/>
      <c r="J20460" s="63"/>
    </row>
    <row r="20461" spans="9:10" x14ac:dyDescent="0.35">
      <c r="I20461" s="63"/>
      <c r="J20461" s="63"/>
    </row>
    <row r="20462" spans="9:10" x14ac:dyDescent="0.35">
      <c r="I20462" s="63"/>
      <c r="J20462" s="63"/>
    </row>
    <row r="20463" spans="9:10" x14ac:dyDescent="0.35">
      <c r="I20463" s="63"/>
      <c r="J20463" s="63"/>
    </row>
    <row r="20464" spans="9:10" x14ac:dyDescent="0.35">
      <c r="I20464" s="63"/>
      <c r="J20464" s="63"/>
    </row>
    <row r="20465" spans="9:10" x14ac:dyDescent="0.35">
      <c r="I20465" s="63"/>
      <c r="J20465" s="63"/>
    </row>
    <row r="20466" spans="9:10" x14ac:dyDescent="0.35">
      <c r="I20466" s="63"/>
      <c r="J20466" s="63"/>
    </row>
    <row r="20467" spans="9:10" x14ac:dyDescent="0.35">
      <c r="I20467" s="63"/>
      <c r="J20467" s="63"/>
    </row>
    <row r="20468" spans="9:10" x14ac:dyDescent="0.35">
      <c r="I20468" s="63"/>
      <c r="J20468" s="63"/>
    </row>
    <row r="20469" spans="9:10" x14ac:dyDescent="0.35">
      <c r="I20469" s="63"/>
      <c r="J20469" s="63"/>
    </row>
    <row r="20470" spans="9:10" x14ac:dyDescent="0.35">
      <c r="I20470" s="63"/>
      <c r="J20470" s="63"/>
    </row>
    <row r="20471" spans="9:10" x14ac:dyDescent="0.35">
      <c r="I20471" s="63"/>
      <c r="J20471" s="63"/>
    </row>
    <row r="20472" spans="9:10" x14ac:dyDescent="0.35">
      <c r="I20472" s="63"/>
      <c r="J20472" s="63"/>
    </row>
    <row r="20473" spans="9:10" x14ac:dyDescent="0.35">
      <c r="I20473" s="63"/>
      <c r="J20473" s="63"/>
    </row>
    <row r="20474" spans="9:10" x14ac:dyDescent="0.35">
      <c r="I20474" s="63"/>
      <c r="J20474" s="63"/>
    </row>
    <row r="20475" spans="9:10" x14ac:dyDescent="0.35">
      <c r="I20475" s="63"/>
      <c r="J20475" s="63"/>
    </row>
    <row r="20476" spans="9:10" x14ac:dyDescent="0.35">
      <c r="I20476" s="63"/>
      <c r="J20476" s="63"/>
    </row>
    <row r="20477" spans="9:10" x14ac:dyDescent="0.35">
      <c r="I20477" s="63"/>
      <c r="J20477" s="63"/>
    </row>
    <row r="20478" spans="9:10" x14ac:dyDescent="0.35">
      <c r="I20478" s="63"/>
      <c r="J20478" s="63"/>
    </row>
    <row r="20479" spans="9:10" x14ac:dyDescent="0.35">
      <c r="I20479" s="63"/>
      <c r="J20479" s="63"/>
    </row>
    <row r="20480" spans="9:10" x14ac:dyDescent="0.35">
      <c r="I20480" s="63"/>
      <c r="J20480" s="63"/>
    </row>
    <row r="20481" spans="9:10" x14ac:dyDescent="0.35">
      <c r="I20481" s="63"/>
      <c r="J20481" s="63"/>
    </row>
    <row r="20482" spans="9:10" x14ac:dyDescent="0.35">
      <c r="I20482" s="63"/>
      <c r="J20482" s="63"/>
    </row>
    <row r="20483" spans="9:10" x14ac:dyDescent="0.35">
      <c r="I20483" s="63"/>
      <c r="J20483" s="63"/>
    </row>
    <row r="20484" spans="9:10" x14ac:dyDescent="0.35">
      <c r="I20484" s="63"/>
      <c r="J20484" s="63"/>
    </row>
    <row r="20485" spans="9:10" x14ac:dyDescent="0.35">
      <c r="I20485" s="63"/>
      <c r="J20485" s="63"/>
    </row>
    <row r="20486" spans="9:10" x14ac:dyDescent="0.35">
      <c r="I20486" s="63"/>
      <c r="J20486" s="63"/>
    </row>
    <row r="20487" spans="9:10" x14ac:dyDescent="0.35">
      <c r="I20487" s="63"/>
      <c r="J20487" s="63"/>
    </row>
    <row r="20488" spans="9:10" x14ac:dyDescent="0.35">
      <c r="I20488" s="63"/>
      <c r="J20488" s="63"/>
    </row>
    <row r="20489" spans="9:10" x14ac:dyDescent="0.35">
      <c r="I20489" s="63"/>
      <c r="J20489" s="63"/>
    </row>
    <row r="20490" spans="9:10" x14ac:dyDescent="0.35">
      <c r="I20490" s="63"/>
      <c r="J20490" s="63"/>
    </row>
    <row r="20491" spans="9:10" x14ac:dyDescent="0.35">
      <c r="I20491" s="63"/>
      <c r="J20491" s="63"/>
    </row>
    <row r="20492" spans="9:10" x14ac:dyDescent="0.35">
      <c r="I20492" s="63"/>
      <c r="J20492" s="63"/>
    </row>
    <row r="20493" spans="9:10" x14ac:dyDescent="0.35">
      <c r="I20493" s="63"/>
      <c r="J20493" s="63"/>
    </row>
    <row r="20494" spans="9:10" x14ac:dyDescent="0.35">
      <c r="I20494" s="63"/>
      <c r="J20494" s="63"/>
    </row>
    <row r="20495" spans="9:10" x14ac:dyDescent="0.35">
      <c r="I20495" s="63"/>
      <c r="J20495" s="63"/>
    </row>
    <row r="20496" spans="9:10" x14ac:dyDescent="0.35">
      <c r="I20496" s="63"/>
      <c r="J20496" s="63"/>
    </row>
    <row r="20497" spans="9:10" x14ac:dyDescent="0.35">
      <c r="I20497" s="63"/>
      <c r="J20497" s="63"/>
    </row>
    <row r="20498" spans="9:10" x14ac:dyDescent="0.35">
      <c r="I20498" s="63"/>
      <c r="J20498" s="63"/>
    </row>
    <row r="20499" spans="9:10" x14ac:dyDescent="0.35">
      <c r="I20499" s="63"/>
      <c r="J20499" s="63"/>
    </row>
    <row r="20500" spans="9:10" x14ac:dyDescent="0.35">
      <c r="I20500" s="63"/>
      <c r="J20500" s="63"/>
    </row>
    <row r="20501" spans="9:10" x14ac:dyDescent="0.35">
      <c r="I20501" s="63"/>
      <c r="J20501" s="63"/>
    </row>
    <row r="20502" spans="9:10" x14ac:dyDescent="0.35">
      <c r="I20502" s="63"/>
      <c r="J20502" s="63"/>
    </row>
    <row r="20503" spans="9:10" x14ac:dyDescent="0.35">
      <c r="I20503" s="63"/>
      <c r="J20503" s="63"/>
    </row>
    <row r="20504" spans="9:10" x14ac:dyDescent="0.35">
      <c r="I20504" s="63"/>
      <c r="J20504" s="63"/>
    </row>
    <row r="20505" spans="9:10" x14ac:dyDescent="0.35">
      <c r="I20505" s="63"/>
      <c r="J20505" s="63"/>
    </row>
    <row r="20506" spans="9:10" x14ac:dyDescent="0.35">
      <c r="I20506" s="63"/>
      <c r="J20506" s="63"/>
    </row>
    <row r="20507" spans="9:10" x14ac:dyDescent="0.35">
      <c r="I20507" s="63"/>
      <c r="J20507" s="63"/>
    </row>
    <row r="20508" spans="9:10" x14ac:dyDescent="0.35">
      <c r="I20508" s="63"/>
      <c r="J20508" s="63"/>
    </row>
    <row r="20509" spans="9:10" x14ac:dyDescent="0.35">
      <c r="I20509" s="63"/>
      <c r="J20509" s="63"/>
    </row>
    <row r="20510" spans="9:10" x14ac:dyDescent="0.35">
      <c r="I20510" s="63"/>
      <c r="J20510" s="63"/>
    </row>
    <row r="20511" spans="9:10" x14ac:dyDescent="0.35">
      <c r="I20511" s="63"/>
      <c r="J20511" s="63"/>
    </row>
    <row r="20512" spans="9:10" x14ac:dyDescent="0.35">
      <c r="I20512" s="63"/>
      <c r="J20512" s="63"/>
    </row>
    <row r="20513" spans="9:10" x14ac:dyDescent="0.35">
      <c r="I20513" s="63"/>
      <c r="J20513" s="63"/>
    </row>
    <row r="20514" spans="9:10" x14ac:dyDescent="0.35">
      <c r="I20514" s="63"/>
      <c r="J20514" s="63"/>
    </row>
    <row r="20515" spans="9:10" x14ac:dyDescent="0.35">
      <c r="I20515" s="63"/>
      <c r="J20515" s="63"/>
    </row>
    <row r="20516" spans="9:10" x14ac:dyDescent="0.35">
      <c r="I20516" s="63"/>
      <c r="J20516" s="63"/>
    </row>
    <row r="20517" spans="9:10" x14ac:dyDescent="0.35">
      <c r="I20517" s="63"/>
      <c r="J20517" s="63"/>
    </row>
    <row r="20518" spans="9:10" x14ac:dyDescent="0.35">
      <c r="I20518" s="63"/>
      <c r="J20518" s="63"/>
    </row>
    <row r="20519" spans="9:10" x14ac:dyDescent="0.35">
      <c r="I20519" s="63"/>
      <c r="J20519" s="63"/>
    </row>
    <row r="20520" spans="9:10" x14ac:dyDescent="0.35">
      <c r="I20520" s="63"/>
      <c r="J20520" s="63"/>
    </row>
    <row r="20521" spans="9:10" x14ac:dyDescent="0.35">
      <c r="I20521" s="63"/>
      <c r="J20521" s="63"/>
    </row>
    <row r="20522" spans="9:10" x14ac:dyDescent="0.35">
      <c r="I20522" s="63"/>
      <c r="J20522" s="63"/>
    </row>
    <row r="20523" spans="9:10" x14ac:dyDescent="0.35">
      <c r="I20523" s="63"/>
      <c r="J20523" s="63"/>
    </row>
    <row r="20524" spans="9:10" x14ac:dyDescent="0.35">
      <c r="I20524" s="63"/>
      <c r="J20524" s="63"/>
    </row>
    <row r="20525" spans="9:10" x14ac:dyDescent="0.35">
      <c r="I20525" s="63"/>
      <c r="J20525" s="63"/>
    </row>
    <row r="20526" spans="9:10" x14ac:dyDescent="0.35">
      <c r="I20526" s="63"/>
      <c r="J20526" s="63"/>
    </row>
    <row r="20527" spans="9:10" x14ac:dyDescent="0.35">
      <c r="I20527" s="63"/>
      <c r="J20527" s="63"/>
    </row>
    <row r="20528" spans="9:10" x14ac:dyDescent="0.35">
      <c r="I20528" s="63"/>
      <c r="J20528" s="63"/>
    </row>
    <row r="20529" spans="9:10" x14ac:dyDescent="0.35">
      <c r="I20529" s="63"/>
      <c r="J20529" s="63"/>
    </row>
    <row r="20530" spans="9:10" x14ac:dyDescent="0.35">
      <c r="I20530" s="63"/>
      <c r="J20530" s="63"/>
    </row>
    <row r="20531" spans="9:10" x14ac:dyDescent="0.35">
      <c r="I20531" s="63"/>
      <c r="J20531" s="63"/>
    </row>
    <row r="20532" spans="9:10" x14ac:dyDescent="0.35">
      <c r="I20532" s="63"/>
      <c r="J20532" s="63"/>
    </row>
    <row r="20533" spans="9:10" x14ac:dyDescent="0.35">
      <c r="I20533" s="63"/>
      <c r="J20533" s="63"/>
    </row>
    <row r="20534" spans="9:10" x14ac:dyDescent="0.35">
      <c r="I20534" s="63"/>
      <c r="J20534" s="63"/>
    </row>
    <row r="20535" spans="9:10" x14ac:dyDescent="0.35">
      <c r="I20535" s="63"/>
      <c r="J20535" s="63"/>
    </row>
    <row r="20536" spans="9:10" x14ac:dyDescent="0.35">
      <c r="I20536" s="63"/>
      <c r="J20536" s="63"/>
    </row>
    <row r="20537" spans="9:10" x14ac:dyDescent="0.35">
      <c r="I20537" s="63"/>
      <c r="J20537" s="63"/>
    </row>
    <row r="20538" spans="9:10" x14ac:dyDescent="0.35">
      <c r="I20538" s="63"/>
      <c r="J20538" s="63"/>
    </row>
    <row r="20539" spans="9:10" x14ac:dyDescent="0.35">
      <c r="I20539" s="63"/>
      <c r="J20539" s="63"/>
    </row>
    <row r="20540" spans="9:10" x14ac:dyDescent="0.35">
      <c r="I20540" s="63"/>
      <c r="J20540" s="63"/>
    </row>
    <row r="20541" spans="9:10" x14ac:dyDescent="0.35">
      <c r="I20541" s="63"/>
      <c r="J20541" s="63"/>
    </row>
    <row r="20542" spans="9:10" x14ac:dyDescent="0.35">
      <c r="I20542" s="63"/>
      <c r="J20542" s="63"/>
    </row>
    <row r="20543" spans="9:10" x14ac:dyDescent="0.35">
      <c r="I20543" s="63"/>
      <c r="J20543" s="63"/>
    </row>
    <row r="20544" spans="9:10" x14ac:dyDescent="0.35">
      <c r="I20544" s="63"/>
      <c r="J20544" s="63"/>
    </row>
    <row r="20545" spans="9:10" x14ac:dyDescent="0.35">
      <c r="I20545" s="63"/>
      <c r="J20545" s="63"/>
    </row>
    <row r="20546" spans="9:10" x14ac:dyDescent="0.35">
      <c r="I20546" s="63"/>
      <c r="J20546" s="63"/>
    </row>
    <row r="20547" spans="9:10" x14ac:dyDescent="0.35">
      <c r="I20547" s="63"/>
      <c r="J20547" s="63"/>
    </row>
    <row r="20548" spans="9:10" x14ac:dyDescent="0.35">
      <c r="I20548" s="63"/>
      <c r="J20548" s="63"/>
    </row>
    <row r="20549" spans="9:10" x14ac:dyDescent="0.35">
      <c r="I20549" s="63"/>
      <c r="J20549" s="63"/>
    </row>
    <row r="20550" spans="9:10" x14ac:dyDescent="0.35">
      <c r="I20550" s="63"/>
      <c r="J20550" s="63"/>
    </row>
    <row r="20551" spans="9:10" x14ac:dyDescent="0.35">
      <c r="I20551" s="63"/>
      <c r="J20551" s="63"/>
    </row>
    <row r="20552" spans="9:10" x14ac:dyDescent="0.35">
      <c r="I20552" s="63"/>
      <c r="J20552" s="63"/>
    </row>
    <row r="20553" spans="9:10" x14ac:dyDescent="0.35">
      <c r="I20553" s="63"/>
      <c r="J20553" s="63"/>
    </row>
    <row r="20554" spans="9:10" x14ac:dyDescent="0.35">
      <c r="I20554" s="63"/>
      <c r="J20554" s="63"/>
    </row>
    <row r="20555" spans="9:10" x14ac:dyDescent="0.35">
      <c r="I20555" s="63"/>
      <c r="J20555" s="63"/>
    </row>
    <row r="20556" spans="9:10" x14ac:dyDescent="0.35">
      <c r="I20556" s="63"/>
      <c r="J20556" s="63"/>
    </row>
    <row r="20557" spans="9:10" x14ac:dyDescent="0.35">
      <c r="I20557" s="63"/>
      <c r="J20557" s="63"/>
    </row>
    <row r="20558" spans="9:10" x14ac:dyDescent="0.35">
      <c r="I20558" s="63"/>
      <c r="J20558" s="63"/>
    </row>
    <row r="20559" spans="9:10" x14ac:dyDescent="0.35">
      <c r="I20559" s="63"/>
      <c r="J20559" s="63"/>
    </row>
    <row r="20560" spans="9:10" x14ac:dyDescent="0.35">
      <c r="I20560" s="63"/>
      <c r="J20560" s="63"/>
    </row>
    <row r="20561" spans="9:10" x14ac:dyDescent="0.35">
      <c r="I20561" s="63"/>
      <c r="J20561" s="63"/>
    </row>
    <row r="20562" spans="9:10" x14ac:dyDescent="0.35">
      <c r="I20562" s="63"/>
      <c r="J20562" s="63"/>
    </row>
    <row r="20563" spans="9:10" x14ac:dyDescent="0.35">
      <c r="I20563" s="63"/>
      <c r="J20563" s="63"/>
    </row>
    <row r="20564" spans="9:10" x14ac:dyDescent="0.35">
      <c r="I20564" s="63"/>
      <c r="J20564" s="63"/>
    </row>
    <row r="20565" spans="9:10" x14ac:dyDescent="0.35">
      <c r="I20565" s="63"/>
      <c r="J20565" s="63"/>
    </row>
    <row r="20566" spans="9:10" x14ac:dyDescent="0.35">
      <c r="I20566" s="63"/>
      <c r="J20566" s="63"/>
    </row>
    <row r="20567" spans="9:10" x14ac:dyDescent="0.35">
      <c r="I20567" s="63"/>
      <c r="J20567" s="63"/>
    </row>
    <row r="20568" spans="9:10" x14ac:dyDescent="0.35">
      <c r="I20568" s="63"/>
      <c r="J20568" s="63"/>
    </row>
    <row r="20569" spans="9:10" x14ac:dyDescent="0.35">
      <c r="I20569" s="63"/>
      <c r="J20569" s="63"/>
    </row>
    <row r="20570" spans="9:10" x14ac:dyDescent="0.35">
      <c r="I20570" s="63"/>
      <c r="J20570" s="63"/>
    </row>
    <row r="20571" spans="9:10" x14ac:dyDescent="0.35">
      <c r="I20571" s="63"/>
      <c r="J20571" s="63"/>
    </row>
    <row r="20572" spans="9:10" x14ac:dyDescent="0.35">
      <c r="I20572" s="63"/>
      <c r="J20572" s="63"/>
    </row>
    <row r="20573" spans="9:10" x14ac:dyDescent="0.35">
      <c r="I20573" s="63"/>
      <c r="J20573" s="63"/>
    </row>
    <row r="20574" spans="9:10" x14ac:dyDescent="0.35">
      <c r="I20574" s="63"/>
      <c r="J20574" s="63"/>
    </row>
    <row r="20575" spans="9:10" x14ac:dyDescent="0.35">
      <c r="I20575" s="63"/>
      <c r="J20575" s="63"/>
    </row>
    <row r="20576" spans="9:10" x14ac:dyDescent="0.35">
      <c r="I20576" s="63"/>
      <c r="J20576" s="63"/>
    </row>
    <row r="20577" spans="9:10" x14ac:dyDescent="0.35">
      <c r="I20577" s="63"/>
      <c r="J20577" s="63"/>
    </row>
    <row r="20578" spans="9:10" x14ac:dyDescent="0.35">
      <c r="I20578" s="63"/>
      <c r="J20578" s="63"/>
    </row>
    <row r="20579" spans="9:10" x14ac:dyDescent="0.35">
      <c r="I20579" s="63"/>
      <c r="J20579" s="63"/>
    </row>
    <row r="20580" spans="9:10" x14ac:dyDescent="0.35">
      <c r="I20580" s="63"/>
      <c r="J20580" s="63"/>
    </row>
    <row r="20581" spans="9:10" x14ac:dyDescent="0.35">
      <c r="I20581" s="63"/>
      <c r="J20581" s="63"/>
    </row>
    <row r="20582" spans="9:10" x14ac:dyDescent="0.35">
      <c r="I20582" s="63"/>
      <c r="J20582" s="63"/>
    </row>
    <row r="20583" spans="9:10" x14ac:dyDescent="0.35">
      <c r="I20583" s="63"/>
      <c r="J20583" s="63"/>
    </row>
    <row r="20584" spans="9:10" x14ac:dyDescent="0.35">
      <c r="I20584" s="63"/>
      <c r="J20584" s="63"/>
    </row>
    <row r="20585" spans="9:10" x14ac:dyDescent="0.35">
      <c r="I20585" s="63"/>
      <c r="J20585" s="63"/>
    </row>
    <row r="20586" spans="9:10" x14ac:dyDescent="0.35">
      <c r="I20586" s="63"/>
      <c r="J20586" s="63"/>
    </row>
    <row r="20587" spans="9:10" x14ac:dyDescent="0.35">
      <c r="I20587" s="63"/>
      <c r="J20587" s="63"/>
    </row>
    <row r="20588" spans="9:10" x14ac:dyDescent="0.35">
      <c r="I20588" s="63"/>
      <c r="J20588" s="63"/>
    </row>
    <row r="20589" spans="9:10" x14ac:dyDescent="0.35">
      <c r="I20589" s="63"/>
      <c r="J20589" s="63"/>
    </row>
    <row r="20590" spans="9:10" x14ac:dyDescent="0.35">
      <c r="I20590" s="63"/>
      <c r="J20590" s="63"/>
    </row>
    <row r="20591" spans="9:10" x14ac:dyDescent="0.35">
      <c r="I20591" s="63"/>
      <c r="J20591" s="63"/>
    </row>
    <row r="20592" spans="9:10" x14ac:dyDescent="0.35">
      <c r="I20592" s="63"/>
      <c r="J20592" s="63"/>
    </row>
    <row r="20593" spans="9:10" x14ac:dyDescent="0.35">
      <c r="I20593" s="63"/>
      <c r="J20593" s="63"/>
    </row>
    <row r="20594" spans="9:10" x14ac:dyDescent="0.35">
      <c r="I20594" s="63"/>
      <c r="J20594" s="63"/>
    </row>
    <row r="20595" spans="9:10" x14ac:dyDescent="0.35">
      <c r="I20595" s="63"/>
      <c r="J20595" s="63"/>
    </row>
    <row r="20596" spans="9:10" x14ac:dyDescent="0.35">
      <c r="I20596" s="63"/>
      <c r="J20596" s="63"/>
    </row>
    <row r="20597" spans="9:10" x14ac:dyDescent="0.35">
      <c r="I20597" s="63"/>
      <c r="J20597" s="63"/>
    </row>
    <row r="20598" spans="9:10" x14ac:dyDescent="0.35">
      <c r="I20598" s="63"/>
      <c r="J20598" s="63"/>
    </row>
    <row r="20599" spans="9:10" x14ac:dyDescent="0.35">
      <c r="I20599" s="63"/>
      <c r="J20599" s="63"/>
    </row>
    <row r="20600" spans="9:10" x14ac:dyDescent="0.35">
      <c r="I20600" s="63"/>
      <c r="J20600" s="63"/>
    </row>
    <row r="20601" spans="9:10" x14ac:dyDescent="0.35">
      <c r="I20601" s="63"/>
      <c r="J20601" s="63"/>
    </row>
    <row r="20602" spans="9:10" x14ac:dyDescent="0.35">
      <c r="I20602" s="63"/>
      <c r="J20602" s="63"/>
    </row>
    <row r="20603" spans="9:10" x14ac:dyDescent="0.35">
      <c r="I20603" s="63"/>
      <c r="J20603" s="63"/>
    </row>
    <row r="20604" spans="9:10" x14ac:dyDescent="0.35">
      <c r="I20604" s="63"/>
      <c r="J20604" s="63"/>
    </row>
    <row r="20605" spans="9:10" x14ac:dyDescent="0.35">
      <c r="I20605" s="63"/>
      <c r="J20605" s="63"/>
    </row>
    <row r="20606" spans="9:10" x14ac:dyDescent="0.35">
      <c r="I20606" s="63"/>
      <c r="J20606" s="63"/>
    </row>
    <row r="20607" spans="9:10" x14ac:dyDescent="0.35">
      <c r="I20607" s="63"/>
      <c r="J20607" s="63"/>
    </row>
    <row r="20608" spans="9:10" x14ac:dyDescent="0.35">
      <c r="I20608" s="63"/>
      <c r="J20608" s="63"/>
    </row>
    <row r="20609" spans="9:10" x14ac:dyDescent="0.35">
      <c r="I20609" s="63"/>
      <c r="J20609" s="63"/>
    </row>
    <row r="20610" spans="9:10" x14ac:dyDescent="0.35">
      <c r="I20610" s="63"/>
      <c r="J20610" s="63"/>
    </row>
    <row r="20611" spans="9:10" x14ac:dyDescent="0.35">
      <c r="I20611" s="63"/>
      <c r="J20611" s="63"/>
    </row>
    <row r="20612" spans="9:10" x14ac:dyDescent="0.35">
      <c r="I20612" s="63"/>
      <c r="J20612" s="63"/>
    </row>
    <row r="20613" spans="9:10" x14ac:dyDescent="0.35">
      <c r="I20613" s="63"/>
      <c r="J20613" s="63"/>
    </row>
    <row r="20614" spans="9:10" x14ac:dyDescent="0.35">
      <c r="I20614" s="63"/>
      <c r="J20614" s="63"/>
    </row>
    <row r="20615" spans="9:10" x14ac:dyDescent="0.35">
      <c r="I20615" s="63"/>
      <c r="J20615" s="63"/>
    </row>
    <row r="20616" spans="9:10" x14ac:dyDescent="0.35">
      <c r="I20616" s="63"/>
      <c r="J20616" s="63"/>
    </row>
    <row r="20617" spans="9:10" x14ac:dyDescent="0.35">
      <c r="I20617" s="63"/>
      <c r="J20617" s="63"/>
    </row>
    <row r="20618" spans="9:10" x14ac:dyDescent="0.35">
      <c r="I20618" s="63"/>
      <c r="J20618" s="63"/>
    </row>
    <row r="20619" spans="9:10" x14ac:dyDescent="0.35">
      <c r="I20619" s="63"/>
      <c r="J20619" s="63"/>
    </row>
    <row r="20620" spans="9:10" x14ac:dyDescent="0.35">
      <c r="I20620" s="63"/>
      <c r="J20620" s="63"/>
    </row>
    <row r="20621" spans="9:10" x14ac:dyDescent="0.35">
      <c r="I20621" s="63"/>
      <c r="J20621" s="63"/>
    </row>
    <row r="20622" spans="9:10" x14ac:dyDescent="0.35">
      <c r="I20622" s="63"/>
      <c r="J20622" s="63"/>
    </row>
    <row r="20623" spans="9:10" x14ac:dyDescent="0.35">
      <c r="I20623" s="63"/>
      <c r="J20623" s="63"/>
    </row>
    <row r="20624" spans="9:10" x14ac:dyDescent="0.35">
      <c r="I20624" s="63"/>
      <c r="J20624" s="63"/>
    </row>
    <row r="20625" spans="9:10" x14ac:dyDescent="0.35">
      <c r="I20625" s="63"/>
      <c r="J20625" s="63"/>
    </row>
    <row r="20626" spans="9:10" x14ac:dyDescent="0.35">
      <c r="I20626" s="63"/>
      <c r="J20626" s="63"/>
    </row>
    <row r="20627" spans="9:10" x14ac:dyDescent="0.35">
      <c r="I20627" s="63"/>
      <c r="J20627" s="63"/>
    </row>
    <row r="20628" spans="9:10" x14ac:dyDescent="0.35">
      <c r="I20628" s="63"/>
      <c r="J20628" s="63"/>
    </row>
    <row r="20629" spans="9:10" x14ac:dyDescent="0.35">
      <c r="I20629" s="63"/>
      <c r="J20629" s="63"/>
    </row>
    <row r="20630" spans="9:10" x14ac:dyDescent="0.35">
      <c r="I20630" s="63"/>
      <c r="J20630" s="63"/>
    </row>
    <row r="20631" spans="9:10" x14ac:dyDescent="0.35">
      <c r="I20631" s="63"/>
      <c r="J20631" s="63"/>
    </row>
    <row r="20632" spans="9:10" x14ac:dyDescent="0.35">
      <c r="I20632" s="63"/>
      <c r="J20632" s="63"/>
    </row>
    <row r="20633" spans="9:10" x14ac:dyDescent="0.35">
      <c r="I20633" s="63"/>
      <c r="J20633" s="63"/>
    </row>
    <row r="20634" spans="9:10" x14ac:dyDescent="0.35">
      <c r="I20634" s="63"/>
      <c r="J20634" s="63"/>
    </row>
    <row r="20635" spans="9:10" x14ac:dyDescent="0.35">
      <c r="I20635" s="63"/>
      <c r="J20635" s="63"/>
    </row>
    <row r="20636" spans="9:10" x14ac:dyDescent="0.35">
      <c r="I20636" s="63"/>
      <c r="J20636" s="63"/>
    </row>
    <row r="20637" spans="9:10" x14ac:dyDescent="0.35">
      <c r="I20637" s="63"/>
      <c r="J20637" s="63"/>
    </row>
    <row r="20638" spans="9:10" x14ac:dyDescent="0.35">
      <c r="I20638" s="63"/>
      <c r="J20638" s="63"/>
    </row>
    <row r="20639" spans="9:10" x14ac:dyDescent="0.35">
      <c r="I20639" s="63"/>
      <c r="J20639" s="63"/>
    </row>
    <row r="20640" spans="9:10" x14ac:dyDescent="0.35">
      <c r="I20640" s="63"/>
      <c r="J20640" s="63"/>
    </row>
    <row r="20641" spans="9:10" x14ac:dyDescent="0.35">
      <c r="I20641" s="63"/>
      <c r="J20641" s="63"/>
    </row>
    <row r="20642" spans="9:10" x14ac:dyDescent="0.35">
      <c r="I20642" s="63"/>
      <c r="J20642" s="63"/>
    </row>
    <row r="20643" spans="9:10" x14ac:dyDescent="0.35">
      <c r="I20643" s="63"/>
      <c r="J20643" s="63"/>
    </row>
    <row r="20644" spans="9:10" x14ac:dyDescent="0.35">
      <c r="I20644" s="63"/>
      <c r="J20644" s="63"/>
    </row>
    <row r="20645" spans="9:10" x14ac:dyDescent="0.35">
      <c r="I20645" s="63"/>
      <c r="J20645" s="63"/>
    </row>
    <row r="20646" spans="9:10" x14ac:dyDescent="0.35">
      <c r="I20646" s="63"/>
      <c r="J20646" s="63"/>
    </row>
    <row r="20647" spans="9:10" x14ac:dyDescent="0.35">
      <c r="I20647" s="63"/>
      <c r="J20647" s="63"/>
    </row>
    <row r="20648" spans="9:10" x14ac:dyDescent="0.35">
      <c r="I20648" s="63"/>
      <c r="J20648" s="63"/>
    </row>
    <row r="20649" spans="9:10" x14ac:dyDescent="0.35">
      <c r="I20649" s="63"/>
      <c r="J20649" s="63"/>
    </row>
    <row r="20650" spans="9:10" x14ac:dyDescent="0.35">
      <c r="I20650" s="63"/>
      <c r="J20650" s="63"/>
    </row>
    <row r="20651" spans="9:10" x14ac:dyDescent="0.35">
      <c r="I20651" s="63"/>
      <c r="J20651" s="63"/>
    </row>
    <row r="20652" spans="9:10" x14ac:dyDescent="0.35">
      <c r="I20652" s="63"/>
      <c r="J20652" s="63"/>
    </row>
    <row r="20653" spans="9:10" x14ac:dyDescent="0.35">
      <c r="I20653" s="63"/>
      <c r="J20653" s="63"/>
    </row>
    <row r="20654" spans="9:10" x14ac:dyDescent="0.35">
      <c r="I20654" s="63"/>
      <c r="J20654" s="63"/>
    </row>
    <row r="20655" spans="9:10" x14ac:dyDescent="0.35">
      <c r="I20655" s="63"/>
      <c r="J20655" s="63"/>
    </row>
    <row r="20656" spans="9:10" x14ac:dyDescent="0.35">
      <c r="I20656" s="63"/>
      <c r="J20656" s="63"/>
    </row>
    <row r="20657" spans="9:10" x14ac:dyDescent="0.35">
      <c r="I20657" s="63"/>
      <c r="J20657" s="63"/>
    </row>
    <row r="20658" spans="9:10" x14ac:dyDescent="0.35">
      <c r="I20658" s="63"/>
      <c r="J20658" s="63"/>
    </row>
    <row r="20659" spans="9:10" x14ac:dyDescent="0.35">
      <c r="I20659" s="63"/>
      <c r="J20659" s="63"/>
    </row>
    <row r="20660" spans="9:10" x14ac:dyDescent="0.35">
      <c r="I20660" s="63"/>
      <c r="J20660" s="63"/>
    </row>
    <row r="20661" spans="9:10" x14ac:dyDescent="0.35">
      <c r="I20661" s="63"/>
      <c r="J20661" s="63"/>
    </row>
    <row r="20662" spans="9:10" x14ac:dyDescent="0.35">
      <c r="I20662" s="63"/>
      <c r="J20662" s="63"/>
    </row>
    <row r="20663" spans="9:10" x14ac:dyDescent="0.35">
      <c r="I20663" s="63"/>
      <c r="J20663" s="63"/>
    </row>
    <row r="20664" spans="9:10" x14ac:dyDescent="0.35">
      <c r="I20664" s="63"/>
      <c r="J20664" s="63"/>
    </row>
    <row r="20665" spans="9:10" x14ac:dyDescent="0.35">
      <c r="I20665" s="63"/>
      <c r="J20665" s="63"/>
    </row>
    <row r="20666" spans="9:10" x14ac:dyDescent="0.35">
      <c r="I20666" s="63"/>
      <c r="J20666" s="63"/>
    </row>
    <row r="20667" spans="9:10" x14ac:dyDescent="0.35">
      <c r="I20667" s="63"/>
      <c r="J20667" s="63"/>
    </row>
    <row r="20668" spans="9:10" x14ac:dyDescent="0.35">
      <c r="I20668" s="63"/>
      <c r="J20668" s="63"/>
    </row>
    <row r="20669" spans="9:10" x14ac:dyDescent="0.35">
      <c r="I20669" s="63"/>
      <c r="J20669" s="63"/>
    </row>
    <row r="20670" spans="9:10" x14ac:dyDescent="0.35">
      <c r="I20670" s="63"/>
      <c r="J20670" s="63"/>
    </row>
    <row r="20671" spans="9:10" x14ac:dyDescent="0.35">
      <c r="I20671" s="63"/>
      <c r="J20671" s="63"/>
    </row>
    <row r="20672" spans="9:10" x14ac:dyDescent="0.35">
      <c r="I20672" s="63"/>
      <c r="J20672" s="63"/>
    </row>
    <row r="20673" spans="9:10" x14ac:dyDescent="0.35">
      <c r="I20673" s="63"/>
      <c r="J20673" s="63"/>
    </row>
    <row r="20674" spans="9:10" x14ac:dyDescent="0.35">
      <c r="I20674" s="63"/>
      <c r="J20674" s="63"/>
    </row>
    <row r="20675" spans="9:10" x14ac:dyDescent="0.35">
      <c r="I20675" s="63"/>
      <c r="J20675" s="63"/>
    </row>
    <row r="20676" spans="9:10" x14ac:dyDescent="0.35">
      <c r="I20676" s="63"/>
      <c r="J20676" s="63"/>
    </row>
    <row r="20677" spans="9:10" x14ac:dyDescent="0.35">
      <c r="I20677" s="63"/>
      <c r="J20677" s="63"/>
    </row>
    <row r="20678" spans="9:10" x14ac:dyDescent="0.35">
      <c r="I20678" s="63"/>
      <c r="J20678" s="63"/>
    </row>
    <row r="20679" spans="9:10" x14ac:dyDescent="0.35">
      <c r="I20679" s="63"/>
      <c r="J20679" s="63"/>
    </row>
    <row r="20680" spans="9:10" x14ac:dyDescent="0.35">
      <c r="I20680" s="63"/>
      <c r="J20680" s="63"/>
    </row>
    <row r="20681" spans="9:10" x14ac:dyDescent="0.35">
      <c r="I20681" s="63"/>
      <c r="J20681" s="63"/>
    </row>
    <row r="20682" spans="9:10" x14ac:dyDescent="0.35">
      <c r="I20682" s="63"/>
      <c r="J20682" s="63"/>
    </row>
    <row r="20683" spans="9:10" x14ac:dyDescent="0.35">
      <c r="I20683" s="63"/>
      <c r="J20683" s="63"/>
    </row>
    <row r="20684" spans="9:10" x14ac:dyDescent="0.35">
      <c r="I20684" s="63"/>
      <c r="J20684" s="63"/>
    </row>
    <row r="20685" spans="9:10" x14ac:dyDescent="0.35">
      <c r="I20685" s="63"/>
      <c r="J20685" s="63"/>
    </row>
    <row r="20686" spans="9:10" x14ac:dyDescent="0.35">
      <c r="I20686" s="63"/>
      <c r="J20686" s="63"/>
    </row>
    <row r="20687" spans="9:10" x14ac:dyDescent="0.35">
      <c r="I20687" s="63"/>
      <c r="J20687" s="63"/>
    </row>
    <row r="20688" spans="9:10" x14ac:dyDescent="0.35">
      <c r="I20688" s="63"/>
      <c r="J20688" s="63"/>
    </row>
    <row r="20689" spans="9:10" x14ac:dyDescent="0.35">
      <c r="I20689" s="63"/>
      <c r="J20689" s="63"/>
    </row>
    <row r="20690" spans="9:10" x14ac:dyDescent="0.35">
      <c r="I20690" s="63"/>
      <c r="J20690" s="63"/>
    </row>
    <row r="20691" spans="9:10" x14ac:dyDescent="0.35">
      <c r="I20691" s="63"/>
      <c r="J20691" s="63"/>
    </row>
    <row r="20692" spans="9:10" x14ac:dyDescent="0.35">
      <c r="I20692" s="63"/>
      <c r="J20692" s="63"/>
    </row>
    <row r="20693" spans="9:10" x14ac:dyDescent="0.35">
      <c r="I20693" s="63"/>
      <c r="J20693" s="63"/>
    </row>
    <row r="20694" spans="9:10" x14ac:dyDescent="0.35">
      <c r="I20694" s="63"/>
      <c r="J20694" s="63"/>
    </row>
    <row r="20695" spans="9:10" x14ac:dyDescent="0.35">
      <c r="I20695" s="63"/>
      <c r="J20695" s="63"/>
    </row>
    <row r="20696" spans="9:10" x14ac:dyDescent="0.35">
      <c r="I20696" s="63"/>
      <c r="J20696" s="63"/>
    </row>
    <row r="20697" spans="9:10" x14ac:dyDescent="0.35">
      <c r="I20697" s="63"/>
      <c r="J20697" s="63"/>
    </row>
    <row r="20698" spans="9:10" x14ac:dyDescent="0.35">
      <c r="I20698" s="63"/>
      <c r="J20698" s="63"/>
    </row>
    <row r="20699" spans="9:10" x14ac:dyDescent="0.35">
      <c r="I20699" s="63"/>
      <c r="J20699" s="63"/>
    </row>
    <row r="20700" spans="9:10" x14ac:dyDescent="0.35">
      <c r="I20700" s="63"/>
      <c r="J20700" s="63"/>
    </row>
    <row r="20701" spans="9:10" x14ac:dyDescent="0.35">
      <c r="I20701" s="63"/>
      <c r="J20701" s="63"/>
    </row>
    <row r="20702" spans="9:10" x14ac:dyDescent="0.35">
      <c r="I20702" s="63"/>
      <c r="J20702" s="63"/>
    </row>
    <row r="20703" spans="9:10" x14ac:dyDescent="0.35">
      <c r="I20703" s="63"/>
      <c r="J20703" s="63"/>
    </row>
    <row r="20704" spans="9:10" x14ac:dyDescent="0.35">
      <c r="I20704" s="63"/>
      <c r="J20704" s="63"/>
    </row>
    <row r="20705" spans="9:10" x14ac:dyDescent="0.35">
      <c r="I20705" s="63"/>
      <c r="J20705" s="63"/>
    </row>
    <row r="20706" spans="9:10" x14ac:dyDescent="0.35">
      <c r="I20706" s="63"/>
      <c r="J20706" s="63"/>
    </row>
    <row r="20707" spans="9:10" x14ac:dyDescent="0.35">
      <c r="I20707" s="63"/>
      <c r="J20707" s="63"/>
    </row>
    <row r="20708" spans="9:10" x14ac:dyDescent="0.35">
      <c r="I20708" s="63"/>
      <c r="J20708" s="63"/>
    </row>
    <row r="20709" spans="9:10" x14ac:dyDescent="0.35">
      <c r="I20709" s="63"/>
      <c r="J20709" s="63"/>
    </row>
    <row r="20710" spans="9:10" x14ac:dyDescent="0.35">
      <c r="I20710" s="63"/>
      <c r="J20710" s="63"/>
    </row>
    <row r="20711" spans="9:10" x14ac:dyDescent="0.35">
      <c r="I20711" s="63"/>
      <c r="J20711" s="63"/>
    </row>
    <row r="20712" spans="9:10" x14ac:dyDescent="0.35">
      <c r="I20712" s="63"/>
      <c r="J20712" s="63"/>
    </row>
    <row r="20713" spans="9:10" x14ac:dyDescent="0.35">
      <c r="I20713" s="63"/>
      <c r="J20713" s="63"/>
    </row>
    <row r="20714" spans="9:10" x14ac:dyDescent="0.35">
      <c r="I20714" s="63"/>
      <c r="J20714" s="63"/>
    </row>
    <row r="20715" spans="9:10" x14ac:dyDescent="0.35">
      <c r="I20715" s="63"/>
      <c r="J20715" s="63"/>
    </row>
    <row r="20716" spans="9:10" x14ac:dyDescent="0.35">
      <c r="I20716" s="63"/>
      <c r="J20716" s="63"/>
    </row>
    <row r="20717" spans="9:10" x14ac:dyDescent="0.35">
      <c r="I20717" s="63"/>
      <c r="J20717" s="63"/>
    </row>
    <row r="20718" spans="9:10" x14ac:dyDescent="0.35">
      <c r="I20718" s="63"/>
      <c r="J20718" s="63"/>
    </row>
    <row r="20719" spans="9:10" x14ac:dyDescent="0.35">
      <c r="I20719" s="63"/>
      <c r="J20719" s="63"/>
    </row>
    <row r="20720" spans="9:10" x14ac:dyDescent="0.35">
      <c r="I20720" s="63"/>
      <c r="J20720" s="63"/>
    </row>
    <row r="20721" spans="9:10" x14ac:dyDescent="0.35">
      <c r="I20721" s="63"/>
      <c r="J20721" s="63"/>
    </row>
    <row r="20722" spans="9:10" x14ac:dyDescent="0.35">
      <c r="I20722" s="63"/>
      <c r="J20722" s="63"/>
    </row>
    <row r="20723" spans="9:10" x14ac:dyDescent="0.35">
      <c r="I20723" s="63"/>
      <c r="J20723" s="63"/>
    </row>
    <row r="20724" spans="9:10" x14ac:dyDescent="0.35">
      <c r="I20724" s="63"/>
      <c r="J20724" s="63"/>
    </row>
    <row r="20725" spans="9:10" x14ac:dyDescent="0.35">
      <c r="I20725" s="63"/>
      <c r="J20725" s="63"/>
    </row>
    <row r="20726" spans="9:10" x14ac:dyDescent="0.35">
      <c r="I20726" s="63"/>
      <c r="J20726" s="63"/>
    </row>
    <row r="20727" spans="9:10" x14ac:dyDescent="0.35">
      <c r="I20727" s="63"/>
      <c r="J20727" s="63"/>
    </row>
    <row r="20728" spans="9:10" x14ac:dyDescent="0.35">
      <c r="I20728" s="63"/>
      <c r="J20728" s="63"/>
    </row>
    <row r="20729" spans="9:10" x14ac:dyDescent="0.35">
      <c r="I20729" s="63"/>
      <c r="J20729" s="63"/>
    </row>
    <row r="20730" spans="9:10" x14ac:dyDescent="0.35">
      <c r="I20730" s="63"/>
      <c r="J20730" s="63"/>
    </row>
    <row r="20731" spans="9:10" x14ac:dyDescent="0.35">
      <c r="I20731" s="63"/>
      <c r="J20731" s="63"/>
    </row>
    <row r="20732" spans="9:10" x14ac:dyDescent="0.35">
      <c r="I20732" s="63"/>
      <c r="J20732" s="63"/>
    </row>
    <row r="20733" spans="9:10" x14ac:dyDescent="0.35">
      <c r="I20733" s="63"/>
      <c r="J20733" s="63"/>
    </row>
    <row r="20734" spans="9:10" x14ac:dyDescent="0.35">
      <c r="I20734" s="63"/>
      <c r="J20734" s="63"/>
    </row>
    <row r="20735" spans="9:10" x14ac:dyDescent="0.35">
      <c r="I20735" s="63"/>
      <c r="J20735" s="63"/>
    </row>
    <row r="20736" spans="9:10" x14ac:dyDescent="0.35">
      <c r="I20736" s="63"/>
      <c r="J20736" s="63"/>
    </row>
    <row r="20737" spans="9:10" x14ac:dyDescent="0.35">
      <c r="I20737" s="63"/>
      <c r="J20737" s="63"/>
    </row>
    <row r="20738" spans="9:10" x14ac:dyDescent="0.35">
      <c r="I20738" s="63"/>
      <c r="J20738" s="63"/>
    </row>
    <row r="20739" spans="9:10" x14ac:dyDescent="0.35">
      <c r="I20739" s="63"/>
      <c r="J20739" s="63"/>
    </row>
    <row r="20740" spans="9:10" x14ac:dyDescent="0.35">
      <c r="I20740" s="63"/>
      <c r="J20740" s="63"/>
    </row>
    <row r="20741" spans="9:10" x14ac:dyDescent="0.35">
      <c r="I20741" s="63"/>
      <c r="J20741" s="63"/>
    </row>
    <row r="20742" spans="9:10" x14ac:dyDescent="0.35">
      <c r="I20742" s="63"/>
      <c r="J20742" s="63"/>
    </row>
    <row r="20743" spans="9:10" x14ac:dyDescent="0.35">
      <c r="I20743" s="63"/>
      <c r="J20743" s="63"/>
    </row>
    <row r="20744" spans="9:10" x14ac:dyDescent="0.35">
      <c r="I20744" s="63"/>
      <c r="J20744" s="63"/>
    </row>
    <row r="20745" spans="9:10" x14ac:dyDescent="0.35">
      <c r="I20745" s="63"/>
      <c r="J20745" s="63"/>
    </row>
    <row r="20746" spans="9:10" x14ac:dyDescent="0.35">
      <c r="I20746" s="63"/>
      <c r="J20746" s="63"/>
    </row>
    <row r="20747" spans="9:10" x14ac:dyDescent="0.35">
      <c r="I20747" s="63"/>
      <c r="J20747" s="63"/>
    </row>
    <row r="20748" spans="9:10" x14ac:dyDescent="0.35">
      <c r="I20748" s="63"/>
      <c r="J20748" s="63"/>
    </row>
    <row r="20749" spans="9:10" x14ac:dyDescent="0.35">
      <c r="I20749" s="63"/>
      <c r="J20749" s="63"/>
    </row>
    <row r="20750" spans="9:10" x14ac:dyDescent="0.35">
      <c r="I20750" s="63"/>
      <c r="J20750" s="63"/>
    </row>
    <row r="20751" spans="9:10" x14ac:dyDescent="0.35">
      <c r="I20751" s="63"/>
      <c r="J20751" s="63"/>
    </row>
    <row r="20752" spans="9:10" x14ac:dyDescent="0.35">
      <c r="I20752" s="63"/>
      <c r="J20752" s="63"/>
    </row>
    <row r="20753" spans="9:10" x14ac:dyDescent="0.35">
      <c r="I20753" s="63"/>
      <c r="J20753" s="63"/>
    </row>
    <row r="20754" spans="9:10" x14ac:dyDescent="0.35">
      <c r="I20754" s="63"/>
      <c r="J20754" s="63"/>
    </row>
    <row r="20755" spans="9:10" x14ac:dyDescent="0.35">
      <c r="I20755" s="63"/>
      <c r="J20755" s="63"/>
    </row>
    <row r="20756" spans="9:10" x14ac:dyDescent="0.35">
      <c r="I20756" s="63"/>
      <c r="J20756" s="63"/>
    </row>
    <row r="20757" spans="9:10" x14ac:dyDescent="0.35">
      <c r="I20757" s="63"/>
      <c r="J20757" s="63"/>
    </row>
    <row r="20758" spans="9:10" x14ac:dyDescent="0.35">
      <c r="I20758" s="63"/>
      <c r="J20758" s="63"/>
    </row>
    <row r="20759" spans="9:10" x14ac:dyDescent="0.35">
      <c r="I20759" s="63"/>
      <c r="J20759" s="63"/>
    </row>
    <row r="20760" spans="9:10" x14ac:dyDescent="0.35">
      <c r="I20760" s="63"/>
      <c r="J20760" s="63"/>
    </row>
    <row r="20761" spans="9:10" x14ac:dyDescent="0.35">
      <c r="I20761" s="63"/>
      <c r="J20761" s="63"/>
    </row>
    <row r="20762" spans="9:10" x14ac:dyDescent="0.35">
      <c r="I20762" s="63"/>
      <c r="J20762" s="63"/>
    </row>
    <row r="20763" spans="9:10" x14ac:dyDescent="0.35">
      <c r="I20763" s="63"/>
      <c r="J20763" s="63"/>
    </row>
    <row r="20764" spans="9:10" x14ac:dyDescent="0.35">
      <c r="I20764" s="63"/>
      <c r="J20764" s="63"/>
    </row>
    <row r="20765" spans="9:10" x14ac:dyDescent="0.35">
      <c r="I20765" s="63"/>
      <c r="J20765" s="63"/>
    </row>
    <row r="20766" spans="9:10" x14ac:dyDescent="0.35">
      <c r="I20766" s="63"/>
      <c r="J20766" s="63"/>
    </row>
    <row r="20767" spans="9:10" x14ac:dyDescent="0.35">
      <c r="I20767" s="63"/>
      <c r="J20767" s="63"/>
    </row>
    <row r="20768" spans="9:10" x14ac:dyDescent="0.35">
      <c r="I20768" s="63"/>
      <c r="J20768" s="63"/>
    </row>
    <row r="20769" spans="9:10" x14ac:dyDescent="0.35">
      <c r="I20769" s="63"/>
      <c r="J20769" s="63"/>
    </row>
    <row r="20770" spans="9:10" x14ac:dyDescent="0.35">
      <c r="I20770" s="63"/>
      <c r="J20770" s="63"/>
    </row>
    <row r="20771" spans="9:10" x14ac:dyDescent="0.35">
      <c r="I20771" s="63"/>
      <c r="J20771" s="63"/>
    </row>
    <row r="20772" spans="9:10" x14ac:dyDescent="0.35">
      <c r="I20772" s="63"/>
      <c r="J20772" s="63"/>
    </row>
    <row r="20773" spans="9:10" x14ac:dyDescent="0.35">
      <c r="I20773" s="63"/>
      <c r="J20773" s="63"/>
    </row>
    <row r="20774" spans="9:10" x14ac:dyDescent="0.35">
      <c r="I20774" s="63"/>
      <c r="J20774" s="63"/>
    </row>
    <row r="20775" spans="9:10" x14ac:dyDescent="0.35">
      <c r="I20775" s="63"/>
      <c r="J20775" s="63"/>
    </row>
    <row r="20776" spans="9:10" x14ac:dyDescent="0.35">
      <c r="I20776" s="63"/>
      <c r="J20776" s="63"/>
    </row>
    <row r="20777" spans="9:10" x14ac:dyDescent="0.35">
      <c r="I20777" s="63"/>
      <c r="J20777" s="63"/>
    </row>
    <row r="20778" spans="9:10" x14ac:dyDescent="0.35">
      <c r="I20778" s="63"/>
      <c r="J20778" s="63"/>
    </row>
    <row r="20779" spans="9:10" x14ac:dyDescent="0.35">
      <c r="I20779" s="63"/>
      <c r="J20779" s="63"/>
    </row>
    <row r="20780" spans="9:10" x14ac:dyDescent="0.35">
      <c r="I20780" s="63"/>
      <c r="J20780" s="63"/>
    </row>
    <row r="20781" spans="9:10" x14ac:dyDescent="0.35">
      <c r="I20781" s="63"/>
      <c r="J20781" s="63"/>
    </row>
    <row r="20782" spans="9:10" x14ac:dyDescent="0.35">
      <c r="I20782" s="63"/>
      <c r="J20782" s="63"/>
    </row>
    <row r="20783" spans="9:10" x14ac:dyDescent="0.35">
      <c r="I20783" s="63"/>
      <c r="J20783" s="63"/>
    </row>
    <row r="20784" spans="9:10" x14ac:dyDescent="0.35">
      <c r="I20784" s="63"/>
      <c r="J20784" s="63"/>
    </row>
    <row r="20785" spans="9:10" x14ac:dyDescent="0.35">
      <c r="I20785" s="63"/>
      <c r="J20785" s="63"/>
    </row>
    <row r="20786" spans="9:10" x14ac:dyDescent="0.35">
      <c r="I20786" s="63"/>
      <c r="J20786" s="63"/>
    </row>
    <row r="20787" spans="9:10" x14ac:dyDescent="0.35">
      <c r="I20787" s="63"/>
      <c r="J20787" s="63"/>
    </row>
    <row r="20788" spans="9:10" x14ac:dyDescent="0.35">
      <c r="I20788" s="63"/>
      <c r="J20788" s="63"/>
    </row>
    <row r="20789" spans="9:10" x14ac:dyDescent="0.35">
      <c r="I20789" s="63"/>
      <c r="J20789" s="63"/>
    </row>
    <row r="20790" spans="9:10" x14ac:dyDescent="0.35">
      <c r="I20790" s="63"/>
      <c r="J20790" s="63"/>
    </row>
    <row r="20791" spans="9:10" x14ac:dyDescent="0.35">
      <c r="I20791" s="63"/>
      <c r="J20791" s="63"/>
    </row>
    <row r="20792" spans="9:10" x14ac:dyDescent="0.35">
      <c r="I20792" s="63"/>
      <c r="J20792" s="63"/>
    </row>
    <row r="20793" spans="9:10" x14ac:dyDescent="0.35">
      <c r="I20793" s="63"/>
      <c r="J20793" s="63"/>
    </row>
    <row r="20794" spans="9:10" x14ac:dyDescent="0.35">
      <c r="I20794" s="63"/>
      <c r="J20794" s="63"/>
    </row>
    <row r="20795" spans="9:10" x14ac:dyDescent="0.35">
      <c r="I20795" s="63"/>
      <c r="J20795" s="63"/>
    </row>
    <row r="20796" spans="9:10" x14ac:dyDescent="0.35">
      <c r="I20796" s="63"/>
      <c r="J20796" s="63"/>
    </row>
    <row r="20797" spans="9:10" x14ac:dyDescent="0.35">
      <c r="I20797" s="63"/>
      <c r="J20797" s="63"/>
    </row>
    <row r="20798" spans="9:10" x14ac:dyDescent="0.35">
      <c r="I20798" s="63"/>
      <c r="J20798" s="63"/>
    </row>
    <row r="20799" spans="9:10" x14ac:dyDescent="0.35">
      <c r="I20799" s="63"/>
      <c r="J20799" s="63"/>
    </row>
    <row r="20800" spans="9:10" x14ac:dyDescent="0.35">
      <c r="I20800" s="63"/>
      <c r="J20800" s="63"/>
    </row>
    <row r="20801" spans="9:10" x14ac:dyDescent="0.35">
      <c r="I20801" s="63"/>
      <c r="J20801" s="63"/>
    </row>
    <row r="20802" spans="9:10" x14ac:dyDescent="0.35">
      <c r="I20802" s="63"/>
      <c r="J20802" s="63"/>
    </row>
    <row r="20803" spans="9:10" x14ac:dyDescent="0.35">
      <c r="I20803" s="63"/>
      <c r="J20803" s="63"/>
    </row>
    <row r="20804" spans="9:10" x14ac:dyDescent="0.35">
      <c r="I20804" s="63"/>
      <c r="J20804" s="63"/>
    </row>
    <row r="20805" spans="9:10" x14ac:dyDescent="0.35">
      <c r="I20805" s="63"/>
      <c r="J20805" s="63"/>
    </row>
    <row r="20806" spans="9:10" x14ac:dyDescent="0.35">
      <c r="I20806" s="63"/>
      <c r="J20806" s="63"/>
    </row>
    <row r="20807" spans="9:10" x14ac:dyDescent="0.35">
      <c r="I20807" s="63"/>
      <c r="J20807" s="63"/>
    </row>
    <row r="20808" spans="9:10" x14ac:dyDescent="0.35">
      <c r="I20808" s="63"/>
      <c r="J20808" s="63"/>
    </row>
    <row r="20809" spans="9:10" x14ac:dyDescent="0.35">
      <c r="I20809" s="63"/>
      <c r="J20809" s="63"/>
    </row>
    <row r="20810" spans="9:10" x14ac:dyDescent="0.35">
      <c r="I20810" s="63"/>
      <c r="J20810" s="63"/>
    </row>
    <row r="20811" spans="9:10" x14ac:dyDescent="0.35">
      <c r="I20811" s="63"/>
      <c r="J20811" s="63"/>
    </row>
    <row r="20812" spans="9:10" x14ac:dyDescent="0.35">
      <c r="I20812" s="63"/>
      <c r="J20812" s="63"/>
    </row>
    <row r="20813" spans="9:10" x14ac:dyDescent="0.35">
      <c r="I20813" s="63"/>
      <c r="J20813" s="63"/>
    </row>
    <row r="20814" spans="9:10" x14ac:dyDescent="0.35">
      <c r="I20814" s="63"/>
      <c r="J20814" s="63"/>
    </row>
    <row r="20815" spans="9:10" x14ac:dyDescent="0.35">
      <c r="I20815" s="63"/>
      <c r="J20815" s="63"/>
    </row>
    <row r="20816" spans="9:10" x14ac:dyDescent="0.35">
      <c r="I20816" s="63"/>
      <c r="J20816" s="63"/>
    </row>
    <row r="20817" spans="9:10" x14ac:dyDescent="0.35">
      <c r="I20817" s="63"/>
      <c r="J20817" s="63"/>
    </row>
    <row r="20818" spans="9:10" x14ac:dyDescent="0.35">
      <c r="I20818" s="63"/>
      <c r="J20818" s="63"/>
    </row>
    <row r="20819" spans="9:10" x14ac:dyDescent="0.35">
      <c r="I20819" s="63"/>
      <c r="J20819" s="63"/>
    </row>
    <row r="20820" spans="9:10" x14ac:dyDescent="0.35">
      <c r="I20820" s="63"/>
      <c r="J20820" s="63"/>
    </row>
    <row r="20821" spans="9:10" x14ac:dyDescent="0.35">
      <c r="I20821" s="63"/>
      <c r="J20821" s="63"/>
    </row>
    <row r="20822" spans="9:10" x14ac:dyDescent="0.35">
      <c r="I20822" s="63"/>
      <c r="J20822" s="63"/>
    </row>
    <row r="20823" spans="9:10" x14ac:dyDescent="0.35">
      <c r="I20823" s="63"/>
      <c r="J20823" s="63"/>
    </row>
    <row r="20824" spans="9:10" x14ac:dyDescent="0.35">
      <c r="I20824" s="63"/>
      <c r="J20824" s="63"/>
    </row>
    <row r="20825" spans="9:10" x14ac:dyDescent="0.35">
      <c r="I20825" s="63"/>
      <c r="J20825" s="63"/>
    </row>
    <row r="20826" spans="9:10" x14ac:dyDescent="0.35">
      <c r="I20826" s="63"/>
      <c r="J20826" s="63"/>
    </row>
    <row r="20827" spans="9:10" x14ac:dyDescent="0.35">
      <c r="I20827" s="63"/>
      <c r="J20827" s="63"/>
    </row>
    <row r="20828" spans="9:10" x14ac:dyDescent="0.35">
      <c r="I20828" s="63"/>
      <c r="J20828" s="63"/>
    </row>
    <row r="20829" spans="9:10" x14ac:dyDescent="0.35">
      <c r="I20829" s="63"/>
      <c r="J20829" s="63"/>
    </row>
    <row r="20830" spans="9:10" x14ac:dyDescent="0.35">
      <c r="I20830" s="63"/>
      <c r="J20830" s="63"/>
    </row>
    <row r="20831" spans="9:10" x14ac:dyDescent="0.35">
      <c r="I20831" s="63"/>
      <c r="J20831" s="63"/>
    </row>
    <row r="20832" spans="9:10" x14ac:dyDescent="0.35">
      <c r="I20832" s="63"/>
      <c r="J20832" s="63"/>
    </row>
    <row r="20833" spans="9:10" x14ac:dyDescent="0.35">
      <c r="I20833" s="63"/>
      <c r="J20833" s="63"/>
    </row>
    <row r="20834" spans="9:10" x14ac:dyDescent="0.35">
      <c r="I20834" s="63"/>
      <c r="J20834" s="63"/>
    </row>
    <row r="20835" spans="9:10" x14ac:dyDescent="0.35">
      <c r="I20835" s="63"/>
      <c r="J20835" s="63"/>
    </row>
    <row r="20836" spans="9:10" x14ac:dyDescent="0.35">
      <c r="I20836" s="63"/>
      <c r="J20836" s="63"/>
    </row>
    <row r="20837" spans="9:10" x14ac:dyDescent="0.35">
      <c r="I20837" s="63"/>
      <c r="J20837" s="63"/>
    </row>
    <row r="20838" spans="9:10" x14ac:dyDescent="0.35">
      <c r="I20838" s="63"/>
      <c r="J20838" s="63"/>
    </row>
    <row r="20839" spans="9:10" x14ac:dyDescent="0.35">
      <c r="I20839" s="63"/>
      <c r="J20839" s="63"/>
    </row>
    <row r="20840" spans="9:10" x14ac:dyDescent="0.35">
      <c r="I20840" s="63"/>
      <c r="J20840" s="63"/>
    </row>
    <row r="20841" spans="9:10" x14ac:dyDescent="0.35">
      <c r="I20841" s="63"/>
      <c r="J20841" s="63"/>
    </row>
    <row r="20842" spans="9:10" x14ac:dyDescent="0.35">
      <c r="I20842" s="63"/>
      <c r="J20842" s="63"/>
    </row>
    <row r="20843" spans="9:10" x14ac:dyDescent="0.35">
      <c r="I20843" s="63"/>
      <c r="J20843" s="63"/>
    </row>
    <row r="20844" spans="9:10" x14ac:dyDescent="0.35">
      <c r="I20844" s="63"/>
      <c r="J20844" s="63"/>
    </row>
    <row r="20845" spans="9:10" x14ac:dyDescent="0.35">
      <c r="I20845" s="63"/>
      <c r="J20845" s="63"/>
    </row>
    <row r="20846" spans="9:10" x14ac:dyDescent="0.35">
      <c r="I20846" s="63"/>
      <c r="J20846" s="63"/>
    </row>
    <row r="20847" spans="9:10" x14ac:dyDescent="0.35">
      <c r="I20847" s="63"/>
      <c r="J20847" s="63"/>
    </row>
    <row r="20848" spans="9:10" x14ac:dyDescent="0.35">
      <c r="I20848" s="63"/>
      <c r="J20848" s="63"/>
    </row>
    <row r="20849" spans="9:10" x14ac:dyDescent="0.35">
      <c r="I20849" s="63"/>
      <c r="J20849" s="63"/>
    </row>
    <row r="20850" spans="9:10" x14ac:dyDescent="0.35">
      <c r="I20850" s="63"/>
      <c r="J20850" s="63"/>
    </row>
    <row r="20851" spans="9:10" x14ac:dyDescent="0.35">
      <c r="I20851" s="63"/>
      <c r="J20851" s="63"/>
    </row>
    <row r="20852" spans="9:10" x14ac:dyDescent="0.35">
      <c r="I20852" s="63"/>
      <c r="J20852" s="63"/>
    </row>
    <row r="20853" spans="9:10" x14ac:dyDescent="0.35">
      <c r="I20853" s="63"/>
      <c r="J20853" s="63"/>
    </row>
    <row r="20854" spans="9:10" x14ac:dyDescent="0.35">
      <c r="I20854" s="63"/>
      <c r="J20854" s="63"/>
    </row>
    <row r="20855" spans="9:10" x14ac:dyDescent="0.35">
      <c r="I20855" s="63"/>
      <c r="J20855" s="63"/>
    </row>
    <row r="20856" spans="9:10" x14ac:dyDescent="0.35">
      <c r="I20856" s="63"/>
      <c r="J20856" s="63"/>
    </row>
    <row r="20857" spans="9:10" x14ac:dyDescent="0.35">
      <c r="I20857" s="63"/>
      <c r="J20857" s="63"/>
    </row>
    <row r="20858" spans="9:10" x14ac:dyDescent="0.35">
      <c r="I20858" s="63"/>
      <c r="J20858" s="63"/>
    </row>
    <row r="20859" spans="9:10" x14ac:dyDescent="0.35">
      <c r="I20859" s="63"/>
      <c r="J20859" s="63"/>
    </row>
    <row r="20860" spans="9:10" x14ac:dyDescent="0.35">
      <c r="I20860" s="63"/>
      <c r="J20860" s="63"/>
    </row>
    <row r="20861" spans="9:10" x14ac:dyDescent="0.35">
      <c r="I20861" s="63"/>
      <c r="J20861" s="63"/>
    </row>
    <row r="20862" spans="9:10" x14ac:dyDescent="0.35">
      <c r="I20862" s="63"/>
      <c r="J20862" s="63"/>
    </row>
    <row r="20863" spans="9:10" x14ac:dyDescent="0.35">
      <c r="I20863" s="63"/>
      <c r="J20863" s="63"/>
    </row>
    <row r="20864" spans="9:10" x14ac:dyDescent="0.35">
      <c r="I20864" s="63"/>
      <c r="J20864" s="63"/>
    </row>
    <row r="20865" spans="9:10" x14ac:dyDescent="0.35">
      <c r="I20865" s="63"/>
      <c r="J20865" s="63"/>
    </row>
    <row r="20866" spans="9:10" x14ac:dyDescent="0.35">
      <c r="I20866" s="63"/>
      <c r="J20866" s="63"/>
    </row>
    <row r="20867" spans="9:10" x14ac:dyDescent="0.35">
      <c r="I20867" s="63"/>
      <c r="J20867" s="63"/>
    </row>
    <row r="20868" spans="9:10" x14ac:dyDescent="0.35">
      <c r="I20868" s="63"/>
      <c r="J20868" s="63"/>
    </row>
    <row r="20869" spans="9:10" x14ac:dyDescent="0.35">
      <c r="I20869" s="63"/>
      <c r="J20869" s="63"/>
    </row>
    <row r="20870" spans="9:10" x14ac:dyDescent="0.35">
      <c r="I20870" s="63"/>
      <c r="J20870" s="63"/>
    </row>
    <row r="20871" spans="9:10" x14ac:dyDescent="0.35">
      <c r="I20871" s="63"/>
      <c r="J20871" s="63"/>
    </row>
    <row r="20872" spans="9:10" x14ac:dyDescent="0.35">
      <c r="I20872" s="63"/>
      <c r="J20872" s="63"/>
    </row>
    <row r="20873" spans="9:10" x14ac:dyDescent="0.35">
      <c r="I20873" s="63"/>
      <c r="J20873" s="63"/>
    </row>
    <row r="20874" spans="9:10" x14ac:dyDescent="0.35">
      <c r="I20874" s="63"/>
      <c r="J20874" s="63"/>
    </row>
    <row r="20875" spans="9:10" x14ac:dyDescent="0.35">
      <c r="I20875" s="63"/>
      <c r="J20875" s="63"/>
    </row>
    <row r="20876" spans="9:10" x14ac:dyDescent="0.35">
      <c r="I20876" s="63"/>
      <c r="J20876" s="63"/>
    </row>
    <row r="20877" spans="9:10" x14ac:dyDescent="0.35">
      <c r="I20877" s="63"/>
      <c r="J20877" s="63"/>
    </row>
    <row r="20878" spans="9:10" x14ac:dyDescent="0.35">
      <c r="I20878" s="63"/>
      <c r="J20878" s="63"/>
    </row>
    <row r="20879" spans="9:10" x14ac:dyDescent="0.35">
      <c r="I20879" s="63"/>
      <c r="J20879" s="63"/>
    </row>
    <row r="20880" spans="9:10" x14ac:dyDescent="0.35">
      <c r="I20880" s="63"/>
      <c r="J20880" s="63"/>
    </row>
    <row r="20881" spans="9:10" x14ac:dyDescent="0.35">
      <c r="I20881" s="63"/>
      <c r="J20881" s="63"/>
    </row>
    <row r="20882" spans="9:10" x14ac:dyDescent="0.35">
      <c r="I20882" s="63"/>
      <c r="J20882" s="63"/>
    </row>
    <row r="20883" spans="9:10" x14ac:dyDescent="0.35">
      <c r="I20883" s="63"/>
      <c r="J20883" s="63"/>
    </row>
    <row r="20884" spans="9:10" x14ac:dyDescent="0.35">
      <c r="I20884" s="63"/>
      <c r="J20884" s="63"/>
    </row>
    <row r="20885" spans="9:10" x14ac:dyDescent="0.35">
      <c r="I20885" s="63"/>
      <c r="J20885" s="63"/>
    </row>
    <row r="20886" spans="9:10" x14ac:dyDescent="0.35">
      <c r="I20886" s="63"/>
      <c r="J20886" s="63"/>
    </row>
    <row r="20887" spans="9:10" x14ac:dyDescent="0.35">
      <c r="I20887" s="63"/>
      <c r="J20887" s="63"/>
    </row>
    <row r="20888" spans="9:10" x14ac:dyDescent="0.35">
      <c r="I20888" s="63"/>
      <c r="J20888" s="63"/>
    </row>
    <row r="20889" spans="9:10" x14ac:dyDescent="0.35">
      <c r="I20889" s="63"/>
      <c r="J20889" s="63"/>
    </row>
    <row r="20890" spans="9:10" x14ac:dyDescent="0.35">
      <c r="I20890" s="63"/>
      <c r="J20890" s="63"/>
    </row>
    <row r="20891" spans="9:10" x14ac:dyDescent="0.35">
      <c r="I20891" s="63"/>
      <c r="J20891" s="63"/>
    </row>
    <row r="20892" spans="9:10" x14ac:dyDescent="0.35">
      <c r="I20892" s="63"/>
      <c r="J20892" s="63"/>
    </row>
    <row r="20893" spans="9:10" x14ac:dyDescent="0.35">
      <c r="I20893" s="63"/>
      <c r="J20893" s="63"/>
    </row>
    <row r="20894" spans="9:10" x14ac:dyDescent="0.35">
      <c r="I20894" s="63"/>
      <c r="J20894" s="63"/>
    </row>
    <row r="20895" spans="9:10" x14ac:dyDescent="0.35">
      <c r="I20895" s="63"/>
      <c r="J20895" s="63"/>
    </row>
    <row r="20896" spans="9:10" x14ac:dyDescent="0.35">
      <c r="I20896" s="63"/>
      <c r="J20896" s="63"/>
    </row>
    <row r="20897" spans="9:10" x14ac:dyDescent="0.35">
      <c r="I20897" s="63"/>
      <c r="J20897" s="63"/>
    </row>
    <row r="20898" spans="9:10" x14ac:dyDescent="0.35">
      <c r="I20898" s="63"/>
      <c r="J20898" s="63"/>
    </row>
    <row r="20899" spans="9:10" x14ac:dyDescent="0.35">
      <c r="I20899" s="63"/>
      <c r="J20899" s="63"/>
    </row>
    <row r="20900" spans="9:10" x14ac:dyDescent="0.35">
      <c r="I20900" s="63"/>
      <c r="J20900" s="63"/>
    </row>
    <row r="20901" spans="9:10" x14ac:dyDescent="0.35">
      <c r="I20901" s="63"/>
      <c r="J20901" s="63"/>
    </row>
    <row r="20902" spans="9:10" x14ac:dyDescent="0.35">
      <c r="I20902" s="63"/>
      <c r="J20902" s="63"/>
    </row>
    <row r="20903" spans="9:10" x14ac:dyDescent="0.35">
      <c r="I20903" s="63"/>
      <c r="J20903" s="63"/>
    </row>
    <row r="20904" spans="9:10" x14ac:dyDescent="0.35">
      <c r="I20904" s="63"/>
      <c r="J20904" s="63"/>
    </row>
    <row r="20905" spans="9:10" x14ac:dyDescent="0.35">
      <c r="I20905" s="63"/>
      <c r="J20905" s="63"/>
    </row>
    <row r="20906" spans="9:10" x14ac:dyDescent="0.35">
      <c r="I20906" s="63"/>
      <c r="J20906" s="63"/>
    </row>
    <row r="20907" spans="9:10" x14ac:dyDescent="0.35">
      <c r="I20907" s="63"/>
      <c r="J20907" s="63"/>
    </row>
    <row r="20908" spans="9:10" x14ac:dyDescent="0.35">
      <c r="I20908" s="63"/>
      <c r="J20908" s="63"/>
    </row>
    <row r="20909" spans="9:10" x14ac:dyDescent="0.35">
      <c r="I20909" s="63"/>
      <c r="J20909" s="63"/>
    </row>
    <row r="20910" spans="9:10" x14ac:dyDescent="0.35">
      <c r="I20910" s="63"/>
      <c r="J20910" s="63"/>
    </row>
    <row r="20911" spans="9:10" x14ac:dyDescent="0.35">
      <c r="I20911" s="63"/>
      <c r="J20911" s="63"/>
    </row>
    <row r="20912" spans="9:10" x14ac:dyDescent="0.35">
      <c r="I20912" s="63"/>
      <c r="J20912" s="63"/>
    </row>
    <row r="20913" spans="9:10" x14ac:dyDescent="0.35">
      <c r="I20913" s="63"/>
      <c r="J20913" s="63"/>
    </row>
    <row r="20914" spans="9:10" x14ac:dyDescent="0.35">
      <c r="I20914" s="63"/>
      <c r="J20914" s="63"/>
    </row>
    <row r="20915" spans="9:10" x14ac:dyDescent="0.35">
      <c r="I20915" s="63"/>
      <c r="J20915" s="63"/>
    </row>
    <row r="20916" spans="9:10" x14ac:dyDescent="0.35">
      <c r="I20916" s="63"/>
      <c r="J20916" s="63"/>
    </row>
    <row r="20917" spans="9:10" x14ac:dyDescent="0.35">
      <c r="I20917" s="63"/>
      <c r="J20917" s="63"/>
    </row>
    <row r="20918" spans="9:10" x14ac:dyDescent="0.35">
      <c r="I20918" s="63"/>
      <c r="J20918" s="63"/>
    </row>
    <row r="20919" spans="9:10" x14ac:dyDescent="0.35">
      <c r="I20919" s="63"/>
      <c r="J20919" s="63"/>
    </row>
    <row r="20920" spans="9:10" x14ac:dyDescent="0.35">
      <c r="I20920" s="63"/>
      <c r="J20920" s="63"/>
    </row>
    <row r="20921" spans="9:10" x14ac:dyDescent="0.35">
      <c r="I20921" s="63"/>
      <c r="J20921" s="63"/>
    </row>
    <row r="20922" spans="9:10" x14ac:dyDescent="0.35">
      <c r="I20922" s="63"/>
      <c r="J20922" s="63"/>
    </row>
    <row r="20923" spans="9:10" x14ac:dyDescent="0.35">
      <c r="I20923" s="63"/>
      <c r="J20923" s="63"/>
    </row>
    <row r="20924" spans="9:10" x14ac:dyDescent="0.35">
      <c r="I20924" s="63"/>
      <c r="J20924" s="63"/>
    </row>
    <row r="20925" spans="9:10" x14ac:dyDescent="0.35">
      <c r="I20925" s="63"/>
      <c r="J20925" s="63"/>
    </row>
    <row r="20926" spans="9:10" x14ac:dyDescent="0.35">
      <c r="I20926" s="63"/>
      <c r="J20926" s="63"/>
    </row>
    <row r="20927" spans="9:10" x14ac:dyDescent="0.35">
      <c r="I20927" s="63"/>
      <c r="J20927" s="63"/>
    </row>
    <row r="20928" spans="9:10" x14ac:dyDescent="0.35">
      <c r="I20928" s="63"/>
      <c r="J20928" s="63"/>
    </row>
    <row r="20929" spans="9:10" x14ac:dyDescent="0.35">
      <c r="I20929" s="63"/>
      <c r="J20929" s="63"/>
    </row>
    <row r="20930" spans="9:10" x14ac:dyDescent="0.35">
      <c r="I20930" s="63"/>
      <c r="J20930" s="63"/>
    </row>
    <row r="20931" spans="9:10" x14ac:dyDescent="0.35">
      <c r="I20931" s="63"/>
      <c r="J20931" s="63"/>
    </row>
    <row r="20932" spans="9:10" x14ac:dyDescent="0.35">
      <c r="I20932" s="63"/>
      <c r="J20932" s="63"/>
    </row>
    <row r="20933" spans="9:10" x14ac:dyDescent="0.35">
      <c r="I20933" s="63"/>
      <c r="J20933" s="63"/>
    </row>
    <row r="20934" spans="9:10" x14ac:dyDescent="0.35">
      <c r="I20934" s="63"/>
      <c r="J20934" s="63"/>
    </row>
    <row r="20935" spans="9:10" x14ac:dyDescent="0.35">
      <c r="I20935" s="63"/>
      <c r="J20935" s="63"/>
    </row>
    <row r="20936" spans="9:10" x14ac:dyDescent="0.35">
      <c r="I20936" s="63"/>
      <c r="J20936" s="63"/>
    </row>
    <row r="20937" spans="9:10" x14ac:dyDescent="0.35">
      <c r="I20937" s="63"/>
      <c r="J20937" s="63"/>
    </row>
    <row r="20938" spans="9:10" x14ac:dyDescent="0.35">
      <c r="I20938" s="63"/>
      <c r="J20938" s="63"/>
    </row>
    <row r="20939" spans="9:10" x14ac:dyDescent="0.35">
      <c r="I20939" s="63"/>
      <c r="J20939" s="63"/>
    </row>
    <row r="20940" spans="9:10" x14ac:dyDescent="0.35">
      <c r="I20940" s="63"/>
      <c r="J20940" s="63"/>
    </row>
    <row r="20941" spans="9:10" x14ac:dyDescent="0.35">
      <c r="I20941" s="63"/>
      <c r="J20941" s="63"/>
    </row>
    <row r="20942" spans="9:10" x14ac:dyDescent="0.35">
      <c r="I20942" s="63"/>
      <c r="J20942" s="63"/>
    </row>
    <row r="20943" spans="9:10" x14ac:dyDescent="0.35">
      <c r="I20943" s="63"/>
      <c r="J20943" s="63"/>
    </row>
    <row r="20944" spans="9:10" x14ac:dyDescent="0.35">
      <c r="I20944" s="63"/>
      <c r="J20944" s="63"/>
    </row>
    <row r="20945" spans="9:10" x14ac:dyDescent="0.35">
      <c r="I20945" s="63"/>
      <c r="J20945" s="63"/>
    </row>
    <row r="20946" spans="9:10" x14ac:dyDescent="0.35">
      <c r="I20946" s="63"/>
      <c r="J20946" s="63"/>
    </row>
    <row r="20947" spans="9:10" x14ac:dyDescent="0.35">
      <c r="I20947" s="63"/>
      <c r="J20947" s="63"/>
    </row>
    <row r="20948" spans="9:10" x14ac:dyDescent="0.35">
      <c r="I20948" s="63"/>
      <c r="J20948" s="63"/>
    </row>
    <row r="20949" spans="9:10" x14ac:dyDescent="0.35">
      <c r="I20949" s="63"/>
      <c r="J20949" s="63"/>
    </row>
    <row r="20950" spans="9:10" x14ac:dyDescent="0.35">
      <c r="I20950" s="63"/>
      <c r="J20950" s="63"/>
    </row>
    <row r="20951" spans="9:10" x14ac:dyDescent="0.35">
      <c r="I20951" s="63"/>
      <c r="J20951" s="63"/>
    </row>
    <row r="20952" spans="9:10" x14ac:dyDescent="0.35">
      <c r="I20952" s="63"/>
      <c r="J20952" s="63"/>
    </row>
    <row r="20953" spans="9:10" x14ac:dyDescent="0.35">
      <c r="I20953" s="63"/>
      <c r="J20953" s="63"/>
    </row>
    <row r="20954" spans="9:10" x14ac:dyDescent="0.35">
      <c r="I20954" s="63"/>
      <c r="J20954" s="63"/>
    </row>
    <row r="20955" spans="9:10" x14ac:dyDescent="0.35">
      <c r="I20955" s="63"/>
      <c r="J20955" s="63"/>
    </row>
    <row r="20956" spans="9:10" x14ac:dyDescent="0.35">
      <c r="I20956" s="63"/>
      <c r="J20956" s="63"/>
    </row>
    <row r="20957" spans="9:10" x14ac:dyDescent="0.35">
      <c r="I20957" s="63"/>
      <c r="J20957" s="63"/>
    </row>
    <row r="20958" spans="9:10" x14ac:dyDescent="0.35">
      <c r="I20958" s="63"/>
      <c r="J20958" s="63"/>
    </row>
    <row r="20959" spans="9:10" x14ac:dyDescent="0.35">
      <c r="I20959" s="63"/>
      <c r="J20959" s="63"/>
    </row>
    <row r="20960" spans="9:10" x14ac:dyDescent="0.35">
      <c r="I20960" s="63"/>
      <c r="J20960" s="63"/>
    </row>
    <row r="20961" spans="9:10" x14ac:dyDescent="0.35">
      <c r="I20961" s="63"/>
      <c r="J20961" s="63"/>
    </row>
    <row r="20962" spans="9:10" x14ac:dyDescent="0.35">
      <c r="I20962" s="63"/>
      <c r="J20962" s="63"/>
    </row>
    <row r="20963" spans="9:10" x14ac:dyDescent="0.35">
      <c r="I20963" s="63"/>
      <c r="J20963" s="63"/>
    </row>
    <row r="20964" spans="9:10" x14ac:dyDescent="0.35">
      <c r="I20964" s="63"/>
      <c r="J20964" s="63"/>
    </row>
    <row r="20965" spans="9:10" x14ac:dyDescent="0.35">
      <c r="I20965" s="63"/>
      <c r="J20965" s="63"/>
    </row>
    <row r="20966" spans="9:10" x14ac:dyDescent="0.35">
      <c r="I20966" s="63"/>
      <c r="J20966" s="63"/>
    </row>
    <row r="20967" spans="9:10" x14ac:dyDescent="0.35">
      <c r="I20967" s="63"/>
      <c r="J20967" s="63"/>
    </row>
    <row r="20968" spans="9:10" x14ac:dyDescent="0.35">
      <c r="I20968" s="63"/>
      <c r="J20968" s="63"/>
    </row>
    <row r="20969" spans="9:10" x14ac:dyDescent="0.35">
      <c r="I20969" s="63"/>
      <c r="J20969" s="63"/>
    </row>
    <row r="20970" spans="9:10" x14ac:dyDescent="0.35">
      <c r="I20970" s="63"/>
      <c r="J20970" s="63"/>
    </row>
    <row r="20971" spans="9:10" x14ac:dyDescent="0.35">
      <c r="I20971" s="63"/>
      <c r="J20971" s="63"/>
    </row>
    <row r="20972" spans="9:10" x14ac:dyDescent="0.35">
      <c r="I20972" s="63"/>
      <c r="J20972" s="63"/>
    </row>
    <row r="20973" spans="9:10" x14ac:dyDescent="0.35">
      <c r="I20973" s="63"/>
      <c r="J20973" s="63"/>
    </row>
    <row r="20974" spans="9:10" x14ac:dyDescent="0.35">
      <c r="I20974" s="63"/>
      <c r="J20974" s="63"/>
    </row>
    <row r="20975" spans="9:10" x14ac:dyDescent="0.35">
      <c r="I20975" s="63"/>
      <c r="J20975" s="63"/>
    </row>
    <row r="20976" spans="9:10" x14ac:dyDescent="0.35">
      <c r="I20976" s="63"/>
      <c r="J20976" s="63"/>
    </row>
    <row r="20977" spans="9:10" x14ac:dyDescent="0.35">
      <c r="I20977" s="63"/>
      <c r="J20977" s="63"/>
    </row>
    <row r="20978" spans="9:10" x14ac:dyDescent="0.35">
      <c r="I20978" s="63"/>
      <c r="J20978" s="63"/>
    </row>
    <row r="20979" spans="9:10" x14ac:dyDescent="0.35">
      <c r="I20979" s="63"/>
      <c r="J20979" s="63"/>
    </row>
    <row r="20980" spans="9:10" x14ac:dyDescent="0.35">
      <c r="I20980" s="63"/>
      <c r="J20980" s="63"/>
    </row>
    <row r="20981" spans="9:10" x14ac:dyDescent="0.35">
      <c r="I20981" s="63"/>
      <c r="J20981" s="63"/>
    </row>
    <row r="20982" spans="9:10" x14ac:dyDescent="0.35">
      <c r="I20982" s="63"/>
      <c r="J20982" s="63"/>
    </row>
    <row r="20983" spans="9:10" x14ac:dyDescent="0.35">
      <c r="I20983" s="63"/>
      <c r="J20983" s="63"/>
    </row>
    <row r="20984" spans="9:10" x14ac:dyDescent="0.35">
      <c r="I20984" s="63"/>
      <c r="J20984" s="63"/>
    </row>
    <row r="20985" spans="9:10" x14ac:dyDescent="0.35">
      <c r="I20985" s="63"/>
      <c r="J20985" s="63"/>
    </row>
    <row r="20986" spans="9:10" x14ac:dyDescent="0.35">
      <c r="I20986" s="63"/>
      <c r="J20986" s="63"/>
    </row>
    <row r="20987" spans="9:10" x14ac:dyDescent="0.35">
      <c r="I20987" s="63"/>
      <c r="J20987" s="63"/>
    </row>
    <row r="20988" spans="9:10" x14ac:dyDescent="0.35">
      <c r="I20988" s="63"/>
      <c r="J20988" s="63"/>
    </row>
    <row r="20989" spans="9:10" x14ac:dyDescent="0.35">
      <c r="I20989" s="63"/>
      <c r="J20989" s="63"/>
    </row>
    <row r="20990" spans="9:10" x14ac:dyDescent="0.35">
      <c r="I20990" s="63"/>
      <c r="J20990" s="63"/>
    </row>
    <row r="20991" spans="9:10" x14ac:dyDescent="0.35">
      <c r="I20991" s="63"/>
      <c r="J20991" s="63"/>
    </row>
    <row r="20992" spans="9:10" x14ac:dyDescent="0.35">
      <c r="I20992" s="63"/>
      <c r="J20992" s="63"/>
    </row>
    <row r="20993" spans="9:10" x14ac:dyDescent="0.35">
      <c r="I20993" s="63"/>
      <c r="J20993" s="63"/>
    </row>
    <row r="20994" spans="9:10" x14ac:dyDescent="0.35">
      <c r="I20994" s="63"/>
      <c r="J20994" s="63"/>
    </row>
    <row r="20995" spans="9:10" x14ac:dyDescent="0.35">
      <c r="I20995" s="63"/>
      <c r="J20995" s="63"/>
    </row>
    <row r="20996" spans="9:10" x14ac:dyDescent="0.35">
      <c r="I20996" s="63"/>
      <c r="J20996" s="63"/>
    </row>
    <row r="20997" spans="9:10" x14ac:dyDescent="0.35">
      <c r="I20997" s="63"/>
      <c r="J20997" s="63"/>
    </row>
    <row r="20998" spans="9:10" x14ac:dyDescent="0.35">
      <c r="I20998" s="63"/>
      <c r="J20998" s="63"/>
    </row>
    <row r="20999" spans="9:10" x14ac:dyDescent="0.35">
      <c r="I20999" s="63"/>
      <c r="J20999" s="63"/>
    </row>
    <row r="21000" spans="9:10" x14ac:dyDescent="0.35">
      <c r="I21000" s="63"/>
      <c r="J21000" s="63"/>
    </row>
    <row r="21001" spans="9:10" x14ac:dyDescent="0.35">
      <c r="I21001" s="63"/>
      <c r="J21001" s="63"/>
    </row>
    <row r="21002" spans="9:10" x14ac:dyDescent="0.35">
      <c r="I21002" s="63"/>
      <c r="J21002" s="63"/>
    </row>
    <row r="21003" spans="9:10" x14ac:dyDescent="0.35">
      <c r="I21003" s="63"/>
      <c r="J21003" s="63"/>
    </row>
    <row r="21004" spans="9:10" x14ac:dyDescent="0.35">
      <c r="I21004" s="63"/>
      <c r="J21004" s="63"/>
    </row>
    <row r="21005" spans="9:10" x14ac:dyDescent="0.35">
      <c r="I21005" s="63"/>
      <c r="J21005" s="63"/>
    </row>
    <row r="21006" spans="9:10" x14ac:dyDescent="0.35">
      <c r="I21006" s="63"/>
      <c r="J21006" s="63"/>
    </row>
    <row r="21007" spans="9:10" x14ac:dyDescent="0.35">
      <c r="I21007" s="63"/>
      <c r="J21007" s="63"/>
    </row>
    <row r="21008" spans="9:10" x14ac:dyDescent="0.35">
      <c r="I21008" s="63"/>
      <c r="J21008" s="63"/>
    </row>
    <row r="21009" spans="9:10" x14ac:dyDescent="0.35">
      <c r="I21009" s="63"/>
      <c r="J21009" s="63"/>
    </row>
    <row r="21010" spans="9:10" x14ac:dyDescent="0.35">
      <c r="I21010" s="63"/>
      <c r="J21010" s="63"/>
    </row>
    <row r="21011" spans="9:10" x14ac:dyDescent="0.35">
      <c r="I21011" s="63"/>
      <c r="J21011" s="63"/>
    </row>
    <row r="21012" spans="9:10" x14ac:dyDescent="0.35">
      <c r="I21012" s="63"/>
      <c r="J21012" s="63"/>
    </row>
    <row r="21013" spans="9:10" x14ac:dyDescent="0.35">
      <c r="I21013" s="63"/>
      <c r="J21013" s="63"/>
    </row>
    <row r="21014" spans="9:10" x14ac:dyDescent="0.35">
      <c r="I21014" s="63"/>
      <c r="J21014" s="63"/>
    </row>
    <row r="21015" spans="9:10" x14ac:dyDescent="0.35">
      <c r="I21015" s="63"/>
      <c r="J21015" s="63"/>
    </row>
    <row r="21016" spans="9:10" x14ac:dyDescent="0.35">
      <c r="I21016" s="63"/>
      <c r="J21016" s="63"/>
    </row>
    <row r="21017" spans="9:10" x14ac:dyDescent="0.35">
      <c r="I21017" s="63"/>
      <c r="J21017" s="63"/>
    </row>
    <row r="21018" spans="9:10" x14ac:dyDescent="0.35">
      <c r="I21018" s="63"/>
      <c r="J21018" s="63"/>
    </row>
    <row r="21019" spans="9:10" x14ac:dyDescent="0.35">
      <c r="I21019" s="63"/>
      <c r="J21019" s="63"/>
    </row>
    <row r="21020" spans="9:10" x14ac:dyDescent="0.35">
      <c r="I21020" s="63"/>
      <c r="J21020" s="63"/>
    </row>
    <row r="21021" spans="9:10" x14ac:dyDescent="0.35">
      <c r="I21021" s="63"/>
      <c r="J21021" s="63"/>
    </row>
    <row r="21022" spans="9:10" x14ac:dyDescent="0.35">
      <c r="I21022" s="63"/>
      <c r="J21022" s="63"/>
    </row>
    <row r="21023" spans="9:10" x14ac:dyDescent="0.35">
      <c r="I21023" s="63"/>
      <c r="J21023" s="63"/>
    </row>
    <row r="21024" spans="9:10" x14ac:dyDescent="0.35">
      <c r="I21024" s="63"/>
      <c r="J21024" s="63"/>
    </row>
    <row r="21025" spans="9:10" x14ac:dyDescent="0.35">
      <c r="I21025" s="63"/>
      <c r="J21025" s="63"/>
    </row>
    <row r="21026" spans="9:10" x14ac:dyDescent="0.35">
      <c r="I21026" s="63"/>
      <c r="J21026" s="63"/>
    </row>
    <row r="21027" spans="9:10" x14ac:dyDescent="0.35">
      <c r="I21027" s="63"/>
      <c r="J21027" s="63"/>
    </row>
    <row r="21028" spans="9:10" x14ac:dyDescent="0.35">
      <c r="I21028" s="63"/>
      <c r="J21028" s="63"/>
    </row>
    <row r="21029" spans="9:10" x14ac:dyDescent="0.35">
      <c r="I21029" s="63"/>
      <c r="J21029" s="63"/>
    </row>
    <row r="21030" spans="9:10" x14ac:dyDescent="0.35">
      <c r="I21030" s="63"/>
      <c r="J21030" s="63"/>
    </row>
    <row r="21031" spans="9:10" x14ac:dyDescent="0.35">
      <c r="I21031" s="63"/>
      <c r="J21031" s="63"/>
    </row>
    <row r="21032" spans="9:10" x14ac:dyDescent="0.35">
      <c r="I21032" s="63"/>
      <c r="J21032" s="63"/>
    </row>
    <row r="21033" spans="9:10" x14ac:dyDescent="0.35">
      <c r="I21033" s="63"/>
      <c r="J21033" s="63"/>
    </row>
    <row r="21034" spans="9:10" x14ac:dyDescent="0.35">
      <c r="I21034" s="63"/>
      <c r="J21034" s="63"/>
    </row>
    <row r="21035" spans="9:10" x14ac:dyDescent="0.35">
      <c r="I21035" s="63"/>
      <c r="J21035" s="63"/>
    </row>
    <row r="21036" spans="9:10" x14ac:dyDescent="0.35">
      <c r="I21036" s="63"/>
      <c r="J21036" s="63"/>
    </row>
    <row r="21037" spans="9:10" x14ac:dyDescent="0.35">
      <c r="I21037" s="63"/>
      <c r="J21037" s="63"/>
    </row>
    <row r="21038" spans="9:10" x14ac:dyDescent="0.35">
      <c r="I21038" s="63"/>
      <c r="J21038" s="63"/>
    </row>
    <row r="21039" spans="9:10" x14ac:dyDescent="0.35">
      <c r="I21039" s="63"/>
      <c r="J21039" s="63"/>
    </row>
    <row r="21040" spans="9:10" x14ac:dyDescent="0.35">
      <c r="I21040" s="63"/>
      <c r="J21040" s="63"/>
    </row>
    <row r="21041" spans="9:10" x14ac:dyDescent="0.35">
      <c r="I21041" s="63"/>
      <c r="J21041" s="63"/>
    </row>
    <row r="21042" spans="9:10" x14ac:dyDescent="0.35">
      <c r="I21042" s="63"/>
      <c r="J21042" s="63"/>
    </row>
    <row r="21043" spans="9:10" x14ac:dyDescent="0.35">
      <c r="I21043" s="63"/>
      <c r="J21043" s="63"/>
    </row>
    <row r="21044" spans="9:10" x14ac:dyDescent="0.35">
      <c r="I21044" s="63"/>
      <c r="J21044" s="63"/>
    </row>
    <row r="21045" spans="9:10" x14ac:dyDescent="0.35">
      <c r="I21045" s="63"/>
      <c r="J21045" s="63"/>
    </row>
    <row r="21046" spans="9:10" x14ac:dyDescent="0.35">
      <c r="I21046" s="63"/>
      <c r="J21046" s="63"/>
    </row>
    <row r="21047" spans="9:10" x14ac:dyDescent="0.35">
      <c r="I21047" s="63"/>
      <c r="J21047" s="63"/>
    </row>
    <row r="21048" spans="9:10" x14ac:dyDescent="0.35">
      <c r="I21048" s="63"/>
      <c r="J21048" s="63"/>
    </row>
    <row r="21049" spans="9:10" x14ac:dyDescent="0.35">
      <c r="I21049" s="63"/>
      <c r="J21049" s="63"/>
    </row>
    <row r="21050" spans="9:10" x14ac:dyDescent="0.35">
      <c r="I21050" s="63"/>
      <c r="J21050" s="63"/>
    </row>
    <row r="21051" spans="9:10" x14ac:dyDescent="0.35">
      <c r="I21051" s="63"/>
      <c r="J21051" s="63"/>
    </row>
    <row r="21052" spans="9:10" x14ac:dyDescent="0.35">
      <c r="I21052" s="63"/>
      <c r="J21052" s="63"/>
    </row>
    <row r="21053" spans="9:10" x14ac:dyDescent="0.35">
      <c r="I21053" s="63"/>
      <c r="J21053" s="63"/>
    </row>
    <row r="21054" spans="9:10" x14ac:dyDescent="0.35">
      <c r="I21054" s="63"/>
      <c r="J21054" s="63"/>
    </row>
    <row r="21055" spans="9:10" x14ac:dyDescent="0.35">
      <c r="I21055" s="63"/>
      <c r="J21055" s="63"/>
    </row>
    <row r="21056" spans="9:10" x14ac:dyDescent="0.35">
      <c r="I21056" s="63"/>
      <c r="J21056" s="63"/>
    </row>
    <row r="21057" spans="9:10" x14ac:dyDescent="0.35">
      <c r="I21057" s="63"/>
      <c r="J21057" s="63"/>
    </row>
    <row r="21058" spans="9:10" x14ac:dyDescent="0.35">
      <c r="I21058" s="63"/>
      <c r="J21058" s="63"/>
    </row>
    <row r="21059" spans="9:10" x14ac:dyDescent="0.35">
      <c r="I21059" s="63"/>
      <c r="J21059" s="63"/>
    </row>
    <row r="21060" spans="9:10" x14ac:dyDescent="0.35">
      <c r="I21060" s="63"/>
      <c r="J21060" s="63"/>
    </row>
    <row r="21061" spans="9:10" x14ac:dyDescent="0.35">
      <c r="I21061" s="63"/>
      <c r="J21061" s="63"/>
    </row>
    <row r="21062" spans="9:10" x14ac:dyDescent="0.35">
      <c r="I21062" s="63"/>
      <c r="J21062" s="63"/>
    </row>
    <row r="21063" spans="9:10" x14ac:dyDescent="0.35">
      <c r="I21063" s="63"/>
      <c r="J21063" s="63"/>
    </row>
    <row r="21064" spans="9:10" x14ac:dyDescent="0.35">
      <c r="I21064" s="63"/>
      <c r="J21064" s="63"/>
    </row>
    <row r="21065" spans="9:10" x14ac:dyDescent="0.35">
      <c r="I21065" s="63"/>
      <c r="J21065" s="63"/>
    </row>
    <row r="21066" spans="9:10" x14ac:dyDescent="0.35">
      <c r="I21066" s="63"/>
      <c r="J21066" s="63"/>
    </row>
    <row r="21067" spans="9:10" x14ac:dyDescent="0.35">
      <c r="I21067" s="63"/>
      <c r="J21067" s="63"/>
    </row>
    <row r="21068" spans="9:10" x14ac:dyDescent="0.35">
      <c r="I21068" s="63"/>
      <c r="J21068" s="63"/>
    </row>
    <row r="21069" spans="9:10" x14ac:dyDescent="0.35">
      <c r="I21069" s="63"/>
      <c r="J21069" s="63"/>
    </row>
    <row r="21070" spans="9:10" x14ac:dyDescent="0.35">
      <c r="I21070" s="63"/>
      <c r="J21070" s="63"/>
    </row>
    <row r="21071" spans="9:10" x14ac:dyDescent="0.35">
      <c r="I21071" s="63"/>
      <c r="J21071" s="63"/>
    </row>
    <row r="21072" spans="9:10" x14ac:dyDescent="0.35">
      <c r="I21072" s="63"/>
      <c r="J21072" s="63"/>
    </row>
    <row r="21073" spans="9:10" x14ac:dyDescent="0.35">
      <c r="I21073" s="63"/>
      <c r="J21073" s="63"/>
    </row>
    <row r="21074" spans="9:10" x14ac:dyDescent="0.35">
      <c r="I21074" s="63"/>
      <c r="J21074" s="63"/>
    </row>
    <row r="21075" spans="9:10" x14ac:dyDescent="0.35">
      <c r="I21075" s="63"/>
      <c r="J21075" s="63"/>
    </row>
    <row r="21076" spans="9:10" x14ac:dyDescent="0.35">
      <c r="I21076" s="63"/>
      <c r="J21076" s="63"/>
    </row>
    <row r="21077" spans="9:10" x14ac:dyDescent="0.35">
      <c r="I21077" s="63"/>
      <c r="J21077" s="63"/>
    </row>
    <row r="21078" spans="9:10" x14ac:dyDescent="0.35">
      <c r="I21078" s="63"/>
      <c r="J21078" s="63"/>
    </row>
    <row r="21079" spans="9:10" x14ac:dyDescent="0.35">
      <c r="I21079" s="63"/>
      <c r="J21079" s="63"/>
    </row>
    <row r="21080" spans="9:10" x14ac:dyDescent="0.35">
      <c r="I21080" s="63"/>
      <c r="J21080" s="63"/>
    </row>
    <row r="21081" spans="9:10" x14ac:dyDescent="0.35">
      <c r="I21081" s="63"/>
      <c r="J21081" s="63"/>
    </row>
    <row r="21082" spans="9:10" x14ac:dyDescent="0.35">
      <c r="I21082" s="63"/>
      <c r="J21082" s="63"/>
    </row>
    <row r="21083" spans="9:10" x14ac:dyDescent="0.35">
      <c r="I21083" s="63"/>
      <c r="J21083" s="63"/>
    </row>
    <row r="21084" spans="9:10" x14ac:dyDescent="0.35">
      <c r="I21084" s="63"/>
      <c r="J21084" s="63"/>
    </row>
    <row r="21085" spans="9:10" x14ac:dyDescent="0.35">
      <c r="I21085" s="63"/>
      <c r="J21085" s="63"/>
    </row>
    <row r="21086" spans="9:10" x14ac:dyDescent="0.35">
      <c r="I21086" s="63"/>
      <c r="J21086" s="63"/>
    </row>
    <row r="21087" spans="9:10" x14ac:dyDescent="0.35">
      <c r="I21087" s="63"/>
      <c r="J21087" s="63"/>
    </row>
    <row r="21088" spans="9:10" x14ac:dyDescent="0.35">
      <c r="I21088" s="63"/>
      <c r="J21088" s="63"/>
    </row>
    <row r="21089" spans="9:10" x14ac:dyDescent="0.35">
      <c r="I21089" s="63"/>
      <c r="J21089" s="63"/>
    </row>
    <row r="21090" spans="9:10" x14ac:dyDescent="0.35">
      <c r="I21090" s="63"/>
      <c r="J21090" s="63"/>
    </row>
    <row r="21091" spans="9:10" x14ac:dyDescent="0.35">
      <c r="I21091" s="63"/>
      <c r="J21091" s="63"/>
    </row>
    <row r="21092" spans="9:10" x14ac:dyDescent="0.35">
      <c r="I21092" s="63"/>
      <c r="J21092" s="63"/>
    </row>
    <row r="21093" spans="9:10" x14ac:dyDescent="0.35">
      <c r="I21093" s="63"/>
      <c r="J21093" s="63"/>
    </row>
    <row r="21094" spans="9:10" x14ac:dyDescent="0.35">
      <c r="I21094" s="63"/>
      <c r="J21094" s="63"/>
    </row>
    <row r="21095" spans="9:10" x14ac:dyDescent="0.35">
      <c r="I21095" s="63"/>
      <c r="J21095" s="63"/>
    </row>
    <row r="21096" spans="9:10" x14ac:dyDescent="0.35">
      <c r="I21096" s="63"/>
      <c r="J21096" s="63"/>
    </row>
    <row r="21097" spans="9:10" x14ac:dyDescent="0.35">
      <c r="I21097" s="63"/>
      <c r="J21097" s="63"/>
    </row>
    <row r="21098" spans="9:10" x14ac:dyDescent="0.35">
      <c r="I21098" s="63"/>
      <c r="J21098" s="63"/>
    </row>
    <row r="21099" spans="9:10" x14ac:dyDescent="0.35">
      <c r="I21099" s="63"/>
      <c r="J21099" s="63"/>
    </row>
    <row r="21100" spans="9:10" x14ac:dyDescent="0.35">
      <c r="I21100" s="63"/>
      <c r="J21100" s="63"/>
    </row>
    <row r="21101" spans="9:10" x14ac:dyDescent="0.35">
      <c r="I21101" s="63"/>
      <c r="J21101" s="63"/>
    </row>
    <row r="21102" spans="9:10" x14ac:dyDescent="0.35">
      <c r="I21102" s="63"/>
      <c r="J21102" s="63"/>
    </row>
    <row r="21103" spans="9:10" x14ac:dyDescent="0.35">
      <c r="I21103" s="63"/>
      <c r="J21103" s="63"/>
    </row>
    <row r="21104" spans="9:10" x14ac:dyDescent="0.35">
      <c r="I21104" s="63"/>
      <c r="J21104" s="63"/>
    </row>
    <row r="21105" spans="9:10" x14ac:dyDescent="0.35">
      <c r="I21105" s="63"/>
      <c r="J21105" s="63"/>
    </row>
    <row r="21106" spans="9:10" x14ac:dyDescent="0.35">
      <c r="I21106" s="63"/>
      <c r="J21106" s="63"/>
    </row>
    <row r="21107" spans="9:10" x14ac:dyDescent="0.35">
      <c r="I21107" s="63"/>
      <c r="J21107" s="63"/>
    </row>
    <row r="21108" spans="9:10" x14ac:dyDescent="0.35">
      <c r="I21108" s="63"/>
      <c r="J21108" s="63"/>
    </row>
    <row r="21109" spans="9:10" x14ac:dyDescent="0.35">
      <c r="I21109" s="63"/>
      <c r="J21109" s="63"/>
    </row>
    <row r="21110" spans="9:10" x14ac:dyDescent="0.35">
      <c r="I21110" s="63"/>
      <c r="J21110" s="63"/>
    </row>
    <row r="21111" spans="9:10" x14ac:dyDescent="0.35">
      <c r="I21111" s="63"/>
      <c r="J21111" s="63"/>
    </row>
    <row r="21112" spans="9:10" x14ac:dyDescent="0.35">
      <c r="I21112" s="63"/>
      <c r="J21112" s="63"/>
    </row>
    <row r="21113" spans="9:10" x14ac:dyDescent="0.35">
      <c r="I21113" s="63"/>
      <c r="J21113" s="63"/>
    </row>
    <row r="21114" spans="9:10" x14ac:dyDescent="0.35">
      <c r="I21114" s="63"/>
      <c r="J21114" s="63"/>
    </row>
    <row r="21115" spans="9:10" x14ac:dyDescent="0.35">
      <c r="I21115" s="63"/>
      <c r="J21115" s="63"/>
    </row>
    <row r="21116" spans="9:10" x14ac:dyDescent="0.35">
      <c r="I21116" s="63"/>
      <c r="J21116" s="63"/>
    </row>
    <row r="21117" spans="9:10" x14ac:dyDescent="0.35">
      <c r="I21117" s="63"/>
      <c r="J21117" s="63"/>
    </row>
    <row r="21118" spans="9:10" x14ac:dyDescent="0.35">
      <c r="I21118" s="63"/>
      <c r="J21118" s="63"/>
    </row>
    <row r="21119" spans="9:10" x14ac:dyDescent="0.35">
      <c r="I21119" s="63"/>
      <c r="J21119" s="63"/>
    </row>
    <row r="21120" spans="9:10" x14ac:dyDescent="0.35">
      <c r="I21120" s="63"/>
      <c r="J21120" s="63"/>
    </row>
    <row r="21121" spans="9:10" x14ac:dyDescent="0.35">
      <c r="I21121" s="63"/>
      <c r="J21121" s="63"/>
    </row>
    <row r="21122" spans="9:10" x14ac:dyDescent="0.35">
      <c r="I21122" s="63"/>
      <c r="J21122" s="63"/>
    </row>
    <row r="21123" spans="9:10" x14ac:dyDescent="0.35">
      <c r="I21123" s="63"/>
      <c r="J21123" s="63"/>
    </row>
    <row r="21124" spans="9:10" x14ac:dyDescent="0.35">
      <c r="I21124" s="63"/>
      <c r="J21124" s="63"/>
    </row>
    <row r="21125" spans="9:10" x14ac:dyDescent="0.35">
      <c r="I21125" s="63"/>
      <c r="J21125" s="63"/>
    </row>
    <row r="21126" spans="9:10" x14ac:dyDescent="0.35">
      <c r="I21126" s="63"/>
      <c r="J21126" s="63"/>
    </row>
    <row r="21127" spans="9:10" x14ac:dyDescent="0.35">
      <c r="I21127" s="63"/>
      <c r="J21127" s="63"/>
    </row>
    <row r="21128" spans="9:10" x14ac:dyDescent="0.35">
      <c r="I21128" s="63"/>
      <c r="J21128" s="63"/>
    </row>
    <row r="21129" spans="9:10" x14ac:dyDescent="0.35">
      <c r="I21129" s="63"/>
      <c r="J21129" s="63"/>
    </row>
    <row r="21130" spans="9:10" x14ac:dyDescent="0.35">
      <c r="I21130" s="63"/>
      <c r="J21130" s="63"/>
    </row>
    <row r="21131" spans="9:10" x14ac:dyDescent="0.35">
      <c r="I21131" s="63"/>
      <c r="J21131" s="63"/>
    </row>
    <row r="21132" spans="9:10" x14ac:dyDescent="0.35">
      <c r="I21132" s="63"/>
      <c r="J21132" s="63"/>
    </row>
    <row r="21133" spans="9:10" x14ac:dyDescent="0.35">
      <c r="I21133" s="63"/>
      <c r="J21133" s="63"/>
    </row>
    <row r="21134" spans="9:10" x14ac:dyDescent="0.35">
      <c r="I21134" s="63"/>
      <c r="J21134" s="63"/>
    </row>
    <row r="21135" spans="9:10" x14ac:dyDescent="0.35">
      <c r="I21135" s="63"/>
      <c r="J21135" s="63"/>
    </row>
    <row r="21136" spans="9:10" x14ac:dyDescent="0.35">
      <c r="I21136" s="63"/>
      <c r="J21136" s="63"/>
    </row>
    <row r="21137" spans="9:10" x14ac:dyDescent="0.35">
      <c r="I21137" s="63"/>
      <c r="J21137" s="63"/>
    </row>
    <row r="21138" spans="9:10" x14ac:dyDescent="0.35">
      <c r="I21138" s="63"/>
      <c r="J21138" s="63"/>
    </row>
    <row r="21139" spans="9:10" x14ac:dyDescent="0.35">
      <c r="I21139" s="63"/>
      <c r="J21139" s="63"/>
    </row>
    <row r="21140" spans="9:10" x14ac:dyDescent="0.35">
      <c r="I21140" s="63"/>
      <c r="J21140" s="63"/>
    </row>
    <row r="21141" spans="9:10" x14ac:dyDescent="0.35">
      <c r="I21141" s="63"/>
      <c r="J21141" s="63"/>
    </row>
    <row r="21142" spans="9:10" x14ac:dyDescent="0.35">
      <c r="I21142" s="63"/>
      <c r="J21142" s="63"/>
    </row>
    <row r="21143" spans="9:10" x14ac:dyDescent="0.35">
      <c r="I21143" s="63"/>
      <c r="J21143" s="63"/>
    </row>
    <row r="21144" spans="9:10" x14ac:dyDescent="0.35">
      <c r="I21144" s="63"/>
      <c r="J21144" s="63"/>
    </row>
    <row r="21145" spans="9:10" x14ac:dyDescent="0.35">
      <c r="I21145" s="63"/>
      <c r="J21145" s="63"/>
    </row>
    <row r="21146" spans="9:10" x14ac:dyDescent="0.35">
      <c r="I21146" s="63"/>
      <c r="J21146" s="63"/>
    </row>
    <row r="21147" spans="9:10" x14ac:dyDescent="0.35">
      <c r="I21147" s="63"/>
      <c r="J21147" s="63"/>
    </row>
    <row r="21148" spans="9:10" x14ac:dyDescent="0.35">
      <c r="I21148" s="63"/>
      <c r="J21148" s="63"/>
    </row>
    <row r="21149" spans="9:10" x14ac:dyDescent="0.35">
      <c r="I21149" s="63"/>
      <c r="J21149" s="63"/>
    </row>
    <row r="21150" spans="9:10" x14ac:dyDescent="0.35">
      <c r="I21150" s="63"/>
      <c r="J21150" s="63"/>
    </row>
    <row r="21151" spans="9:10" x14ac:dyDescent="0.35">
      <c r="I21151" s="63"/>
      <c r="J21151" s="63"/>
    </row>
    <row r="21152" spans="9:10" x14ac:dyDescent="0.35">
      <c r="I21152" s="63"/>
      <c r="J21152" s="63"/>
    </row>
    <row r="21153" spans="9:10" x14ac:dyDescent="0.35">
      <c r="I21153" s="63"/>
      <c r="J21153" s="63"/>
    </row>
    <row r="21154" spans="9:10" x14ac:dyDescent="0.35">
      <c r="I21154" s="63"/>
      <c r="J21154" s="63"/>
    </row>
    <row r="21155" spans="9:10" x14ac:dyDescent="0.35">
      <c r="I21155" s="63"/>
      <c r="J21155" s="63"/>
    </row>
    <row r="21156" spans="9:10" x14ac:dyDescent="0.35">
      <c r="I21156" s="63"/>
      <c r="J21156" s="63"/>
    </row>
    <row r="21157" spans="9:10" x14ac:dyDescent="0.35">
      <c r="I21157" s="63"/>
      <c r="J21157" s="63"/>
    </row>
    <row r="21158" spans="9:10" x14ac:dyDescent="0.35">
      <c r="I21158" s="63"/>
      <c r="J21158" s="63"/>
    </row>
    <row r="21159" spans="9:10" x14ac:dyDescent="0.35">
      <c r="I21159" s="63"/>
      <c r="J21159" s="63"/>
    </row>
    <row r="21160" spans="9:10" x14ac:dyDescent="0.35">
      <c r="I21160" s="63"/>
      <c r="J21160" s="63"/>
    </row>
    <row r="21161" spans="9:10" x14ac:dyDescent="0.35">
      <c r="I21161" s="63"/>
      <c r="J21161" s="63"/>
    </row>
    <row r="21162" spans="9:10" x14ac:dyDescent="0.35">
      <c r="I21162" s="63"/>
      <c r="J21162" s="63"/>
    </row>
    <row r="21163" spans="9:10" x14ac:dyDescent="0.35">
      <c r="I21163" s="63"/>
      <c r="J21163" s="63"/>
    </row>
    <row r="21164" spans="9:10" x14ac:dyDescent="0.35">
      <c r="I21164" s="63"/>
      <c r="J21164" s="63"/>
    </row>
    <row r="21165" spans="9:10" x14ac:dyDescent="0.35">
      <c r="I21165" s="63"/>
      <c r="J21165" s="63"/>
    </row>
    <row r="21166" spans="9:10" x14ac:dyDescent="0.35">
      <c r="I21166" s="63"/>
      <c r="J21166" s="63"/>
    </row>
    <row r="21167" spans="9:10" x14ac:dyDescent="0.35">
      <c r="I21167" s="63"/>
      <c r="J21167" s="63"/>
    </row>
    <row r="21168" spans="9:10" x14ac:dyDescent="0.35">
      <c r="I21168" s="63"/>
      <c r="J21168" s="63"/>
    </row>
    <row r="21169" spans="9:10" x14ac:dyDescent="0.35">
      <c r="I21169" s="63"/>
      <c r="J21169" s="63"/>
    </row>
    <row r="21170" spans="9:10" x14ac:dyDescent="0.35">
      <c r="I21170" s="63"/>
      <c r="J21170" s="63"/>
    </row>
    <row r="21171" spans="9:10" x14ac:dyDescent="0.35">
      <c r="I21171" s="63"/>
      <c r="J21171" s="63"/>
    </row>
    <row r="21172" spans="9:10" x14ac:dyDescent="0.35">
      <c r="I21172" s="63"/>
      <c r="J21172" s="63"/>
    </row>
    <row r="21173" spans="9:10" x14ac:dyDescent="0.35">
      <c r="I21173" s="63"/>
      <c r="J21173" s="63"/>
    </row>
    <row r="21174" spans="9:10" x14ac:dyDescent="0.35">
      <c r="I21174" s="63"/>
      <c r="J21174" s="63"/>
    </row>
    <row r="21175" spans="9:10" x14ac:dyDescent="0.35">
      <c r="I21175" s="63"/>
      <c r="J21175" s="63"/>
    </row>
    <row r="21176" spans="9:10" x14ac:dyDescent="0.35">
      <c r="I21176" s="63"/>
      <c r="J21176" s="63"/>
    </row>
    <row r="21177" spans="9:10" x14ac:dyDescent="0.35">
      <c r="I21177" s="63"/>
      <c r="J21177" s="63"/>
    </row>
    <row r="21178" spans="9:10" x14ac:dyDescent="0.35">
      <c r="I21178" s="63"/>
      <c r="J21178" s="63"/>
    </row>
    <row r="21179" spans="9:10" x14ac:dyDescent="0.35">
      <c r="I21179" s="63"/>
      <c r="J21179" s="63"/>
    </row>
    <row r="21180" spans="9:10" x14ac:dyDescent="0.35">
      <c r="I21180" s="63"/>
      <c r="J21180" s="63"/>
    </row>
    <row r="21181" spans="9:10" x14ac:dyDescent="0.35">
      <c r="I21181" s="63"/>
      <c r="J21181" s="63"/>
    </row>
    <row r="21182" spans="9:10" x14ac:dyDescent="0.35">
      <c r="I21182" s="63"/>
      <c r="J21182" s="63"/>
    </row>
    <row r="21183" spans="9:10" x14ac:dyDescent="0.35">
      <c r="I21183" s="63"/>
      <c r="J21183" s="63"/>
    </row>
    <row r="21184" spans="9:10" x14ac:dyDescent="0.35">
      <c r="I21184" s="63"/>
      <c r="J21184" s="63"/>
    </row>
    <row r="21185" spans="9:10" x14ac:dyDescent="0.35">
      <c r="I21185" s="63"/>
      <c r="J21185" s="63"/>
    </row>
    <row r="21186" spans="9:10" x14ac:dyDescent="0.35">
      <c r="I21186" s="63"/>
      <c r="J21186" s="63"/>
    </row>
    <row r="21187" spans="9:10" x14ac:dyDescent="0.35">
      <c r="I21187" s="63"/>
      <c r="J21187" s="63"/>
    </row>
    <row r="21188" spans="9:10" x14ac:dyDescent="0.35">
      <c r="I21188" s="63"/>
      <c r="J21188" s="63"/>
    </row>
    <row r="21189" spans="9:10" x14ac:dyDescent="0.35">
      <c r="I21189" s="63"/>
      <c r="J21189" s="63"/>
    </row>
    <row r="21190" spans="9:10" x14ac:dyDescent="0.35">
      <c r="I21190" s="63"/>
      <c r="J21190" s="63"/>
    </row>
    <row r="21191" spans="9:10" x14ac:dyDescent="0.35">
      <c r="I21191" s="63"/>
      <c r="J21191" s="63"/>
    </row>
    <row r="21192" spans="9:10" x14ac:dyDescent="0.35">
      <c r="I21192" s="63"/>
      <c r="J21192" s="63"/>
    </row>
    <row r="21193" spans="9:10" x14ac:dyDescent="0.35">
      <c r="I21193" s="63"/>
      <c r="J21193" s="63"/>
    </row>
    <row r="21194" spans="9:10" x14ac:dyDescent="0.35">
      <c r="I21194" s="63"/>
      <c r="J21194" s="63"/>
    </row>
    <row r="21195" spans="9:10" x14ac:dyDescent="0.35">
      <c r="I21195" s="63"/>
      <c r="J21195" s="63"/>
    </row>
    <row r="21196" spans="9:10" x14ac:dyDescent="0.35">
      <c r="I21196" s="63"/>
      <c r="J21196" s="63"/>
    </row>
    <row r="21197" spans="9:10" x14ac:dyDescent="0.35">
      <c r="I21197" s="63"/>
      <c r="J21197" s="63"/>
    </row>
    <row r="21198" spans="9:10" x14ac:dyDescent="0.35">
      <c r="I21198" s="63"/>
      <c r="J21198" s="63"/>
    </row>
    <row r="21199" spans="9:10" x14ac:dyDescent="0.35">
      <c r="I21199" s="63"/>
      <c r="J21199" s="63"/>
    </row>
    <row r="21200" spans="9:10" x14ac:dyDescent="0.35">
      <c r="I21200" s="63"/>
      <c r="J21200" s="63"/>
    </row>
    <row r="21201" spans="9:10" x14ac:dyDescent="0.35">
      <c r="I21201" s="63"/>
      <c r="J21201" s="63"/>
    </row>
    <row r="21202" spans="9:10" x14ac:dyDescent="0.35">
      <c r="I21202" s="63"/>
      <c r="J21202" s="63"/>
    </row>
    <row r="21203" spans="9:10" x14ac:dyDescent="0.35">
      <c r="I21203" s="63"/>
      <c r="J21203" s="63"/>
    </row>
    <row r="21204" spans="9:10" x14ac:dyDescent="0.35">
      <c r="I21204" s="63"/>
      <c r="J21204" s="63"/>
    </row>
    <row r="21205" spans="9:10" x14ac:dyDescent="0.35">
      <c r="I21205" s="63"/>
      <c r="J21205" s="63"/>
    </row>
    <row r="21206" spans="9:10" x14ac:dyDescent="0.35">
      <c r="I21206" s="63"/>
      <c r="J21206" s="63"/>
    </row>
    <row r="21207" spans="9:10" x14ac:dyDescent="0.35">
      <c r="I21207" s="63"/>
      <c r="J21207" s="63"/>
    </row>
    <row r="21208" spans="9:10" x14ac:dyDescent="0.35">
      <c r="I21208" s="63"/>
      <c r="J21208" s="63"/>
    </row>
    <row r="21209" spans="9:10" x14ac:dyDescent="0.35">
      <c r="I21209" s="63"/>
      <c r="J21209" s="63"/>
    </row>
    <row r="21210" spans="9:10" x14ac:dyDescent="0.35">
      <c r="I21210" s="63"/>
      <c r="J21210" s="63"/>
    </row>
    <row r="21211" spans="9:10" x14ac:dyDescent="0.35">
      <c r="I21211" s="63"/>
      <c r="J21211" s="63"/>
    </row>
    <row r="21212" spans="9:10" x14ac:dyDescent="0.35">
      <c r="I21212" s="63"/>
      <c r="J21212" s="63"/>
    </row>
    <row r="21213" spans="9:10" x14ac:dyDescent="0.35">
      <c r="I21213" s="63"/>
      <c r="J21213" s="63"/>
    </row>
    <row r="21214" spans="9:10" x14ac:dyDescent="0.35">
      <c r="I21214" s="63"/>
      <c r="J21214" s="63"/>
    </row>
    <row r="21215" spans="9:10" x14ac:dyDescent="0.35">
      <c r="I21215" s="63"/>
      <c r="J21215" s="63"/>
    </row>
    <row r="21216" spans="9:10" x14ac:dyDescent="0.35">
      <c r="I21216" s="63"/>
      <c r="J21216" s="63"/>
    </row>
    <row r="21217" spans="9:10" x14ac:dyDescent="0.35">
      <c r="I21217" s="63"/>
      <c r="J21217" s="63"/>
    </row>
    <row r="21218" spans="9:10" x14ac:dyDescent="0.35">
      <c r="I21218" s="63"/>
      <c r="J21218" s="63"/>
    </row>
    <row r="21219" spans="9:10" x14ac:dyDescent="0.35">
      <c r="I21219" s="63"/>
      <c r="J21219" s="63"/>
    </row>
    <row r="21220" spans="9:10" x14ac:dyDescent="0.35">
      <c r="I21220" s="63"/>
      <c r="J21220" s="63"/>
    </row>
    <row r="21221" spans="9:10" x14ac:dyDescent="0.35">
      <c r="I21221" s="63"/>
      <c r="J21221" s="63"/>
    </row>
    <row r="21222" spans="9:10" x14ac:dyDescent="0.35">
      <c r="I21222" s="63"/>
      <c r="J21222" s="63"/>
    </row>
    <row r="21223" spans="9:10" x14ac:dyDescent="0.35">
      <c r="I21223" s="63"/>
      <c r="J21223" s="63"/>
    </row>
    <row r="21224" spans="9:10" x14ac:dyDescent="0.35">
      <c r="I21224" s="63"/>
      <c r="J21224" s="63"/>
    </row>
    <row r="21225" spans="9:10" x14ac:dyDescent="0.35">
      <c r="I21225" s="63"/>
      <c r="J21225" s="63"/>
    </row>
    <row r="21226" spans="9:10" x14ac:dyDescent="0.35">
      <c r="I21226" s="63"/>
      <c r="J21226" s="63"/>
    </row>
    <row r="21227" spans="9:10" x14ac:dyDescent="0.35">
      <c r="I21227" s="63"/>
      <c r="J21227" s="63"/>
    </row>
    <row r="21228" spans="9:10" x14ac:dyDescent="0.35">
      <c r="I21228" s="63"/>
      <c r="J21228" s="63"/>
    </row>
    <row r="21229" spans="9:10" x14ac:dyDescent="0.35">
      <c r="I21229" s="63"/>
      <c r="J21229" s="63"/>
    </row>
    <row r="21230" spans="9:10" x14ac:dyDescent="0.35">
      <c r="I21230" s="63"/>
      <c r="J21230" s="63"/>
    </row>
    <row r="21231" spans="9:10" x14ac:dyDescent="0.35">
      <c r="I21231" s="63"/>
      <c r="J21231" s="63"/>
    </row>
    <row r="21232" spans="9:10" x14ac:dyDescent="0.35">
      <c r="I21232" s="63"/>
      <c r="J21232" s="63"/>
    </row>
    <row r="21233" spans="9:10" x14ac:dyDescent="0.35">
      <c r="I21233" s="63"/>
      <c r="J21233" s="63"/>
    </row>
    <row r="21234" spans="9:10" x14ac:dyDescent="0.35">
      <c r="I21234" s="63"/>
      <c r="J21234" s="63"/>
    </row>
    <row r="21235" spans="9:10" x14ac:dyDescent="0.35">
      <c r="I21235" s="63"/>
      <c r="J21235" s="63"/>
    </row>
    <row r="21236" spans="9:10" x14ac:dyDescent="0.35">
      <c r="I21236" s="63"/>
      <c r="J21236" s="63"/>
    </row>
    <row r="21237" spans="9:10" x14ac:dyDescent="0.35">
      <c r="I21237" s="63"/>
      <c r="J21237" s="63"/>
    </row>
    <row r="21238" spans="9:10" x14ac:dyDescent="0.35">
      <c r="I21238" s="63"/>
      <c r="J21238" s="63"/>
    </row>
    <row r="21239" spans="9:10" x14ac:dyDescent="0.35">
      <c r="I21239" s="63"/>
      <c r="J21239" s="63"/>
    </row>
    <row r="21240" spans="9:10" x14ac:dyDescent="0.35">
      <c r="I21240" s="63"/>
      <c r="J21240" s="63"/>
    </row>
    <row r="21241" spans="9:10" x14ac:dyDescent="0.35">
      <c r="I21241" s="63"/>
      <c r="J21241" s="63"/>
    </row>
    <row r="21242" spans="9:10" x14ac:dyDescent="0.35">
      <c r="I21242" s="63"/>
      <c r="J21242" s="63"/>
    </row>
    <row r="21243" spans="9:10" x14ac:dyDescent="0.35">
      <c r="I21243" s="63"/>
      <c r="J21243" s="63"/>
    </row>
    <row r="21244" spans="9:10" x14ac:dyDescent="0.35">
      <c r="I21244" s="63"/>
      <c r="J21244" s="63"/>
    </row>
    <row r="21245" spans="9:10" x14ac:dyDescent="0.35">
      <c r="I21245" s="63"/>
      <c r="J21245" s="63"/>
    </row>
    <row r="21246" spans="9:10" x14ac:dyDescent="0.35">
      <c r="I21246" s="63"/>
      <c r="J21246" s="63"/>
    </row>
    <row r="21247" spans="9:10" x14ac:dyDescent="0.35">
      <c r="I21247" s="63"/>
      <c r="J21247" s="63"/>
    </row>
    <row r="21248" spans="9:10" x14ac:dyDescent="0.35">
      <c r="I21248" s="63"/>
      <c r="J21248" s="63"/>
    </row>
    <row r="21249" spans="9:10" x14ac:dyDescent="0.35">
      <c r="I21249" s="63"/>
      <c r="J21249" s="63"/>
    </row>
    <row r="21250" spans="9:10" x14ac:dyDescent="0.35">
      <c r="I21250" s="63"/>
      <c r="J21250" s="63"/>
    </row>
    <row r="21251" spans="9:10" x14ac:dyDescent="0.35">
      <c r="I21251" s="63"/>
      <c r="J21251" s="63"/>
    </row>
    <row r="21252" spans="9:10" x14ac:dyDescent="0.35">
      <c r="I21252" s="63"/>
      <c r="J21252" s="63"/>
    </row>
    <row r="21253" spans="9:10" x14ac:dyDescent="0.35">
      <c r="I21253" s="63"/>
      <c r="J21253" s="63"/>
    </row>
    <row r="21254" spans="9:10" x14ac:dyDescent="0.35">
      <c r="I21254" s="63"/>
      <c r="J21254" s="63"/>
    </row>
    <row r="21255" spans="9:10" x14ac:dyDescent="0.35">
      <c r="I21255" s="63"/>
      <c r="J21255" s="63"/>
    </row>
    <row r="21256" spans="9:10" x14ac:dyDescent="0.35">
      <c r="I21256" s="63"/>
      <c r="J21256" s="63"/>
    </row>
    <row r="21257" spans="9:10" x14ac:dyDescent="0.35">
      <c r="I21257" s="63"/>
      <c r="J21257" s="63"/>
    </row>
    <row r="21258" spans="9:10" x14ac:dyDescent="0.35">
      <c r="I21258" s="63"/>
      <c r="J21258" s="63"/>
    </row>
    <row r="21259" spans="9:10" x14ac:dyDescent="0.35">
      <c r="I21259" s="63"/>
      <c r="J21259" s="63"/>
    </row>
    <row r="21260" spans="9:10" x14ac:dyDescent="0.35">
      <c r="I21260" s="63"/>
      <c r="J21260" s="63"/>
    </row>
    <row r="21261" spans="9:10" x14ac:dyDescent="0.35">
      <c r="I21261" s="63"/>
      <c r="J21261" s="63"/>
    </row>
    <row r="21262" spans="9:10" x14ac:dyDescent="0.35">
      <c r="I21262" s="63"/>
      <c r="J21262" s="63"/>
    </row>
    <row r="21263" spans="9:10" x14ac:dyDescent="0.35">
      <c r="I21263" s="63"/>
      <c r="J21263" s="63"/>
    </row>
    <row r="21264" spans="9:10" x14ac:dyDescent="0.35">
      <c r="I21264" s="63"/>
      <c r="J21264" s="63"/>
    </row>
    <row r="21265" spans="9:10" x14ac:dyDescent="0.35">
      <c r="I21265" s="63"/>
      <c r="J21265" s="63"/>
    </row>
    <row r="21266" spans="9:10" x14ac:dyDescent="0.35">
      <c r="I21266" s="63"/>
      <c r="J21266" s="63"/>
    </row>
    <row r="21267" spans="9:10" x14ac:dyDescent="0.35">
      <c r="I21267" s="63"/>
      <c r="J21267" s="63"/>
    </row>
    <row r="21268" spans="9:10" x14ac:dyDescent="0.35">
      <c r="I21268" s="63"/>
      <c r="J21268" s="63"/>
    </row>
    <row r="21269" spans="9:10" x14ac:dyDescent="0.35">
      <c r="I21269" s="63"/>
      <c r="J21269" s="63"/>
    </row>
    <row r="21270" spans="9:10" x14ac:dyDescent="0.35">
      <c r="I21270" s="63"/>
      <c r="J21270" s="63"/>
    </row>
    <row r="21271" spans="9:10" x14ac:dyDescent="0.35">
      <c r="I21271" s="63"/>
      <c r="J21271" s="63"/>
    </row>
    <row r="21272" spans="9:10" x14ac:dyDescent="0.35">
      <c r="I21272" s="63"/>
      <c r="J21272" s="63"/>
    </row>
    <row r="21273" spans="9:10" x14ac:dyDescent="0.35">
      <c r="I21273" s="63"/>
      <c r="J21273" s="63"/>
    </row>
    <row r="21274" spans="9:10" x14ac:dyDescent="0.35">
      <c r="I21274" s="63"/>
      <c r="J21274" s="63"/>
    </row>
    <row r="21275" spans="9:10" x14ac:dyDescent="0.35">
      <c r="I21275" s="63"/>
      <c r="J21275" s="63"/>
    </row>
    <row r="21276" spans="9:10" x14ac:dyDescent="0.35">
      <c r="I21276" s="63"/>
      <c r="J21276" s="63"/>
    </row>
    <row r="21277" spans="9:10" x14ac:dyDescent="0.35">
      <c r="I21277" s="63"/>
      <c r="J21277" s="63"/>
    </row>
    <row r="21278" spans="9:10" x14ac:dyDescent="0.35">
      <c r="I21278" s="63"/>
      <c r="J21278" s="63"/>
    </row>
    <row r="21279" spans="9:10" x14ac:dyDescent="0.35">
      <c r="I21279" s="63"/>
      <c r="J21279" s="63"/>
    </row>
    <row r="21280" spans="9:10" x14ac:dyDescent="0.35">
      <c r="I21280" s="63"/>
      <c r="J21280" s="63"/>
    </row>
    <row r="21281" spans="9:10" x14ac:dyDescent="0.35">
      <c r="I21281" s="63"/>
      <c r="J21281" s="63"/>
    </row>
    <row r="21282" spans="9:10" x14ac:dyDescent="0.35">
      <c r="I21282" s="63"/>
      <c r="J21282" s="63"/>
    </row>
    <row r="21283" spans="9:10" x14ac:dyDescent="0.35">
      <c r="I21283" s="63"/>
      <c r="J21283" s="63"/>
    </row>
    <row r="21284" spans="9:10" x14ac:dyDescent="0.35">
      <c r="I21284" s="63"/>
      <c r="J21284" s="63"/>
    </row>
    <row r="21285" spans="9:10" x14ac:dyDescent="0.35">
      <c r="I21285" s="63"/>
      <c r="J21285" s="63"/>
    </row>
    <row r="21286" spans="9:10" x14ac:dyDescent="0.35">
      <c r="I21286" s="63"/>
      <c r="J21286" s="63"/>
    </row>
    <row r="21287" spans="9:10" x14ac:dyDescent="0.35">
      <c r="I21287" s="63"/>
      <c r="J21287" s="63"/>
    </row>
    <row r="21288" spans="9:10" x14ac:dyDescent="0.35">
      <c r="I21288" s="63"/>
      <c r="J21288" s="63"/>
    </row>
    <row r="21289" spans="9:10" x14ac:dyDescent="0.35">
      <c r="I21289" s="63"/>
      <c r="J21289" s="63"/>
    </row>
    <row r="21290" spans="9:10" x14ac:dyDescent="0.35">
      <c r="I21290" s="63"/>
      <c r="J21290" s="63"/>
    </row>
    <row r="21291" spans="9:10" x14ac:dyDescent="0.35">
      <c r="I21291" s="63"/>
      <c r="J21291" s="63"/>
    </row>
    <row r="21292" spans="9:10" x14ac:dyDescent="0.35">
      <c r="I21292" s="63"/>
      <c r="J21292" s="63"/>
    </row>
    <row r="21293" spans="9:10" x14ac:dyDescent="0.35">
      <c r="I21293" s="63"/>
      <c r="J21293" s="63"/>
    </row>
    <row r="21294" spans="9:10" x14ac:dyDescent="0.35">
      <c r="I21294" s="63"/>
      <c r="J21294" s="63"/>
    </row>
    <row r="21295" spans="9:10" x14ac:dyDescent="0.35">
      <c r="I21295" s="63"/>
      <c r="J21295" s="63"/>
    </row>
    <row r="21296" spans="9:10" x14ac:dyDescent="0.35">
      <c r="I21296" s="63"/>
      <c r="J21296" s="63"/>
    </row>
    <row r="21297" spans="9:10" x14ac:dyDescent="0.35">
      <c r="I21297" s="63"/>
      <c r="J21297" s="63"/>
    </row>
    <row r="21298" spans="9:10" x14ac:dyDescent="0.35">
      <c r="I21298" s="63"/>
      <c r="J21298" s="63"/>
    </row>
    <row r="21299" spans="9:10" x14ac:dyDescent="0.35">
      <c r="I21299" s="63"/>
      <c r="J21299" s="63"/>
    </row>
    <row r="21300" spans="9:10" x14ac:dyDescent="0.35">
      <c r="I21300" s="63"/>
      <c r="J21300" s="63"/>
    </row>
    <row r="21301" spans="9:10" x14ac:dyDescent="0.35">
      <c r="I21301" s="63"/>
      <c r="J21301" s="63"/>
    </row>
    <row r="21302" spans="9:10" x14ac:dyDescent="0.35">
      <c r="I21302" s="63"/>
      <c r="J21302" s="63"/>
    </row>
    <row r="21303" spans="9:10" x14ac:dyDescent="0.35">
      <c r="I21303" s="63"/>
      <c r="J21303" s="63"/>
    </row>
    <row r="21304" spans="9:10" x14ac:dyDescent="0.35">
      <c r="I21304" s="63"/>
      <c r="J21304" s="63"/>
    </row>
    <row r="21305" spans="9:10" x14ac:dyDescent="0.35">
      <c r="I21305" s="63"/>
      <c r="J21305" s="63"/>
    </row>
    <row r="21306" spans="9:10" x14ac:dyDescent="0.35">
      <c r="I21306" s="63"/>
      <c r="J21306" s="63"/>
    </row>
    <row r="21307" spans="9:10" x14ac:dyDescent="0.35">
      <c r="I21307" s="63"/>
      <c r="J21307" s="63"/>
    </row>
    <row r="21308" spans="9:10" x14ac:dyDescent="0.35">
      <c r="I21308" s="63"/>
      <c r="J21308" s="63"/>
    </row>
    <row r="21309" spans="9:10" x14ac:dyDescent="0.35">
      <c r="I21309" s="63"/>
      <c r="J21309" s="63"/>
    </row>
    <row r="21310" spans="9:10" x14ac:dyDescent="0.35">
      <c r="I21310" s="63"/>
      <c r="J21310" s="63"/>
    </row>
    <row r="21311" spans="9:10" x14ac:dyDescent="0.35">
      <c r="I21311" s="63"/>
      <c r="J21311" s="63"/>
    </row>
    <row r="21312" spans="9:10" x14ac:dyDescent="0.35">
      <c r="I21312" s="63"/>
      <c r="J21312" s="63"/>
    </row>
    <row r="21313" spans="9:10" x14ac:dyDescent="0.35">
      <c r="I21313" s="63"/>
      <c r="J21313" s="63"/>
    </row>
    <row r="21314" spans="9:10" x14ac:dyDescent="0.35">
      <c r="I21314" s="63"/>
      <c r="J21314" s="63"/>
    </row>
    <row r="21315" spans="9:10" x14ac:dyDescent="0.35">
      <c r="I21315" s="63"/>
      <c r="J21315" s="63"/>
    </row>
    <row r="21316" spans="9:10" x14ac:dyDescent="0.35">
      <c r="I21316" s="63"/>
      <c r="J21316" s="63"/>
    </row>
    <row r="21317" spans="9:10" x14ac:dyDescent="0.35">
      <c r="I21317" s="63"/>
      <c r="J21317" s="63"/>
    </row>
    <row r="21318" spans="9:10" x14ac:dyDescent="0.35">
      <c r="I21318" s="63"/>
      <c r="J21318" s="63"/>
    </row>
    <row r="21319" spans="9:10" x14ac:dyDescent="0.35">
      <c r="I21319" s="63"/>
      <c r="J21319" s="63"/>
    </row>
    <row r="21320" spans="9:10" x14ac:dyDescent="0.35">
      <c r="I21320" s="63"/>
      <c r="J21320" s="63"/>
    </row>
    <row r="21321" spans="9:10" x14ac:dyDescent="0.35">
      <c r="I21321" s="63"/>
      <c r="J21321" s="63"/>
    </row>
    <row r="21322" spans="9:10" x14ac:dyDescent="0.35">
      <c r="I21322" s="63"/>
      <c r="J21322" s="63"/>
    </row>
    <row r="21323" spans="9:10" x14ac:dyDescent="0.35">
      <c r="I21323" s="63"/>
      <c r="J21323" s="63"/>
    </row>
    <row r="21324" spans="9:10" x14ac:dyDescent="0.35">
      <c r="I21324" s="63"/>
      <c r="J21324" s="63"/>
    </row>
    <row r="21325" spans="9:10" x14ac:dyDescent="0.35">
      <c r="I21325" s="63"/>
      <c r="J21325" s="63"/>
    </row>
    <row r="21326" spans="9:10" x14ac:dyDescent="0.35">
      <c r="I21326" s="63"/>
      <c r="J21326" s="63"/>
    </row>
    <row r="21327" spans="9:10" x14ac:dyDescent="0.35">
      <c r="I21327" s="63"/>
      <c r="J21327" s="63"/>
    </row>
    <row r="21328" spans="9:10" x14ac:dyDescent="0.35">
      <c r="I21328" s="63"/>
      <c r="J21328" s="63"/>
    </row>
    <row r="21329" spans="9:10" x14ac:dyDescent="0.35">
      <c r="I21329" s="63"/>
      <c r="J21329" s="63"/>
    </row>
    <row r="21330" spans="9:10" x14ac:dyDescent="0.35">
      <c r="I21330" s="63"/>
      <c r="J21330" s="63"/>
    </row>
    <row r="21331" spans="9:10" x14ac:dyDescent="0.35">
      <c r="I21331" s="63"/>
      <c r="J21331" s="63"/>
    </row>
    <row r="21332" spans="9:10" x14ac:dyDescent="0.35">
      <c r="I21332" s="63"/>
      <c r="J21332" s="63"/>
    </row>
    <row r="21333" spans="9:10" x14ac:dyDescent="0.35">
      <c r="I21333" s="63"/>
      <c r="J21333" s="63"/>
    </row>
    <row r="21334" spans="9:10" x14ac:dyDescent="0.35">
      <c r="I21334" s="63"/>
      <c r="J21334" s="63"/>
    </row>
    <row r="21335" spans="9:10" x14ac:dyDescent="0.35">
      <c r="I21335" s="63"/>
      <c r="J21335" s="63"/>
    </row>
    <row r="21336" spans="9:10" x14ac:dyDescent="0.35">
      <c r="I21336" s="63"/>
      <c r="J21336" s="63"/>
    </row>
    <row r="21337" spans="9:10" x14ac:dyDescent="0.35">
      <c r="I21337" s="63"/>
      <c r="J21337" s="63"/>
    </row>
    <row r="21338" spans="9:10" x14ac:dyDescent="0.35">
      <c r="I21338" s="63"/>
      <c r="J21338" s="63"/>
    </row>
    <row r="21339" spans="9:10" x14ac:dyDescent="0.35">
      <c r="I21339" s="63"/>
      <c r="J21339" s="63"/>
    </row>
    <row r="21340" spans="9:10" x14ac:dyDescent="0.35">
      <c r="I21340" s="63"/>
      <c r="J21340" s="63"/>
    </row>
    <row r="21341" spans="9:10" x14ac:dyDescent="0.35">
      <c r="I21341" s="63"/>
      <c r="J21341" s="63"/>
    </row>
    <row r="21342" spans="9:10" x14ac:dyDescent="0.35">
      <c r="I21342" s="63"/>
      <c r="J21342" s="63"/>
    </row>
    <row r="21343" spans="9:10" x14ac:dyDescent="0.35">
      <c r="I21343" s="63"/>
      <c r="J21343" s="63"/>
    </row>
    <row r="21344" spans="9:10" x14ac:dyDescent="0.35">
      <c r="I21344" s="63"/>
      <c r="J21344" s="63"/>
    </row>
    <row r="21345" spans="9:10" x14ac:dyDescent="0.35">
      <c r="I21345" s="63"/>
      <c r="J21345" s="63"/>
    </row>
    <row r="21346" spans="9:10" x14ac:dyDescent="0.35">
      <c r="I21346" s="63"/>
      <c r="J21346" s="63"/>
    </row>
    <row r="21347" spans="9:10" x14ac:dyDescent="0.35">
      <c r="I21347" s="63"/>
      <c r="J21347" s="63"/>
    </row>
    <row r="21348" spans="9:10" x14ac:dyDescent="0.35">
      <c r="I21348" s="63"/>
      <c r="J21348" s="63"/>
    </row>
    <row r="21349" spans="9:10" x14ac:dyDescent="0.35">
      <c r="I21349" s="63"/>
      <c r="J21349" s="63"/>
    </row>
    <row r="21350" spans="9:10" x14ac:dyDescent="0.35">
      <c r="I21350" s="63"/>
      <c r="J21350" s="63"/>
    </row>
    <row r="21351" spans="9:10" x14ac:dyDescent="0.35">
      <c r="I21351" s="63"/>
      <c r="J21351" s="63"/>
    </row>
    <row r="21352" spans="9:10" x14ac:dyDescent="0.35">
      <c r="I21352" s="63"/>
      <c r="J21352" s="63"/>
    </row>
    <row r="21353" spans="9:10" x14ac:dyDescent="0.35">
      <c r="I21353" s="63"/>
      <c r="J21353" s="63"/>
    </row>
    <row r="21354" spans="9:10" x14ac:dyDescent="0.35">
      <c r="I21354" s="63"/>
      <c r="J21354" s="63"/>
    </row>
    <row r="21355" spans="9:10" x14ac:dyDescent="0.35">
      <c r="I21355" s="63"/>
      <c r="J21355" s="63"/>
    </row>
    <row r="21356" spans="9:10" x14ac:dyDescent="0.35">
      <c r="I21356" s="63"/>
      <c r="J21356" s="63"/>
    </row>
    <row r="21357" spans="9:10" x14ac:dyDescent="0.35">
      <c r="I21357" s="63"/>
      <c r="J21357" s="63"/>
    </row>
    <row r="21358" spans="9:10" x14ac:dyDescent="0.35">
      <c r="I21358" s="63"/>
      <c r="J21358" s="63"/>
    </row>
    <row r="21359" spans="9:10" x14ac:dyDescent="0.35">
      <c r="I21359" s="63"/>
      <c r="J21359" s="63"/>
    </row>
    <row r="21360" spans="9:10" x14ac:dyDescent="0.35">
      <c r="I21360" s="63"/>
      <c r="J21360" s="63"/>
    </row>
    <row r="21361" spans="9:10" x14ac:dyDescent="0.35">
      <c r="I21361" s="63"/>
      <c r="J21361" s="63"/>
    </row>
    <row r="21362" spans="9:10" x14ac:dyDescent="0.35">
      <c r="I21362" s="63"/>
      <c r="J21362" s="63"/>
    </row>
    <row r="21363" spans="9:10" x14ac:dyDescent="0.35">
      <c r="I21363" s="63"/>
      <c r="J21363" s="63"/>
    </row>
    <row r="21364" spans="9:10" x14ac:dyDescent="0.35">
      <c r="I21364" s="63"/>
      <c r="J21364" s="63"/>
    </row>
    <row r="21365" spans="9:10" x14ac:dyDescent="0.35">
      <c r="I21365" s="63"/>
      <c r="J21365" s="63"/>
    </row>
    <row r="21366" spans="9:10" x14ac:dyDescent="0.35">
      <c r="I21366" s="63"/>
      <c r="J21366" s="63"/>
    </row>
    <row r="21367" spans="9:10" x14ac:dyDescent="0.35">
      <c r="I21367" s="63"/>
      <c r="J21367" s="63"/>
    </row>
    <row r="21368" spans="9:10" x14ac:dyDescent="0.35">
      <c r="I21368" s="63"/>
      <c r="J21368" s="63"/>
    </row>
    <row r="21369" spans="9:10" x14ac:dyDescent="0.35">
      <c r="I21369" s="63"/>
      <c r="J21369" s="63"/>
    </row>
    <row r="21370" spans="9:10" x14ac:dyDescent="0.35">
      <c r="I21370" s="63"/>
      <c r="J21370" s="63"/>
    </row>
    <row r="21371" spans="9:10" x14ac:dyDescent="0.35">
      <c r="I21371" s="63"/>
      <c r="J21371" s="63"/>
    </row>
    <row r="21372" spans="9:10" x14ac:dyDescent="0.35">
      <c r="I21372" s="63"/>
      <c r="J21372" s="63"/>
    </row>
    <row r="21373" spans="9:10" x14ac:dyDescent="0.35">
      <c r="I21373" s="63"/>
      <c r="J21373" s="63"/>
    </row>
    <row r="21374" spans="9:10" x14ac:dyDescent="0.35">
      <c r="I21374" s="63"/>
      <c r="J21374" s="63"/>
    </row>
    <row r="21375" spans="9:10" x14ac:dyDescent="0.35">
      <c r="I21375" s="63"/>
      <c r="J21375" s="63"/>
    </row>
    <row r="21376" spans="9:10" x14ac:dyDescent="0.35">
      <c r="I21376" s="63"/>
      <c r="J21376" s="63"/>
    </row>
    <row r="21377" spans="9:10" x14ac:dyDescent="0.35">
      <c r="I21377" s="63"/>
      <c r="J21377" s="63"/>
    </row>
    <row r="21378" spans="9:10" x14ac:dyDescent="0.35">
      <c r="I21378" s="63"/>
      <c r="J21378" s="63"/>
    </row>
    <row r="21379" spans="9:10" x14ac:dyDescent="0.35">
      <c r="I21379" s="63"/>
      <c r="J21379" s="63"/>
    </row>
    <row r="21380" spans="9:10" x14ac:dyDescent="0.35">
      <c r="I21380" s="63"/>
      <c r="J21380" s="63"/>
    </row>
    <row r="21381" spans="9:10" x14ac:dyDescent="0.35">
      <c r="I21381" s="63"/>
      <c r="J21381" s="63"/>
    </row>
    <row r="21382" spans="9:10" x14ac:dyDescent="0.35">
      <c r="I21382" s="63"/>
      <c r="J21382" s="63"/>
    </row>
    <row r="21383" spans="9:10" x14ac:dyDescent="0.35">
      <c r="I21383" s="63"/>
      <c r="J21383" s="63"/>
    </row>
    <row r="21384" spans="9:10" x14ac:dyDescent="0.35">
      <c r="I21384" s="63"/>
      <c r="J21384" s="63"/>
    </row>
    <row r="21385" spans="9:10" x14ac:dyDescent="0.35">
      <c r="I21385" s="63"/>
      <c r="J21385" s="63"/>
    </row>
    <row r="21386" spans="9:10" x14ac:dyDescent="0.35">
      <c r="I21386" s="63"/>
      <c r="J21386" s="63"/>
    </row>
    <row r="21387" spans="9:10" x14ac:dyDescent="0.35">
      <c r="I21387" s="63"/>
      <c r="J21387" s="63"/>
    </row>
    <row r="21388" spans="9:10" x14ac:dyDescent="0.35">
      <c r="I21388" s="63"/>
      <c r="J21388" s="63"/>
    </row>
    <row r="21389" spans="9:10" x14ac:dyDescent="0.35">
      <c r="I21389" s="63"/>
      <c r="J21389" s="63"/>
    </row>
    <row r="21390" spans="9:10" x14ac:dyDescent="0.35">
      <c r="I21390" s="63"/>
      <c r="J21390" s="63"/>
    </row>
    <row r="21391" spans="9:10" x14ac:dyDescent="0.35">
      <c r="I21391" s="63"/>
      <c r="J21391" s="63"/>
    </row>
    <row r="21392" spans="9:10" x14ac:dyDescent="0.35">
      <c r="I21392" s="63"/>
      <c r="J21392" s="63"/>
    </row>
    <row r="21393" spans="9:10" x14ac:dyDescent="0.35">
      <c r="I21393" s="63"/>
      <c r="J21393" s="63"/>
    </row>
    <row r="21394" spans="9:10" x14ac:dyDescent="0.35">
      <c r="I21394" s="63"/>
      <c r="J21394" s="63"/>
    </row>
    <row r="21395" spans="9:10" x14ac:dyDescent="0.35">
      <c r="I21395" s="63"/>
      <c r="J21395" s="63"/>
    </row>
    <row r="21396" spans="9:10" x14ac:dyDescent="0.35">
      <c r="I21396" s="63"/>
      <c r="J21396" s="63"/>
    </row>
    <row r="21397" spans="9:10" x14ac:dyDescent="0.35">
      <c r="I21397" s="63"/>
      <c r="J21397" s="63"/>
    </row>
    <row r="21398" spans="9:10" x14ac:dyDescent="0.35">
      <c r="I21398" s="63"/>
      <c r="J21398" s="63"/>
    </row>
    <row r="21399" spans="9:10" x14ac:dyDescent="0.35">
      <c r="I21399" s="63"/>
      <c r="J21399" s="63"/>
    </row>
    <row r="21400" spans="9:10" x14ac:dyDescent="0.35">
      <c r="I21400" s="63"/>
      <c r="J21400" s="63"/>
    </row>
    <row r="21401" spans="9:10" x14ac:dyDescent="0.35">
      <c r="I21401" s="63"/>
      <c r="J21401" s="63"/>
    </row>
    <row r="21402" spans="9:10" x14ac:dyDescent="0.35">
      <c r="I21402" s="63"/>
      <c r="J21402" s="63"/>
    </row>
    <row r="21403" spans="9:10" x14ac:dyDescent="0.35">
      <c r="I21403" s="63"/>
      <c r="J21403" s="63"/>
    </row>
    <row r="21404" spans="9:10" x14ac:dyDescent="0.35">
      <c r="I21404" s="63"/>
      <c r="J21404" s="63"/>
    </row>
    <row r="21405" spans="9:10" x14ac:dyDescent="0.35">
      <c r="I21405" s="63"/>
      <c r="J21405" s="63"/>
    </row>
    <row r="21406" spans="9:10" x14ac:dyDescent="0.35">
      <c r="I21406" s="63"/>
      <c r="J21406" s="63"/>
    </row>
    <row r="21407" spans="9:10" x14ac:dyDescent="0.35">
      <c r="I21407" s="63"/>
      <c r="J21407" s="63"/>
    </row>
    <row r="21408" spans="9:10" x14ac:dyDescent="0.35">
      <c r="I21408" s="63"/>
      <c r="J21408" s="63"/>
    </row>
    <row r="21409" spans="9:10" x14ac:dyDescent="0.35">
      <c r="I21409" s="63"/>
      <c r="J21409" s="63"/>
    </row>
    <row r="21410" spans="9:10" x14ac:dyDescent="0.35">
      <c r="I21410" s="63"/>
      <c r="J21410" s="63"/>
    </row>
    <row r="21411" spans="9:10" x14ac:dyDescent="0.35">
      <c r="I21411" s="63"/>
      <c r="J21411" s="63"/>
    </row>
    <row r="21412" spans="9:10" x14ac:dyDescent="0.35">
      <c r="I21412" s="63"/>
      <c r="J21412" s="63"/>
    </row>
    <row r="21413" spans="9:10" x14ac:dyDescent="0.35">
      <c r="I21413" s="63"/>
      <c r="J21413" s="63"/>
    </row>
    <row r="21414" spans="9:10" x14ac:dyDescent="0.35">
      <c r="I21414" s="63"/>
      <c r="J21414" s="63"/>
    </row>
    <row r="21415" spans="9:10" x14ac:dyDescent="0.35">
      <c r="I21415" s="63"/>
      <c r="J21415" s="63"/>
    </row>
    <row r="21416" spans="9:10" x14ac:dyDescent="0.35">
      <c r="I21416" s="63"/>
      <c r="J21416" s="63"/>
    </row>
    <row r="21417" spans="9:10" x14ac:dyDescent="0.35">
      <c r="I21417" s="63"/>
      <c r="J21417" s="63"/>
    </row>
    <row r="21418" spans="9:10" x14ac:dyDescent="0.35">
      <c r="I21418" s="63"/>
      <c r="J21418" s="63"/>
    </row>
    <row r="21419" spans="9:10" x14ac:dyDescent="0.35">
      <c r="I21419" s="63"/>
      <c r="J21419" s="63"/>
    </row>
    <row r="21420" spans="9:10" x14ac:dyDescent="0.35">
      <c r="I21420" s="63"/>
      <c r="J21420" s="63"/>
    </row>
    <row r="21421" spans="9:10" x14ac:dyDescent="0.35">
      <c r="I21421" s="63"/>
      <c r="J21421" s="63"/>
    </row>
    <row r="21422" spans="9:10" x14ac:dyDescent="0.35">
      <c r="I21422" s="63"/>
      <c r="J21422" s="63"/>
    </row>
    <row r="21423" spans="9:10" x14ac:dyDescent="0.35">
      <c r="I21423" s="63"/>
      <c r="J21423" s="63"/>
    </row>
    <row r="21424" spans="9:10" x14ac:dyDescent="0.35">
      <c r="I21424" s="63"/>
      <c r="J21424" s="63"/>
    </row>
    <row r="21425" spans="9:10" x14ac:dyDescent="0.35">
      <c r="I21425" s="63"/>
      <c r="J21425" s="63"/>
    </row>
    <row r="21426" spans="9:10" x14ac:dyDescent="0.35">
      <c r="I21426" s="63"/>
      <c r="J21426" s="63"/>
    </row>
    <row r="21427" spans="9:10" x14ac:dyDescent="0.35">
      <c r="I21427" s="63"/>
      <c r="J21427" s="63"/>
    </row>
    <row r="21428" spans="9:10" x14ac:dyDescent="0.35">
      <c r="I21428" s="63"/>
      <c r="J21428" s="63"/>
    </row>
    <row r="21429" spans="9:10" x14ac:dyDescent="0.35">
      <c r="I21429" s="63"/>
      <c r="J21429" s="63"/>
    </row>
    <row r="21430" spans="9:10" x14ac:dyDescent="0.35">
      <c r="I21430" s="63"/>
      <c r="J21430" s="63"/>
    </row>
    <row r="21431" spans="9:10" x14ac:dyDescent="0.35">
      <c r="I21431" s="63"/>
      <c r="J21431" s="63"/>
    </row>
    <row r="21432" spans="9:10" x14ac:dyDescent="0.35">
      <c r="I21432" s="63"/>
      <c r="J21432" s="63"/>
    </row>
    <row r="21433" spans="9:10" x14ac:dyDescent="0.35">
      <c r="I21433" s="63"/>
      <c r="J21433" s="63"/>
    </row>
    <row r="21434" spans="9:10" x14ac:dyDescent="0.35">
      <c r="I21434" s="63"/>
      <c r="J21434" s="63"/>
    </row>
    <row r="21435" spans="9:10" x14ac:dyDescent="0.35">
      <c r="I21435" s="63"/>
      <c r="J21435" s="63"/>
    </row>
    <row r="21436" spans="9:10" x14ac:dyDescent="0.35">
      <c r="I21436" s="63"/>
      <c r="J21436" s="63"/>
    </row>
    <row r="21437" spans="9:10" x14ac:dyDescent="0.35">
      <c r="I21437" s="63"/>
      <c r="J21437" s="63"/>
    </row>
    <row r="21438" spans="9:10" x14ac:dyDescent="0.35">
      <c r="I21438" s="63"/>
      <c r="J21438" s="63"/>
    </row>
    <row r="21439" spans="9:10" x14ac:dyDescent="0.35">
      <c r="I21439" s="63"/>
      <c r="J21439" s="63"/>
    </row>
    <row r="21440" spans="9:10" x14ac:dyDescent="0.35">
      <c r="I21440" s="63"/>
      <c r="J21440" s="63"/>
    </row>
    <row r="21441" spans="9:10" x14ac:dyDescent="0.35">
      <c r="I21441" s="63"/>
      <c r="J21441" s="63"/>
    </row>
    <row r="21442" spans="9:10" x14ac:dyDescent="0.35">
      <c r="I21442" s="63"/>
      <c r="J21442" s="63"/>
    </row>
    <row r="21443" spans="9:10" x14ac:dyDescent="0.35">
      <c r="I21443" s="63"/>
      <c r="J21443" s="63"/>
    </row>
    <row r="21444" spans="9:10" x14ac:dyDescent="0.35">
      <c r="I21444" s="63"/>
      <c r="J21444" s="63"/>
    </row>
    <row r="21445" spans="9:10" x14ac:dyDescent="0.35">
      <c r="I21445" s="63"/>
      <c r="J21445" s="63"/>
    </row>
    <row r="21446" spans="9:10" x14ac:dyDescent="0.35">
      <c r="I21446" s="63"/>
      <c r="J21446" s="63"/>
    </row>
    <row r="21447" spans="9:10" x14ac:dyDescent="0.35">
      <c r="I21447" s="63"/>
      <c r="J21447" s="63"/>
    </row>
    <row r="21448" spans="9:10" x14ac:dyDescent="0.35">
      <c r="I21448" s="63"/>
      <c r="J21448" s="63"/>
    </row>
    <row r="21449" spans="9:10" x14ac:dyDescent="0.35">
      <c r="I21449" s="63"/>
      <c r="J21449" s="63"/>
    </row>
    <row r="21450" spans="9:10" x14ac:dyDescent="0.35">
      <c r="I21450" s="63"/>
      <c r="J21450" s="63"/>
    </row>
    <row r="21451" spans="9:10" x14ac:dyDescent="0.35">
      <c r="I21451" s="63"/>
      <c r="J21451" s="63"/>
    </row>
    <row r="21452" spans="9:10" x14ac:dyDescent="0.35">
      <c r="I21452" s="63"/>
      <c r="J21452" s="63"/>
    </row>
    <row r="21453" spans="9:10" x14ac:dyDescent="0.35">
      <c r="I21453" s="63"/>
      <c r="J21453" s="63"/>
    </row>
    <row r="21454" spans="9:10" x14ac:dyDescent="0.35">
      <c r="I21454" s="63"/>
      <c r="J21454" s="63"/>
    </row>
    <row r="21455" spans="9:10" x14ac:dyDescent="0.35">
      <c r="I21455" s="63"/>
      <c r="J21455" s="63"/>
    </row>
    <row r="21456" spans="9:10" x14ac:dyDescent="0.35">
      <c r="I21456" s="63"/>
      <c r="J21456" s="63"/>
    </row>
    <row r="21457" spans="9:10" x14ac:dyDescent="0.35">
      <c r="I21457" s="63"/>
      <c r="J21457" s="63"/>
    </row>
    <row r="21458" spans="9:10" x14ac:dyDescent="0.35">
      <c r="I21458" s="63"/>
      <c r="J21458" s="63"/>
    </row>
    <row r="21459" spans="9:10" x14ac:dyDescent="0.35">
      <c r="I21459" s="63"/>
      <c r="J21459" s="63"/>
    </row>
    <row r="21460" spans="9:10" x14ac:dyDescent="0.35">
      <c r="I21460" s="63"/>
      <c r="J21460" s="63"/>
    </row>
    <row r="21461" spans="9:10" x14ac:dyDescent="0.35">
      <c r="I21461" s="63"/>
      <c r="J21461" s="63"/>
    </row>
    <row r="21462" spans="9:10" x14ac:dyDescent="0.35">
      <c r="I21462" s="63"/>
      <c r="J21462" s="63"/>
    </row>
    <row r="21463" spans="9:10" x14ac:dyDescent="0.35">
      <c r="I21463" s="63"/>
      <c r="J21463" s="63"/>
    </row>
    <row r="21464" spans="9:10" x14ac:dyDescent="0.35">
      <c r="I21464" s="63"/>
      <c r="J21464" s="63"/>
    </row>
    <row r="21465" spans="9:10" x14ac:dyDescent="0.35">
      <c r="I21465" s="63"/>
      <c r="J21465" s="63"/>
    </row>
    <row r="21466" spans="9:10" x14ac:dyDescent="0.35">
      <c r="I21466" s="63"/>
      <c r="J21466" s="63"/>
    </row>
    <row r="21467" spans="9:10" x14ac:dyDescent="0.35">
      <c r="I21467" s="63"/>
      <c r="J21467" s="63"/>
    </row>
    <row r="21468" spans="9:10" x14ac:dyDescent="0.35">
      <c r="I21468" s="63"/>
      <c r="J21468" s="63"/>
    </row>
    <row r="21469" spans="9:10" x14ac:dyDescent="0.35">
      <c r="I21469" s="63"/>
      <c r="J21469" s="63"/>
    </row>
    <row r="21470" spans="9:10" x14ac:dyDescent="0.35">
      <c r="I21470" s="63"/>
      <c r="J21470" s="63"/>
    </row>
    <row r="21471" spans="9:10" x14ac:dyDescent="0.35">
      <c r="I21471" s="63"/>
      <c r="J21471" s="63"/>
    </row>
    <row r="21472" spans="9:10" x14ac:dyDescent="0.35">
      <c r="I21472" s="63"/>
      <c r="J21472" s="63"/>
    </row>
    <row r="21473" spans="9:10" x14ac:dyDescent="0.35">
      <c r="I21473" s="63"/>
      <c r="J21473" s="63"/>
    </row>
    <row r="21474" spans="9:10" x14ac:dyDescent="0.35">
      <c r="I21474" s="63"/>
      <c r="J21474" s="63"/>
    </row>
    <row r="21475" spans="9:10" x14ac:dyDescent="0.35">
      <c r="I21475" s="63"/>
      <c r="J21475" s="63"/>
    </row>
    <row r="21476" spans="9:10" x14ac:dyDescent="0.35">
      <c r="I21476" s="63"/>
      <c r="J21476" s="63"/>
    </row>
    <row r="21477" spans="9:10" x14ac:dyDescent="0.35">
      <c r="I21477" s="63"/>
      <c r="J21477" s="63"/>
    </row>
    <row r="21478" spans="9:10" x14ac:dyDescent="0.35">
      <c r="I21478" s="63"/>
      <c r="J21478" s="63"/>
    </row>
    <row r="21479" spans="9:10" x14ac:dyDescent="0.35">
      <c r="I21479" s="63"/>
      <c r="J21479" s="63"/>
    </row>
    <row r="21480" spans="9:10" x14ac:dyDescent="0.35">
      <c r="I21480" s="63"/>
      <c r="J21480" s="63"/>
    </row>
    <row r="21481" spans="9:10" x14ac:dyDescent="0.35">
      <c r="I21481" s="63"/>
      <c r="J21481" s="63"/>
    </row>
    <row r="21482" spans="9:10" x14ac:dyDescent="0.35">
      <c r="I21482" s="63"/>
      <c r="J21482" s="63"/>
    </row>
    <row r="21483" spans="9:10" x14ac:dyDescent="0.35">
      <c r="I21483" s="63"/>
      <c r="J21483" s="63"/>
    </row>
    <row r="21484" spans="9:10" x14ac:dyDescent="0.35">
      <c r="I21484" s="63"/>
      <c r="J21484" s="63"/>
    </row>
    <row r="21485" spans="9:10" x14ac:dyDescent="0.35">
      <c r="I21485" s="63"/>
      <c r="J21485" s="63"/>
    </row>
    <row r="21486" spans="9:10" x14ac:dyDescent="0.35">
      <c r="I21486" s="63"/>
      <c r="J21486" s="63"/>
    </row>
    <row r="21487" spans="9:10" x14ac:dyDescent="0.35">
      <c r="I21487" s="63"/>
      <c r="J21487" s="63"/>
    </row>
    <row r="21488" spans="9:10" x14ac:dyDescent="0.35">
      <c r="I21488" s="63"/>
      <c r="J21488" s="63"/>
    </row>
    <row r="21489" spans="9:10" x14ac:dyDescent="0.35">
      <c r="I21489" s="63"/>
      <c r="J21489" s="63"/>
    </row>
    <row r="21490" spans="9:10" x14ac:dyDescent="0.35">
      <c r="I21490" s="63"/>
      <c r="J21490" s="63"/>
    </row>
    <row r="21491" spans="9:10" x14ac:dyDescent="0.35">
      <c r="I21491" s="63"/>
      <c r="J21491" s="63"/>
    </row>
    <row r="21492" spans="9:10" x14ac:dyDescent="0.35">
      <c r="I21492" s="63"/>
      <c r="J21492" s="63"/>
    </row>
    <row r="21493" spans="9:10" x14ac:dyDescent="0.35">
      <c r="I21493" s="63"/>
      <c r="J21493" s="63"/>
    </row>
    <row r="21494" spans="9:10" x14ac:dyDescent="0.35">
      <c r="I21494" s="63"/>
      <c r="J21494" s="63"/>
    </row>
    <row r="21495" spans="9:10" x14ac:dyDescent="0.35">
      <c r="I21495" s="63"/>
      <c r="J21495" s="63"/>
    </row>
    <row r="21496" spans="9:10" x14ac:dyDescent="0.35">
      <c r="I21496" s="63"/>
      <c r="J21496" s="63"/>
    </row>
    <row r="21497" spans="9:10" x14ac:dyDescent="0.35">
      <c r="I21497" s="63"/>
      <c r="J21497" s="63"/>
    </row>
    <row r="21498" spans="9:10" x14ac:dyDescent="0.35">
      <c r="I21498" s="63"/>
      <c r="J21498" s="63"/>
    </row>
    <row r="21499" spans="9:10" x14ac:dyDescent="0.35">
      <c r="I21499" s="63"/>
      <c r="J21499" s="63"/>
    </row>
    <row r="21500" spans="9:10" x14ac:dyDescent="0.35">
      <c r="I21500" s="63"/>
      <c r="J21500" s="63"/>
    </row>
    <row r="21501" spans="9:10" x14ac:dyDescent="0.35">
      <c r="I21501" s="63"/>
      <c r="J21501" s="63"/>
    </row>
    <row r="21502" spans="9:10" x14ac:dyDescent="0.35">
      <c r="I21502" s="63"/>
      <c r="J21502" s="63"/>
    </row>
    <row r="21503" spans="9:10" x14ac:dyDescent="0.35">
      <c r="I21503" s="63"/>
      <c r="J21503" s="63"/>
    </row>
    <row r="21504" spans="9:10" x14ac:dyDescent="0.35">
      <c r="I21504" s="63"/>
      <c r="J21504" s="63"/>
    </row>
    <row r="21505" spans="9:10" x14ac:dyDescent="0.35">
      <c r="I21505" s="63"/>
      <c r="J21505" s="63"/>
    </row>
    <row r="21506" spans="9:10" x14ac:dyDescent="0.35">
      <c r="I21506" s="63"/>
      <c r="J21506" s="63"/>
    </row>
    <row r="21507" spans="9:10" x14ac:dyDescent="0.35">
      <c r="I21507" s="63"/>
      <c r="J21507" s="63"/>
    </row>
    <row r="21508" spans="9:10" x14ac:dyDescent="0.35">
      <c r="I21508" s="63"/>
      <c r="J21508" s="63"/>
    </row>
    <row r="21509" spans="9:10" x14ac:dyDescent="0.35">
      <c r="I21509" s="63"/>
      <c r="J21509" s="63"/>
    </row>
    <row r="21510" spans="9:10" x14ac:dyDescent="0.35">
      <c r="I21510" s="63"/>
      <c r="J21510" s="63"/>
    </row>
    <row r="21511" spans="9:10" x14ac:dyDescent="0.35">
      <c r="I21511" s="63"/>
      <c r="J21511" s="63"/>
    </row>
    <row r="21512" spans="9:10" x14ac:dyDescent="0.35">
      <c r="I21512" s="63"/>
      <c r="J21512" s="63"/>
    </row>
    <row r="21513" spans="9:10" x14ac:dyDescent="0.35">
      <c r="I21513" s="63"/>
      <c r="J21513" s="63"/>
    </row>
    <row r="21514" spans="9:10" x14ac:dyDescent="0.35">
      <c r="I21514" s="63"/>
      <c r="J21514" s="63"/>
    </row>
    <row r="21515" spans="9:10" x14ac:dyDescent="0.35">
      <c r="I21515" s="63"/>
      <c r="J21515" s="63"/>
    </row>
    <row r="21516" spans="9:10" x14ac:dyDescent="0.35">
      <c r="I21516" s="63"/>
      <c r="J21516" s="63"/>
    </row>
    <row r="21517" spans="9:10" x14ac:dyDescent="0.35">
      <c r="I21517" s="63"/>
      <c r="J21517" s="63"/>
    </row>
    <row r="21518" spans="9:10" x14ac:dyDescent="0.35">
      <c r="I21518" s="63"/>
      <c r="J21518" s="63"/>
    </row>
    <row r="21519" spans="9:10" x14ac:dyDescent="0.35">
      <c r="I21519" s="63"/>
      <c r="J21519" s="63"/>
    </row>
    <row r="21520" spans="9:10" x14ac:dyDescent="0.35">
      <c r="I21520" s="63"/>
      <c r="J21520" s="63"/>
    </row>
    <row r="21521" spans="9:10" x14ac:dyDescent="0.35">
      <c r="I21521" s="63"/>
      <c r="J21521" s="63"/>
    </row>
    <row r="21522" spans="9:10" x14ac:dyDescent="0.35">
      <c r="I21522" s="63"/>
      <c r="J21522" s="63"/>
    </row>
    <row r="21523" spans="9:10" x14ac:dyDescent="0.35">
      <c r="I21523" s="63"/>
      <c r="J21523" s="63"/>
    </row>
    <row r="21524" spans="9:10" x14ac:dyDescent="0.35">
      <c r="I21524" s="63"/>
      <c r="J21524" s="63"/>
    </row>
    <row r="21525" spans="9:10" x14ac:dyDescent="0.35">
      <c r="I21525" s="63"/>
      <c r="J21525" s="63"/>
    </row>
    <row r="21526" spans="9:10" x14ac:dyDescent="0.35">
      <c r="I21526" s="63"/>
      <c r="J21526" s="63"/>
    </row>
    <row r="21527" spans="9:10" x14ac:dyDescent="0.35">
      <c r="I21527" s="63"/>
      <c r="J21527" s="63"/>
    </row>
    <row r="21528" spans="9:10" x14ac:dyDescent="0.35">
      <c r="I21528" s="63"/>
      <c r="J21528" s="63"/>
    </row>
    <row r="21529" spans="9:10" x14ac:dyDescent="0.35">
      <c r="I21529" s="63"/>
      <c r="J21529" s="63"/>
    </row>
    <row r="21530" spans="9:10" x14ac:dyDescent="0.35">
      <c r="I21530" s="63"/>
      <c r="J21530" s="63"/>
    </row>
    <row r="21531" spans="9:10" x14ac:dyDescent="0.35">
      <c r="I21531" s="63"/>
      <c r="J21531" s="63"/>
    </row>
    <row r="21532" spans="9:10" x14ac:dyDescent="0.35">
      <c r="I21532" s="63"/>
      <c r="J21532" s="63"/>
    </row>
    <row r="21533" spans="9:10" x14ac:dyDescent="0.35">
      <c r="I21533" s="63"/>
      <c r="J21533" s="63"/>
    </row>
    <row r="21534" spans="9:10" x14ac:dyDescent="0.35">
      <c r="I21534" s="63"/>
      <c r="J21534" s="63"/>
    </row>
    <row r="21535" spans="9:10" x14ac:dyDescent="0.35">
      <c r="I21535" s="63"/>
      <c r="J21535" s="63"/>
    </row>
    <row r="21536" spans="9:10" x14ac:dyDescent="0.35">
      <c r="I21536" s="63"/>
      <c r="J21536" s="63"/>
    </row>
    <row r="21537" spans="9:10" x14ac:dyDescent="0.35">
      <c r="I21537" s="63"/>
      <c r="J21537" s="63"/>
    </row>
    <row r="21538" spans="9:10" x14ac:dyDescent="0.35">
      <c r="I21538" s="63"/>
      <c r="J21538" s="63"/>
    </row>
    <row r="21539" spans="9:10" x14ac:dyDescent="0.35">
      <c r="I21539" s="63"/>
      <c r="J21539" s="63"/>
    </row>
    <row r="21540" spans="9:10" x14ac:dyDescent="0.35">
      <c r="I21540" s="63"/>
      <c r="J21540" s="63"/>
    </row>
    <row r="21541" spans="9:10" x14ac:dyDescent="0.35">
      <c r="I21541" s="63"/>
      <c r="J21541" s="63"/>
    </row>
    <row r="21542" spans="9:10" x14ac:dyDescent="0.35">
      <c r="I21542" s="63"/>
      <c r="J21542" s="63"/>
    </row>
    <row r="21543" spans="9:10" x14ac:dyDescent="0.35">
      <c r="I21543" s="63"/>
      <c r="J21543" s="63"/>
    </row>
    <row r="21544" spans="9:10" x14ac:dyDescent="0.35">
      <c r="I21544" s="63"/>
      <c r="J21544" s="63"/>
    </row>
    <row r="21545" spans="9:10" x14ac:dyDescent="0.35">
      <c r="I21545" s="63"/>
      <c r="J21545" s="63"/>
    </row>
    <row r="21546" spans="9:10" x14ac:dyDescent="0.35">
      <c r="I21546" s="63"/>
      <c r="J21546" s="63"/>
    </row>
    <row r="21547" spans="9:10" x14ac:dyDescent="0.35">
      <c r="I21547" s="63"/>
      <c r="J21547" s="63"/>
    </row>
    <row r="21548" spans="9:10" x14ac:dyDescent="0.35">
      <c r="I21548" s="63"/>
      <c r="J21548" s="63"/>
    </row>
    <row r="21549" spans="9:10" x14ac:dyDescent="0.35">
      <c r="I21549" s="63"/>
      <c r="J21549" s="63"/>
    </row>
    <row r="21550" spans="9:10" x14ac:dyDescent="0.35">
      <c r="I21550" s="63"/>
      <c r="J21550" s="63"/>
    </row>
    <row r="21551" spans="9:10" x14ac:dyDescent="0.35">
      <c r="I21551" s="63"/>
      <c r="J21551" s="63"/>
    </row>
    <row r="21552" spans="9:10" x14ac:dyDescent="0.35">
      <c r="I21552" s="63"/>
      <c r="J21552" s="63"/>
    </row>
    <row r="21553" spans="9:10" x14ac:dyDescent="0.35">
      <c r="I21553" s="63"/>
      <c r="J21553" s="63"/>
    </row>
    <row r="21554" spans="9:10" x14ac:dyDescent="0.35">
      <c r="I21554" s="63"/>
      <c r="J21554" s="63"/>
    </row>
    <row r="21555" spans="9:10" x14ac:dyDescent="0.35">
      <c r="I21555" s="63"/>
      <c r="J21555" s="63"/>
    </row>
    <row r="21556" spans="9:10" x14ac:dyDescent="0.35">
      <c r="I21556" s="63"/>
      <c r="J21556" s="63"/>
    </row>
    <row r="21557" spans="9:10" x14ac:dyDescent="0.35">
      <c r="I21557" s="63"/>
      <c r="J21557" s="63"/>
    </row>
    <row r="21558" spans="9:10" x14ac:dyDescent="0.35">
      <c r="I21558" s="63"/>
      <c r="J21558" s="63"/>
    </row>
    <row r="21559" spans="9:10" x14ac:dyDescent="0.35">
      <c r="I21559" s="63"/>
      <c r="J21559" s="63"/>
    </row>
    <row r="21560" spans="9:10" x14ac:dyDescent="0.35">
      <c r="I21560" s="63"/>
      <c r="J21560" s="63"/>
    </row>
    <row r="21561" spans="9:10" x14ac:dyDescent="0.35">
      <c r="I21561" s="63"/>
      <c r="J21561" s="63"/>
    </row>
    <row r="21562" spans="9:10" x14ac:dyDescent="0.35">
      <c r="I21562" s="63"/>
      <c r="J21562" s="63"/>
    </row>
    <row r="21563" spans="9:10" x14ac:dyDescent="0.35">
      <c r="I21563" s="63"/>
      <c r="J21563" s="63"/>
    </row>
    <row r="21564" spans="9:10" x14ac:dyDescent="0.35">
      <c r="I21564" s="63"/>
      <c r="J21564" s="63"/>
    </row>
    <row r="21565" spans="9:10" x14ac:dyDescent="0.35">
      <c r="I21565" s="63"/>
      <c r="J21565" s="63"/>
    </row>
    <row r="21566" spans="9:10" x14ac:dyDescent="0.35">
      <c r="I21566" s="63"/>
      <c r="J21566" s="63"/>
    </row>
    <row r="21567" spans="9:10" x14ac:dyDescent="0.35">
      <c r="I21567" s="63"/>
      <c r="J21567" s="63"/>
    </row>
    <row r="21568" spans="9:10" x14ac:dyDescent="0.35">
      <c r="I21568" s="63"/>
      <c r="J21568" s="63"/>
    </row>
    <row r="21569" spans="9:10" x14ac:dyDescent="0.35">
      <c r="I21569" s="63"/>
      <c r="J21569" s="63"/>
    </row>
    <row r="21570" spans="9:10" x14ac:dyDescent="0.35">
      <c r="I21570" s="63"/>
      <c r="J21570" s="63"/>
    </row>
    <row r="21571" spans="9:10" x14ac:dyDescent="0.35">
      <c r="I21571" s="63"/>
      <c r="J21571" s="63"/>
    </row>
    <row r="21572" spans="9:10" x14ac:dyDescent="0.35">
      <c r="I21572" s="63"/>
      <c r="J21572" s="63"/>
    </row>
    <row r="21573" spans="9:10" x14ac:dyDescent="0.35">
      <c r="I21573" s="63"/>
      <c r="J21573" s="63"/>
    </row>
    <row r="21574" spans="9:10" x14ac:dyDescent="0.35">
      <c r="I21574" s="63"/>
      <c r="J21574" s="63"/>
    </row>
    <row r="21575" spans="9:10" x14ac:dyDescent="0.35">
      <c r="I21575" s="63"/>
      <c r="J21575" s="63"/>
    </row>
    <row r="21576" spans="9:10" x14ac:dyDescent="0.35">
      <c r="I21576" s="63"/>
      <c r="J21576" s="63"/>
    </row>
    <row r="21577" spans="9:10" x14ac:dyDescent="0.35">
      <c r="I21577" s="63"/>
      <c r="J21577" s="63"/>
    </row>
    <row r="21578" spans="9:10" x14ac:dyDescent="0.35">
      <c r="I21578" s="63"/>
      <c r="J21578" s="63"/>
    </row>
    <row r="21579" spans="9:10" x14ac:dyDescent="0.35">
      <c r="I21579" s="63"/>
      <c r="J21579" s="63"/>
    </row>
    <row r="21580" spans="9:10" x14ac:dyDescent="0.35">
      <c r="I21580" s="63"/>
      <c r="J21580" s="63"/>
    </row>
    <row r="21581" spans="9:10" x14ac:dyDescent="0.35">
      <c r="I21581" s="63"/>
      <c r="J21581" s="63"/>
    </row>
    <row r="21582" spans="9:10" x14ac:dyDescent="0.35">
      <c r="I21582" s="63"/>
      <c r="J21582" s="63"/>
    </row>
    <row r="21583" spans="9:10" x14ac:dyDescent="0.35">
      <c r="I21583" s="63"/>
      <c r="J21583" s="63"/>
    </row>
    <row r="21584" spans="9:10" x14ac:dyDescent="0.35">
      <c r="I21584" s="63"/>
      <c r="J21584" s="63"/>
    </row>
    <row r="21585" spans="9:10" x14ac:dyDescent="0.35">
      <c r="I21585" s="63"/>
      <c r="J21585" s="63"/>
    </row>
    <row r="21586" spans="9:10" x14ac:dyDescent="0.35">
      <c r="I21586" s="63"/>
      <c r="J21586" s="63"/>
    </row>
    <row r="21587" spans="9:10" x14ac:dyDescent="0.35">
      <c r="I21587" s="63"/>
      <c r="J21587" s="63"/>
    </row>
    <row r="21588" spans="9:10" x14ac:dyDescent="0.35">
      <c r="I21588" s="63"/>
      <c r="J21588" s="63"/>
    </row>
    <row r="21589" spans="9:10" x14ac:dyDescent="0.35">
      <c r="I21589" s="63"/>
      <c r="J21589" s="63"/>
    </row>
    <row r="21590" spans="9:10" x14ac:dyDescent="0.35">
      <c r="I21590" s="63"/>
      <c r="J21590" s="63"/>
    </row>
    <row r="21591" spans="9:10" x14ac:dyDescent="0.35">
      <c r="I21591" s="63"/>
      <c r="J21591" s="63"/>
    </row>
    <row r="21592" spans="9:10" x14ac:dyDescent="0.35">
      <c r="I21592" s="63"/>
      <c r="J21592" s="63"/>
    </row>
    <row r="21593" spans="9:10" x14ac:dyDescent="0.35">
      <c r="I21593" s="63"/>
      <c r="J21593" s="63"/>
    </row>
    <row r="21594" spans="9:10" x14ac:dyDescent="0.35">
      <c r="I21594" s="63"/>
      <c r="J21594" s="63"/>
    </row>
    <row r="21595" spans="9:10" x14ac:dyDescent="0.35">
      <c r="I21595" s="63"/>
      <c r="J21595" s="63"/>
    </row>
    <row r="21596" spans="9:10" x14ac:dyDescent="0.35">
      <c r="I21596" s="63"/>
      <c r="J21596" s="63"/>
    </row>
    <row r="21597" spans="9:10" x14ac:dyDescent="0.35">
      <c r="I21597" s="63"/>
      <c r="J21597" s="63"/>
    </row>
    <row r="21598" spans="9:10" x14ac:dyDescent="0.35">
      <c r="I21598" s="63"/>
      <c r="J21598" s="63"/>
    </row>
    <row r="21599" spans="9:10" x14ac:dyDescent="0.35">
      <c r="I21599" s="63"/>
      <c r="J21599" s="63"/>
    </row>
    <row r="21600" spans="9:10" x14ac:dyDescent="0.35">
      <c r="I21600" s="63"/>
      <c r="J21600" s="63"/>
    </row>
    <row r="21601" spans="9:10" x14ac:dyDescent="0.35">
      <c r="I21601" s="63"/>
      <c r="J21601" s="63"/>
    </row>
    <row r="21602" spans="9:10" x14ac:dyDescent="0.35">
      <c r="I21602" s="63"/>
      <c r="J21602" s="63"/>
    </row>
    <row r="21603" spans="9:10" x14ac:dyDescent="0.35">
      <c r="I21603" s="63"/>
      <c r="J21603" s="63"/>
    </row>
    <row r="21604" spans="9:10" x14ac:dyDescent="0.35">
      <c r="I21604" s="63"/>
      <c r="J21604" s="63"/>
    </row>
    <row r="21605" spans="9:10" x14ac:dyDescent="0.35">
      <c r="I21605" s="63"/>
      <c r="J21605" s="63"/>
    </row>
    <row r="21606" spans="9:10" x14ac:dyDescent="0.35">
      <c r="I21606" s="63"/>
      <c r="J21606" s="63"/>
    </row>
    <row r="21607" spans="9:10" x14ac:dyDescent="0.35">
      <c r="I21607" s="63"/>
      <c r="J21607" s="63"/>
    </row>
    <row r="21608" spans="9:10" x14ac:dyDescent="0.35">
      <c r="I21608" s="63"/>
      <c r="J21608" s="63"/>
    </row>
    <row r="21609" spans="9:10" x14ac:dyDescent="0.35">
      <c r="I21609" s="63"/>
      <c r="J21609" s="63"/>
    </row>
    <row r="21610" spans="9:10" x14ac:dyDescent="0.35">
      <c r="I21610" s="63"/>
      <c r="J21610" s="63"/>
    </row>
    <row r="21611" spans="9:10" x14ac:dyDescent="0.35">
      <c r="I21611" s="63"/>
      <c r="J21611" s="63"/>
    </row>
    <row r="21612" spans="9:10" x14ac:dyDescent="0.35">
      <c r="I21612" s="63"/>
      <c r="J21612" s="63"/>
    </row>
    <row r="21613" spans="9:10" x14ac:dyDescent="0.35">
      <c r="I21613" s="63"/>
      <c r="J21613" s="63"/>
    </row>
    <row r="21614" spans="9:10" x14ac:dyDescent="0.35">
      <c r="I21614" s="63"/>
      <c r="J21614" s="63"/>
    </row>
    <row r="21615" spans="9:10" x14ac:dyDescent="0.35">
      <c r="I21615" s="63"/>
      <c r="J21615" s="63"/>
    </row>
    <row r="21616" spans="9:10" x14ac:dyDescent="0.35">
      <c r="I21616" s="63"/>
      <c r="J21616" s="63"/>
    </row>
    <row r="21617" spans="9:10" x14ac:dyDescent="0.35">
      <c r="I21617" s="63"/>
      <c r="J21617" s="63"/>
    </row>
    <row r="21618" spans="9:10" x14ac:dyDescent="0.35">
      <c r="I21618" s="63"/>
      <c r="J21618" s="63"/>
    </row>
    <row r="21619" spans="9:10" x14ac:dyDescent="0.35">
      <c r="I21619" s="63"/>
      <c r="J21619" s="63"/>
    </row>
    <row r="21620" spans="9:10" x14ac:dyDescent="0.35">
      <c r="I21620" s="63"/>
      <c r="J21620" s="63"/>
    </row>
    <row r="21621" spans="9:10" x14ac:dyDescent="0.35">
      <c r="I21621" s="63"/>
      <c r="J21621" s="63"/>
    </row>
    <row r="21622" spans="9:10" x14ac:dyDescent="0.35">
      <c r="I21622" s="63"/>
      <c r="J21622" s="63"/>
    </row>
    <row r="21623" spans="9:10" x14ac:dyDescent="0.35">
      <c r="I21623" s="63"/>
      <c r="J21623" s="63"/>
    </row>
    <row r="21624" spans="9:10" x14ac:dyDescent="0.35">
      <c r="I21624" s="63"/>
      <c r="J21624" s="63"/>
    </row>
    <row r="21625" spans="9:10" x14ac:dyDescent="0.35">
      <c r="I21625" s="63"/>
      <c r="J21625" s="63"/>
    </row>
    <row r="21626" spans="9:10" x14ac:dyDescent="0.35">
      <c r="I21626" s="63"/>
      <c r="J21626" s="63"/>
    </row>
    <row r="21627" spans="9:10" x14ac:dyDescent="0.35">
      <c r="I21627" s="63"/>
      <c r="J21627" s="63"/>
    </row>
    <row r="21628" spans="9:10" x14ac:dyDescent="0.35">
      <c r="I21628" s="63"/>
      <c r="J21628" s="63"/>
    </row>
    <row r="21629" spans="9:10" x14ac:dyDescent="0.35">
      <c r="I21629" s="63"/>
      <c r="J21629" s="63"/>
    </row>
    <row r="21630" spans="9:10" x14ac:dyDescent="0.35">
      <c r="I21630" s="63"/>
      <c r="J21630" s="63"/>
    </row>
    <row r="21631" spans="9:10" x14ac:dyDescent="0.35">
      <c r="I21631" s="63"/>
      <c r="J21631" s="63"/>
    </row>
    <row r="21632" spans="9:10" x14ac:dyDescent="0.35">
      <c r="I21632" s="63"/>
      <c r="J21632" s="63"/>
    </row>
    <row r="21633" spans="9:10" x14ac:dyDescent="0.35">
      <c r="I21633" s="63"/>
      <c r="J21633" s="63"/>
    </row>
    <row r="21634" spans="9:10" x14ac:dyDescent="0.35">
      <c r="I21634" s="63"/>
      <c r="J21634" s="63"/>
    </row>
    <row r="21635" spans="9:10" x14ac:dyDescent="0.35">
      <c r="I21635" s="63"/>
      <c r="J21635" s="63"/>
    </row>
    <row r="21636" spans="9:10" x14ac:dyDescent="0.35">
      <c r="I21636" s="63"/>
      <c r="J21636" s="63"/>
    </row>
    <row r="21637" spans="9:10" x14ac:dyDescent="0.35">
      <c r="I21637" s="63"/>
      <c r="J21637" s="63"/>
    </row>
    <row r="21638" spans="9:10" x14ac:dyDescent="0.35">
      <c r="I21638" s="63"/>
      <c r="J21638" s="63"/>
    </row>
    <row r="21639" spans="9:10" x14ac:dyDescent="0.35">
      <c r="I21639" s="63"/>
      <c r="J21639" s="63"/>
    </row>
    <row r="21640" spans="9:10" x14ac:dyDescent="0.35">
      <c r="I21640" s="63"/>
      <c r="J21640" s="63"/>
    </row>
    <row r="21641" spans="9:10" x14ac:dyDescent="0.35">
      <c r="I21641" s="63"/>
      <c r="J21641" s="63"/>
    </row>
    <row r="21642" spans="9:10" x14ac:dyDescent="0.35">
      <c r="I21642" s="63"/>
      <c r="J21642" s="63"/>
    </row>
    <row r="21643" spans="9:10" x14ac:dyDescent="0.35">
      <c r="I21643" s="63"/>
      <c r="J21643" s="63"/>
    </row>
    <row r="21644" spans="9:10" x14ac:dyDescent="0.35">
      <c r="I21644" s="63"/>
      <c r="J21644" s="63"/>
    </row>
    <row r="21645" spans="9:10" x14ac:dyDescent="0.35">
      <c r="I21645" s="63"/>
      <c r="J21645" s="63"/>
    </row>
    <row r="21646" spans="9:10" x14ac:dyDescent="0.35">
      <c r="I21646" s="63"/>
      <c r="J21646" s="63"/>
    </row>
    <row r="21647" spans="9:10" x14ac:dyDescent="0.35">
      <c r="I21647" s="63"/>
      <c r="J21647" s="63"/>
    </row>
    <row r="21648" spans="9:10" x14ac:dyDescent="0.35">
      <c r="I21648" s="63"/>
      <c r="J21648" s="63"/>
    </row>
    <row r="21649" spans="9:10" x14ac:dyDescent="0.35">
      <c r="I21649" s="63"/>
      <c r="J21649" s="63"/>
    </row>
    <row r="21650" spans="9:10" x14ac:dyDescent="0.35">
      <c r="I21650" s="63"/>
      <c r="J21650" s="63"/>
    </row>
    <row r="21651" spans="9:10" x14ac:dyDescent="0.35">
      <c r="I21651" s="63"/>
      <c r="J21651" s="63"/>
    </row>
    <row r="21652" spans="9:10" x14ac:dyDescent="0.35">
      <c r="I21652" s="63"/>
      <c r="J21652" s="63"/>
    </row>
    <row r="21653" spans="9:10" x14ac:dyDescent="0.35">
      <c r="I21653" s="63"/>
      <c r="J21653" s="63"/>
    </row>
    <row r="21654" spans="9:10" x14ac:dyDescent="0.35">
      <c r="I21654" s="63"/>
      <c r="J21654" s="63"/>
    </row>
    <row r="21655" spans="9:10" x14ac:dyDescent="0.35">
      <c r="I21655" s="63"/>
      <c r="J21655" s="63"/>
    </row>
    <row r="21656" spans="9:10" x14ac:dyDescent="0.35">
      <c r="I21656" s="63"/>
      <c r="J21656" s="63"/>
    </row>
    <row r="21657" spans="9:10" x14ac:dyDescent="0.35">
      <c r="I21657" s="63"/>
      <c r="J21657" s="63"/>
    </row>
    <row r="21658" spans="9:10" x14ac:dyDescent="0.35">
      <c r="I21658" s="63"/>
      <c r="J21658" s="63"/>
    </row>
    <row r="21659" spans="9:10" x14ac:dyDescent="0.35">
      <c r="I21659" s="63"/>
      <c r="J21659" s="63"/>
    </row>
    <row r="21660" spans="9:10" x14ac:dyDescent="0.35">
      <c r="I21660" s="63"/>
      <c r="J21660" s="63"/>
    </row>
    <row r="21661" spans="9:10" x14ac:dyDescent="0.35">
      <c r="I21661" s="63"/>
      <c r="J21661" s="63"/>
    </row>
    <row r="21662" spans="9:10" x14ac:dyDescent="0.35">
      <c r="I21662" s="63"/>
      <c r="J21662" s="63"/>
    </row>
    <row r="21663" spans="9:10" x14ac:dyDescent="0.35">
      <c r="I21663" s="63"/>
      <c r="J21663" s="63"/>
    </row>
    <row r="21664" spans="9:10" x14ac:dyDescent="0.35">
      <c r="I21664" s="63"/>
      <c r="J21664" s="63"/>
    </row>
    <row r="21665" spans="9:10" x14ac:dyDescent="0.35">
      <c r="I21665" s="63"/>
      <c r="J21665" s="63"/>
    </row>
    <row r="21666" spans="9:10" x14ac:dyDescent="0.35">
      <c r="I21666" s="63"/>
      <c r="J21666" s="63"/>
    </row>
    <row r="21667" spans="9:10" x14ac:dyDescent="0.35">
      <c r="I21667" s="63"/>
      <c r="J21667" s="63"/>
    </row>
    <row r="21668" spans="9:10" x14ac:dyDescent="0.35">
      <c r="I21668" s="63"/>
      <c r="J21668" s="63"/>
    </row>
    <row r="21669" spans="9:10" x14ac:dyDescent="0.35">
      <c r="I21669" s="63"/>
      <c r="J21669" s="63"/>
    </row>
    <row r="21670" spans="9:10" x14ac:dyDescent="0.35">
      <c r="I21670" s="63"/>
      <c r="J21670" s="63"/>
    </row>
    <row r="21671" spans="9:10" x14ac:dyDescent="0.35">
      <c r="I21671" s="63"/>
      <c r="J21671" s="63"/>
    </row>
    <row r="21672" spans="9:10" x14ac:dyDescent="0.35">
      <c r="I21672" s="63"/>
      <c r="J21672" s="63"/>
    </row>
    <row r="21673" spans="9:10" x14ac:dyDescent="0.35">
      <c r="I21673" s="63"/>
      <c r="J21673" s="63"/>
    </row>
    <row r="21674" spans="9:10" x14ac:dyDescent="0.35">
      <c r="I21674" s="63"/>
      <c r="J21674" s="63"/>
    </row>
    <row r="21675" spans="9:10" x14ac:dyDescent="0.35">
      <c r="I21675" s="63"/>
      <c r="J21675" s="63"/>
    </row>
    <row r="21676" spans="9:10" x14ac:dyDescent="0.35">
      <c r="I21676" s="63"/>
      <c r="J21676" s="63"/>
    </row>
    <row r="21677" spans="9:10" x14ac:dyDescent="0.35">
      <c r="I21677" s="63"/>
      <c r="J21677" s="63"/>
    </row>
    <row r="21678" spans="9:10" x14ac:dyDescent="0.35">
      <c r="I21678" s="63"/>
      <c r="J21678" s="63"/>
    </row>
    <row r="21679" spans="9:10" x14ac:dyDescent="0.35">
      <c r="I21679" s="63"/>
      <c r="J21679" s="63"/>
    </row>
    <row r="21680" spans="9:10" x14ac:dyDescent="0.35">
      <c r="I21680" s="63"/>
      <c r="J21680" s="63"/>
    </row>
    <row r="21681" spans="9:10" x14ac:dyDescent="0.35">
      <c r="I21681" s="63"/>
      <c r="J21681" s="63"/>
    </row>
    <row r="21682" spans="9:10" x14ac:dyDescent="0.35">
      <c r="I21682" s="63"/>
      <c r="J21682" s="63"/>
    </row>
    <row r="21683" spans="9:10" x14ac:dyDescent="0.35">
      <c r="I21683" s="63"/>
      <c r="J21683" s="63"/>
    </row>
    <row r="21684" spans="9:10" x14ac:dyDescent="0.35">
      <c r="I21684" s="63"/>
      <c r="J21684" s="63"/>
    </row>
    <row r="21685" spans="9:10" x14ac:dyDescent="0.35">
      <c r="I21685" s="63"/>
      <c r="J21685" s="63"/>
    </row>
    <row r="21686" spans="9:10" x14ac:dyDescent="0.35">
      <c r="I21686" s="63"/>
      <c r="J21686" s="63"/>
    </row>
    <row r="21687" spans="9:10" x14ac:dyDescent="0.35">
      <c r="I21687" s="63"/>
      <c r="J21687" s="63"/>
    </row>
    <row r="21688" spans="9:10" x14ac:dyDescent="0.35">
      <c r="I21688" s="63"/>
      <c r="J21688" s="63"/>
    </row>
    <row r="21689" spans="9:10" x14ac:dyDescent="0.35">
      <c r="I21689" s="63"/>
      <c r="J21689" s="63"/>
    </row>
    <row r="21690" spans="9:10" x14ac:dyDescent="0.35">
      <c r="I21690" s="63"/>
      <c r="J21690" s="63"/>
    </row>
    <row r="21691" spans="9:10" x14ac:dyDescent="0.35">
      <c r="I21691" s="63"/>
      <c r="J21691" s="63"/>
    </row>
    <row r="21692" spans="9:10" x14ac:dyDescent="0.35">
      <c r="I21692" s="63"/>
      <c r="J21692" s="63"/>
    </row>
    <row r="21693" spans="9:10" x14ac:dyDescent="0.35">
      <c r="I21693" s="63"/>
      <c r="J21693" s="63"/>
    </row>
    <row r="21694" spans="9:10" x14ac:dyDescent="0.35">
      <c r="I21694" s="63"/>
      <c r="J21694" s="63"/>
    </row>
    <row r="21695" spans="9:10" x14ac:dyDescent="0.35">
      <c r="I21695" s="63"/>
      <c r="J21695" s="63"/>
    </row>
    <row r="21696" spans="9:10" x14ac:dyDescent="0.35">
      <c r="I21696" s="63"/>
      <c r="J21696" s="63"/>
    </row>
    <row r="21697" spans="9:10" x14ac:dyDescent="0.35">
      <c r="I21697" s="63"/>
      <c r="J21697" s="63"/>
    </row>
    <row r="21698" spans="9:10" x14ac:dyDescent="0.35">
      <c r="I21698" s="63"/>
      <c r="J21698" s="63"/>
    </row>
    <row r="21699" spans="9:10" x14ac:dyDescent="0.35">
      <c r="I21699" s="63"/>
      <c r="J21699" s="63"/>
    </row>
    <row r="21700" spans="9:10" x14ac:dyDescent="0.35">
      <c r="I21700" s="63"/>
      <c r="J21700" s="63"/>
    </row>
    <row r="21701" spans="9:10" x14ac:dyDescent="0.35">
      <c r="I21701" s="63"/>
      <c r="J21701" s="63"/>
    </row>
    <row r="21702" spans="9:10" x14ac:dyDescent="0.35">
      <c r="I21702" s="63"/>
      <c r="J21702" s="63"/>
    </row>
    <row r="21703" spans="9:10" x14ac:dyDescent="0.35">
      <c r="I21703" s="63"/>
      <c r="J21703" s="63"/>
    </row>
    <row r="21704" spans="9:10" x14ac:dyDescent="0.35">
      <c r="I21704" s="63"/>
      <c r="J21704" s="63"/>
    </row>
    <row r="21705" spans="9:10" x14ac:dyDescent="0.35">
      <c r="I21705" s="63"/>
      <c r="J21705" s="63"/>
    </row>
    <row r="21706" spans="9:10" x14ac:dyDescent="0.35">
      <c r="I21706" s="63"/>
      <c r="J21706" s="63"/>
    </row>
    <row r="21707" spans="9:10" x14ac:dyDescent="0.35">
      <c r="I21707" s="63"/>
      <c r="J21707" s="63"/>
    </row>
    <row r="21708" spans="9:10" x14ac:dyDescent="0.35">
      <c r="I21708" s="63"/>
      <c r="J21708" s="63"/>
    </row>
    <row r="21709" spans="9:10" x14ac:dyDescent="0.35">
      <c r="I21709" s="63"/>
      <c r="J21709" s="63"/>
    </row>
    <row r="21710" spans="9:10" x14ac:dyDescent="0.35">
      <c r="I21710" s="63"/>
      <c r="J21710" s="63"/>
    </row>
    <row r="21711" spans="9:10" x14ac:dyDescent="0.35">
      <c r="I21711" s="63"/>
      <c r="J21711" s="63"/>
    </row>
    <row r="21712" spans="9:10" x14ac:dyDescent="0.35">
      <c r="I21712" s="63"/>
      <c r="J21712" s="63"/>
    </row>
    <row r="21713" spans="9:10" x14ac:dyDescent="0.35">
      <c r="I21713" s="63"/>
      <c r="J21713" s="63"/>
    </row>
    <row r="21714" spans="9:10" x14ac:dyDescent="0.35">
      <c r="I21714" s="63"/>
      <c r="J21714" s="63"/>
    </row>
    <row r="21715" spans="9:10" x14ac:dyDescent="0.35">
      <c r="I21715" s="63"/>
      <c r="J21715" s="63"/>
    </row>
    <row r="21716" spans="9:10" x14ac:dyDescent="0.35">
      <c r="I21716" s="63"/>
      <c r="J21716" s="63"/>
    </row>
    <row r="21717" spans="9:10" x14ac:dyDescent="0.35">
      <c r="I21717" s="63"/>
      <c r="J21717" s="63"/>
    </row>
    <row r="21718" spans="9:10" x14ac:dyDescent="0.35">
      <c r="I21718" s="63"/>
      <c r="J21718" s="63"/>
    </row>
    <row r="21719" spans="9:10" x14ac:dyDescent="0.35">
      <c r="I21719" s="63"/>
      <c r="J21719" s="63"/>
    </row>
    <row r="21720" spans="9:10" x14ac:dyDescent="0.35">
      <c r="I21720" s="63"/>
      <c r="J21720" s="63"/>
    </row>
    <row r="21721" spans="9:10" x14ac:dyDescent="0.35">
      <c r="I21721" s="63"/>
      <c r="J21721" s="63"/>
    </row>
    <row r="21722" spans="9:10" x14ac:dyDescent="0.35">
      <c r="I21722" s="63"/>
      <c r="J21722" s="63"/>
    </row>
    <row r="21723" spans="9:10" x14ac:dyDescent="0.35">
      <c r="I21723" s="63"/>
      <c r="J21723" s="63"/>
    </row>
    <row r="21724" spans="9:10" x14ac:dyDescent="0.35">
      <c r="I21724" s="63"/>
      <c r="J21724" s="63"/>
    </row>
    <row r="21725" spans="9:10" x14ac:dyDescent="0.35">
      <c r="I21725" s="63"/>
      <c r="J21725" s="63"/>
    </row>
    <row r="21726" spans="9:10" x14ac:dyDescent="0.35">
      <c r="I21726" s="63"/>
      <c r="J21726" s="63"/>
    </row>
    <row r="21727" spans="9:10" x14ac:dyDescent="0.35">
      <c r="I21727" s="63"/>
      <c r="J21727" s="63"/>
    </row>
    <row r="21728" spans="9:10" x14ac:dyDescent="0.35">
      <c r="I21728" s="63"/>
      <c r="J21728" s="63"/>
    </row>
    <row r="21729" spans="9:10" x14ac:dyDescent="0.35">
      <c r="I21729" s="63"/>
      <c r="J21729" s="63"/>
    </row>
    <row r="21730" spans="9:10" x14ac:dyDescent="0.35">
      <c r="I21730" s="63"/>
      <c r="J21730" s="63"/>
    </row>
    <row r="21731" spans="9:10" x14ac:dyDescent="0.35">
      <c r="I21731" s="63"/>
      <c r="J21731" s="63"/>
    </row>
    <row r="21732" spans="9:10" x14ac:dyDescent="0.35">
      <c r="I21732" s="63"/>
      <c r="J21732" s="63"/>
    </row>
    <row r="21733" spans="9:10" x14ac:dyDescent="0.35">
      <c r="I21733" s="63"/>
      <c r="J21733" s="63"/>
    </row>
    <row r="21734" spans="9:10" x14ac:dyDescent="0.35">
      <c r="I21734" s="63"/>
      <c r="J21734" s="63"/>
    </row>
    <row r="21735" spans="9:10" x14ac:dyDescent="0.35">
      <c r="I21735" s="63"/>
      <c r="J21735" s="63"/>
    </row>
    <row r="21736" spans="9:10" x14ac:dyDescent="0.35">
      <c r="I21736" s="63"/>
      <c r="J21736" s="63"/>
    </row>
    <row r="21737" spans="9:10" x14ac:dyDescent="0.35">
      <c r="I21737" s="63"/>
      <c r="J21737" s="63"/>
    </row>
    <row r="21738" spans="9:10" x14ac:dyDescent="0.35">
      <c r="I21738" s="63"/>
      <c r="J21738" s="63"/>
    </row>
    <row r="21739" spans="9:10" x14ac:dyDescent="0.35">
      <c r="I21739" s="63"/>
      <c r="J21739" s="63"/>
    </row>
    <row r="21740" spans="9:10" x14ac:dyDescent="0.35">
      <c r="I21740" s="63"/>
      <c r="J21740" s="63"/>
    </row>
    <row r="21741" spans="9:10" x14ac:dyDescent="0.35">
      <c r="I21741" s="63"/>
      <c r="J21741" s="63"/>
    </row>
    <row r="21742" spans="9:10" x14ac:dyDescent="0.35">
      <c r="I21742" s="63"/>
      <c r="J21742" s="63"/>
    </row>
    <row r="21743" spans="9:10" x14ac:dyDescent="0.35">
      <c r="I21743" s="63"/>
      <c r="J21743" s="63"/>
    </row>
    <row r="21744" spans="9:10" x14ac:dyDescent="0.35">
      <c r="I21744" s="63"/>
      <c r="J21744" s="63"/>
    </row>
    <row r="21745" spans="9:10" x14ac:dyDescent="0.35">
      <c r="I21745" s="63"/>
      <c r="J21745" s="63"/>
    </row>
    <row r="21746" spans="9:10" x14ac:dyDescent="0.35">
      <c r="I21746" s="63"/>
      <c r="J21746" s="63"/>
    </row>
    <row r="21747" spans="9:10" x14ac:dyDescent="0.35">
      <c r="I21747" s="63"/>
      <c r="J21747" s="63"/>
    </row>
    <row r="21748" spans="9:10" x14ac:dyDescent="0.35">
      <c r="I21748" s="63"/>
      <c r="J21748" s="63"/>
    </row>
    <row r="21749" spans="9:10" x14ac:dyDescent="0.35">
      <c r="I21749" s="63"/>
      <c r="J21749" s="63"/>
    </row>
    <row r="21750" spans="9:10" x14ac:dyDescent="0.35">
      <c r="I21750" s="63"/>
      <c r="J21750" s="63"/>
    </row>
    <row r="21751" spans="9:10" x14ac:dyDescent="0.35">
      <c r="I21751" s="63"/>
      <c r="J21751" s="63"/>
    </row>
    <row r="21752" spans="9:10" x14ac:dyDescent="0.35">
      <c r="I21752" s="63"/>
      <c r="J21752" s="63"/>
    </row>
    <row r="21753" spans="9:10" x14ac:dyDescent="0.35">
      <c r="I21753" s="63"/>
      <c r="J21753" s="63"/>
    </row>
    <row r="21754" spans="9:10" x14ac:dyDescent="0.35">
      <c r="I21754" s="63"/>
      <c r="J21754" s="63"/>
    </row>
    <row r="21755" spans="9:10" x14ac:dyDescent="0.35">
      <c r="I21755" s="63"/>
      <c r="J21755" s="63"/>
    </row>
    <row r="21756" spans="9:10" x14ac:dyDescent="0.35">
      <c r="I21756" s="63"/>
      <c r="J21756" s="63"/>
    </row>
    <row r="21757" spans="9:10" x14ac:dyDescent="0.35">
      <c r="I21757" s="63"/>
      <c r="J21757" s="63"/>
    </row>
    <row r="21758" spans="9:10" x14ac:dyDescent="0.35">
      <c r="I21758" s="63"/>
      <c r="J21758" s="63"/>
    </row>
    <row r="21759" spans="9:10" x14ac:dyDescent="0.35">
      <c r="I21759" s="63"/>
      <c r="J21759" s="63"/>
    </row>
    <row r="21760" spans="9:10" x14ac:dyDescent="0.35">
      <c r="I21760" s="63"/>
      <c r="J21760" s="63"/>
    </row>
    <row r="21761" spans="9:10" x14ac:dyDescent="0.35">
      <c r="I21761" s="63"/>
      <c r="J21761" s="63"/>
    </row>
    <row r="21762" spans="9:10" x14ac:dyDescent="0.35">
      <c r="I21762" s="63"/>
      <c r="J21762" s="63"/>
    </row>
    <row r="21763" spans="9:10" x14ac:dyDescent="0.35">
      <c r="I21763" s="63"/>
      <c r="J21763" s="63"/>
    </row>
    <row r="21764" spans="9:10" x14ac:dyDescent="0.35">
      <c r="I21764" s="63"/>
      <c r="J21764" s="63"/>
    </row>
    <row r="21765" spans="9:10" x14ac:dyDescent="0.35">
      <c r="I21765" s="63"/>
      <c r="J21765" s="63"/>
    </row>
    <row r="21766" spans="9:10" x14ac:dyDescent="0.35">
      <c r="I21766" s="63"/>
      <c r="J21766" s="63"/>
    </row>
    <row r="21767" spans="9:10" x14ac:dyDescent="0.35">
      <c r="I21767" s="63"/>
      <c r="J21767" s="63"/>
    </row>
    <row r="21768" spans="9:10" x14ac:dyDescent="0.35">
      <c r="I21768" s="63"/>
      <c r="J21768" s="63"/>
    </row>
    <row r="21769" spans="9:10" x14ac:dyDescent="0.35">
      <c r="I21769" s="63"/>
      <c r="J21769" s="63"/>
    </row>
    <row r="21770" spans="9:10" x14ac:dyDescent="0.35">
      <c r="I21770" s="63"/>
      <c r="J21770" s="63"/>
    </row>
    <row r="21771" spans="9:10" x14ac:dyDescent="0.35">
      <c r="I21771" s="63"/>
      <c r="J21771" s="63"/>
    </row>
    <row r="21772" spans="9:10" x14ac:dyDescent="0.35">
      <c r="I21772" s="63"/>
      <c r="J21772" s="63"/>
    </row>
    <row r="21773" spans="9:10" x14ac:dyDescent="0.35">
      <c r="I21773" s="63"/>
      <c r="J21773" s="63"/>
    </row>
    <row r="21774" spans="9:10" x14ac:dyDescent="0.35">
      <c r="I21774" s="63"/>
      <c r="J21774" s="63"/>
    </row>
    <row r="21775" spans="9:10" x14ac:dyDescent="0.35">
      <c r="I21775" s="63"/>
      <c r="J21775" s="63"/>
    </row>
    <row r="21776" spans="9:10" x14ac:dyDescent="0.35">
      <c r="I21776" s="63"/>
      <c r="J21776" s="63"/>
    </row>
    <row r="21777" spans="9:10" x14ac:dyDescent="0.35">
      <c r="I21777" s="63"/>
      <c r="J21777" s="63"/>
    </row>
    <row r="21778" spans="9:10" x14ac:dyDescent="0.35">
      <c r="I21778" s="63"/>
      <c r="J21778" s="63"/>
    </row>
    <row r="21779" spans="9:10" x14ac:dyDescent="0.35">
      <c r="I21779" s="63"/>
      <c r="J21779" s="63"/>
    </row>
    <row r="21780" spans="9:10" x14ac:dyDescent="0.35">
      <c r="I21780" s="63"/>
      <c r="J21780" s="63"/>
    </row>
    <row r="21781" spans="9:10" x14ac:dyDescent="0.35">
      <c r="I21781" s="63"/>
      <c r="J21781" s="63"/>
    </row>
    <row r="21782" spans="9:10" x14ac:dyDescent="0.35">
      <c r="I21782" s="63"/>
      <c r="J21782" s="63"/>
    </row>
    <row r="21783" spans="9:10" x14ac:dyDescent="0.35">
      <c r="I21783" s="63"/>
      <c r="J21783" s="63"/>
    </row>
    <row r="21784" spans="9:10" x14ac:dyDescent="0.35">
      <c r="I21784" s="63"/>
      <c r="J21784" s="63"/>
    </row>
    <row r="21785" spans="9:10" x14ac:dyDescent="0.35">
      <c r="I21785" s="63"/>
      <c r="J21785" s="63"/>
    </row>
    <row r="21786" spans="9:10" x14ac:dyDescent="0.35">
      <c r="I21786" s="63"/>
      <c r="J21786" s="63"/>
    </row>
    <row r="21787" spans="9:10" x14ac:dyDescent="0.35">
      <c r="I21787" s="63"/>
      <c r="J21787" s="63"/>
    </row>
    <row r="21788" spans="9:10" x14ac:dyDescent="0.35">
      <c r="I21788" s="63"/>
      <c r="J21788" s="63"/>
    </row>
    <row r="21789" spans="9:10" x14ac:dyDescent="0.35">
      <c r="I21789" s="63"/>
      <c r="J21789" s="63"/>
    </row>
    <row r="21790" spans="9:10" x14ac:dyDescent="0.35">
      <c r="I21790" s="63"/>
      <c r="J21790" s="63"/>
    </row>
    <row r="21791" spans="9:10" x14ac:dyDescent="0.35">
      <c r="I21791" s="63"/>
      <c r="J21791" s="63"/>
    </row>
    <row r="21792" spans="9:10" x14ac:dyDescent="0.35">
      <c r="I21792" s="63"/>
      <c r="J21792" s="63"/>
    </row>
    <row r="21793" spans="9:10" x14ac:dyDescent="0.35">
      <c r="I21793" s="63"/>
      <c r="J21793" s="63"/>
    </row>
    <row r="21794" spans="9:10" x14ac:dyDescent="0.35">
      <c r="I21794" s="63"/>
      <c r="J21794" s="63"/>
    </row>
    <row r="21795" spans="9:10" x14ac:dyDescent="0.35">
      <c r="I21795" s="63"/>
      <c r="J21795" s="63"/>
    </row>
    <row r="21796" spans="9:10" x14ac:dyDescent="0.35">
      <c r="I21796" s="63"/>
      <c r="J21796" s="63"/>
    </row>
    <row r="21797" spans="9:10" x14ac:dyDescent="0.35">
      <c r="I21797" s="63"/>
      <c r="J21797" s="63"/>
    </row>
    <row r="21798" spans="9:10" x14ac:dyDescent="0.35">
      <c r="I21798" s="63"/>
      <c r="J21798" s="63"/>
    </row>
    <row r="21799" spans="9:10" x14ac:dyDescent="0.35">
      <c r="I21799" s="63"/>
      <c r="J21799" s="63"/>
    </row>
    <row r="21800" spans="9:10" x14ac:dyDescent="0.35">
      <c r="I21800" s="63"/>
      <c r="J21800" s="63"/>
    </row>
    <row r="21801" spans="9:10" x14ac:dyDescent="0.35">
      <c r="I21801" s="63"/>
      <c r="J21801" s="63"/>
    </row>
    <row r="21802" spans="9:10" x14ac:dyDescent="0.35">
      <c r="I21802" s="63"/>
      <c r="J21802" s="63"/>
    </row>
    <row r="21803" spans="9:10" x14ac:dyDescent="0.35">
      <c r="I21803" s="63"/>
      <c r="J21803" s="63"/>
    </row>
    <row r="21804" spans="9:10" x14ac:dyDescent="0.35">
      <c r="I21804" s="63"/>
      <c r="J21804" s="63"/>
    </row>
    <row r="21805" spans="9:10" x14ac:dyDescent="0.35">
      <c r="I21805" s="63"/>
      <c r="J21805" s="63"/>
    </row>
    <row r="21806" spans="9:10" x14ac:dyDescent="0.35">
      <c r="I21806" s="63"/>
      <c r="J21806" s="63"/>
    </row>
    <row r="21807" spans="9:10" x14ac:dyDescent="0.35">
      <c r="I21807" s="63"/>
      <c r="J21807" s="63"/>
    </row>
    <row r="21808" spans="9:10" x14ac:dyDescent="0.35">
      <c r="I21808" s="63"/>
      <c r="J21808" s="63"/>
    </row>
    <row r="21809" spans="9:10" x14ac:dyDescent="0.35">
      <c r="I21809" s="63"/>
      <c r="J21809" s="63"/>
    </row>
    <row r="21810" spans="9:10" x14ac:dyDescent="0.35">
      <c r="I21810" s="63"/>
      <c r="J21810" s="63"/>
    </row>
    <row r="21811" spans="9:10" x14ac:dyDescent="0.35">
      <c r="I21811" s="63"/>
      <c r="J21811" s="63"/>
    </row>
    <row r="21812" spans="9:10" x14ac:dyDescent="0.35">
      <c r="I21812" s="63"/>
      <c r="J21812" s="63"/>
    </row>
    <row r="21813" spans="9:10" x14ac:dyDescent="0.35">
      <c r="I21813" s="63"/>
      <c r="J21813" s="63"/>
    </row>
    <row r="21814" spans="9:10" x14ac:dyDescent="0.35">
      <c r="I21814" s="63"/>
      <c r="J21814" s="63"/>
    </row>
    <row r="21815" spans="9:10" x14ac:dyDescent="0.35">
      <c r="I21815" s="63"/>
      <c r="J21815" s="63"/>
    </row>
    <row r="21816" spans="9:10" x14ac:dyDescent="0.35">
      <c r="I21816" s="63"/>
      <c r="J21816" s="63"/>
    </row>
    <row r="21817" spans="9:10" x14ac:dyDescent="0.35">
      <c r="I21817" s="63"/>
      <c r="J21817" s="63"/>
    </row>
    <row r="21818" spans="9:10" x14ac:dyDescent="0.35">
      <c r="I21818" s="63"/>
      <c r="J21818" s="63"/>
    </row>
    <row r="21819" spans="9:10" x14ac:dyDescent="0.35">
      <c r="I21819" s="63"/>
      <c r="J21819" s="63"/>
    </row>
    <row r="21820" spans="9:10" x14ac:dyDescent="0.35">
      <c r="I21820" s="63"/>
      <c r="J21820" s="63"/>
    </row>
    <row r="21821" spans="9:10" x14ac:dyDescent="0.35">
      <c r="I21821" s="63"/>
      <c r="J21821" s="63"/>
    </row>
    <row r="21822" spans="9:10" x14ac:dyDescent="0.35">
      <c r="I21822" s="63"/>
      <c r="J21822" s="63"/>
    </row>
    <row r="21823" spans="9:10" x14ac:dyDescent="0.35">
      <c r="I21823" s="63"/>
      <c r="J21823" s="63"/>
    </row>
    <row r="21824" spans="9:10" x14ac:dyDescent="0.35">
      <c r="I21824" s="63"/>
      <c r="J21824" s="63"/>
    </row>
    <row r="21825" spans="9:10" x14ac:dyDescent="0.35">
      <c r="I21825" s="63"/>
      <c r="J21825" s="63"/>
    </row>
    <row r="21826" spans="9:10" x14ac:dyDescent="0.35">
      <c r="I21826" s="63"/>
      <c r="J21826" s="63"/>
    </row>
    <row r="21827" spans="9:10" x14ac:dyDescent="0.35">
      <c r="I21827" s="63"/>
      <c r="J21827" s="63"/>
    </row>
    <row r="21828" spans="9:10" x14ac:dyDescent="0.35">
      <c r="I21828" s="63"/>
      <c r="J21828" s="63"/>
    </row>
    <row r="21829" spans="9:10" x14ac:dyDescent="0.35">
      <c r="I21829" s="63"/>
      <c r="J21829" s="63"/>
    </row>
    <row r="21830" spans="9:10" x14ac:dyDescent="0.35">
      <c r="I21830" s="63"/>
      <c r="J21830" s="63"/>
    </row>
    <row r="21831" spans="9:10" x14ac:dyDescent="0.35">
      <c r="I21831" s="63"/>
      <c r="J21831" s="63"/>
    </row>
    <row r="21832" spans="9:10" x14ac:dyDescent="0.35">
      <c r="I21832" s="63"/>
      <c r="J21832" s="63"/>
    </row>
    <row r="21833" spans="9:10" x14ac:dyDescent="0.35">
      <c r="I21833" s="63"/>
      <c r="J21833" s="63"/>
    </row>
    <row r="21834" spans="9:10" x14ac:dyDescent="0.35">
      <c r="I21834" s="63"/>
      <c r="J21834" s="63"/>
    </row>
    <row r="21835" spans="9:10" x14ac:dyDescent="0.35">
      <c r="I21835" s="63"/>
      <c r="J21835" s="63"/>
    </row>
    <row r="21836" spans="9:10" x14ac:dyDescent="0.35">
      <c r="I21836" s="63"/>
      <c r="J21836" s="63"/>
    </row>
    <row r="21837" spans="9:10" x14ac:dyDescent="0.35">
      <c r="I21837" s="63"/>
      <c r="J21837" s="63"/>
    </row>
    <row r="21838" spans="9:10" x14ac:dyDescent="0.35">
      <c r="I21838" s="63"/>
      <c r="J21838" s="63"/>
    </row>
    <row r="21839" spans="9:10" x14ac:dyDescent="0.35">
      <c r="I21839" s="63"/>
      <c r="J21839" s="63"/>
    </row>
    <row r="21840" spans="9:10" x14ac:dyDescent="0.35">
      <c r="I21840" s="63"/>
      <c r="J21840" s="63"/>
    </row>
    <row r="21841" spans="9:10" x14ac:dyDescent="0.35">
      <c r="I21841" s="63"/>
      <c r="J21841" s="63"/>
    </row>
    <row r="21842" spans="9:10" x14ac:dyDescent="0.35">
      <c r="I21842" s="63"/>
      <c r="J21842" s="63"/>
    </row>
    <row r="21843" spans="9:10" x14ac:dyDescent="0.35">
      <c r="I21843" s="63"/>
      <c r="J21843" s="63"/>
    </row>
    <row r="21844" spans="9:10" x14ac:dyDescent="0.35">
      <c r="I21844" s="63"/>
      <c r="J21844" s="63"/>
    </row>
    <row r="21845" spans="9:10" x14ac:dyDescent="0.35">
      <c r="I21845" s="63"/>
      <c r="J21845" s="63"/>
    </row>
    <row r="21846" spans="9:10" x14ac:dyDescent="0.35">
      <c r="I21846" s="63"/>
      <c r="J21846" s="63"/>
    </row>
    <row r="21847" spans="9:10" x14ac:dyDescent="0.35">
      <c r="I21847" s="63"/>
      <c r="J21847" s="63"/>
    </row>
    <row r="21848" spans="9:10" x14ac:dyDescent="0.35">
      <c r="I21848" s="63"/>
      <c r="J21848" s="63"/>
    </row>
    <row r="21849" spans="9:10" x14ac:dyDescent="0.35">
      <c r="I21849" s="63"/>
      <c r="J21849" s="63"/>
    </row>
    <row r="21850" spans="9:10" x14ac:dyDescent="0.35">
      <c r="I21850" s="63"/>
      <c r="J21850" s="63"/>
    </row>
    <row r="21851" spans="9:10" x14ac:dyDescent="0.35">
      <c r="I21851" s="63"/>
      <c r="J21851" s="63"/>
    </row>
    <row r="21852" spans="9:10" x14ac:dyDescent="0.35">
      <c r="I21852" s="63"/>
      <c r="J21852" s="63"/>
    </row>
    <row r="21853" spans="9:10" x14ac:dyDescent="0.35">
      <c r="I21853" s="63"/>
      <c r="J21853" s="63"/>
    </row>
    <row r="21854" spans="9:10" x14ac:dyDescent="0.35">
      <c r="I21854" s="63"/>
      <c r="J21854" s="63"/>
    </row>
    <row r="21855" spans="9:10" x14ac:dyDescent="0.35">
      <c r="I21855" s="63"/>
      <c r="J21855" s="63"/>
    </row>
    <row r="21856" spans="9:10" x14ac:dyDescent="0.35">
      <c r="I21856" s="63"/>
      <c r="J21856" s="63"/>
    </row>
    <row r="21857" spans="9:10" x14ac:dyDescent="0.35">
      <c r="I21857" s="63"/>
      <c r="J21857" s="63"/>
    </row>
    <row r="21858" spans="9:10" x14ac:dyDescent="0.35">
      <c r="I21858" s="63"/>
      <c r="J21858" s="63"/>
    </row>
    <row r="21859" spans="9:10" x14ac:dyDescent="0.35">
      <c r="I21859" s="63"/>
      <c r="J21859" s="63"/>
    </row>
    <row r="21860" spans="9:10" x14ac:dyDescent="0.35">
      <c r="I21860" s="63"/>
      <c r="J21860" s="63"/>
    </row>
    <row r="21861" spans="9:10" x14ac:dyDescent="0.35">
      <c r="I21861" s="63"/>
      <c r="J21861" s="63"/>
    </row>
    <row r="21862" spans="9:10" x14ac:dyDescent="0.35">
      <c r="I21862" s="63"/>
      <c r="J21862" s="63"/>
    </row>
    <row r="21863" spans="9:10" x14ac:dyDescent="0.35">
      <c r="I21863" s="63"/>
      <c r="J21863" s="63"/>
    </row>
    <row r="21864" spans="9:10" x14ac:dyDescent="0.35">
      <c r="I21864" s="63"/>
      <c r="J21864" s="63"/>
    </row>
    <row r="21865" spans="9:10" x14ac:dyDescent="0.35">
      <c r="I21865" s="63"/>
      <c r="J21865" s="63"/>
    </row>
    <row r="21866" spans="9:10" x14ac:dyDescent="0.35">
      <c r="I21866" s="63"/>
      <c r="J21866" s="63"/>
    </row>
    <row r="21867" spans="9:10" x14ac:dyDescent="0.35">
      <c r="I21867" s="63"/>
      <c r="J21867" s="63"/>
    </row>
    <row r="21868" spans="9:10" x14ac:dyDescent="0.35">
      <c r="I21868" s="63"/>
      <c r="J21868" s="63"/>
    </row>
    <row r="21869" spans="9:10" x14ac:dyDescent="0.35">
      <c r="I21869" s="63"/>
      <c r="J21869" s="63"/>
    </row>
    <row r="21870" spans="9:10" x14ac:dyDescent="0.35">
      <c r="I21870" s="63"/>
      <c r="J21870" s="63"/>
    </row>
    <row r="21871" spans="9:10" x14ac:dyDescent="0.35">
      <c r="I21871" s="63"/>
      <c r="J21871" s="63"/>
    </row>
    <row r="21872" spans="9:10" x14ac:dyDescent="0.35">
      <c r="I21872" s="63"/>
      <c r="J21872" s="63"/>
    </row>
    <row r="21873" spans="9:10" x14ac:dyDescent="0.35">
      <c r="I21873" s="63"/>
      <c r="J21873" s="63"/>
    </row>
    <row r="21874" spans="9:10" x14ac:dyDescent="0.35">
      <c r="I21874" s="63"/>
      <c r="J21874" s="63"/>
    </row>
    <row r="21875" spans="9:10" x14ac:dyDescent="0.35">
      <c r="I21875" s="63"/>
      <c r="J21875" s="63"/>
    </row>
    <row r="21876" spans="9:10" x14ac:dyDescent="0.35">
      <c r="I21876" s="63"/>
      <c r="J21876" s="63"/>
    </row>
    <row r="21877" spans="9:10" x14ac:dyDescent="0.35">
      <c r="I21877" s="63"/>
      <c r="J21877" s="63"/>
    </row>
    <row r="21878" spans="9:10" x14ac:dyDescent="0.35">
      <c r="I21878" s="63"/>
      <c r="J21878" s="63"/>
    </row>
    <row r="21879" spans="9:10" x14ac:dyDescent="0.35">
      <c r="I21879" s="63"/>
      <c r="J21879" s="63"/>
    </row>
    <row r="21880" spans="9:10" x14ac:dyDescent="0.35">
      <c r="I21880" s="63"/>
      <c r="J21880" s="63"/>
    </row>
    <row r="21881" spans="9:10" x14ac:dyDescent="0.35">
      <c r="I21881" s="63"/>
      <c r="J21881" s="63"/>
    </row>
    <row r="21882" spans="9:10" x14ac:dyDescent="0.35">
      <c r="I21882" s="63"/>
      <c r="J21882" s="63"/>
    </row>
    <row r="21883" spans="9:10" x14ac:dyDescent="0.35">
      <c r="I21883" s="63"/>
      <c r="J21883" s="63"/>
    </row>
    <row r="21884" spans="9:10" x14ac:dyDescent="0.35">
      <c r="I21884" s="63"/>
      <c r="J21884" s="63"/>
    </row>
    <row r="21885" spans="9:10" x14ac:dyDescent="0.35">
      <c r="I21885" s="63"/>
      <c r="J21885" s="63"/>
    </row>
    <row r="21886" spans="9:10" x14ac:dyDescent="0.35">
      <c r="I21886" s="63"/>
      <c r="J21886" s="63"/>
    </row>
    <row r="21887" spans="9:10" x14ac:dyDescent="0.35">
      <c r="I21887" s="63"/>
      <c r="J21887" s="63"/>
    </row>
    <row r="21888" spans="9:10" x14ac:dyDescent="0.35">
      <c r="I21888" s="63"/>
      <c r="J21888" s="63"/>
    </row>
    <row r="21889" spans="9:10" x14ac:dyDescent="0.35">
      <c r="I21889" s="63"/>
      <c r="J21889" s="63"/>
    </row>
    <row r="21890" spans="9:10" x14ac:dyDescent="0.35">
      <c r="I21890" s="63"/>
      <c r="J21890" s="63"/>
    </row>
    <row r="21891" spans="9:10" x14ac:dyDescent="0.35">
      <c r="I21891" s="63"/>
      <c r="J21891" s="63"/>
    </row>
    <row r="21892" spans="9:10" x14ac:dyDescent="0.35">
      <c r="I21892" s="63"/>
      <c r="J21892" s="63"/>
    </row>
    <row r="21893" spans="9:10" x14ac:dyDescent="0.35">
      <c r="I21893" s="63"/>
      <c r="J21893" s="63"/>
    </row>
    <row r="21894" spans="9:10" x14ac:dyDescent="0.35">
      <c r="I21894" s="63"/>
      <c r="J21894" s="63"/>
    </row>
    <row r="21895" spans="9:10" x14ac:dyDescent="0.35">
      <c r="I21895" s="63"/>
      <c r="J21895" s="63"/>
    </row>
    <row r="21896" spans="9:10" x14ac:dyDescent="0.35">
      <c r="I21896" s="63"/>
      <c r="J21896" s="63"/>
    </row>
    <row r="21897" spans="9:10" x14ac:dyDescent="0.35">
      <c r="I21897" s="63"/>
      <c r="J21897" s="63"/>
    </row>
    <row r="21898" spans="9:10" x14ac:dyDescent="0.35">
      <c r="I21898" s="63"/>
      <c r="J21898" s="63"/>
    </row>
    <row r="21899" spans="9:10" x14ac:dyDescent="0.35">
      <c r="I21899" s="63"/>
      <c r="J21899" s="63"/>
    </row>
    <row r="21900" spans="9:10" x14ac:dyDescent="0.35">
      <c r="I21900" s="63"/>
      <c r="J21900" s="63"/>
    </row>
    <row r="21901" spans="9:10" x14ac:dyDescent="0.35">
      <c r="I21901" s="63"/>
      <c r="J21901" s="63"/>
    </row>
    <row r="21902" spans="9:10" x14ac:dyDescent="0.35">
      <c r="I21902" s="63"/>
      <c r="J21902" s="63"/>
    </row>
    <row r="21903" spans="9:10" x14ac:dyDescent="0.35">
      <c r="I21903" s="63"/>
      <c r="J21903" s="63"/>
    </row>
    <row r="21904" spans="9:10" x14ac:dyDescent="0.35">
      <c r="I21904" s="63"/>
      <c r="J21904" s="63"/>
    </row>
    <row r="21905" spans="9:10" x14ac:dyDescent="0.35">
      <c r="I21905" s="63"/>
      <c r="J21905" s="63"/>
    </row>
    <row r="21906" spans="9:10" x14ac:dyDescent="0.35">
      <c r="I21906" s="63"/>
      <c r="J21906" s="63"/>
    </row>
    <row r="21907" spans="9:10" x14ac:dyDescent="0.35">
      <c r="I21907" s="63"/>
      <c r="J21907" s="63"/>
    </row>
    <row r="21908" spans="9:10" x14ac:dyDescent="0.35">
      <c r="I21908" s="63"/>
      <c r="J21908" s="63"/>
    </row>
    <row r="21909" spans="9:10" x14ac:dyDescent="0.35">
      <c r="I21909" s="63"/>
      <c r="J21909" s="63"/>
    </row>
    <row r="21910" spans="9:10" x14ac:dyDescent="0.35">
      <c r="I21910" s="63"/>
      <c r="J21910" s="63"/>
    </row>
    <row r="21911" spans="9:10" x14ac:dyDescent="0.35">
      <c r="I21911" s="63"/>
      <c r="J21911" s="63"/>
    </row>
    <row r="21912" spans="9:10" x14ac:dyDescent="0.35">
      <c r="I21912" s="63"/>
      <c r="J21912" s="63"/>
    </row>
    <row r="21913" spans="9:10" x14ac:dyDescent="0.35">
      <c r="I21913" s="63"/>
      <c r="J21913" s="63"/>
    </row>
    <row r="21914" spans="9:10" x14ac:dyDescent="0.35">
      <c r="I21914" s="63"/>
      <c r="J21914" s="63"/>
    </row>
    <row r="21915" spans="9:10" x14ac:dyDescent="0.35">
      <c r="I21915" s="63"/>
      <c r="J21915" s="63"/>
    </row>
    <row r="21916" spans="9:10" x14ac:dyDescent="0.35">
      <c r="I21916" s="63"/>
      <c r="J21916" s="63"/>
    </row>
    <row r="21917" spans="9:10" x14ac:dyDescent="0.35">
      <c r="I21917" s="63"/>
      <c r="J21917" s="63"/>
    </row>
    <row r="21918" spans="9:10" x14ac:dyDescent="0.35">
      <c r="I21918" s="63"/>
      <c r="J21918" s="63"/>
    </row>
    <row r="21919" spans="9:10" x14ac:dyDescent="0.35">
      <c r="I21919" s="63"/>
      <c r="J21919" s="63"/>
    </row>
    <row r="21920" spans="9:10" x14ac:dyDescent="0.35">
      <c r="I21920" s="63"/>
      <c r="J21920" s="63"/>
    </row>
    <row r="21921" spans="9:10" x14ac:dyDescent="0.35">
      <c r="I21921" s="63"/>
      <c r="J21921" s="63"/>
    </row>
    <row r="21922" spans="9:10" x14ac:dyDescent="0.35">
      <c r="I21922" s="63"/>
      <c r="J21922" s="63"/>
    </row>
    <row r="21923" spans="9:10" x14ac:dyDescent="0.35">
      <c r="I21923" s="63"/>
      <c r="J21923" s="63"/>
    </row>
    <row r="21924" spans="9:10" x14ac:dyDescent="0.35">
      <c r="I21924" s="63"/>
      <c r="J21924" s="63"/>
    </row>
    <row r="21925" spans="9:10" x14ac:dyDescent="0.35">
      <c r="I21925" s="63"/>
      <c r="J21925" s="63"/>
    </row>
    <row r="21926" spans="9:10" x14ac:dyDescent="0.35">
      <c r="I21926" s="63"/>
      <c r="J21926" s="63"/>
    </row>
    <row r="21927" spans="9:10" x14ac:dyDescent="0.35">
      <c r="I21927" s="63"/>
      <c r="J21927" s="63"/>
    </row>
    <row r="21928" spans="9:10" x14ac:dyDescent="0.35">
      <c r="I21928" s="63"/>
      <c r="J21928" s="63"/>
    </row>
    <row r="21929" spans="9:10" x14ac:dyDescent="0.35">
      <c r="I21929" s="63"/>
      <c r="J21929" s="63"/>
    </row>
    <row r="21930" spans="9:10" x14ac:dyDescent="0.35">
      <c r="I21930" s="63"/>
      <c r="J21930" s="63"/>
    </row>
    <row r="21931" spans="9:10" x14ac:dyDescent="0.35">
      <c r="I21931" s="63"/>
      <c r="J21931" s="63"/>
    </row>
    <row r="21932" spans="9:10" x14ac:dyDescent="0.35">
      <c r="I21932" s="63"/>
      <c r="J21932" s="63"/>
    </row>
    <row r="21933" spans="9:10" x14ac:dyDescent="0.35">
      <c r="I21933" s="63"/>
      <c r="J21933" s="63"/>
    </row>
    <row r="21934" spans="9:10" x14ac:dyDescent="0.35">
      <c r="I21934" s="63"/>
      <c r="J21934" s="63"/>
    </row>
    <row r="21935" spans="9:10" x14ac:dyDescent="0.35">
      <c r="I21935" s="63"/>
      <c r="J21935" s="63"/>
    </row>
    <row r="21936" spans="9:10" x14ac:dyDescent="0.35">
      <c r="I21936" s="63"/>
      <c r="J21936" s="63"/>
    </row>
    <row r="21937" spans="9:10" x14ac:dyDescent="0.35">
      <c r="I21937" s="63"/>
      <c r="J21937" s="63"/>
    </row>
    <row r="21938" spans="9:10" x14ac:dyDescent="0.35">
      <c r="I21938" s="63"/>
      <c r="J21938" s="63"/>
    </row>
    <row r="21939" spans="9:10" x14ac:dyDescent="0.35">
      <c r="I21939" s="63"/>
      <c r="J21939" s="63"/>
    </row>
    <row r="21940" spans="9:10" x14ac:dyDescent="0.35">
      <c r="I21940" s="63"/>
      <c r="J21940" s="63"/>
    </row>
    <row r="21941" spans="9:10" x14ac:dyDescent="0.35">
      <c r="I21941" s="63"/>
      <c r="J21941" s="63"/>
    </row>
    <row r="21942" spans="9:10" x14ac:dyDescent="0.35">
      <c r="I21942" s="63"/>
      <c r="J21942" s="63"/>
    </row>
    <row r="21943" spans="9:10" x14ac:dyDescent="0.35">
      <c r="I21943" s="63"/>
      <c r="J21943" s="63"/>
    </row>
    <row r="21944" spans="9:10" x14ac:dyDescent="0.35">
      <c r="I21944" s="63"/>
      <c r="J21944" s="63"/>
    </row>
    <row r="21945" spans="9:10" x14ac:dyDescent="0.35">
      <c r="I21945" s="63"/>
      <c r="J21945" s="63"/>
    </row>
    <row r="21946" spans="9:10" x14ac:dyDescent="0.35">
      <c r="I21946" s="63"/>
      <c r="J21946" s="63"/>
    </row>
    <row r="21947" spans="9:10" x14ac:dyDescent="0.35">
      <c r="I21947" s="63"/>
      <c r="J21947" s="63"/>
    </row>
    <row r="21948" spans="9:10" x14ac:dyDescent="0.35">
      <c r="I21948" s="63"/>
      <c r="J21948" s="63"/>
    </row>
    <row r="21949" spans="9:10" x14ac:dyDescent="0.35">
      <c r="I21949" s="63"/>
      <c r="J21949" s="63"/>
    </row>
    <row r="21950" spans="9:10" x14ac:dyDescent="0.35">
      <c r="I21950" s="63"/>
      <c r="J21950" s="63"/>
    </row>
    <row r="21951" spans="9:10" x14ac:dyDescent="0.35">
      <c r="I21951" s="63"/>
      <c r="J21951" s="63"/>
    </row>
    <row r="21952" spans="9:10" x14ac:dyDescent="0.35">
      <c r="I21952" s="63"/>
      <c r="J21952" s="63"/>
    </row>
    <row r="21953" spans="9:10" x14ac:dyDescent="0.35">
      <c r="I21953" s="63"/>
      <c r="J21953" s="63"/>
    </row>
    <row r="21954" spans="9:10" x14ac:dyDescent="0.35">
      <c r="I21954" s="63"/>
      <c r="J21954" s="63"/>
    </row>
    <row r="21955" spans="9:10" x14ac:dyDescent="0.35">
      <c r="I21955" s="63"/>
      <c r="J21955" s="63"/>
    </row>
    <row r="21956" spans="9:10" x14ac:dyDescent="0.35">
      <c r="I21956" s="63"/>
      <c r="J21956" s="63"/>
    </row>
    <row r="21957" spans="9:10" x14ac:dyDescent="0.35">
      <c r="I21957" s="63"/>
      <c r="J21957" s="63"/>
    </row>
    <row r="21958" spans="9:10" x14ac:dyDescent="0.35">
      <c r="I21958" s="63"/>
      <c r="J21958" s="63"/>
    </row>
    <row r="21959" spans="9:10" x14ac:dyDescent="0.35">
      <c r="I21959" s="63"/>
      <c r="J21959" s="63"/>
    </row>
    <row r="21960" spans="9:10" x14ac:dyDescent="0.35">
      <c r="I21960" s="63"/>
      <c r="J21960" s="63"/>
    </row>
    <row r="21961" spans="9:10" x14ac:dyDescent="0.35">
      <c r="I21961" s="63"/>
      <c r="J21961" s="63"/>
    </row>
    <row r="21962" spans="9:10" x14ac:dyDescent="0.35">
      <c r="I21962" s="63"/>
      <c r="J21962" s="63"/>
    </row>
    <row r="21963" spans="9:10" x14ac:dyDescent="0.35">
      <c r="I21963" s="63"/>
      <c r="J21963" s="63"/>
    </row>
    <row r="21964" spans="9:10" x14ac:dyDescent="0.35">
      <c r="I21964" s="63"/>
      <c r="J21964" s="63"/>
    </row>
    <row r="21965" spans="9:10" x14ac:dyDescent="0.35">
      <c r="I21965" s="63"/>
      <c r="J21965" s="63"/>
    </row>
    <row r="21966" spans="9:10" x14ac:dyDescent="0.35">
      <c r="I21966" s="63"/>
      <c r="J21966" s="63"/>
    </row>
    <row r="21967" spans="9:10" x14ac:dyDescent="0.35">
      <c r="I21967" s="63"/>
      <c r="J21967" s="63"/>
    </row>
    <row r="21968" spans="9:10" x14ac:dyDescent="0.35">
      <c r="I21968" s="63"/>
      <c r="J21968" s="63"/>
    </row>
    <row r="21969" spans="9:10" x14ac:dyDescent="0.35">
      <c r="I21969" s="63"/>
      <c r="J21969" s="63"/>
    </row>
    <row r="21970" spans="9:10" x14ac:dyDescent="0.35">
      <c r="I21970" s="63"/>
      <c r="J21970" s="63"/>
    </row>
    <row r="21971" spans="9:10" x14ac:dyDescent="0.35">
      <c r="I21971" s="63"/>
      <c r="J21971" s="63"/>
    </row>
    <row r="21972" spans="9:10" x14ac:dyDescent="0.35">
      <c r="I21972" s="63"/>
      <c r="J21972" s="63"/>
    </row>
    <row r="21973" spans="9:10" x14ac:dyDescent="0.35">
      <c r="I21973" s="63"/>
      <c r="J21973" s="63"/>
    </row>
    <row r="21974" spans="9:10" x14ac:dyDescent="0.35">
      <c r="I21974" s="63"/>
      <c r="J21974" s="63"/>
    </row>
    <row r="21975" spans="9:10" x14ac:dyDescent="0.35">
      <c r="I21975" s="63"/>
      <c r="J21975" s="63"/>
    </row>
    <row r="21976" spans="9:10" x14ac:dyDescent="0.35">
      <c r="I21976" s="63"/>
      <c r="J21976" s="63"/>
    </row>
    <row r="21977" spans="9:10" x14ac:dyDescent="0.35">
      <c r="I21977" s="63"/>
      <c r="J21977" s="63"/>
    </row>
    <row r="21978" spans="9:10" x14ac:dyDescent="0.35">
      <c r="I21978" s="63"/>
      <c r="J21978" s="63"/>
    </row>
    <row r="21979" spans="9:10" x14ac:dyDescent="0.35">
      <c r="I21979" s="63"/>
      <c r="J21979" s="63"/>
    </row>
    <row r="21980" spans="9:10" x14ac:dyDescent="0.35">
      <c r="I21980" s="63"/>
      <c r="J21980" s="63"/>
    </row>
    <row r="21981" spans="9:10" x14ac:dyDescent="0.35">
      <c r="I21981" s="63"/>
      <c r="J21981" s="63"/>
    </row>
    <row r="21982" spans="9:10" x14ac:dyDescent="0.35">
      <c r="I21982" s="63"/>
      <c r="J21982" s="63"/>
    </row>
    <row r="21983" spans="9:10" x14ac:dyDescent="0.35">
      <c r="I21983" s="63"/>
      <c r="J21983" s="63"/>
    </row>
    <row r="21984" spans="9:10" x14ac:dyDescent="0.35">
      <c r="I21984" s="63"/>
      <c r="J21984" s="63"/>
    </row>
    <row r="21985" spans="9:10" x14ac:dyDescent="0.35">
      <c r="I21985" s="63"/>
      <c r="J21985" s="63"/>
    </row>
    <row r="21986" spans="9:10" x14ac:dyDescent="0.35">
      <c r="I21986" s="63"/>
      <c r="J21986" s="63"/>
    </row>
    <row r="21987" spans="9:10" x14ac:dyDescent="0.35">
      <c r="I21987" s="63"/>
      <c r="J21987" s="63"/>
    </row>
    <row r="21988" spans="9:10" x14ac:dyDescent="0.35">
      <c r="I21988" s="63"/>
      <c r="J21988" s="63"/>
    </row>
    <row r="21989" spans="9:10" x14ac:dyDescent="0.35">
      <c r="I21989" s="63"/>
      <c r="J21989" s="63"/>
    </row>
    <row r="21990" spans="9:10" x14ac:dyDescent="0.35">
      <c r="I21990" s="63"/>
      <c r="J21990" s="63"/>
    </row>
    <row r="21991" spans="9:10" x14ac:dyDescent="0.35">
      <c r="I21991" s="63"/>
      <c r="J21991" s="63"/>
    </row>
    <row r="21992" spans="9:10" x14ac:dyDescent="0.35">
      <c r="I21992" s="63"/>
      <c r="J21992" s="63"/>
    </row>
    <row r="21993" spans="9:10" x14ac:dyDescent="0.35">
      <c r="I21993" s="63"/>
      <c r="J21993" s="63"/>
    </row>
    <row r="21994" spans="9:10" x14ac:dyDescent="0.35">
      <c r="I21994" s="63"/>
      <c r="J21994" s="63"/>
    </row>
    <row r="21995" spans="9:10" x14ac:dyDescent="0.35">
      <c r="I21995" s="63"/>
      <c r="J21995" s="63"/>
    </row>
    <row r="21996" spans="9:10" x14ac:dyDescent="0.35">
      <c r="I21996" s="63"/>
      <c r="J21996" s="63"/>
    </row>
    <row r="21997" spans="9:10" x14ac:dyDescent="0.35">
      <c r="I21997" s="63"/>
      <c r="J21997" s="63"/>
    </row>
    <row r="21998" spans="9:10" x14ac:dyDescent="0.35">
      <c r="I21998" s="63"/>
      <c r="J21998" s="63"/>
    </row>
    <row r="21999" spans="9:10" x14ac:dyDescent="0.35">
      <c r="I21999" s="63"/>
      <c r="J21999" s="63"/>
    </row>
    <row r="22000" spans="9:10" x14ac:dyDescent="0.35">
      <c r="I22000" s="63"/>
      <c r="J22000" s="63"/>
    </row>
    <row r="22001" spans="9:10" x14ac:dyDescent="0.35">
      <c r="I22001" s="63"/>
      <c r="J22001" s="63"/>
    </row>
    <row r="22002" spans="9:10" x14ac:dyDescent="0.35">
      <c r="I22002" s="63"/>
      <c r="J22002" s="63"/>
    </row>
    <row r="22003" spans="9:10" x14ac:dyDescent="0.35">
      <c r="I22003" s="63"/>
      <c r="J22003" s="63"/>
    </row>
    <row r="22004" spans="9:10" x14ac:dyDescent="0.35">
      <c r="I22004" s="63"/>
      <c r="J22004" s="63"/>
    </row>
    <row r="22005" spans="9:10" x14ac:dyDescent="0.35">
      <c r="I22005" s="63"/>
      <c r="J22005" s="63"/>
    </row>
    <row r="22006" spans="9:10" x14ac:dyDescent="0.35">
      <c r="I22006" s="63"/>
      <c r="J22006" s="63"/>
    </row>
    <row r="22007" spans="9:10" x14ac:dyDescent="0.35">
      <c r="I22007" s="63"/>
      <c r="J22007" s="63"/>
    </row>
    <row r="22008" spans="9:10" x14ac:dyDescent="0.35">
      <c r="I22008" s="63"/>
      <c r="J22008" s="63"/>
    </row>
    <row r="22009" spans="9:10" x14ac:dyDescent="0.35">
      <c r="I22009" s="63"/>
      <c r="J22009" s="63"/>
    </row>
    <row r="22010" spans="9:10" x14ac:dyDescent="0.35">
      <c r="I22010" s="63"/>
      <c r="J22010" s="63"/>
    </row>
    <row r="22011" spans="9:10" x14ac:dyDescent="0.35">
      <c r="I22011" s="63"/>
      <c r="J22011" s="63"/>
    </row>
    <row r="22012" spans="9:10" x14ac:dyDescent="0.35">
      <c r="I22012" s="63"/>
      <c r="J22012" s="63"/>
    </row>
    <row r="22013" spans="9:10" x14ac:dyDescent="0.35">
      <c r="I22013" s="63"/>
      <c r="J22013" s="63"/>
    </row>
    <row r="22014" spans="9:10" x14ac:dyDescent="0.35">
      <c r="I22014" s="63"/>
      <c r="J22014" s="63"/>
    </row>
    <row r="22015" spans="9:10" x14ac:dyDescent="0.35">
      <c r="I22015" s="63"/>
      <c r="J22015" s="63"/>
    </row>
    <row r="22016" spans="9:10" x14ac:dyDescent="0.35">
      <c r="I22016" s="63"/>
      <c r="J22016" s="63"/>
    </row>
    <row r="22017" spans="9:10" x14ac:dyDescent="0.35">
      <c r="I22017" s="63"/>
      <c r="J22017" s="63"/>
    </row>
    <row r="22018" spans="9:10" x14ac:dyDescent="0.35">
      <c r="I22018" s="63"/>
      <c r="J22018" s="63"/>
    </row>
    <row r="22019" spans="9:10" x14ac:dyDescent="0.35">
      <c r="I22019" s="63"/>
      <c r="J22019" s="63"/>
    </row>
    <row r="22020" spans="9:10" x14ac:dyDescent="0.35">
      <c r="I22020" s="63"/>
      <c r="J22020" s="63"/>
    </row>
    <row r="22021" spans="9:10" x14ac:dyDescent="0.35">
      <c r="I22021" s="63"/>
      <c r="J22021" s="63"/>
    </row>
    <row r="22022" spans="9:10" x14ac:dyDescent="0.35">
      <c r="I22022" s="63"/>
      <c r="J22022" s="63"/>
    </row>
    <row r="22023" spans="9:10" x14ac:dyDescent="0.35">
      <c r="I22023" s="63"/>
      <c r="J22023" s="63"/>
    </row>
    <row r="22024" spans="9:10" x14ac:dyDescent="0.35">
      <c r="I22024" s="63"/>
      <c r="J22024" s="63"/>
    </row>
    <row r="22025" spans="9:10" x14ac:dyDescent="0.35">
      <c r="I22025" s="63"/>
      <c r="J22025" s="63"/>
    </row>
    <row r="22026" spans="9:10" x14ac:dyDescent="0.35">
      <c r="I22026" s="63"/>
      <c r="J22026" s="63"/>
    </row>
    <row r="22027" spans="9:10" x14ac:dyDescent="0.35">
      <c r="I22027" s="63"/>
      <c r="J22027" s="63"/>
    </row>
    <row r="22028" spans="9:10" x14ac:dyDescent="0.35">
      <c r="I22028" s="63"/>
      <c r="J22028" s="63"/>
    </row>
    <row r="22029" spans="9:10" x14ac:dyDescent="0.35">
      <c r="I22029" s="63"/>
      <c r="J22029" s="63"/>
    </row>
    <row r="22030" spans="9:10" x14ac:dyDescent="0.35">
      <c r="I22030" s="63"/>
      <c r="J22030" s="63"/>
    </row>
    <row r="22031" spans="9:10" x14ac:dyDescent="0.35">
      <c r="I22031" s="63"/>
      <c r="J22031" s="63"/>
    </row>
    <row r="22032" spans="9:10" x14ac:dyDescent="0.35">
      <c r="I22032" s="63"/>
      <c r="J22032" s="63"/>
    </row>
    <row r="22033" spans="9:10" x14ac:dyDescent="0.35">
      <c r="I22033" s="63"/>
      <c r="J22033" s="63"/>
    </row>
    <row r="22034" spans="9:10" x14ac:dyDescent="0.35">
      <c r="I22034" s="63"/>
      <c r="J22034" s="63"/>
    </row>
    <row r="22035" spans="9:10" x14ac:dyDescent="0.35">
      <c r="I22035" s="63"/>
      <c r="J22035" s="63"/>
    </row>
    <row r="22036" spans="9:10" x14ac:dyDescent="0.35">
      <c r="I22036" s="63"/>
      <c r="J22036" s="63"/>
    </row>
    <row r="22037" spans="9:10" x14ac:dyDescent="0.35">
      <c r="I22037" s="63"/>
      <c r="J22037" s="63"/>
    </row>
    <row r="22038" spans="9:10" x14ac:dyDescent="0.35">
      <c r="I22038" s="63"/>
      <c r="J22038" s="63"/>
    </row>
    <row r="22039" spans="9:10" x14ac:dyDescent="0.35">
      <c r="I22039" s="63"/>
      <c r="J22039" s="63"/>
    </row>
    <row r="22040" spans="9:10" x14ac:dyDescent="0.35">
      <c r="I22040" s="63"/>
      <c r="J22040" s="63"/>
    </row>
    <row r="22041" spans="9:10" x14ac:dyDescent="0.35">
      <c r="I22041" s="63"/>
      <c r="J22041" s="63"/>
    </row>
    <row r="22042" spans="9:10" x14ac:dyDescent="0.35">
      <c r="I22042" s="63"/>
      <c r="J22042" s="63"/>
    </row>
    <row r="22043" spans="9:10" x14ac:dyDescent="0.35">
      <c r="I22043" s="63"/>
      <c r="J22043" s="63"/>
    </row>
    <row r="22044" spans="9:10" x14ac:dyDescent="0.35">
      <c r="I22044" s="63"/>
      <c r="J22044" s="63"/>
    </row>
    <row r="22045" spans="9:10" x14ac:dyDescent="0.35">
      <c r="I22045" s="63"/>
      <c r="J22045" s="63"/>
    </row>
    <row r="22046" spans="9:10" x14ac:dyDescent="0.35">
      <c r="I22046" s="63"/>
      <c r="J22046" s="63"/>
    </row>
    <row r="22047" spans="9:10" x14ac:dyDescent="0.35">
      <c r="I22047" s="63"/>
      <c r="J22047" s="63"/>
    </row>
    <row r="22048" spans="9:10" x14ac:dyDescent="0.35">
      <c r="I22048" s="63"/>
      <c r="J22048" s="63"/>
    </row>
    <row r="22049" spans="9:10" x14ac:dyDescent="0.35">
      <c r="I22049" s="63"/>
      <c r="J22049" s="63"/>
    </row>
    <row r="22050" spans="9:10" x14ac:dyDescent="0.35">
      <c r="I22050" s="63"/>
      <c r="J22050" s="63"/>
    </row>
    <row r="22051" spans="9:10" x14ac:dyDescent="0.35">
      <c r="I22051" s="63"/>
      <c r="J22051" s="63"/>
    </row>
    <row r="22052" spans="9:10" x14ac:dyDescent="0.35">
      <c r="I22052" s="63"/>
      <c r="J22052" s="63"/>
    </row>
    <row r="22053" spans="9:10" x14ac:dyDescent="0.35">
      <c r="I22053" s="63"/>
      <c r="J22053" s="63"/>
    </row>
    <row r="22054" spans="9:10" x14ac:dyDescent="0.35">
      <c r="I22054" s="63"/>
      <c r="J22054" s="63"/>
    </row>
    <row r="22055" spans="9:10" x14ac:dyDescent="0.35">
      <c r="I22055" s="63"/>
      <c r="J22055" s="63"/>
    </row>
    <row r="22056" spans="9:10" x14ac:dyDescent="0.35">
      <c r="I22056" s="63"/>
      <c r="J22056" s="63"/>
    </row>
    <row r="22057" spans="9:10" x14ac:dyDescent="0.35">
      <c r="I22057" s="63"/>
      <c r="J22057" s="63"/>
    </row>
    <row r="22058" spans="9:10" x14ac:dyDescent="0.35">
      <c r="I22058" s="63"/>
      <c r="J22058" s="63"/>
    </row>
    <row r="22059" spans="9:10" x14ac:dyDescent="0.35">
      <c r="I22059" s="63"/>
      <c r="J22059" s="63"/>
    </row>
    <row r="22060" spans="9:10" x14ac:dyDescent="0.35">
      <c r="I22060" s="63"/>
      <c r="J22060" s="63"/>
    </row>
    <row r="22061" spans="9:10" x14ac:dyDescent="0.35">
      <c r="I22061" s="63"/>
      <c r="J22061" s="63"/>
    </row>
    <row r="22062" spans="9:10" x14ac:dyDescent="0.35">
      <c r="I22062" s="63"/>
      <c r="J22062" s="63"/>
    </row>
    <row r="22063" spans="9:10" x14ac:dyDescent="0.35">
      <c r="I22063" s="63"/>
      <c r="J22063" s="63"/>
    </row>
    <row r="22064" spans="9:10" x14ac:dyDescent="0.35">
      <c r="I22064" s="63"/>
      <c r="J22064" s="63"/>
    </row>
    <row r="22065" spans="9:10" x14ac:dyDescent="0.35">
      <c r="I22065" s="63"/>
      <c r="J22065" s="63"/>
    </row>
    <row r="22066" spans="9:10" x14ac:dyDescent="0.35">
      <c r="I22066" s="63"/>
      <c r="J22066" s="63"/>
    </row>
    <row r="22067" spans="9:10" x14ac:dyDescent="0.35">
      <c r="I22067" s="63"/>
      <c r="J22067" s="63"/>
    </row>
    <row r="22068" spans="9:10" x14ac:dyDescent="0.35">
      <c r="I22068" s="63"/>
      <c r="J22068" s="63"/>
    </row>
    <row r="22069" spans="9:10" x14ac:dyDescent="0.35">
      <c r="I22069" s="63"/>
      <c r="J22069" s="63"/>
    </row>
    <row r="22070" spans="9:10" x14ac:dyDescent="0.35">
      <c r="I22070" s="63"/>
      <c r="J22070" s="63"/>
    </row>
    <row r="22071" spans="9:10" x14ac:dyDescent="0.35">
      <c r="I22071" s="63"/>
      <c r="J22071" s="63"/>
    </row>
    <row r="22072" spans="9:10" x14ac:dyDescent="0.35">
      <c r="I22072" s="63"/>
      <c r="J22072" s="63"/>
    </row>
    <row r="22073" spans="9:10" x14ac:dyDescent="0.35">
      <c r="I22073" s="63"/>
      <c r="J22073" s="63"/>
    </row>
    <row r="22074" spans="9:10" x14ac:dyDescent="0.35">
      <c r="I22074" s="63"/>
      <c r="J22074" s="63"/>
    </row>
    <row r="22075" spans="9:10" x14ac:dyDescent="0.35">
      <c r="I22075" s="63"/>
      <c r="J22075" s="63"/>
    </row>
    <row r="22076" spans="9:10" x14ac:dyDescent="0.35">
      <c r="I22076" s="63"/>
      <c r="J22076" s="63"/>
    </row>
    <row r="22077" spans="9:10" x14ac:dyDescent="0.35">
      <c r="I22077" s="63"/>
      <c r="J22077" s="63"/>
    </row>
    <row r="22078" spans="9:10" x14ac:dyDescent="0.35">
      <c r="I22078" s="63"/>
      <c r="J22078" s="63"/>
    </row>
    <row r="22079" spans="9:10" x14ac:dyDescent="0.35">
      <c r="I22079" s="63"/>
      <c r="J22079" s="63"/>
    </row>
    <row r="22080" spans="9:10" x14ac:dyDescent="0.35">
      <c r="I22080" s="63"/>
      <c r="J22080" s="63"/>
    </row>
    <row r="22081" spans="9:10" x14ac:dyDescent="0.35">
      <c r="I22081" s="63"/>
      <c r="J22081" s="63"/>
    </row>
    <row r="22082" spans="9:10" x14ac:dyDescent="0.35">
      <c r="I22082" s="63"/>
      <c r="J22082" s="63"/>
    </row>
    <row r="22083" spans="9:10" x14ac:dyDescent="0.35">
      <c r="I22083" s="63"/>
      <c r="J22083" s="63"/>
    </row>
    <row r="22084" spans="9:10" x14ac:dyDescent="0.35">
      <c r="I22084" s="63"/>
      <c r="J22084" s="63"/>
    </row>
    <row r="22085" spans="9:10" x14ac:dyDescent="0.35">
      <c r="I22085" s="63"/>
      <c r="J22085" s="63"/>
    </row>
    <row r="22086" spans="9:10" x14ac:dyDescent="0.35">
      <c r="I22086" s="63"/>
      <c r="J22086" s="63"/>
    </row>
    <row r="22087" spans="9:10" x14ac:dyDescent="0.35">
      <c r="I22087" s="63"/>
      <c r="J22087" s="63"/>
    </row>
    <row r="22088" spans="9:10" x14ac:dyDescent="0.35">
      <c r="I22088" s="63"/>
      <c r="J22088" s="63"/>
    </row>
    <row r="22089" spans="9:10" x14ac:dyDescent="0.35">
      <c r="I22089" s="63"/>
      <c r="J22089" s="63"/>
    </row>
    <row r="22090" spans="9:10" x14ac:dyDescent="0.35">
      <c r="I22090" s="63"/>
      <c r="J22090" s="63"/>
    </row>
    <row r="22091" spans="9:10" x14ac:dyDescent="0.35">
      <c r="I22091" s="63"/>
      <c r="J22091" s="63"/>
    </row>
    <row r="22092" spans="9:10" x14ac:dyDescent="0.35">
      <c r="I22092" s="63"/>
      <c r="J22092" s="63"/>
    </row>
    <row r="22093" spans="9:10" x14ac:dyDescent="0.35">
      <c r="I22093" s="63"/>
      <c r="J22093" s="63"/>
    </row>
    <row r="22094" spans="9:10" x14ac:dyDescent="0.35">
      <c r="I22094" s="63"/>
      <c r="J22094" s="63"/>
    </row>
    <row r="22095" spans="9:10" x14ac:dyDescent="0.35">
      <c r="I22095" s="63"/>
      <c r="J22095" s="63"/>
    </row>
    <row r="22096" spans="9:10" x14ac:dyDescent="0.35">
      <c r="I22096" s="63"/>
      <c r="J22096" s="63"/>
    </row>
    <row r="22097" spans="9:10" x14ac:dyDescent="0.35">
      <c r="I22097" s="63"/>
      <c r="J22097" s="63"/>
    </row>
    <row r="22098" spans="9:10" x14ac:dyDescent="0.35">
      <c r="I22098" s="63"/>
      <c r="J22098" s="63"/>
    </row>
    <row r="22099" spans="9:10" x14ac:dyDescent="0.35">
      <c r="I22099" s="63"/>
      <c r="J22099" s="63"/>
    </row>
    <row r="22100" spans="9:10" x14ac:dyDescent="0.35">
      <c r="I22100" s="63"/>
      <c r="J22100" s="63"/>
    </row>
    <row r="22101" spans="9:10" x14ac:dyDescent="0.35">
      <c r="I22101" s="63"/>
      <c r="J22101" s="63"/>
    </row>
    <row r="22102" spans="9:10" x14ac:dyDescent="0.35">
      <c r="I22102" s="63"/>
      <c r="J22102" s="63"/>
    </row>
    <row r="22103" spans="9:10" x14ac:dyDescent="0.35">
      <c r="I22103" s="63"/>
      <c r="J22103" s="63"/>
    </row>
    <row r="22104" spans="9:10" x14ac:dyDescent="0.35">
      <c r="I22104" s="63"/>
      <c r="J22104" s="63"/>
    </row>
    <row r="22105" spans="9:10" x14ac:dyDescent="0.35">
      <c r="I22105" s="63"/>
      <c r="J22105" s="63"/>
    </row>
    <row r="22106" spans="9:10" x14ac:dyDescent="0.35">
      <c r="I22106" s="63"/>
      <c r="J22106" s="63"/>
    </row>
    <row r="22107" spans="9:10" x14ac:dyDescent="0.35">
      <c r="I22107" s="63"/>
      <c r="J22107" s="63"/>
    </row>
    <row r="22108" spans="9:10" x14ac:dyDescent="0.35">
      <c r="I22108" s="63"/>
      <c r="J22108" s="63"/>
    </row>
    <row r="22109" spans="9:10" x14ac:dyDescent="0.35">
      <c r="I22109" s="63"/>
      <c r="J22109" s="63"/>
    </row>
    <row r="22110" spans="9:10" x14ac:dyDescent="0.35">
      <c r="I22110" s="63"/>
      <c r="J22110" s="63"/>
    </row>
    <row r="22111" spans="9:10" x14ac:dyDescent="0.35">
      <c r="I22111" s="63"/>
      <c r="J22111" s="63"/>
    </row>
    <row r="22112" spans="9:10" x14ac:dyDescent="0.35">
      <c r="I22112" s="63"/>
      <c r="J22112" s="63"/>
    </row>
    <row r="22113" spans="9:10" x14ac:dyDescent="0.35">
      <c r="I22113" s="63"/>
      <c r="J22113" s="63"/>
    </row>
    <row r="22114" spans="9:10" x14ac:dyDescent="0.35">
      <c r="I22114" s="63"/>
      <c r="J22114" s="63"/>
    </row>
    <row r="22115" spans="9:10" x14ac:dyDescent="0.35">
      <c r="I22115" s="63"/>
      <c r="J22115" s="63"/>
    </row>
    <row r="22116" spans="9:10" x14ac:dyDescent="0.35">
      <c r="I22116" s="63"/>
      <c r="J22116" s="63"/>
    </row>
    <row r="22117" spans="9:10" x14ac:dyDescent="0.35">
      <c r="I22117" s="63"/>
      <c r="J22117" s="63"/>
    </row>
    <row r="22118" spans="9:10" x14ac:dyDescent="0.35">
      <c r="I22118" s="63"/>
      <c r="J22118" s="63"/>
    </row>
    <row r="22119" spans="9:10" x14ac:dyDescent="0.35">
      <c r="I22119" s="63"/>
      <c r="J22119" s="63"/>
    </row>
    <row r="22120" spans="9:10" x14ac:dyDescent="0.35">
      <c r="I22120" s="63"/>
      <c r="J22120" s="63"/>
    </row>
    <row r="22121" spans="9:10" x14ac:dyDescent="0.35">
      <c r="I22121" s="63"/>
      <c r="J22121" s="63"/>
    </row>
    <row r="22122" spans="9:10" x14ac:dyDescent="0.35">
      <c r="I22122" s="63"/>
      <c r="J22122" s="63"/>
    </row>
    <row r="22123" spans="9:10" x14ac:dyDescent="0.35">
      <c r="I22123" s="63"/>
      <c r="J22123" s="63"/>
    </row>
    <row r="22124" spans="9:10" x14ac:dyDescent="0.35">
      <c r="I22124" s="63"/>
      <c r="J22124" s="63"/>
    </row>
    <row r="22125" spans="9:10" x14ac:dyDescent="0.35">
      <c r="I22125" s="63"/>
      <c r="J22125" s="63"/>
    </row>
    <row r="22126" spans="9:10" x14ac:dyDescent="0.35">
      <c r="I22126" s="63"/>
      <c r="J22126" s="63"/>
    </row>
    <row r="22127" spans="9:10" x14ac:dyDescent="0.35">
      <c r="I22127" s="63"/>
      <c r="J22127" s="63"/>
    </row>
    <row r="22128" spans="9:10" x14ac:dyDescent="0.35">
      <c r="I22128" s="63"/>
      <c r="J22128" s="63"/>
    </row>
    <row r="22129" spans="9:10" x14ac:dyDescent="0.35">
      <c r="I22129" s="63"/>
      <c r="J22129" s="63"/>
    </row>
    <row r="22130" spans="9:10" x14ac:dyDescent="0.35">
      <c r="I22130" s="63"/>
      <c r="J22130" s="63"/>
    </row>
    <row r="22131" spans="9:10" x14ac:dyDescent="0.35">
      <c r="I22131" s="63"/>
      <c r="J22131" s="63"/>
    </row>
    <row r="22132" spans="9:10" x14ac:dyDescent="0.35">
      <c r="I22132" s="63"/>
      <c r="J22132" s="63"/>
    </row>
    <row r="22133" spans="9:10" x14ac:dyDescent="0.35">
      <c r="I22133" s="63"/>
      <c r="J22133" s="63"/>
    </row>
    <row r="22134" spans="9:10" x14ac:dyDescent="0.35">
      <c r="I22134" s="63"/>
      <c r="J22134" s="63"/>
    </row>
    <row r="22135" spans="9:10" x14ac:dyDescent="0.35">
      <c r="I22135" s="63"/>
      <c r="J22135" s="63"/>
    </row>
    <row r="22136" spans="9:10" x14ac:dyDescent="0.35">
      <c r="I22136" s="63"/>
      <c r="J22136" s="63"/>
    </row>
    <row r="22137" spans="9:10" x14ac:dyDescent="0.35">
      <c r="I22137" s="63"/>
      <c r="J22137" s="63"/>
    </row>
    <row r="22138" spans="9:10" x14ac:dyDescent="0.35">
      <c r="I22138" s="63"/>
      <c r="J22138" s="63"/>
    </row>
    <row r="22139" spans="9:10" x14ac:dyDescent="0.35">
      <c r="I22139" s="63"/>
      <c r="J22139" s="63"/>
    </row>
    <row r="22140" spans="9:10" x14ac:dyDescent="0.35">
      <c r="I22140" s="63"/>
      <c r="J22140" s="63"/>
    </row>
    <row r="22141" spans="9:10" x14ac:dyDescent="0.35">
      <c r="I22141" s="63"/>
      <c r="J22141" s="63"/>
    </row>
    <row r="22142" spans="9:10" x14ac:dyDescent="0.35">
      <c r="I22142" s="63"/>
      <c r="J22142" s="63"/>
    </row>
    <row r="22143" spans="9:10" x14ac:dyDescent="0.35">
      <c r="I22143" s="63"/>
      <c r="J22143" s="63"/>
    </row>
    <row r="22144" spans="9:10" x14ac:dyDescent="0.35">
      <c r="I22144" s="63"/>
      <c r="J22144" s="63"/>
    </row>
    <row r="22145" spans="9:10" x14ac:dyDescent="0.35">
      <c r="I22145" s="63"/>
      <c r="J22145" s="63"/>
    </row>
    <row r="22146" spans="9:10" x14ac:dyDescent="0.35">
      <c r="I22146" s="63"/>
      <c r="J22146" s="63"/>
    </row>
    <row r="22147" spans="9:10" x14ac:dyDescent="0.35">
      <c r="I22147" s="63"/>
      <c r="J22147" s="63"/>
    </row>
    <row r="22148" spans="9:10" x14ac:dyDescent="0.35">
      <c r="I22148" s="63"/>
      <c r="J22148" s="63"/>
    </row>
    <row r="22149" spans="9:10" x14ac:dyDescent="0.35">
      <c r="I22149" s="63"/>
      <c r="J22149" s="63"/>
    </row>
    <row r="22150" spans="9:10" x14ac:dyDescent="0.35">
      <c r="I22150" s="63"/>
      <c r="J22150" s="63"/>
    </row>
    <row r="22151" spans="9:10" x14ac:dyDescent="0.35">
      <c r="I22151" s="63"/>
      <c r="J22151" s="63"/>
    </row>
    <row r="22152" spans="9:10" x14ac:dyDescent="0.35">
      <c r="I22152" s="63"/>
      <c r="J22152" s="63"/>
    </row>
    <row r="22153" spans="9:10" x14ac:dyDescent="0.35">
      <c r="I22153" s="63"/>
      <c r="J22153" s="63"/>
    </row>
    <row r="22154" spans="9:10" x14ac:dyDescent="0.35">
      <c r="I22154" s="63"/>
      <c r="J22154" s="63"/>
    </row>
    <row r="22155" spans="9:10" x14ac:dyDescent="0.35">
      <c r="I22155" s="63"/>
      <c r="J22155" s="63"/>
    </row>
    <row r="22156" spans="9:10" x14ac:dyDescent="0.35">
      <c r="I22156" s="63"/>
      <c r="J22156" s="63"/>
    </row>
    <row r="22157" spans="9:10" x14ac:dyDescent="0.35">
      <c r="I22157" s="63"/>
      <c r="J22157" s="63"/>
    </row>
    <row r="22158" spans="9:10" x14ac:dyDescent="0.35">
      <c r="I22158" s="63"/>
      <c r="J22158" s="63"/>
    </row>
    <row r="22159" spans="9:10" x14ac:dyDescent="0.35">
      <c r="I22159" s="63"/>
      <c r="J22159" s="63"/>
    </row>
    <row r="22160" spans="9:10" x14ac:dyDescent="0.35">
      <c r="I22160" s="63"/>
      <c r="J22160" s="63"/>
    </row>
    <row r="22161" spans="9:10" x14ac:dyDescent="0.35">
      <c r="I22161" s="63"/>
      <c r="J22161" s="63"/>
    </row>
    <row r="22162" spans="9:10" x14ac:dyDescent="0.35">
      <c r="I22162" s="63"/>
      <c r="J22162" s="63"/>
    </row>
    <row r="22163" spans="9:10" x14ac:dyDescent="0.35">
      <c r="I22163" s="63"/>
      <c r="J22163" s="63"/>
    </row>
    <row r="22164" spans="9:10" x14ac:dyDescent="0.35">
      <c r="I22164" s="63"/>
      <c r="J22164" s="63"/>
    </row>
    <row r="22165" spans="9:10" x14ac:dyDescent="0.35">
      <c r="I22165" s="63"/>
      <c r="J22165" s="63"/>
    </row>
    <row r="22166" spans="9:10" x14ac:dyDescent="0.35">
      <c r="I22166" s="63"/>
      <c r="J22166" s="63"/>
    </row>
    <row r="22167" spans="9:10" x14ac:dyDescent="0.35">
      <c r="I22167" s="63"/>
      <c r="J22167" s="63"/>
    </row>
    <row r="22168" spans="9:10" x14ac:dyDescent="0.35">
      <c r="I22168" s="63"/>
      <c r="J22168" s="63"/>
    </row>
    <row r="22169" spans="9:10" x14ac:dyDescent="0.35">
      <c r="I22169" s="63"/>
      <c r="J22169" s="63"/>
    </row>
    <row r="22170" spans="9:10" x14ac:dyDescent="0.35">
      <c r="I22170" s="63"/>
      <c r="J22170" s="63"/>
    </row>
    <row r="22171" spans="9:10" x14ac:dyDescent="0.35">
      <c r="I22171" s="63"/>
      <c r="J22171" s="63"/>
    </row>
    <row r="22172" spans="9:10" x14ac:dyDescent="0.35">
      <c r="I22172" s="63"/>
      <c r="J22172" s="63"/>
    </row>
    <row r="22173" spans="9:10" x14ac:dyDescent="0.35">
      <c r="I22173" s="63"/>
      <c r="J22173" s="63"/>
    </row>
    <row r="22174" spans="9:10" x14ac:dyDescent="0.35">
      <c r="I22174" s="63"/>
      <c r="J22174" s="63"/>
    </row>
    <row r="22175" spans="9:10" x14ac:dyDescent="0.35">
      <c r="I22175" s="63"/>
      <c r="J22175" s="63"/>
    </row>
    <row r="22176" spans="9:10" x14ac:dyDescent="0.35">
      <c r="I22176" s="63"/>
      <c r="J22176" s="63"/>
    </row>
    <row r="22177" spans="9:10" x14ac:dyDescent="0.35">
      <c r="I22177" s="63"/>
      <c r="J22177" s="63"/>
    </row>
    <row r="22178" spans="9:10" x14ac:dyDescent="0.35">
      <c r="I22178" s="63"/>
      <c r="J22178" s="63"/>
    </row>
    <row r="22179" spans="9:10" x14ac:dyDescent="0.35">
      <c r="I22179" s="63"/>
      <c r="J22179" s="63"/>
    </row>
    <row r="22180" spans="9:10" x14ac:dyDescent="0.35">
      <c r="I22180" s="63"/>
      <c r="J22180" s="63"/>
    </row>
    <row r="22181" spans="9:10" x14ac:dyDescent="0.35">
      <c r="I22181" s="63"/>
      <c r="J22181" s="63"/>
    </row>
    <row r="22182" spans="9:10" x14ac:dyDescent="0.35">
      <c r="I22182" s="63"/>
      <c r="J22182" s="63"/>
    </row>
    <row r="22183" spans="9:10" x14ac:dyDescent="0.35">
      <c r="I22183" s="63"/>
      <c r="J22183" s="63"/>
    </row>
    <row r="22184" spans="9:10" x14ac:dyDescent="0.35">
      <c r="I22184" s="63"/>
      <c r="J22184" s="63"/>
    </row>
    <row r="22185" spans="9:10" x14ac:dyDescent="0.35">
      <c r="I22185" s="63"/>
      <c r="J22185" s="63"/>
    </row>
    <row r="22186" spans="9:10" x14ac:dyDescent="0.35">
      <c r="I22186" s="63"/>
      <c r="J22186" s="63"/>
    </row>
    <row r="22187" spans="9:10" x14ac:dyDescent="0.35">
      <c r="I22187" s="63"/>
      <c r="J22187" s="63"/>
    </row>
    <row r="22188" spans="9:10" x14ac:dyDescent="0.35">
      <c r="I22188" s="63"/>
      <c r="J22188" s="63"/>
    </row>
    <row r="22189" spans="9:10" x14ac:dyDescent="0.35">
      <c r="I22189" s="63"/>
      <c r="J22189" s="63"/>
    </row>
    <row r="22190" spans="9:10" x14ac:dyDescent="0.35">
      <c r="I22190" s="63"/>
      <c r="J22190" s="63"/>
    </row>
    <row r="22191" spans="9:10" x14ac:dyDescent="0.35">
      <c r="I22191" s="63"/>
      <c r="J22191" s="63"/>
    </row>
    <row r="22192" spans="9:10" x14ac:dyDescent="0.35">
      <c r="I22192" s="63"/>
      <c r="J22192" s="63"/>
    </row>
    <row r="22193" spans="9:10" x14ac:dyDescent="0.35">
      <c r="I22193" s="63"/>
      <c r="J22193" s="63"/>
    </row>
    <row r="22194" spans="9:10" x14ac:dyDescent="0.35">
      <c r="I22194" s="63"/>
      <c r="J22194" s="63"/>
    </row>
    <row r="22195" spans="9:10" x14ac:dyDescent="0.35">
      <c r="I22195" s="63"/>
      <c r="J22195" s="63"/>
    </row>
    <row r="22196" spans="9:10" x14ac:dyDescent="0.35">
      <c r="I22196" s="63"/>
      <c r="J22196" s="63"/>
    </row>
    <row r="22197" spans="9:10" x14ac:dyDescent="0.35">
      <c r="I22197" s="63"/>
      <c r="J22197" s="63"/>
    </row>
    <row r="22198" spans="9:10" x14ac:dyDescent="0.35">
      <c r="I22198" s="63"/>
      <c r="J22198" s="63"/>
    </row>
    <row r="22199" spans="9:10" x14ac:dyDescent="0.35">
      <c r="I22199" s="63"/>
      <c r="J22199" s="63"/>
    </row>
    <row r="22200" spans="9:10" x14ac:dyDescent="0.35">
      <c r="I22200" s="63"/>
      <c r="J22200" s="63"/>
    </row>
    <row r="22201" spans="9:10" x14ac:dyDescent="0.35">
      <c r="I22201" s="63"/>
      <c r="J22201" s="63"/>
    </row>
    <row r="22202" spans="9:10" x14ac:dyDescent="0.35">
      <c r="I22202" s="63"/>
      <c r="J22202" s="63"/>
    </row>
    <row r="22203" spans="9:10" x14ac:dyDescent="0.35">
      <c r="I22203" s="63"/>
      <c r="J22203" s="63"/>
    </row>
    <row r="22204" spans="9:10" x14ac:dyDescent="0.35">
      <c r="I22204" s="63"/>
      <c r="J22204" s="63"/>
    </row>
    <row r="22205" spans="9:10" x14ac:dyDescent="0.35">
      <c r="I22205" s="63"/>
      <c r="J22205" s="63"/>
    </row>
    <row r="22206" spans="9:10" x14ac:dyDescent="0.35">
      <c r="I22206" s="63"/>
      <c r="J22206" s="63"/>
    </row>
    <row r="22207" spans="9:10" x14ac:dyDescent="0.35">
      <c r="I22207" s="63"/>
      <c r="J22207" s="63"/>
    </row>
    <row r="22208" spans="9:10" x14ac:dyDescent="0.35">
      <c r="I22208" s="63"/>
      <c r="J22208" s="63"/>
    </row>
    <row r="22209" spans="9:10" x14ac:dyDescent="0.35">
      <c r="I22209" s="63"/>
      <c r="J22209" s="63"/>
    </row>
    <row r="22210" spans="9:10" x14ac:dyDescent="0.35">
      <c r="I22210" s="63"/>
      <c r="J22210" s="63"/>
    </row>
    <row r="22211" spans="9:10" x14ac:dyDescent="0.35">
      <c r="I22211" s="63"/>
      <c r="J22211" s="63"/>
    </row>
    <row r="22212" spans="9:10" x14ac:dyDescent="0.35">
      <c r="I22212" s="63"/>
      <c r="J22212" s="63"/>
    </row>
    <row r="22213" spans="9:10" x14ac:dyDescent="0.35">
      <c r="I22213" s="63"/>
      <c r="J22213" s="63"/>
    </row>
    <row r="22214" spans="9:10" x14ac:dyDescent="0.35">
      <c r="I22214" s="63"/>
      <c r="J22214" s="63"/>
    </row>
    <row r="22215" spans="9:10" x14ac:dyDescent="0.35">
      <c r="I22215" s="63"/>
      <c r="J22215" s="63"/>
    </row>
    <row r="22216" spans="9:10" x14ac:dyDescent="0.35">
      <c r="I22216" s="63"/>
      <c r="J22216" s="63"/>
    </row>
    <row r="22217" spans="9:10" x14ac:dyDescent="0.35">
      <c r="I22217" s="63"/>
      <c r="J22217" s="63"/>
    </row>
    <row r="22218" spans="9:10" x14ac:dyDescent="0.35">
      <c r="I22218" s="63"/>
      <c r="J22218" s="63"/>
    </row>
    <row r="22219" spans="9:10" x14ac:dyDescent="0.35">
      <c r="I22219" s="63"/>
      <c r="J22219" s="63"/>
    </row>
    <row r="22220" spans="9:10" x14ac:dyDescent="0.35">
      <c r="I22220" s="63"/>
      <c r="J22220" s="63"/>
    </row>
    <row r="22221" spans="9:10" x14ac:dyDescent="0.35">
      <c r="I22221" s="63"/>
      <c r="J22221" s="63"/>
    </row>
    <row r="22222" spans="9:10" x14ac:dyDescent="0.35">
      <c r="I22222" s="63"/>
      <c r="J22222" s="63"/>
    </row>
    <row r="22223" spans="9:10" x14ac:dyDescent="0.35">
      <c r="I22223" s="63"/>
      <c r="J22223" s="63"/>
    </row>
    <row r="22224" spans="9:10" x14ac:dyDescent="0.35">
      <c r="I22224" s="63"/>
      <c r="J22224" s="63"/>
    </row>
    <row r="22225" spans="9:10" x14ac:dyDescent="0.35">
      <c r="I22225" s="63"/>
      <c r="J22225" s="63"/>
    </row>
    <row r="22226" spans="9:10" x14ac:dyDescent="0.35">
      <c r="I22226" s="63"/>
      <c r="J22226" s="63"/>
    </row>
    <row r="22227" spans="9:10" x14ac:dyDescent="0.35">
      <c r="I22227" s="63"/>
      <c r="J22227" s="63"/>
    </row>
    <row r="22228" spans="9:10" x14ac:dyDescent="0.35">
      <c r="I22228" s="63"/>
      <c r="J22228" s="63"/>
    </row>
    <row r="22229" spans="9:10" x14ac:dyDescent="0.35">
      <c r="I22229" s="63"/>
      <c r="J22229" s="63"/>
    </row>
    <row r="22230" spans="9:10" x14ac:dyDescent="0.35">
      <c r="I22230" s="63"/>
      <c r="J22230" s="63"/>
    </row>
    <row r="22231" spans="9:10" x14ac:dyDescent="0.35">
      <c r="I22231" s="63"/>
      <c r="J22231" s="63"/>
    </row>
    <row r="22232" spans="9:10" x14ac:dyDescent="0.35">
      <c r="I22232" s="63"/>
      <c r="J22232" s="63"/>
    </row>
    <row r="22233" spans="9:10" x14ac:dyDescent="0.35">
      <c r="I22233" s="63"/>
      <c r="J22233" s="63"/>
    </row>
    <row r="22234" spans="9:10" x14ac:dyDescent="0.35">
      <c r="I22234" s="63"/>
      <c r="J22234" s="63"/>
    </row>
    <row r="22235" spans="9:10" x14ac:dyDescent="0.35">
      <c r="I22235" s="63"/>
      <c r="J22235" s="63"/>
    </row>
    <row r="22236" spans="9:10" x14ac:dyDescent="0.35">
      <c r="I22236" s="63"/>
      <c r="J22236" s="63"/>
    </row>
    <row r="22237" spans="9:10" x14ac:dyDescent="0.35">
      <c r="I22237" s="63"/>
      <c r="J22237" s="63"/>
    </row>
    <row r="22238" spans="9:10" x14ac:dyDescent="0.35">
      <c r="I22238" s="63"/>
      <c r="J22238" s="63"/>
    </row>
    <row r="22239" spans="9:10" x14ac:dyDescent="0.35">
      <c r="I22239" s="63"/>
      <c r="J22239" s="63"/>
    </row>
    <row r="22240" spans="9:10" x14ac:dyDescent="0.35">
      <c r="I22240" s="63"/>
      <c r="J22240" s="63"/>
    </row>
    <row r="22241" spans="9:10" x14ac:dyDescent="0.35">
      <c r="I22241" s="63"/>
      <c r="J22241" s="63"/>
    </row>
    <row r="22242" spans="9:10" x14ac:dyDescent="0.35">
      <c r="I22242" s="63"/>
      <c r="J22242" s="63"/>
    </row>
    <row r="22243" spans="9:10" x14ac:dyDescent="0.35">
      <c r="I22243" s="63"/>
      <c r="J22243" s="63"/>
    </row>
    <row r="22244" spans="9:10" x14ac:dyDescent="0.35">
      <c r="I22244" s="63"/>
      <c r="J22244" s="63"/>
    </row>
    <row r="22245" spans="9:10" x14ac:dyDescent="0.35">
      <c r="I22245" s="63"/>
      <c r="J22245" s="63"/>
    </row>
    <row r="22246" spans="9:10" x14ac:dyDescent="0.35">
      <c r="I22246" s="63"/>
      <c r="J22246" s="63"/>
    </row>
    <row r="22247" spans="9:10" x14ac:dyDescent="0.35">
      <c r="I22247" s="63"/>
      <c r="J22247" s="63"/>
    </row>
    <row r="22248" spans="9:10" x14ac:dyDescent="0.35">
      <c r="I22248" s="63"/>
      <c r="J22248" s="63"/>
    </row>
    <row r="22249" spans="9:10" x14ac:dyDescent="0.35">
      <c r="I22249" s="63"/>
      <c r="J22249" s="63"/>
    </row>
    <row r="22250" spans="9:10" x14ac:dyDescent="0.35">
      <c r="I22250" s="63"/>
      <c r="J22250" s="63"/>
    </row>
    <row r="22251" spans="9:10" x14ac:dyDescent="0.35">
      <c r="I22251" s="63"/>
      <c r="J22251" s="63"/>
    </row>
    <row r="22252" spans="9:10" x14ac:dyDescent="0.35">
      <c r="I22252" s="63"/>
      <c r="J22252" s="63"/>
    </row>
    <row r="22253" spans="9:10" x14ac:dyDescent="0.35">
      <c r="I22253" s="63"/>
      <c r="J22253" s="63"/>
    </row>
    <row r="22254" spans="9:10" x14ac:dyDescent="0.35">
      <c r="I22254" s="63"/>
      <c r="J22254" s="63"/>
    </row>
    <row r="22255" spans="9:10" x14ac:dyDescent="0.35">
      <c r="I22255" s="63"/>
      <c r="J22255" s="63"/>
    </row>
    <row r="22256" spans="9:10" x14ac:dyDescent="0.35">
      <c r="I22256" s="63"/>
      <c r="J22256" s="63"/>
    </row>
    <row r="22257" spans="9:10" x14ac:dyDescent="0.35">
      <c r="I22257" s="63"/>
      <c r="J22257" s="63"/>
    </row>
    <row r="22258" spans="9:10" x14ac:dyDescent="0.35">
      <c r="I22258" s="63"/>
      <c r="J22258" s="63"/>
    </row>
    <row r="22259" spans="9:10" x14ac:dyDescent="0.35">
      <c r="I22259" s="63"/>
      <c r="J22259" s="63"/>
    </row>
    <row r="22260" spans="9:10" x14ac:dyDescent="0.35">
      <c r="I22260" s="63"/>
      <c r="J22260" s="63"/>
    </row>
    <row r="22261" spans="9:10" x14ac:dyDescent="0.35">
      <c r="I22261" s="63"/>
      <c r="J22261" s="63"/>
    </row>
    <row r="22262" spans="9:10" x14ac:dyDescent="0.35">
      <c r="I22262" s="63"/>
      <c r="J22262" s="63"/>
    </row>
    <row r="22263" spans="9:10" x14ac:dyDescent="0.35">
      <c r="I22263" s="63"/>
      <c r="J22263" s="63"/>
    </row>
    <row r="22264" spans="9:10" x14ac:dyDescent="0.35">
      <c r="I22264" s="63"/>
      <c r="J22264" s="63"/>
    </row>
    <row r="22265" spans="9:10" x14ac:dyDescent="0.35">
      <c r="I22265" s="63"/>
      <c r="J22265" s="63"/>
    </row>
    <row r="22266" spans="9:10" x14ac:dyDescent="0.35">
      <c r="I22266" s="63"/>
      <c r="J22266" s="63"/>
    </row>
    <row r="22267" spans="9:10" x14ac:dyDescent="0.35">
      <c r="I22267" s="63"/>
      <c r="J22267" s="63"/>
    </row>
    <row r="22268" spans="9:10" x14ac:dyDescent="0.35">
      <c r="I22268" s="63"/>
      <c r="J22268" s="63"/>
    </row>
    <row r="22269" spans="9:10" x14ac:dyDescent="0.35">
      <c r="I22269" s="63"/>
      <c r="J22269" s="63"/>
    </row>
    <row r="22270" spans="9:10" x14ac:dyDescent="0.35">
      <c r="I22270" s="63"/>
      <c r="J22270" s="63"/>
    </row>
    <row r="22271" spans="9:10" x14ac:dyDescent="0.35">
      <c r="I22271" s="63"/>
      <c r="J22271" s="63"/>
    </row>
    <row r="22272" spans="9:10" x14ac:dyDescent="0.35">
      <c r="I22272" s="63"/>
      <c r="J22272" s="63"/>
    </row>
    <row r="22273" spans="9:10" x14ac:dyDescent="0.35">
      <c r="I22273" s="63"/>
      <c r="J22273" s="63"/>
    </row>
    <row r="22274" spans="9:10" x14ac:dyDescent="0.35">
      <c r="I22274" s="63"/>
      <c r="J22274" s="63"/>
    </row>
    <row r="22275" spans="9:10" x14ac:dyDescent="0.35">
      <c r="I22275" s="63"/>
      <c r="J22275" s="63"/>
    </row>
    <row r="22276" spans="9:10" x14ac:dyDescent="0.35">
      <c r="I22276" s="63"/>
      <c r="J22276" s="63"/>
    </row>
    <row r="22277" spans="9:10" x14ac:dyDescent="0.35">
      <c r="I22277" s="63"/>
      <c r="J22277" s="63"/>
    </row>
    <row r="22278" spans="9:10" x14ac:dyDescent="0.35">
      <c r="I22278" s="63"/>
      <c r="J22278" s="63"/>
    </row>
    <row r="22279" spans="9:10" x14ac:dyDescent="0.35">
      <c r="I22279" s="63"/>
      <c r="J22279" s="63"/>
    </row>
    <row r="22280" spans="9:10" x14ac:dyDescent="0.35">
      <c r="I22280" s="63"/>
      <c r="J22280" s="63"/>
    </row>
    <row r="22281" spans="9:10" x14ac:dyDescent="0.35">
      <c r="I22281" s="63"/>
      <c r="J22281" s="63"/>
    </row>
    <row r="22282" spans="9:10" x14ac:dyDescent="0.35">
      <c r="I22282" s="63"/>
      <c r="J22282" s="63"/>
    </row>
    <row r="22283" spans="9:10" x14ac:dyDescent="0.35">
      <c r="I22283" s="63"/>
      <c r="J22283" s="63"/>
    </row>
    <row r="22284" spans="9:10" x14ac:dyDescent="0.35">
      <c r="I22284" s="63"/>
      <c r="J22284" s="63"/>
    </row>
    <row r="22285" spans="9:10" x14ac:dyDescent="0.35">
      <c r="I22285" s="63"/>
      <c r="J22285" s="63"/>
    </row>
    <row r="22286" spans="9:10" x14ac:dyDescent="0.35">
      <c r="I22286" s="63"/>
      <c r="J22286" s="63"/>
    </row>
    <row r="22287" spans="9:10" x14ac:dyDescent="0.35">
      <c r="I22287" s="63"/>
      <c r="J22287" s="63"/>
    </row>
    <row r="22288" spans="9:10" x14ac:dyDescent="0.35">
      <c r="I22288" s="63"/>
      <c r="J22288" s="63"/>
    </row>
    <row r="22289" spans="9:10" x14ac:dyDescent="0.35">
      <c r="I22289" s="63"/>
      <c r="J22289" s="63"/>
    </row>
    <row r="22290" spans="9:10" x14ac:dyDescent="0.35">
      <c r="I22290" s="63"/>
      <c r="J22290" s="63"/>
    </row>
    <row r="22291" spans="9:10" x14ac:dyDescent="0.35">
      <c r="I22291" s="63"/>
      <c r="J22291" s="63"/>
    </row>
    <row r="22292" spans="9:10" x14ac:dyDescent="0.35">
      <c r="I22292" s="63"/>
      <c r="J22292" s="63"/>
    </row>
    <row r="22293" spans="9:10" x14ac:dyDescent="0.35">
      <c r="I22293" s="63"/>
      <c r="J22293" s="63"/>
    </row>
    <row r="22294" spans="9:10" x14ac:dyDescent="0.35">
      <c r="I22294" s="63"/>
      <c r="J22294" s="63"/>
    </row>
    <row r="22295" spans="9:10" x14ac:dyDescent="0.35">
      <c r="I22295" s="63"/>
      <c r="J22295" s="63"/>
    </row>
    <row r="22296" spans="9:10" x14ac:dyDescent="0.35">
      <c r="I22296" s="63"/>
      <c r="J22296" s="63"/>
    </row>
    <row r="22297" spans="9:10" x14ac:dyDescent="0.35">
      <c r="I22297" s="63"/>
      <c r="J22297" s="63"/>
    </row>
    <row r="22298" spans="9:10" x14ac:dyDescent="0.35">
      <c r="I22298" s="63"/>
      <c r="J22298" s="63"/>
    </row>
    <row r="22299" spans="9:10" x14ac:dyDescent="0.35">
      <c r="I22299" s="63"/>
      <c r="J22299" s="63"/>
    </row>
    <row r="22300" spans="9:10" x14ac:dyDescent="0.35">
      <c r="I22300" s="63"/>
      <c r="J22300" s="63"/>
    </row>
    <row r="22301" spans="9:10" x14ac:dyDescent="0.35">
      <c r="I22301" s="63"/>
      <c r="J22301" s="63"/>
    </row>
    <row r="22302" spans="9:10" x14ac:dyDescent="0.35">
      <c r="I22302" s="63"/>
      <c r="J22302" s="63"/>
    </row>
    <row r="22303" spans="9:10" x14ac:dyDescent="0.35">
      <c r="I22303" s="63"/>
      <c r="J22303" s="63"/>
    </row>
    <row r="22304" spans="9:10" x14ac:dyDescent="0.35">
      <c r="I22304" s="63"/>
      <c r="J22304" s="63"/>
    </row>
    <row r="22305" spans="9:10" x14ac:dyDescent="0.35">
      <c r="I22305" s="63"/>
      <c r="J22305" s="63"/>
    </row>
    <row r="22306" spans="9:10" x14ac:dyDescent="0.35">
      <c r="I22306" s="63"/>
      <c r="J22306" s="63"/>
    </row>
    <row r="22307" spans="9:10" x14ac:dyDescent="0.35">
      <c r="I22307" s="63"/>
      <c r="J22307" s="63"/>
    </row>
    <row r="22308" spans="9:10" x14ac:dyDescent="0.35">
      <c r="I22308" s="63"/>
      <c r="J22308" s="63"/>
    </row>
    <row r="22309" spans="9:10" x14ac:dyDescent="0.35">
      <c r="I22309" s="63"/>
      <c r="J22309" s="63"/>
    </row>
    <row r="22310" spans="9:10" x14ac:dyDescent="0.35">
      <c r="I22310" s="63"/>
      <c r="J22310" s="63"/>
    </row>
    <row r="22311" spans="9:10" x14ac:dyDescent="0.35">
      <c r="I22311" s="63"/>
      <c r="J22311" s="63"/>
    </row>
    <row r="22312" spans="9:10" x14ac:dyDescent="0.35">
      <c r="I22312" s="63"/>
      <c r="J22312" s="63"/>
    </row>
    <row r="22313" spans="9:10" x14ac:dyDescent="0.35">
      <c r="I22313" s="63"/>
      <c r="J22313" s="63"/>
    </row>
    <row r="22314" spans="9:10" x14ac:dyDescent="0.35">
      <c r="I22314" s="63"/>
      <c r="J22314" s="63"/>
    </row>
    <row r="22315" spans="9:10" x14ac:dyDescent="0.35">
      <c r="I22315" s="63"/>
      <c r="J22315" s="63"/>
    </row>
    <row r="22316" spans="9:10" x14ac:dyDescent="0.35">
      <c r="I22316" s="63"/>
      <c r="J22316" s="63"/>
    </row>
    <row r="22317" spans="9:10" x14ac:dyDescent="0.35">
      <c r="I22317" s="63"/>
      <c r="J22317" s="63"/>
    </row>
    <row r="22318" spans="9:10" x14ac:dyDescent="0.35">
      <c r="I22318" s="63"/>
      <c r="J22318" s="63"/>
    </row>
    <row r="22319" spans="9:10" x14ac:dyDescent="0.35">
      <c r="I22319" s="63"/>
      <c r="J22319" s="63"/>
    </row>
    <row r="22320" spans="9:10" x14ac:dyDescent="0.35">
      <c r="I22320" s="63"/>
      <c r="J22320" s="63"/>
    </row>
    <row r="22321" spans="9:10" x14ac:dyDescent="0.35">
      <c r="I22321" s="63"/>
      <c r="J22321" s="63"/>
    </row>
    <row r="22322" spans="9:10" x14ac:dyDescent="0.35">
      <c r="I22322" s="63"/>
      <c r="J22322" s="63"/>
    </row>
    <row r="22323" spans="9:10" x14ac:dyDescent="0.35">
      <c r="I22323" s="63"/>
      <c r="J22323" s="63"/>
    </row>
    <row r="22324" spans="9:10" x14ac:dyDescent="0.35">
      <c r="I22324" s="63"/>
      <c r="J22324" s="63"/>
    </row>
    <row r="22325" spans="9:10" x14ac:dyDescent="0.35">
      <c r="I22325" s="63"/>
      <c r="J22325" s="63"/>
    </row>
    <row r="22326" spans="9:10" x14ac:dyDescent="0.35">
      <c r="I22326" s="63"/>
      <c r="J22326" s="63"/>
    </row>
    <row r="22327" spans="9:10" x14ac:dyDescent="0.35">
      <c r="I22327" s="63"/>
      <c r="J22327" s="63"/>
    </row>
    <row r="22328" spans="9:10" x14ac:dyDescent="0.35">
      <c r="I22328" s="63"/>
      <c r="J22328" s="63"/>
    </row>
    <row r="22329" spans="9:10" x14ac:dyDescent="0.35">
      <c r="I22329" s="63"/>
      <c r="J22329" s="63"/>
    </row>
    <row r="22330" spans="9:10" x14ac:dyDescent="0.35">
      <c r="I22330" s="63"/>
      <c r="J22330" s="63"/>
    </row>
    <row r="22331" spans="9:10" x14ac:dyDescent="0.35">
      <c r="I22331" s="63"/>
      <c r="J22331" s="63"/>
    </row>
    <row r="22332" spans="9:10" x14ac:dyDescent="0.35">
      <c r="I22332" s="63"/>
      <c r="J22332" s="63"/>
    </row>
    <row r="22333" spans="9:10" x14ac:dyDescent="0.35">
      <c r="I22333" s="63"/>
      <c r="J22333" s="63"/>
    </row>
    <row r="22334" spans="9:10" x14ac:dyDescent="0.35">
      <c r="I22334" s="63"/>
      <c r="J22334" s="63"/>
    </row>
    <row r="22335" spans="9:10" x14ac:dyDescent="0.35">
      <c r="I22335" s="63"/>
      <c r="J22335" s="63"/>
    </row>
    <row r="22336" spans="9:10" x14ac:dyDescent="0.35">
      <c r="I22336" s="63"/>
      <c r="J22336" s="63"/>
    </row>
    <row r="22337" spans="9:10" x14ac:dyDescent="0.35">
      <c r="I22337" s="63"/>
      <c r="J22337" s="63"/>
    </row>
    <row r="22338" spans="9:10" x14ac:dyDescent="0.35">
      <c r="I22338" s="63"/>
      <c r="J22338" s="63"/>
    </row>
    <row r="22339" spans="9:10" x14ac:dyDescent="0.35">
      <c r="I22339" s="63"/>
      <c r="J22339" s="63"/>
    </row>
    <row r="22340" spans="9:10" x14ac:dyDescent="0.35">
      <c r="I22340" s="63"/>
      <c r="J22340" s="63"/>
    </row>
    <row r="22341" spans="9:10" x14ac:dyDescent="0.35">
      <c r="I22341" s="63"/>
      <c r="J22341" s="63"/>
    </row>
    <row r="22342" spans="9:10" x14ac:dyDescent="0.35">
      <c r="I22342" s="63"/>
      <c r="J22342" s="63"/>
    </row>
    <row r="22343" spans="9:10" x14ac:dyDescent="0.35">
      <c r="I22343" s="63"/>
      <c r="J22343" s="63"/>
    </row>
    <row r="22344" spans="9:10" x14ac:dyDescent="0.35">
      <c r="I22344" s="63"/>
      <c r="J22344" s="63"/>
    </row>
    <row r="22345" spans="9:10" x14ac:dyDescent="0.35">
      <c r="I22345" s="63"/>
      <c r="J22345" s="63"/>
    </row>
    <row r="22346" spans="9:10" x14ac:dyDescent="0.35">
      <c r="I22346" s="63"/>
      <c r="J22346" s="63"/>
    </row>
    <row r="22347" spans="9:10" x14ac:dyDescent="0.35">
      <c r="I22347" s="63"/>
      <c r="J22347" s="63"/>
    </row>
    <row r="22348" spans="9:10" x14ac:dyDescent="0.35">
      <c r="I22348" s="63"/>
      <c r="J22348" s="63"/>
    </row>
    <row r="22349" spans="9:10" x14ac:dyDescent="0.35">
      <c r="I22349" s="63"/>
      <c r="J22349" s="63"/>
    </row>
    <row r="22350" spans="9:10" x14ac:dyDescent="0.35">
      <c r="I22350" s="63"/>
      <c r="J22350" s="63"/>
    </row>
    <row r="22351" spans="9:10" x14ac:dyDescent="0.35">
      <c r="I22351" s="63"/>
      <c r="J22351" s="63"/>
    </row>
    <row r="22352" spans="9:10" x14ac:dyDescent="0.35">
      <c r="I22352" s="63"/>
      <c r="J22352" s="63"/>
    </row>
    <row r="22353" spans="9:10" x14ac:dyDescent="0.35">
      <c r="I22353" s="63"/>
      <c r="J22353" s="63"/>
    </row>
    <row r="22354" spans="9:10" x14ac:dyDescent="0.35">
      <c r="I22354" s="63"/>
      <c r="J22354" s="63"/>
    </row>
    <row r="22355" spans="9:10" x14ac:dyDescent="0.35">
      <c r="I22355" s="63"/>
      <c r="J22355" s="63"/>
    </row>
    <row r="22356" spans="9:10" x14ac:dyDescent="0.35">
      <c r="I22356" s="63"/>
      <c r="J22356" s="63"/>
    </row>
    <row r="22357" spans="9:10" x14ac:dyDescent="0.35">
      <c r="I22357" s="63"/>
      <c r="J22357" s="63"/>
    </row>
    <row r="22358" spans="9:10" x14ac:dyDescent="0.35">
      <c r="I22358" s="63"/>
      <c r="J22358" s="63"/>
    </row>
    <row r="22359" spans="9:10" x14ac:dyDescent="0.35">
      <c r="I22359" s="63"/>
      <c r="J22359" s="63"/>
    </row>
    <row r="22360" spans="9:10" x14ac:dyDescent="0.35">
      <c r="I22360" s="63"/>
      <c r="J22360" s="63"/>
    </row>
    <row r="22361" spans="9:10" x14ac:dyDescent="0.35">
      <c r="I22361" s="63"/>
      <c r="J22361" s="63"/>
    </row>
    <row r="22362" spans="9:10" x14ac:dyDescent="0.35">
      <c r="I22362" s="63"/>
      <c r="J22362" s="63"/>
    </row>
    <row r="22363" spans="9:10" x14ac:dyDescent="0.35">
      <c r="I22363" s="63"/>
      <c r="J22363" s="63"/>
    </row>
    <row r="22364" spans="9:10" x14ac:dyDescent="0.35">
      <c r="I22364" s="63"/>
      <c r="J22364" s="63"/>
    </row>
    <row r="22365" spans="9:10" x14ac:dyDescent="0.35">
      <c r="I22365" s="63"/>
      <c r="J22365" s="63"/>
    </row>
    <row r="22366" spans="9:10" x14ac:dyDescent="0.35">
      <c r="I22366" s="63"/>
      <c r="J22366" s="63"/>
    </row>
    <row r="22367" spans="9:10" x14ac:dyDescent="0.35">
      <c r="I22367" s="63"/>
      <c r="J22367" s="63"/>
    </row>
    <row r="22368" spans="9:10" x14ac:dyDescent="0.35">
      <c r="I22368" s="63"/>
      <c r="J22368" s="63"/>
    </row>
    <row r="22369" spans="9:10" x14ac:dyDescent="0.35">
      <c r="I22369" s="63"/>
      <c r="J22369" s="63"/>
    </row>
    <row r="22370" spans="9:10" x14ac:dyDescent="0.35">
      <c r="I22370" s="63"/>
      <c r="J22370" s="63"/>
    </row>
    <row r="22371" spans="9:10" x14ac:dyDescent="0.35">
      <c r="I22371" s="63"/>
      <c r="J22371" s="63"/>
    </row>
    <row r="22372" spans="9:10" x14ac:dyDescent="0.35">
      <c r="I22372" s="63"/>
      <c r="J22372" s="63"/>
    </row>
    <row r="22373" spans="9:10" x14ac:dyDescent="0.35">
      <c r="I22373" s="63"/>
      <c r="J22373" s="63"/>
    </row>
    <row r="22374" spans="9:10" x14ac:dyDescent="0.35">
      <c r="I22374" s="63"/>
      <c r="J22374" s="63"/>
    </row>
    <row r="22375" spans="9:10" x14ac:dyDescent="0.35">
      <c r="I22375" s="63"/>
      <c r="J22375" s="63"/>
    </row>
    <row r="22376" spans="9:10" x14ac:dyDescent="0.35">
      <c r="I22376" s="63"/>
      <c r="J22376" s="63"/>
    </row>
    <row r="22377" spans="9:10" x14ac:dyDescent="0.35">
      <c r="I22377" s="63"/>
      <c r="J22377" s="63"/>
    </row>
    <row r="22378" spans="9:10" x14ac:dyDescent="0.35">
      <c r="I22378" s="63"/>
      <c r="J22378" s="63"/>
    </row>
    <row r="22379" spans="9:10" x14ac:dyDescent="0.35">
      <c r="I22379" s="63"/>
      <c r="J22379" s="63"/>
    </row>
    <row r="22380" spans="9:10" x14ac:dyDescent="0.35">
      <c r="I22380" s="63"/>
      <c r="J22380" s="63"/>
    </row>
    <row r="22381" spans="9:10" x14ac:dyDescent="0.35">
      <c r="I22381" s="63"/>
      <c r="J22381" s="63"/>
    </row>
    <row r="22382" spans="9:10" x14ac:dyDescent="0.35">
      <c r="I22382" s="63"/>
      <c r="J22382" s="63"/>
    </row>
    <row r="22383" spans="9:10" x14ac:dyDescent="0.35">
      <c r="I22383" s="63"/>
      <c r="J22383" s="63"/>
    </row>
    <row r="22384" spans="9:10" x14ac:dyDescent="0.35">
      <c r="I22384" s="63"/>
      <c r="J22384" s="63"/>
    </row>
    <row r="22385" spans="9:10" x14ac:dyDescent="0.35">
      <c r="I22385" s="63"/>
      <c r="J22385" s="63"/>
    </row>
    <row r="22386" spans="9:10" x14ac:dyDescent="0.35">
      <c r="I22386" s="63"/>
      <c r="J22386" s="63"/>
    </row>
    <row r="22387" spans="9:10" x14ac:dyDescent="0.35">
      <c r="I22387" s="63"/>
      <c r="J22387" s="63"/>
    </row>
    <row r="22388" spans="9:10" x14ac:dyDescent="0.35">
      <c r="I22388" s="63"/>
      <c r="J22388" s="63"/>
    </row>
    <row r="22389" spans="9:10" x14ac:dyDescent="0.35">
      <c r="I22389" s="63"/>
      <c r="J22389" s="63"/>
    </row>
    <row r="22390" spans="9:10" x14ac:dyDescent="0.35">
      <c r="I22390" s="63"/>
      <c r="J22390" s="63"/>
    </row>
    <row r="22391" spans="9:10" x14ac:dyDescent="0.35">
      <c r="I22391" s="63"/>
      <c r="J22391" s="63"/>
    </row>
    <row r="22392" spans="9:10" x14ac:dyDescent="0.35">
      <c r="I22392" s="63"/>
      <c r="J22392" s="63"/>
    </row>
    <row r="22393" spans="9:10" x14ac:dyDescent="0.35">
      <c r="I22393" s="63"/>
      <c r="J22393" s="63"/>
    </row>
    <row r="22394" spans="9:10" x14ac:dyDescent="0.35">
      <c r="I22394" s="63"/>
      <c r="J22394" s="63"/>
    </row>
    <row r="22395" spans="9:10" x14ac:dyDescent="0.35">
      <c r="I22395" s="63"/>
      <c r="J22395" s="63"/>
    </row>
    <row r="22396" spans="9:10" x14ac:dyDescent="0.35">
      <c r="I22396" s="63"/>
      <c r="J22396" s="63"/>
    </row>
    <row r="22397" spans="9:10" x14ac:dyDescent="0.35">
      <c r="I22397" s="63"/>
      <c r="J22397" s="63"/>
    </row>
    <row r="22398" spans="9:10" x14ac:dyDescent="0.35">
      <c r="I22398" s="63"/>
      <c r="J22398" s="63"/>
    </row>
    <row r="22399" spans="9:10" x14ac:dyDescent="0.35">
      <c r="I22399" s="63"/>
      <c r="J22399" s="63"/>
    </row>
    <row r="22400" spans="9:10" x14ac:dyDescent="0.35">
      <c r="I22400" s="63"/>
      <c r="J22400" s="63"/>
    </row>
    <row r="22401" spans="9:10" x14ac:dyDescent="0.35">
      <c r="I22401" s="63"/>
      <c r="J22401" s="63"/>
    </row>
    <row r="22402" spans="9:10" x14ac:dyDescent="0.35">
      <c r="I22402" s="63"/>
      <c r="J22402" s="63"/>
    </row>
    <row r="22403" spans="9:10" x14ac:dyDescent="0.35">
      <c r="I22403" s="63"/>
      <c r="J22403" s="63"/>
    </row>
    <row r="22404" spans="9:10" x14ac:dyDescent="0.35">
      <c r="I22404" s="63"/>
      <c r="J22404" s="63"/>
    </row>
    <row r="22405" spans="9:10" x14ac:dyDescent="0.35">
      <c r="I22405" s="63"/>
      <c r="J22405" s="63"/>
    </row>
    <row r="22406" spans="9:10" x14ac:dyDescent="0.35">
      <c r="I22406" s="63"/>
      <c r="J22406" s="63"/>
    </row>
    <row r="22407" spans="9:10" x14ac:dyDescent="0.35">
      <c r="I22407" s="63"/>
      <c r="J22407" s="63"/>
    </row>
    <row r="22408" spans="9:10" x14ac:dyDescent="0.35">
      <c r="I22408" s="63"/>
      <c r="J22408" s="63"/>
    </row>
    <row r="22409" spans="9:10" x14ac:dyDescent="0.35">
      <c r="I22409" s="63"/>
      <c r="J22409" s="63"/>
    </row>
    <row r="22410" spans="9:10" x14ac:dyDescent="0.35">
      <c r="I22410" s="63"/>
      <c r="J22410" s="63"/>
    </row>
    <row r="22411" spans="9:10" x14ac:dyDescent="0.35">
      <c r="I22411" s="63"/>
      <c r="J22411" s="63"/>
    </row>
    <row r="22412" spans="9:10" x14ac:dyDescent="0.35">
      <c r="I22412" s="63"/>
      <c r="J22412" s="63"/>
    </row>
    <row r="22413" spans="9:10" x14ac:dyDescent="0.35">
      <c r="I22413" s="63"/>
      <c r="J22413" s="63"/>
    </row>
    <row r="22414" spans="9:10" x14ac:dyDescent="0.35">
      <c r="I22414" s="63"/>
      <c r="J22414" s="63"/>
    </row>
    <row r="22415" spans="9:10" x14ac:dyDescent="0.35">
      <c r="I22415" s="63"/>
      <c r="J22415" s="63"/>
    </row>
    <row r="22416" spans="9:10" x14ac:dyDescent="0.35">
      <c r="I22416" s="63"/>
      <c r="J22416" s="63"/>
    </row>
    <row r="22417" spans="9:10" x14ac:dyDescent="0.35">
      <c r="I22417" s="63"/>
      <c r="J22417" s="63"/>
    </row>
    <row r="22418" spans="9:10" x14ac:dyDescent="0.35">
      <c r="I22418" s="63"/>
      <c r="J22418" s="63"/>
    </row>
    <row r="22419" spans="9:10" x14ac:dyDescent="0.35">
      <c r="I22419" s="63"/>
      <c r="J22419" s="63"/>
    </row>
    <row r="22420" spans="9:10" x14ac:dyDescent="0.35">
      <c r="I22420" s="63"/>
      <c r="J22420" s="63"/>
    </row>
    <row r="22421" spans="9:10" x14ac:dyDescent="0.35">
      <c r="I22421" s="63"/>
      <c r="J22421" s="63"/>
    </row>
    <row r="22422" spans="9:10" x14ac:dyDescent="0.35">
      <c r="I22422" s="63"/>
      <c r="J22422" s="63"/>
    </row>
    <row r="22423" spans="9:10" x14ac:dyDescent="0.35">
      <c r="I22423" s="63"/>
      <c r="J22423" s="63"/>
    </row>
    <row r="22424" spans="9:10" x14ac:dyDescent="0.35">
      <c r="I22424" s="63"/>
      <c r="J22424" s="63"/>
    </row>
    <row r="22425" spans="9:10" x14ac:dyDescent="0.35">
      <c r="I22425" s="63"/>
      <c r="J22425" s="63"/>
    </row>
    <row r="22426" spans="9:10" x14ac:dyDescent="0.35">
      <c r="I22426" s="63"/>
      <c r="J22426" s="63"/>
    </row>
    <row r="22427" spans="9:10" x14ac:dyDescent="0.35">
      <c r="I22427" s="63"/>
      <c r="J22427" s="63"/>
    </row>
    <row r="22428" spans="9:10" x14ac:dyDescent="0.35">
      <c r="I22428" s="63"/>
      <c r="J22428" s="63"/>
    </row>
    <row r="22429" spans="9:10" x14ac:dyDescent="0.35">
      <c r="I22429" s="63"/>
      <c r="J22429" s="63"/>
    </row>
    <row r="22430" spans="9:10" x14ac:dyDescent="0.35">
      <c r="I22430" s="63"/>
      <c r="J22430" s="63"/>
    </row>
    <row r="22431" spans="9:10" x14ac:dyDescent="0.35">
      <c r="I22431" s="63"/>
      <c r="J22431" s="63"/>
    </row>
    <row r="22432" spans="9:10" x14ac:dyDescent="0.35">
      <c r="I22432" s="63"/>
      <c r="J22432" s="63"/>
    </row>
    <row r="22433" spans="9:10" x14ac:dyDescent="0.35">
      <c r="I22433" s="63"/>
      <c r="J22433" s="63"/>
    </row>
    <row r="22434" spans="9:10" x14ac:dyDescent="0.35">
      <c r="I22434" s="63"/>
      <c r="J22434" s="63"/>
    </row>
    <row r="22435" spans="9:10" x14ac:dyDescent="0.35">
      <c r="I22435" s="63"/>
      <c r="J22435" s="63"/>
    </row>
    <row r="22436" spans="9:10" x14ac:dyDescent="0.35">
      <c r="I22436" s="63"/>
      <c r="J22436" s="63"/>
    </row>
    <row r="22437" spans="9:10" x14ac:dyDescent="0.35">
      <c r="I22437" s="63"/>
      <c r="J22437" s="63"/>
    </row>
    <row r="22438" spans="9:10" x14ac:dyDescent="0.35">
      <c r="I22438" s="63"/>
      <c r="J22438" s="63"/>
    </row>
    <row r="22439" spans="9:10" x14ac:dyDescent="0.35">
      <c r="I22439" s="63"/>
      <c r="J22439" s="63"/>
    </row>
    <row r="22440" spans="9:10" x14ac:dyDescent="0.35">
      <c r="I22440" s="63"/>
      <c r="J22440" s="63"/>
    </row>
    <row r="22441" spans="9:10" x14ac:dyDescent="0.35">
      <c r="I22441" s="63"/>
      <c r="J22441" s="63"/>
    </row>
    <row r="22442" spans="9:10" x14ac:dyDescent="0.35">
      <c r="I22442" s="63"/>
      <c r="J22442" s="63"/>
    </row>
    <row r="22443" spans="9:10" x14ac:dyDescent="0.35">
      <c r="I22443" s="63"/>
      <c r="J22443" s="63"/>
    </row>
    <row r="22444" spans="9:10" x14ac:dyDescent="0.35">
      <c r="I22444" s="63"/>
      <c r="J22444" s="63"/>
    </row>
    <row r="22445" spans="9:10" x14ac:dyDescent="0.35">
      <c r="I22445" s="63"/>
      <c r="J22445" s="63"/>
    </row>
    <row r="22446" spans="9:10" x14ac:dyDescent="0.35">
      <c r="I22446" s="63"/>
      <c r="J22446" s="63"/>
    </row>
    <row r="22447" spans="9:10" x14ac:dyDescent="0.35">
      <c r="I22447" s="63"/>
      <c r="J22447" s="63"/>
    </row>
    <row r="22448" spans="9:10" x14ac:dyDescent="0.35">
      <c r="I22448" s="63"/>
      <c r="J22448" s="63"/>
    </row>
    <row r="22449" spans="9:10" x14ac:dyDescent="0.35">
      <c r="I22449" s="63"/>
      <c r="J22449" s="63"/>
    </row>
    <row r="22450" spans="9:10" x14ac:dyDescent="0.35">
      <c r="I22450" s="63"/>
      <c r="J22450" s="63"/>
    </row>
    <row r="22451" spans="9:10" x14ac:dyDescent="0.35">
      <c r="I22451" s="63"/>
      <c r="J22451" s="63"/>
    </row>
    <row r="22452" spans="9:10" x14ac:dyDescent="0.35">
      <c r="I22452" s="63"/>
      <c r="J22452" s="63"/>
    </row>
    <row r="22453" spans="9:10" x14ac:dyDescent="0.35">
      <c r="I22453" s="63"/>
      <c r="J22453" s="63"/>
    </row>
    <row r="22454" spans="9:10" x14ac:dyDescent="0.35">
      <c r="I22454" s="63"/>
      <c r="J22454" s="63"/>
    </row>
    <row r="22455" spans="9:10" x14ac:dyDescent="0.35">
      <c r="I22455" s="63"/>
      <c r="J22455" s="63"/>
    </row>
    <row r="22456" spans="9:10" x14ac:dyDescent="0.35">
      <c r="I22456" s="63"/>
      <c r="J22456" s="63"/>
    </row>
    <row r="22457" spans="9:10" x14ac:dyDescent="0.35">
      <c r="I22457" s="63"/>
      <c r="J22457" s="63"/>
    </row>
    <row r="22458" spans="9:10" x14ac:dyDescent="0.35">
      <c r="I22458" s="63"/>
      <c r="J22458" s="63"/>
    </row>
    <row r="22459" spans="9:10" x14ac:dyDescent="0.35">
      <c r="I22459" s="63"/>
      <c r="J22459" s="63"/>
    </row>
    <row r="22460" spans="9:10" x14ac:dyDescent="0.35">
      <c r="I22460" s="63"/>
      <c r="J22460" s="63"/>
    </row>
    <row r="22461" spans="9:10" x14ac:dyDescent="0.35">
      <c r="I22461" s="63"/>
      <c r="J22461" s="63"/>
    </row>
    <row r="22462" spans="9:10" x14ac:dyDescent="0.35">
      <c r="I22462" s="63"/>
      <c r="J22462" s="63"/>
    </row>
    <row r="22463" spans="9:10" x14ac:dyDescent="0.35">
      <c r="I22463" s="63"/>
      <c r="J22463" s="63"/>
    </row>
    <row r="22464" spans="9:10" x14ac:dyDescent="0.35">
      <c r="I22464" s="63"/>
      <c r="J22464" s="63"/>
    </row>
    <row r="22465" spans="9:10" x14ac:dyDescent="0.35">
      <c r="I22465" s="63"/>
      <c r="J22465" s="63"/>
    </row>
    <row r="22466" spans="9:10" x14ac:dyDescent="0.35">
      <c r="I22466" s="63"/>
      <c r="J22466" s="63"/>
    </row>
    <row r="22467" spans="9:10" x14ac:dyDescent="0.35">
      <c r="I22467" s="63"/>
      <c r="J22467" s="63"/>
    </row>
    <row r="22468" spans="9:10" x14ac:dyDescent="0.35">
      <c r="I22468" s="63"/>
      <c r="J22468" s="63"/>
    </row>
    <row r="22469" spans="9:10" x14ac:dyDescent="0.35">
      <c r="I22469" s="63"/>
      <c r="J22469" s="63"/>
    </row>
    <row r="22470" spans="9:10" x14ac:dyDescent="0.35">
      <c r="I22470" s="63"/>
      <c r="J22470" s="63"/>
    </row>
    <row r="22471" spans="9:10" x14ac:dyDescent="0.35">
      <c r="I22471" s="63"/>
      <c r="J22471" s="63"/>
    </row>
    <row r="22472" spans="9:10" x14ac:dyDescent="0.35">
      <c r="I22472" s="63"/>
      <c r="J22472" s="63"/>
    </row>
    <row r="22473" spans="9:10" x14ac:dyDescent="0.35">
      <c r="I22473" s="63"/>
      <c r="J22473" s="63"/>
    </row>
    <row r="22474" spans="9:10" x14ac:dyDescent="0.35">
      <c r="I22474" s="63"/>
      <c r="J22474" s="63"/>
    </row>
    <row r="22475" spans="9:10" x14ac:dyDescent="0.35">
      <c r="I22475" s="63"/>
      <c r="J22475" s="63"/>
    </row>
    <row r="22476" spans="9:10" x14ac:dyDescent="0.35">
      <c r="I22476" s="63"/>
      <c r="J22476" s="63"/>
    </row>
    <row r="22477" spans="9:10" x14ac:dyDescent="0.35">
      <c r="I22477" s="63"/>
      <c r="J22477" s="63"/>
    </row>
    <row r="22478" spans="9:10" x14ac:dyDescent="0.35">
      <c r="I22478" s="63"/>
      <c r="J22478" s="63"/>
    </row>
    <row r="22479" spans="9:10" x14ac:dyDescent="0.35">
      <c r="I22479" s="63"/>
      <c r="J22479" s="63"/>
    </row>
    <row r="22480" spans="9:10" x14ac:dyDescent="0.35">
      <c r="I22480" s="63"/>
      <c r="J22480" s="63"/>
    </row>
    <row r="22481" spans="9:10" x14ac:dyDescent="0.35">
      <c r="I22481" s="63"/>
      <c r="J22481" s="63"/>
    </row>
    <row r="22482" spans="9:10" x14ac:dyDescent="0.35">
      <c r="I22482" s="63"/>
      <c r="J22482" s="63"/>
    </row>
    <row r="22483" spans="9:10" x14ac:dyDescent="0.35">
      <c r="I22483" s="63"/>
      <c r="J22483" s="63"/>
    </row>
    <row r="22484" spans="9:10" x14ac:dyDescent="0.35">
      <c r="I22484" s="63"/>
      <c r="J22484" s="63"/>
    </row>
    <row r="22485" spans="9:10" x14ac:dyDescent="0.35">
      <c r="I22485" s="63"/>
      <c r="J22485" s="63"/>
    </row>
    <row r="22486" spans="9:10" x14ac:dyDescent="0.35">
      <c r="I22486" s="63"/>
      <c r="J22486" s="63"/>
    </row>
    <row r="22487" spans="9:10" x14ac:dyDescent="0.35">
      <c r="I22487" s="63"/>
      <c r="J22487" s="63"/>
    </row>
    <row r="22488" spans="9:10" x14ac:dyDescent="0.35">
      <c r="I22488" s="63"/>
      <c r="J22488" s="63"/>
    </row>
    <row r="22489" spans="9:10" x14ac:dyDescent="0.35">
      <c r="I22489" s="63"/>
      <c r="J22489" s="63"/>
    </row>
    <row r="22490" spans="9:10" x14ac:dyDescent="0.35">
      <c r="I22490" s="63"/>
      <c r="J22490" s="63"/>
    </row>
    <row r="22491" spans="9:10" x14ac:dyDescent="0.35">
      <c r="I22491" s="63"/>
      <c r="J22491" s="63"/>
    </row>
    <row r="22492" spans="9:10" x14ac:dyDescent="0.35">
      <c r="I22492" s="63"/>
      <c r="J22492" s="63"/>
    </row>
    <row r="22493" spans="9:10" x14ac:dyDescent="0.35">
      <c r="I22493" s="63"/>
      <c r="J22493" s="63"/>
    </row>
    <row r="22494" spans="9:10" x14ac:dyDescent="0.35">
      <c r="I22494" s="63"/>
      <c r="J22494" s="63"/>
    </row>
    <row r="22495" spans="9:10" x14ac:dyDescent="0.35">
      <c r="I22495" s="63"/>
      <c r="J22495" s="63"/>
    </row>
    <row r="22496" spans="9:10" x14ac:dyDescent="0.35">
      <c r="I22496" s="63"/>
      <c r="J22496" s="63"/>
    </row>
    <row r="22497" spans="9:10" x14ac:dyDescent="0.35">
      <c r="I22497" s="63"/>
      <c r="J22497" s="63"/>
    </row>
    <row r="22498" spans="9:10" x14ac:dyDescent="0.35">
      <c r="I22498" s="63"/>
      <c r="J22498" s="63"/>
    </row>
    <row r="22499" spans="9:10" x14ac:dyDescent="0.35">
      <c r="I22499" s="63"/>
      <c r="J22499" s="63"/>
    </row>
    <row r="22500" spans="9:10" x14ac:dyDescent="0.35">
      <c r="I22500" s="63"/>
      <c r="J22500" s="63"/>
    </row>
    <row r="22501" spans="9:10" x14ac:dyDescent="0.35">
      <c r="I22501" s="63"/>
      <c r="J22501" s="63"/>
    </row>
    <row r="22502" spans="9:10" x14ac:dyDescent="0.35">
      <c r="I22502" s="63"/>
      <c r="J22502" s="63"/>
    </row>
    <row r="22503" spans="9:10" x14ac:dyDescent="0.35">
      <c r="I22503" s="63"/>
      <c r="J22503" s="63"/>
    </row>
    <row r="22504" spans="9:10" x14ac:dyDescent="0.35">
      <c r="I22504" s="63"/>
      <c r="J22504" s="63"/>
    </row>
    <row r="22505" spans="9:10" x14ac:dyDescent="0.35">
      <c r="I22505" s="63"/>
      <c r="J22505" s="63"/>
    </row>
    <row r="22506" spans="9:10" x14ac:dyDescent="0.35">
      <c r="I22506" s="63"/>
      <c r="J22506" s="63"/>
    </row>
    <row r="22507" spans="9:10" x14ac:dyDescent="0.35">
      <c r="I22507" s="63"/>
      <c r="J22507" s="63"/>
    </row>
    <row r="22508" spans="9:10" x14ac:dyDescent="0.35">
      <c r="I22508" s="63"/>
      <c r="J22508" s="63"/>
    </row>
    <row r="22509" spans="9:10" x14ac:dyDescent="0.35">
      <c r="I22509" s="63"/>
      <c r="J22509" s="63"/>
    </row>
    <row r="22510" spans="9:10" x14ac:dyDescent="0.35">
      <c r="I22510" s="63"/>
      <c r="J22510" s="63"/>
    </row>
    <row r="22511" spans="9:10" x14ac:dyDescent="0.35">
      <c r="I22511" s="63"/>
      <c r="J22511" s="63"/>
    </row>
    <row r="22512" spans="9:10" x14ac:dyDescent="0.35">
      <c r="I22512" s="63"/>
      <c r="J22512" s="63"/>
    </row>
    <row r="22513" spans="9:10" x14ac:dyDescent="0.35">
      <c r="I22513" s="63"/>
      <c r="J22513" s="63"/>
    </row>
    <row r="22514" spans="9:10" x14ac:dyDescent="0.35">
      <c r="I22514" s="63"/>
      <c r="J22514" s="63"/>
    </row>
    <row r="22515" spans="9:10" x14ac:dyDescent="0.35">
      <c r="I22515" s="63"/>
      <c r="J22515" s="63"/>
    </row>
    <row r="22516" spans="9:10" x14ac:dyDescent="0.35">
      <c r="I22516" s="63"/>
      <c r="J22516" s="63"/>
    </row>
    <row r="22517" spans="9:10" x14ac:dyDescent="0.35">
      <c r="I22517" s="63"/>
      <c r="J22517" s="63"/>
    </row>
    <row r="22518" spans="9:10" x14ac:dyDescent="0.35">
      <c r="I22518" s="63"/>
      <c r="J22518" s="63"/>
    </row>
    <row r="22519" spans="9:10" x14ac:dyDescent="0.35">
      <c r="I22519" s="63"/>
      <c r="J22519" s="63"/>
    </row>
    <row r="22520" spans="9:10" x14ac:dyDescent="0.35">
      <c r="I22520" s="63"/>
      <c r="J22520" s="63"/>
    </row>
    <row r="22521" spans="9:10" x14ac:dyDescent="0.35">
      <c r="I22521" s="63"/>
      <c r="J22521" s="63"/>
    </row>
    <row r="22522" spans="9:10" x14ac:dyDescent="0.35">
      <c r="I22522" s="63"/>
      <c r="J22522" s="63"/>
    </row>
    <row r="22523" spans="9:10" x14ac:dyDescent="0.35">
      <c r="I22523" s="63"/>
      <c r="J22523" s="63"/>
    </row>
    <row r="22524" spans="9:10" x14ac:dyDescent="0.35">
      <c r="I22524" s="63"/>
      <c r="J22524" s="63"/>
    </row>
    <row r="22525" spans="9:10" x14ac:dyDescent="0.35">
      <c r="I22525" s="63"/>
      <c r="J22525" s="63"/>
    </row>
    <row r="22526" spans="9:10" x14ac:dyDescent="0.35">
      <c r="I22526" s="63"/>
      <c r="J22526" s="63"/>
    </row>
    <row r="22527" spans="9:10" x14ac:dyDescent="0.35">
      <c r="I22527" s="63"/>
      <c r="J22527" s="63"/>
    </row>
    <row r="22528" spans="9:10" x14ac:dyDescent="0.35">
      <c r="I22528" s="63"/>
      <c r="J22528" s="63"/>
    </row>
    <row r="22529" spans="9:10" x14ac:dyDescent="0.35">
      <c r="I22529" s="63"/>
      <c r="J22529" s="63"/>
    </row>
    <row r="22530" spans="9:10" x14ac:dyDescent="0.35">
      <c r="I22530" s="63"/>
      <c r="J22530" s="63"/>
    </row>
    <row r="22531" spans="9:10" x14ac:dyDescent="0.35">
      <c r="I22531" s="63"/>
      <c r="J22531" s="63"/>
    </row>
    <row r="22532" spans="9:10" x14ac:dyDescent="0.35">
      <c r="I22532" s="63"/>
      <c r="J22532" s="63"/>
    </row>
    <row r="22533" spans="9:10" x14ac:dyDescent="0.35">
      <c r="I22533" s="63"/>
      <c r="J22533" s="63"/>
    </row>
    <row r="22534" spans="9:10" x14ac:dyDescent="0.35">
      <c r="I22534" s="63"/>
      <c r="J22534" s="63"/>
    </row>
    <row r="22535" spans="9:10" x14ac:dyDescent="0.35">
      <c r="I22535" s="63"/>
      <c r="J22535" s="63"/>
    </row>
    <row r="22536" spans="9:10" x14ac:dyDescent="0.35">
      <c r="I22536" s="63"/>
      <c r="J22536" s="63"/>
    </row>
    <row r="22537" spans="9:10" x14ac:dyDescent="0.35">
      <c r="I22537" s="63"/>
      <c r="J22537" s="63"/>
    </row>
    <row r="22538" spans="9:10" x14ac:dyDescent="0.35">
      <c r="I22538" s="63"/>
      <c r="J22538" s="63"/>
    </row>
    <row r="22539" spans="9:10" x14ac:dyDescent="0.35">
      <c r="I22539" s="63"/>
      <c r="J22539" s="63"/>
    </row>
    <row r="22540" spans="9:10" x14ac:dyDescent="0.35">
      <c r="I22540" s="63"/>
      <c r="J22540" s="63"/>
    </row>
    <row r="22541" spans="9:10" x14ac:dyDescent="0.35">
      <c r="I22541" s="63"/>
      <c r="J22541" s="63"/>
    </row>
    <row r="22542" spans="9:10" x14ac:dyDescent="0.35">
      <c r="I22542" s="63"/>
      <c r="J22542" s="63"/>
    </row>
    <row r="22543" spans="9:10" x14ac:dyDescent="0.35">
      <c r="I22543" s="63"/>
      <c r="J22543" s="63"/>
    </row>
    <row r="22544" spans="9:10" x14ac:dyDescent="0.35">
      <c r="I22544" s="63"/>
      <c r="J22544" s="63"/>
    </row>
    <row r="22545" spans="9:10" x14ac:dyDescent="0.35">
      <c r="I22545" s="63"/>
      <c r="J22545" s="63"/>
    </row>
    <row r="22546" spans="9:10" x14ac:dyDescent="0.35">
      <c r="I22546" s="63"/>
      <c r="J22546" s="63"/>
    </row>
    <row r="22547" spans="9:10" x14ac:dyDescent="0.35">
      <c r="I22547" s="63"/>
      <c r="J22547" s="63"/>
    </row>
    <row r="22548" spans="9:10" x14ac:dyDescent="0.35">
      <c r="I22548" s="63"/>
      <c r="J22548" s="63"/>
    </row>
    <row r="22549" spans="9:10" x14ac:dyDescent="0.35">
      <c r="I22549" s="63"/>
      <c r="J22549" s="63"/>
    </row>
    <row r="22550" spans="9:10" x14ac:dyDescent="0.35">
      <c r="I22550" s="63"/>
      <c r="J22550" s="63"/>
    </row>
    <row r="22551" spans="9:10" x14ac:dyDescent="0.35">
      <c r="I22551" s="63"/>
      <c r="J22551" s="63"/>
    </row>
    <row r="22552" spans="9:10" x14ac:dyDescent="0.35">
      <c r="I22552" s="63"/>
      <c r="J22552" s="63"/>
    </row>
    <row r="22553" spans="9:10" x14ac:dyDescent="0.35">
      <c r="I22553" s="63"/>
      <c r="J22553" s="63"/>
    </row>
    <row r="22554" spans="9:10" x14ac:dyDescent="0.35">
      <c r="I22554" s="63"/>
      <c r="J22554" s="63"/>
    </row>
    <row r="22555" spans="9:10" x14ac:dyDescent="0.35">
      <c r="I22555" s="63"/>
      <c r="J22555" s="63"/>
    </row>
    <row r="22556" spans="9:10" x14ac:dyDescent="0.35">
      <c r="I22556" s="63"/>
      <c r="J22556" s="63"/>
    </row>
    <row r="22557" spans="9:10" x14ac:dyDescent="0.35">
      <c r="I22557" s="63"/>
      <c r="J22557" s="63"/>
    </row>
    <row r="22558" spans="9:10" x14ac:dyDescent="0.35">
      <c r="I22558" s="63"/>
      <c r="J22558" s="63"/>
    </row>
    <row r="22559" spans="9:10" x14ac:dyDescent="0.35">
      <c r="I22559" s="63"/>
      <c r="J22559" s="63"/>
    </row>
    <row r="22560" spans="9:10" x14ac:dyDescent="0.35">
      <c r="I22560" s="63"/>
      <c r="J22560" s="63"/>
    </row>
    <row r="22561" spans="9:10" x14ac:dyDescent="0.35">
      <c r="I22561" s="63"/>
      <c r="J22561" s="63"/>
    </row>
    <row r="22562" spans="9:10" x14ac:dyDescent="0.35">
      <c r="I22562" s="63"/>
      <c r="J22562" s="63"/>
    </row>
    <row r="22563" spans="9:10" x14ac:dyDescent="0.35">
      <c r="I22563" s="63"/>
      <c r="J22563" s="63"/>
    </row>
    <row r="22564" spans="9:10" x14ac:dyDescent="0.35">
      <c r="I22564" s="63"/>
      <c r="J22564" s="63"/>
    </row>
    <row r="22565" spans="9:10" x14ac:dyDescent="0.35">
      <c r="I22565" s="63"/>
      <c r="J22565" s="63"/>
    </row>
    <row r="22566" spans="9:10" x14ac:dyDescent="0.35">
      <c r="I22566" s="63"/>
      <c r="J22566" s="63"/>
    </row>
    <row r="22567" spans="9:10" x14ac:dyDescent="0.35">
      <c r="I22567" s="63"/>
      <c r="J22567" s="63"/>
    </row>
    <row r="22568" spans="9:10" x14ac:dyDescent="0.35">
      <c r="I22568" s="63"/>
      <c r="J22568" s="63"/>
    </row>
    <row r="22569" spans="9:10" x14ac:dyDescent="0.35">
      <c r="I22569" s="63"/>
      <c r="J22569" s="63"/>
    </row>
    <row r="22570" spans="9:10" x14ac:dyDescent="0.35">
      <c r="I22570" s="63"/>
      <c r="J22570" s="63"/>
    </row>
    <row r="22571" spans="9:10" x14ac:dyDescent="0.35">
      <c r="I22571" s="63"/>
      <c r="J22571" s="63"/>
    </row>
    <row r="22572" spans="9:10" x14ac:dyDescent="0.35">
      <c r="I22572" s="63"/>
      <c r="J22572" s="63"/>
    </row>
    <row r="22573" spans="9:10" x14ac:dyDescent="0.35">
      <c r="I22573" s="63"/>
      <c r="J22573" s="63"/>
    </row>
    <row r="22574" spans="9:10" x14ac:dyDescent="0.35">
      <c r="I22574" s="63"/>
      <c r="J22574" s="63"/>
    </row>
    <row r="22575" spans="9:10" x14ac:dyDescent="0.35">
      <c r="I22575" s="63"/>
      <c r="J22575" s="63"/>
    </row>
    <row r="22576" spans="9:10" x14ac:dyDescent="0.35">
      <c r="I22576" s="63"/>
      <c r="J22576" s="63"/>
    </row>
    <row r="22577" spans="9:10" x14ac:dyDescent="0.35">
      <c r="I22577" s="63"/>
      <c r="J22577" s="63"/>
    </row>
    <row r="22578" spans="9:10" x14ac:dyDescent="0.35">
      <c r="I22578" s="63"/>
      <c r="J22578" s="63"/>
    </row>
    <row r="22579" spans="9:10" x14ac:dyDescent="0.35">
      <c r="I22579" s="63"/>
      <c r="J22579" s="63"/>
    </row>
    <row r="22580" spans="9:10" x14ac:dyDescent="0.35">
      <c r="I22580" s="63"/>
      <c r="J22580" s="63"/>
    </row>
    <row r="22581" spans="9:10" x14ac:dyDescent="0.35">
      <c r="I22581" s="63"/>
      <c r="J22581" s="63"/>
    </row>
    <row r="22582" spans="9:10" x14ac:dyDescent="0.35">
      <c r="I22582" s="63"/>
      <c r="J22582" s="63"/>
    </row>
    <row r="22583" spans="9:10" x14ac:dyDescent="0.35">
      <c r="I22583" s="63"/>
      <c r="J22583" s="63"/>
    </row>
    <row r="22584" spans="9:10" x14ac:dyDescent="0.35">
      <c r="I22584" s="63"/>
      <c r="J22584" s="63"/>
    </row>
    <row r="22585" spans="9:10" x14ac:dyDescent="0.35">
      <c r="I22585" s="63"/>
      <c r="J22585" s="63"/>
    </row>
    <row r="22586" spans="9:10" x14ac:dyDescent="0.35">
      <c r="I22586" s="63"/>
      <c r="J22586" s="63"/>
    </row>
    <row r="22587" spans="9:10" x14ac:dyDescent="0.35">
      <c r="I22587" s="63"/>
      <c r="J22587" s="63"/>
    </row>
    <row r="22588" spans="9:10" x14ac:dyDescent="0.35">
      <c r="I22588" s="63"/>
      <c r="J22588" s="63"/>
    </row>
    <row r="22589" spans="9:10" x14ac:dyDescent="0.35">
      <c r="I22589" s="63"/>
      <c r="J22589" s="63"/>
    </row>
    <row r="22590" spans="9:10" x14ac:dyDescent="0.35">
      <c r="I22590" s="63"/>
      <c r="J22590" s="63"/>
    </row>
    <row r="22591" spans="9:10" x14ac:dyDescent="0.35">
      <c r="I22591" s="63"/>
      <c r="J22591" s="63"/>
    </row>
    <row r="22592" spans="9:10" x14ac:dyDescent="0.35">
      <c r="I22592" s="63"/>
      <c r="J22592" s="63"/>
    </row>
    <row r="22593" spans="9:10" x14ac:dyDescent="0.35">
      <c r="I22593" s="63"/>
      <c r="J22593" s="63"/>
    </row>
    <row r="22594" spans="9:10" x14ac:dyDescent="0.35">
      <c r="I22594" s="63"/>
      <c r="J22594" s="63"/>
    </row>
    <row r="22595" spans="9:10" x14ac:dyDescent="0.35">
      <c r="I22595" s="63"/>
      <c r="J22595" s="63"/>
    </row>
    <row r="22596" spans="9:10" x14ac:dyDescent="0.35">
      <c r="I22596" s="63"/>
      <c r="J22596" s="63"/>
    </row>
    <row r="22597" spans="9:10" x14ac:dyDescent="0.35">
      <c r="I22597" s="63"/>
      <c r="J22597" s="63"/>
    </row>
    <row r="22598" spans="9:10" x14ac:dyDescent="0.35">
      <c r="I22598" s="63"/>
      <c r="J22598" s="63"/>
    </row>
    <row r="22599" spans="9:10" x14ac:dyDescent="0.35">
      <c r="I22599" s="63"/>
      <c r="J22599" s="63"/>
    </row>
    <row r="22600" spans="9:10" x14ac:dyDescent="0.35">
      <c r="I22600" s="63"/>
      <c r="J22600" s="63"/>
    </row>
    <row r="22601" spans="9:10" x14ac:dyDescent="0.35">
      <c r="I22601" s="63"/>
      <c r="J22601" s="63"/>
    </row>
    <row r="22602" spans="9:10" x14ac:dyDescent="0.35">
      <c r="I22602" s="63"/>
      <c r="J22602" s="63"/>
    </row>
    <row r="22603" spans="9:10" x14ac:dyDescent="0.35">
      <c r="I22603" s="63"/>
      <c r="J22603" s="63"/>
    </row>
    <row r="22604" spans="9:10" x14ac:dyDescent="0.35">
      <c r="I22604" s="63"/>
      <c r="J22604" s="63"/>
    </row>
    <row r="22605" spans="9:10" x14ac:dyDescent="0.35">
      <c r="I22605" s="63"/>
      <c r="J22605" s="63"/>
    </row>
    <row r="22606" spans="9:10" x14ac:dyDescent="0.35">
      <c r="I22606" s="63"/>
      <c r="J22606" s="63"/>
    </row>
    <row r="22607" spans="9:10" x14ac:dyDescent="0.35">
      <c r="I22607" s="63"/>
      <c r="J22607" s="63"/>
    </row>
    <row r="22608" spans="9:10" x14ac:dyDescent="0.35">
      <c r="I22608" s="63"/>
      <c r="J22608" s="63"/>
    </row>
    <row r="22609" spans="9:10" x14ac:dyDescent="0.35">
      <c r="I22609" s="63"/>
      <c r="J22609" s="63"/>
    </row>
    <row r="22610" spans="9:10" x14ac:dyDescent="0.35">
      <c r="I22610" s="63"/>
      <c r="J22610" s="63"/>
    </row>
    <row r="22611" spans="9:10" x14ac:dyDescent="0.35">
      <c r="I22611" s="63"/>
      <c r="J22611" s="63"/>
    </row>
    <row r="22612" spans="9:10" x14ac:dyDescent="0.35">
      <c r="I22612" s="63"/>
      <c r="J22612" s="63"/>
    </row>
    <row r="22613" spans="9:10" x14ac:dyDescent="0.35">
      <c r="I22613" s="63"/>
      <c r="J22613" s="63"/>
    </row>
    <row r="22614" spans="9:10" x14ac:dyDescent="0.35">
      <c r="I22614" s="63"/>
      <c r="J22614" s="63"/>
    </row>
    <row r="22615" spans="9:10" x14ac:dyDescent="0.35">
      <c r="I22615" s="63"/>
      <c r="J22615" s="63"/>
    </row>
    <row r="22616" spans="9:10" x14ac:dyDescent="0.35">
      <c r="I22616" s="63"/>
      <c r="J22616" s="63"/>
    </row>
    <row r="22617" spans="9:10" x14ac:dyDescent="0.35">
      <c r="I22617" s="63"/>
      <c r="J22617" s="63"/>
    </row>
    <row r="22618" spans="9:10" x14ac:dyDescent="0.35">
      <c r="I22618" s="63"/>
      <c r="J22618" s="63"/>
    </row>
    <row r="22619" spans="9:10" x14ac:dyDescent="0.35">
      <c r="I22619" s="63"/>
      <c r="J22619" s="63"/>
    </row>
    <row r="22620" spans="9:10" x14ac:dyDescent="0.35">
      <c r="I22620" s="63"/>
      <c r="J22620" s="63"/>
    </row>
    <row r="22621" spans="9:10" x14ac:dyDescent="0.35">
      <c r="I22621" s="63"/>
      <c r="J22621" s="63"/>
    </row>
    <row r="22622" spans="9:10" x14ac:dyDescent="0.35">
      <c r="I22622" s="63"/>
      <c r="J22622" s="63"/>
    </row>
    <row r="22623" spans="9:10" x14ac:dyDescent="0.35">
      <c r="I22623" s="63"/>
      <c r="J22623" s="63"/>
    </row>
    <row r="22624" spans="9:10" x14ac:dyDescent="0.35">
      <c r="I22624" s="63"/>
      <c r="J22624" s="63"/>
    </row>
    <row r="22625" spans="9:10" x14ac:dyDescent="0.35">
      <c r="I22625" s="63"/>
      <c r="J22625" s="63"/>
    </row>
    <row r="22626" spans="9:10" x14ac:dyDescent="0.35">
      <c r="I22626" s="63"/>
      <c r="J22626" s="63"/>
    </row>
    <row r="22627" spans="9:10" x14ac:dyDescent="0.35">
      <c r="I22627" s="63"/>
      <c r="J22627" s="63"/>
    </row>
    <row r="22628" spans="9:10" x14ac:dyDescent="0.35">
      <c r="I22628" s="63"/>
      <c r="J22628" s="63"/>
    </row>
    <row r="22629" spans="9:10" x14ac:dyDescent="0.35">
      <c r="I22629" s="63"/>
      <c r="J22629" s="63"/>
    </row>
    <row r="22630" spans="9:10" x14ac:dyDescent="0.35">
      <c r="I22630" s="63"/>
      <c r="J22630" s="63"/>
    </row>
    <row r="22631" spans="9:10" x14ac:dyDescent="0.35">
      <c r="I22631" s="63"/>
      <c r="J22631" s="63"/>
    </row>
    <row r="22632" spans="9:10" x14ac:dyDescent="0.35">
      <c r="I22632" s="63"/>
      <c r="J22632" s="63"/>
    </row>
    <row r="22633" spans="9:10" x14ac:dyDescent="0.35">
      <c r="I22633" s="63"/>
      <c r="J22633" s="63"/>
    </row>
    <row r="22634" spans="9:10" x14ac:dyDescent="0.35">
      <c r="I22634" s="63"/>
      <c r="J22634" s="63"/>
    </row>
    <row r="22635" spans="9:10" x14ac:dyDescent="0.35">
      <c r="I22635" s="63"/>
      <c r="J22635" s="63"/>
    </row>
    <row r="22636" spans="9:10" x14ac:dyDescent="0.35">
      <c r="I22636" s="63"/>
      <c r="J22636" s="63"/>
    </row>
    <row r="22637" spans="9:10" x14ac:dyDescent="0.35">
      <c r="I22637" s="63"/>
      <c r="J22637" s="63"/>
    </row>
    <row r="22638" spans="9:10" x14ac:dyDescent="0.35">
      <c r="I22638" s="63"/>
      <c r="J22638" s="63"/>
    </row>
    <row r="22639" spans="9:10" x14ac:dyDescent="0.35">
      <c r="I22639" s="63"/>
      <c r="J22639" s="63"/>
    </row>
    <row r="22640" spans="9:10" x14ac:dyDescent="0.35">
      <c r="I22640" s="63"/>
      <c r="J22640" s="63"/>
    </row>
    <row r="22641" spans="9:10" x14ac:dyDescent="0.35">
      <c r="I22641" s="63"/>
      <c r="J22641" s="63"/>
    </row>
    <row r="22642" spans="9:10" x14ac:dyDescent="0.35">
      <c r="I22642" s="63"/>
      <c r="J22642" s="63"/>
    </row>
    <row r="22643" spans="9:10" x14ac:dyDescent="0.35">
      <c r="I22643" s="63"/>
      <c r="J22643" s="63"/>
    </row>
    <row r="22644" spans="9:10" x14ac:dyDescent="0.35">
      <c r="I22644" s="63"/>
      <c r="J22644" s="63"/>
    </row>
    <row r="22645" spans="9:10" x14ac:dyDescent="0.35">
      <c r="I22645" s="63"/>
      <c r="J22645" s="63"/>
    </row>
    <row r="22646" spans="9:10" x14ac:dyDescent="0.35">
      <c r="I22646" s="63"/>
      <c r="J22646" s="63"/>
    </row>
    <row r="22647" spans="9:10" x14ac:dyDescent="0.35">
      <c r="I22647" s="63"/>
      <c r="J22647" s="63"/>
    </row>
    <row r="22648" spans="9:10" x14ac:dyDescent="0.35">
      <c r="I22648" s="63"/>
      <c r="J22648" s="63"/>
    </row>
    <row r="22649" spans="9:10" x14ac:dyDescent="0.35">
      <c r="I22649" s="63"/>
      <c r="J22649" s="63"/>
    </row>
    <row r="22650" spans="9:10" x14ac:dyDescent="0.35">
      <c r="I22650" s="63"/>
      <c r="J22650" s="63"/>
    </row>
    <row r="22651" spans="9:10" x14ac:dyDescent="0.35">
      <c r="I22651" s="63"/>
      <c r="J22651" s="63"/>
    </row>
    <row r="22652" spans="9:10" x14ac:dyDescent="0.35">
      <c r="I22652" s="63"/>
      <c r="J22652" s="63"/>
    </row>
    <row r="22653" spans="9:10" x14ac:dyDescent="0.35">
      <c r="I22653" s="63"/>
      <c r="J22653" s="63"/>
    </row>
    <row r="22654" spans="9:10" x14ac:dyDescent="0.35">
      <c r="I22654" s="63"/>
      <c r="J22654" s="63"/>
    </row>
    <row r="22655" spans="9:10" x14ac:dyDescent="0.35">
      <c r="I22655" s="63"/>
      <c r="J22655" s="63"/>
    </row>
    <row r="22656" spans="9:10" x14ac:dyDescent="0.35">
      <c r="I22656" s="63"/>
      <c r="J22656" s="63"/>
    </row>
    <row r="22657" spans="9:10" x14ac:dyDescent="0.35">
      <c r="I22657" s="63"/>
      <c r="J22657" s="63"/>
    </row>
    <row r="22658" spans="9:10" x14ac:dyDescent="0.35">
      <c r="I22658" s="63"/>
      <c r="J22658" s="63"/>
    </row>
    <row r="22659" spans="9:10" x14ac:dyDescent="0.35">
      <c r="I22659" s="63"/>
      <c r="J22659" s="63"/>
    </row>
    <row r="22660" spans="9:10" x14ac:dyDescent="0.35">
      <c r="I22660" s="63"/>
      <c r="J22660" s="63"/>
    </row>
    <row r="22661" spans="9:10" x14ac:dyDescent="0.35">
      <c r="I22661" s="63"/>
      <c r="J22661" s="63"/>
    </row>
    <row r="22662" spans="9:10" x14ac:dyDescent="0.35">
      <c r="I22662" s="63"/>
      <c r="J22662" s="63"/>
    </row>
    <row r="22663" spans="9:10" x14ac:dyDescent="0.35">
      <c r="I22663" s="63"/>
      <c r="J22663" s="63"/>
    </row>
    <row r="22664" spans="9:10" x14ac:dyDescent="0.35">
      <c r="I22664" s="63"/>
      <c r="J22664" s="63"/>
    </row>
    <row r="22665" spans="9:10" x14ac:dyDescent="0.35">
      <c r="I22665" s="63"/>
      <c r="J22665" s="63"/>
    </row>
    <row r="22666" spans="9:10" x14ac:dyDescent="0.35">
      <c r="I22666" s="63"/>
      <c r="J22666" s="63"/>
    </row>
    <row r="22667" spans="9:10" x14ac:dyDescent="0.35">
      <c r="I22667" s="63"/>
      <c r="J22667" s="63"/>
    </row>
    <row r="22668" spans="9:10" x14ac:dyDescent="0.35">
      <c r="I22668" s="63"/>
      <c r="J22668" s="63"/>
    </row>
    <row r="22669" spans="9:10" x14ac:dyDescent="0.35">
      <c r="I22669" s="63"/>
      <c r="J22669" s="63"/>
    </row>
    <row r="22670" spans="9:10" x14ac:dyDescent="0.35">
      <c r="I22670" s="63"/>
      <c r="J22670" s="63"/>
    </row>
    <row r="22671" spans="9:10" x14ac:dyDescent="0.35">
      <c r="I22671" s="63"/>
      <c r="J22671" s="63"/>
    </row>
    <row r="22672" spans="9:10" x14ac:dyDescent="0.35">
      <c r="I22672" s="63"/>
      <c r="J22672" s="63"/>
    </row>
    <row r="22673" spans="9:10" x14ac:dyDescent="0.35">
      <c r="I22673" s="63"/>
      <c r="J22673" s="63"/>
    </row>
    <row r="22674" spans="9:10" x14ac:dyDescent="0.35">
      <c r="I22674" s="63"/>
      <c r="J22674" s="63"/>
    </row>
    <row r="22675" spans="9:10" x14ac:dyDescent="0.35">
      <c r="I22675" s="63"/>
      <c r="J22675" s="63"/>
    </row>
    <row r="22676" spans="9:10" x14ac:dyDescent="0.35">
      <c r="I22676" s="63"/>
      <c r="J22676" s="63"/>
    </row>
    <row r="22677" spans="9:10" x14ac:dyDescent="0.35">
      <c r="I22677" s="63"/>
      <c r="J22677" s="63"/>
    </row>
    <row r="22678" spans="9:10" x14ac:dyDescent="0.35">
      <c r="I22678" s="63"/>
      <c r="J22678" s="63"/>
    </row>
    <row r="22679" spans="9:10" x14ac:dyDescent="0.35">
      <c r="I22679" s="63"/>
      <c r="J22679" s="63"/>
    </row>
    <row r="22680" spans="9:10" x14ac:dyDescent="0.35">
      <c r="I22680" s="63"/>
      <c r="J22680" s="63"/>
    </row>
    <row r="22681" spans="9:10" x14ac:dyDescent="0.35">
      <c r="I22681" s="63"/>
      <c r="J22681" s="63"/>
    </row>
    <row r="22682" spans="9:10" x14ac:dyDescent="0.35">
      <c r="I22682" s="63"/>
      <c r="J22682" s="63"/>
    </row>
    <row r="22683" spans="9:10" x14ac:dyDescent="0.35">
      <c r="I22683" s="63"/>
      <c r="J22683" s="63"/>
    </row>
    <row r="22684" spans="9:10" x14ac:dyDescent="0.35">
      <c r="I22684" s="63"/>
      <c r="J22684" s="63"/>
    </row>
    <row r="22685" spans="9:10" x14ac:dyDescent="0.35">
      <c r="I22685" s="63"/>
      <c r="J22685" s="63"/>
    </row>
    <row r="22686" spans="9:10" x14ac:dyDescent="0.35">
      <c r="I22686" s="63"/>
      <c r="J22686" s="63"/>
    </row>
    <row r="22687" spans="9:10" x14ac:dyDescent="0.35">
      <c r="I22687" s="63"/>
      <c r="J22687" s="63"/>
    </row>
    <row r="22688" spans="9:10" x14ac:dyDescent="0.35">
      <c r="I22688" s="63"/>
      <c r="J22688" s="63"/>
    </row>
    <row r="22689" spans="9:10" x14ac:dyDescent="0.35">
      <c r="I22689" s="63"/>
      <c r="J22689" s="63"/>
    </row>
    <row r="22690" spans="9:10" x14ac:dyDescent="0.35">
      <c r="I22690" s="63"/>
      <c r="J22690" s="63"/>
    </row>
    <row r="22691" spans="9:10" x14ac:dyDescent="0.35">
      <c r="I22691" s="63"/>
      <c r="J22691" s="63"/>
    </row>
    <row r="22692" spans="9:10" x14ac:dyDescent="0.35">
      <c r="I22692" s="63"/>
      <c r="J22692" s="63"/>
    </row>
    <row r="22693" spans="9:10" x14ac:dyDescent="0.35">
      <c r="I22693" s="63"/>
      <c r="J22693" s="63"/>
    </row>
    <row r="22694" spans="9:10" x14ac:dyDescent="0.35">
      <c r="I22694" s="63"/>
      <c r="J22694" s="63"/>
    </row>
    <row r="22695" spans="9:10" x14ac:dyDescent="0.35">
      <c r="I22695" s="63"/>
      <c r="J22695" s="63"/>
    </row>
    <row r="22696" spans="9:10" x14ac:dyDescent="0.35">
      <c r="I22696" s="63"/>
      <c r="J22696" s="63"/>
    </row>
    <row r="22697" spans="9:10" x14ac:dyDescent="0.35">
      <c r="I22697" s="63"/>
      <c r="J22697" s="63"/>
    </row>
    <row r="22698" spans="9:10" x14ac:dyDescent="0.35">
      <c r="I22698" s="63"/>
      <c r="J22698" s="63"/>
    </row>
    <row r="22699" spans="9:10" x14ac:dyDescent="0.35">
      <c r="I22699" s="63"/>
      <c r="J22699" s="63"/>
    </row>
    <row r="22700" spans="9:10" x14ac:dyDescent="0.35">
      <c r="I22700" s="63"/>
      <c r="J22700" s="63"/>
    </row>
    <row r="22701" spans="9:10" x14ac:dyDescent="0.35">
      <c r="I22701" s="63"/>
      <c r="J22701" s="63"/>
    </row>
    <row r="22702" spans="9:10" x14ac:dyDescent="0.35">
      <c r="I22702" s="63"/>
      <c r="J22702" s="63"/>
    </row>
    <row r="22703" spans="9:10" x14ac:dyDescent="0.35">
      <c r="I22703" s="63"/>
      <c r="J22703" s="63"/>
    </row>
    <row r="22704" spans="9:10" x14ac:dyDescent="0.35">
      <c r="I22704" s="63"/>
      <c r="J22704" s="63"/>
    </row>
    <row r="22705" spans="9:10" x14ac:dyDescent="0.35">
      <c r="I22705" s="63"/>
      <c r="J22705" s="63"/>
    </row>
    <row r="22706" spans="9:10" x14ac:dyDescent="0.35">
      <c r="I22706" s="63"/>
      <c r="J22706" s="63"/>
    </row>
    <row r="22707" spans="9:10" x14ac:dyDescent="0.35">
      <c r="I22707" s="63"/>
      <c r="J22707" s="63"/>
    </row>
    <row r="22708" spans="9:10" x14ac:dyDescent="0.35">
      <c r="I22708" s="63"/>
      <c r="J22708" s="63"/>
    </row>
    <row r="22709" spans="9:10" x14ac:dyDescent="0.35">
      <c r="I22709" s="63"/>
      <c r="J22709" s="63"/>
    </row>
    <row r="22710" spans="9:10" x14ac:dyDescent="0.35">
      <c r="I22710" s="63"/>
      <c r="J22710" s="63"/>
    </row>
    <row r="22711" spans="9:10" x14ac:dyDescent="0.35">
      <c r="I22711" s="63"/>
      <c r="J22711" s="63"/>
    </row>
    <row r="22712" spans="9:10" x14ac:dyDescent="0.35">
      <c r="I22712" s="63"/>
      <c r="J22712" s="63"/>
    </row>
    <row r="22713" spans="9:10" x14ac:dyDescent="0.35">
      <c r="I22713" s="63"/>
      <c r="J22713" s="63"/>
    </row>
    <row r="22714" spans="9:10" x14ac:dyDescent="0.35">
      <c r="I22714" s="63"/>
      <c r="J22714" s="63"/>
    </row>
    <row r="22715" spans="9:10" x14ac:dyDescent="0.35">
      <c r="I22715" s="63"/>
      <c r="J22715" s="63"/>
    </row>
    <row r="22716" spans="9:10" x14ac:dyDescent="0.35">
      <c r="I22716" s="63"/>
      <c r="J22716" s="63"/>
    </row>
    <row r="22717" spans="9:10" x14ac:dyDescent="0.35">
      <c r="I22717" s="63"/>
      <c r="J22717" s="63"/>
    </row>
    <row r="22718" spans="9:10" x14ac:dyDescent="0.35">
      <c r="I22718" s="63"/>
      <c r="J22718" s="63"/>
    </row>
    <row r="22719" spans="9:10" x14ac:dyDescent="0.35">
      <c r="I22719" s="63"/>
      <c r="J22719" s="63"/>
    </row>
    <row r="22720" spans="9:10" x14ac:dyDescent="0.35">
      <c r="I22720" s="63"/>
      <c r="J22720" s="63"/>
    </row>
    <row r="22721" spans="9:10" x14ac:dyDescent="0.35">
      <c r="I22721" s="63"/>
      <c r="J22721" s="63"/>
    </row>
    <row r="22722" spans="9:10" x14ac:dyDescent="0.35">
      <c r="I22722" s="63"/>
      <c r="J22722" s="63"/>
    </row>
    <row r="22723" spans="9:10" x14ac:dyDescent="0.35">
      <c r="I22723" s="63"/>
      <c r="J22723" s="63"/>
    </row>
    <row r="22724" spans="9:10" x14ac:dyDescent="0.35">
      <c r="I22724" s="63"/>
      <c r="J22724" s="63"/>
    </row>
    <row r="22725" spans="9:10" x14ac:dyDescent="0.35">
      <c r="I22725" s="63"/>
      <c r="J22725" s="63"/>
    </row>
    <row r="22726" spans="9:10" x14ac:dyDescent="0.35">
      <c r="I22726" s="63"/>
      <c r="J22726" s="63"/>
    </row>
    <row r="22727" spans="9:10" x14ac:dyDescent="0.35">
      <c r="I22727" s="63"/>
      <c r="J22727" s="63"/>
    </row>
    <row r="22728" spans="9:10" x14ac:dyDescent="0.35">
      <c r="I22728" s="63"/>
      <c r="J22728" s="63"/>
    </row>
    <row r="22729" spans="9:10" x14ac:dyDescent="0.35">
      <c r="I22729" s="63"/>
      <c r="J22729" s="63"/>
    </row>
    <row r="22730" spans="9:10" x14ac:dyDescent="0.35">
      <c r="I22730" s="63"/>
      <c r="J22730" s="63"/>
    </row>
    <row r="22731" spans="9:10" x14ac:dyDescent="0.35">
      <c r="I22731" s="63"/>
      <c r="J22731" s="63"/>
    </row>
    <row r="22732" spans="9:10" x14ac:dyDescent="0.35">
      <c r="I22732" s="63"/>
      <c r="J22732" s="63"/>
    </row>
    <row r="22733" spans="9:10" x14ac:dyDescent="0.35">
      <c r="I22733" s="63"/>
      <c r="J22733" s="63"/>
    </row>
    <row r="22734" spans="9:10" x14ac:dyDescent="0.35">
      <c r="I22734" s="63"/>
      <c r="J22734" s="63"/>
    </row>
    <row r="22735" spans="9:10" x14ac:dyDescent="0.35">
      <c r="I22735" s="63"/>
      <c r="J22735" s="63"/>
    </row>
    <row r="22736" spans="9:10" x14ac:dyDescent="0.35">
      <c r="I22736" s="63"/>
      <c r="J22736" s="63"/>
    </row>
    <row r="22737" spans="9:10" x14ac:dyDescent="0.35">
      <c r="I22737" s="63"/>
      <c r="J22737" s="63"/>
    </row>
    <row r="22738" spans="9:10" x14ac:dyDescent="0.35">
      <c r="I22738" s="63"/>
      <c r="J22738" s="63"/>
    </row>
    <row r="22739" spans="9:10" x14ac:dyDescent="0.35">
      <c r="I22739" s="63"/>
      <c r="J22739" s="63"/>
    </row>
    <row r="22740" spans="9:10" x14ac:dyDescent="0.35">
      <c r="I22740" s="63"/>
      <c r="J22740" s="63"/>
    </row>
    <row r="22741" spans="9:10" x14ac:dyDescent="0.35">
      <c r="I22741" s="63"/>
      <c r="J22741" s="63"/>
    </row>
    <row r="22742" spans="9:10" x14ac:dyDescent="0.35">
      <c r="I22742" s="63"/>
      <c r="J22742" s="63"/>
    </row>
    <row r="22743" spans="9:10" x14ac:dyDescent="0.35">
      <c r="I22743" s="63"/>
      <c r="J22743" s="63"/>
    </row>
    <row r="22744" spans="9:10" x14ac:dyDescent="0.35">
      <c r="I22744" s="63"/>
      <c r="J22744" s="63"/>
    </row>
    <row r="22745" spans="9:10" x14ac:dyDescent="0.35">
      <c r="I22745" s="63"/>
      <c r="J22745" s="63"/>
    </row>
    <row r="22746" spans="9:10" x14ac:dyDescent="0.35">
      <c r="I22746" s="63"/>
      <c r="J22746" s="63"/>
    </row>
    <row r="22747" spans="9:10" x14ac:dyDescent="0.35">
      <c r="I22747" s="63"/>
      <c r="J22747" s="63"/>
    </row>
    <row r="22748" spans="9:10" x14ac:dyDescent="0.35">
      <c r="I22748" s="63"/>
      <c r="J22748" s="63"/>
    </row>
    <row r="22749" spans="9:10" x14ac:dyDescent="0.35">
      <c r="I22749" s="63"/>
      <c r="J22749" s="63"/>
    </row>
    <row r="22750" spans="9:10" x14ac:dyDescent="0.35">
      <c r="I22750" s="63"/>
      <c r="J22750" s="63"/>
    </row>
    <row r="22751" spans="9:10" x14ac:dyDescent="0.35">
      <c r="I22751" s="63"/>
      <c r="J22751" s="63"/>
    </row>
    <row r="22752" spans="9:10" x14ac:dyDescent="0.35">
      <c r="I22752" s="63"/>
      <c r="J22752" s="63"/>
    </row>
    <row r="22753" spans="9:10" x14ac:dyDescent="0.35">
      <c r="I22753" s="63"/>
      <c r="J22753" s="63"/>
    </row>
    <row r="22754" spans="9:10" x14ac:dyDescent="0.35">
      <c r="I22754" s="63"/>
      <c r="J22754" s="63"/>
    </row>
    <row r="22755" spans="9:10" x14ac:dyDescent="0.35">
      <c r="I22755" s="63"/>
      <c r="J22755" s="63"/>
    </row>
    <row r="22756" spans="9:10" x14ac:dyDescent="0.35">
      <c r="I22756" s="63"/>
      <c r="J22756" s="63"/>
    </row>
    <row r="22757" spans="9:10" x14ac:dyDescent="0.35">
      <c r="I22757" s="63"/>
      <c r="J22757" s="63"/>
    </row>
    <row r="22758" spans="9:10" x14ac:dyDescent="0.35">
      <c r="I22758" s="63"/>
      <c r="J22758" s="63"/>
    </row>
    <row r="22759" spans="9:10" x14ac:dyDescent="0.35">
      <c r="I22759" s="63"/>
      <c r="J22759" s="63"/>
    </row>
    <row r="22760" spans="9:10" x14ac:dyDescent="0.35">
      <c r="I22760" s="63"/>
      <c r="J22760" s="63"/>
    </row>
    <row r="22761" spans="9:10" x14ac:dyDescent="0.35">
      <c r="I22761" s="63"/>
      <c r="J22761" s="63"/>
    </row>
    <row r="22762" spans="9:10" x14ac:dyDescent="0.35">
      <c r="I22762" s="63"/>
      <c r="J22762" s="63"/>
    </row>
    <row r="22763" spans="9:10" x14ac:dyDescent="0.35">
      <c r="I22763" s="63"/>
      <c r="J22763" s="63"/>
    </row>
    <row r="22764" spans="9:10" x14ac:dyDescent="0.35">
      <c r="I22764" s="63"/>
      <c r="J22764" s="63"/>
    </row>
    <row r="22765" spans="9:10" x14ac:dyDescent="0.35">
      <c r="I22765" s="63"/>
      <c r="J22765" s="63"/>
    </row>
    <row r="22766" spans="9:10" x14ac:dyDescent="0.35">
      <c r="I22766" s="63"/>
      <c r="J22766" s="63"/>
    </row>
    <row r="22767" spans="9:10" x14ac:dyDescent="0.35">
      <c r="I22767" s="63"/>
      <c r="J22767" s="63"/>
    </row>
    <row r="22768" spans="9:10" x14ac:dyDescent="0.35">
      <c r="I22768" s="63"/>
      <c r="J22768" s="63"/>
    </row>
    <row r="22769" spans="9:10" x14ac:dyDescent="0.35">
      <c r="I22769" s="63"/>
      <c r="J22769" s="63"/>
    </row>
    <row r="22770" spans="9:10" x14ac:dyDescent="0.35">
      <c r="I22770" s="63"/>
      <c r="J22770" s="63"/>
    </row>
    <row r="22771" spans="9:10" x14ac:dyDescent="0.35">
      <c r="I22771" s="63"/>
      <c r="J22771" s="63"/>
    </row>
    <row r="22772" spans="9:10" x14ac:dyDescent="0.35">
      <c r="I22772" s="63"/>
      <c r="J22772" s="63"/>
    </row>
    <row r="22773" spans="9:10" x14ac:dyDescent="0.35">
      <c r="I22773" s="63"/>
      <c r="J22773" s="63"/>
    </row>
    <row r="22774" spans="9:10" x14ac:dyDescent="0.35">
      <c r="I22774" s="63"/>
      <c r="J22774" s="63"/>
    </row>
    <row r="22775" spans="9:10" x14ac:dyDescent="0.35">
      <c r="I22775" s="63"/>
      <c r="J22775" s="63"/>
    </row>
    <row r="22776" spans="9:10" x14ac:dyDescent="0.35">
      <c r="I22776" s="63"/>
      <c r="J22776" s="63"/>
    </row>
    <row r="22777" spans="9:10" x14ac:dyDescent="0.35">
      <c r="I22777" s="63"/>
      <c r="J22777" s="63"/>
    </row>
    <row r="22778" spans="9:10" x14ac:dyDescent="0.35">
      <c r="I22778" s="63"/>
      <c r="J22778" s="63"/>
    </row>
    <row r="22779" spans="9:10" x14ac:dyDescent="0.35">
      <c r="I22779" s="63"/>
      <c r="J22779" s="63"/>
    </row>
    <row r="22780" spans="9:10" x14ac:dyDescent="0.35">
      <c r="I22780" s="63"/>
      <c r="J22780" s="63"/>
    </row>
    <row r="22781" spans="9:10" x14ac:dyDescent="0.35">
      <c r="I22781" s="63"/>
      <c r="J22781" s="63"/>
    </row>
    <row r="22782" spans="9:10" x14ac:dyDescent="0.35">
      <c r="I22782" s="63"/>
      <c r="J22782" s="63"/>
    </row>
    <row r="22783" spans="9:10" x14ac:dyDescent="0.35">
      <c r="I22783" s="63"/>
      <c r="J22783" s="63"/>
    </row>
    <row r="22784" spans="9:10" x14ac:dyDescent="0.35">
      <c r="I22784" s="63"/>
      <c r="J22784" s="63"/>
    </row>
    <row r="22785" spans="9:10" x14ac:dyDescent="0.35">
      <c r="I22785" s="63"/>
      <c r="J22785" s="63"/>
    </row>
    <row r="22786" spans="9:10" x14ac:dyDescent="0.35">
      <c r="I22786" s="63"/>
      <c r="J22786" s="63"/>
    </row>
    <row r="22787" spans="9:10" x14ac:dyDescent="0.35">
      <c r="I22787" s="63"/>
      <c r="J22787" s="63"/>
    </row>
    <row r="22788" spans="9:10" x14ac:dyDescent="0.35">
      <c r="I22788" s="63"/>
      <c r="J22788" s="63"/>
    </row>
    <row r="22789" spans="9:10" x14ac:dyDescent="0.35">
      <c r="I22789" s="63"/>
      <c r="J22789" s="63"/>
    </row>
    <row r="22790" spans="9:10" x14ac:dyDescent="0.35">
      <c r="I22790" s="63"/>
      <c r="J22790" s="63"/>
    </row>
    <row r="22791" spans="9:10" x14ac:dyDescent="0.35">
      <c r="I22791" s="63"/>
      <c r="J22791" s="63"/>
    </row>
    <row r="22792" spans="9:10" x14ac:dyDescent="0.35">
      <c r="I22792" s="63"/>
      <c r="J22792" s="63"/>
    </row>
    <row r="22793" spans="9:10" x14ac:dyDescent="0.35">
      <c r="I22793" s="63"/>
      <c r="J22793" s="63"/>
    </row>
    <row r="22794" spans="9:10" x14ac:dyDescent="0.35">
      <c r="I22794" s="63"/>
      <c r="J22794" s="63"/>
    </row>
    <row r="22795" spans="9:10" x14ac:dyDescent="0.35">
      <c r="I22795" s="63"/>
      <c r="J22795" s="63"/>
    </row>
    <row r="22796" spans="9:10" x14ac:dyDescent="0.35">
      <c r="I22796" s="63"/>
      <c r="J22796" s="63"/>
    </row>
    <row r="22797" spans="9:10" x14ac:dyDescent="0.35">
      <c r="I22797" s="63"/>
      <c r="J22797" s="63"/>
    </row>
    <row r="22798" spans="9:10" x14ac:dyDescent="0.35">
      <c r="I22798" s="63"/>
      <c r="J22798" s="63"/>
    </row>
    <row r="22799" spans="9:10" x14ac:dyDescent="0.35">
      <c r="I22799" s="63"/>
      <c r="J22799" s="63"/>
    </row>
    <row r="22800" spans="9:10" x14ac:dyDescent="0.35">
      <c r="I22800" s="63"/>
      <c r="J22800" s="63"/>
    </row>
    <row r="22801" spans="9:10" x14ac:dyDescent="0.35">
      <c r="I22801" s="63"/>
      <c r="J22801" s="63"/>
    </row>
    <row r="22802" spans="9:10" x14ac:dyDescent="0.35">
      <c r="I22802" s="63"/>
      <c r="J22802" s="63"/>
    </row>
    <row r="22803" spans="9:10" x14ac:dyDescent="0.35">
      <c r="I22803" s="63"/>
      <c r="J22803" s="63"/>
    </row>
    <row r="22804" spans="9:10" x14ac:dyDescent="0.35">
      <c r="I22804" s="63"/>
      <c r="J22804" s="63"/>
    </row>
    <row r="22805" spans="9:10" x14ac:dyDescent="0.35">
      <c r="I22805" s="63"/>
      <c r="J22805" s="63"/>
    </row>
    <row r="22806" spans="9:10" x14ac:dyDescent="0.35">
      <c r="I22806" s="63"/>
      <c r="J22806" s="63"/>
    </row>
    <row r="22807" spans="9:10" x14ac:dyDescent="0.35">
      <c r="I22807" s="63"/>
      <c r="J22807" s="63"/>
    </row>
    <row r="22808" spans="9:10" x14ac:dyDescent="0.35">
      <c r="I22808" s="63"/>
      <c r="J22808" s="63"/>
    </row>
    <row r="22809" spans="9:10" x14ac:dyDescent="0.35">
      <c r="I22809" s="63"/>
      <c r="J22809" s="63"/>
    </row>
    <row r="22810" spans="9:10" x14ac:dyDescent="0.35">
      <c r="I22810" s="63"/>
      <c r="J22810" s="63"/>
    </row>
    <row r="22811" spans="9:10" x14ac:dyDescent="0.35">
      <c r="I22811" s="63"/>
      <c r="J22811" s="63"/>
    </row>
    <row r="22812" spans="9:10" x14ac:dyDescent="0.35">
      <c r="I22812" s="63"/>
      <c r="J22812" s="63"/>
    </row>
    <row r="22813" spans="9:10" x14ac:dyDescent="0.35">
      <c r="I22813" s="63"/>
      <c r="J22813" s="63"/>
    </row>
    <row r="22814" spans="9:10" x14ac:dyDescent="0.35">
      <c r="I22814" s="63"/>
      <c r="J22814" s="63"/>
    </row>
    <row r="22815" spans="9:10" x14ac:dyDescent="0.35">
      <c r="I22815" s="63"/>
      <c r="J22815" s="63"/>
    </row>
    <row r="22816" spans="9:10" x14ac:dyDescent="0.35">
      <c r="I22816" s="63"/>
      <c r="J22816" s="63"/>
    </row>
    <row r="22817" spans="9:10" x14ac:dyDescent="0.35">
      <c r="I22817" s="63"/>
      <c r="J22817" s="63"/>
    </row>
    <row r="22818" spans="9:10" x14ac:dyDescent="0.35">
      <c r="I22818" s="63"/>
      <c r="J22818" s="63"/>
    </row>
    <row r="22819" spans="9:10" x14ac:dyDescent="0.35">
      <c r="I22819" s="63"/>
      <c r="J22819" s="63"/>
    </row>
    <row r="22820" spans="9:10" x14ac:dyDescent="0.35">
      <c r="I22820" s="63"/>
      <c r="J22820" s="63"/>
    </row>
    <row r="22821" spans="9:10" x14ac:dyDescent="0.35">
      <c r="I22821" s="63"/>
      <c r="J22821" s="63"/>
    </row>
    <row r="22822" spans="9:10" x14ac:dyDescent="0.35">
      <c r="I22822" s="63"/>
      <c r="J22822" s="63"/>
    </row>
    <row r="22823" spans="9:10" x14ac:dyDescent="0.35">
      <c r="I22823" s="63"/>
      <c r="J22823" s="63"/>
    </row>
    <row r="22824" spans="9:10" x14ac:dyDescent="0.35">
      <c r="I22824" s="63"/>
      <c r="J22824" s="63"/>
    </row>
    <row r="22825" spans="9:10" x14ac:dyDescent="0.35">
      <c r="I22825" s="63"/>
      <c r="J22825" s="63"/>
    </row>
    <row r="22826" spans="9:10" x14ac:dyDescent="0.35">
      <c r="I22826" s="63"/>
      <c r="J22826" s="63"/>
    </row>
    <row r="22827" spans="9:10" x14ac:dyDescent="0.35">
      <c r="I22827" s="63"/>
      <c r="J22827" s="63"/>
    </row>
    <row r="22828" spans="9:10" x14ac:dyDescent="0.35">
      <c r="I22828" s="63"/>
      <c r="J22828" s="63"/>
    </row>
    <row r="22829" spans="9:10" x14ac:dyDescent="0.35">
      <c r="I22829" s="63"/>
      <c r="J22829" s="63"/>
    </row>
    <row r="22830" spans="9:10" x14ac:dyDescent="0.35">
      <c r="I22830" s="63"/>
      <c r="J22830" s="63"/>
    </row>
    <row r="22831" spans="9:10" x14ac:dyDescent="0.35">
      <c r="I22831" s="63"/>
      <c r="J22831" s="63"/>
    </row>
    <row r="22832" spans="9:10" x14ac:dyDescent="0.35">
      <c r="I22832" s="63"/>
      <c r="J22832" s="63"/>
    </row>
    <row r="22833" spans="9:10" x14ac:dyDescent="0.35">
      <c r="I22833" s="63"/>
      <c r="J22833" s="63"/>
    </row>
    <row r="22834" spans="9:10" x14ac:dyDescent="0.35">
      <c r="I22834" s="63"/>
      <c r="J22834" s="63"/>
    </row>
    <row r="22835" spans="9:10" x14ac:dyDescent="0.35">
      <c r="I22835" s="63"/>
      <c r="J22835" s="63"/>
    </row>
    <row r="22836" spans="9:10" x14ac:dyDescent="0.35">
      <c r="I22836" s="63"/>
      <c r="J22836" s="63"/>
    </row>
    <row r="22837" spans="9:10" x14ac:dyDescent="0.35">
      <c r="I22837" s="63"/>
      <c r="J22837" s="63"/>
    </row>
    <row r="22838" spans="9:10" x14ac:dyDescent="0.35">
      <c r="I22838" s="63"/>
      <c r="J22838" s="63"/>
    </row>
    <row r="22839" spans="9:10" x14ac:dyDescent="0.35">
      <c r="I22839" s="63"/>
      <c r="J22839" s="63"/>
    </row>
    <row r="22840" spans="9:10" x14ac:dyDescent="0.35">
      <c r="I22840" s="63"/>
      <c r="J22840" s="63"/>
    </row>
    <row r="22841" spans="9:10" x14ac:dyDescent="0.35">
      <c r="I22841" s="63"/>
      <c r="J22841" s="63"/>
    </row>
    <row r="22842" spans="9:10" x14ac:dyDescent="0.35">
      <c r="I22842" s="63"/>
      <c r="J22842" s="63"/>
    </row>
    <row r="22843" spans="9:10" x14ac:dyDescent="0.35">
      <c r="I22843" s="63"/>
      <c r="J22843" s="63"/>
    </row>
    <row r="22844" spans="9:10" x14ac:dyDescent="0.35">
      <c r="I22844" s="63"/>
      <c r="J22844" s="63"/>
    </row>
    <row r="22845" spans="9:10" x14ac:dyDescent="0.35">
      <c r="I22845" s="63"/>
      <c r="J22845" s="63"/>
    </row>
    <row r="22846" spans="9:10" x14ac:dyDescent="0.35">
      <c r="I22846" s="63"/>
      <c r="J22846" s="63"/>
    </row>
    <row r="22847" spans="9:10" x14ac:dyDescent="0.35">
      <c r="I22847" s="63"/>
      <c r="J22847" s="63"/>
    </row>
    <row r="22848" spans="9:10" x14ac:dyDescent="0.35">
      <c r="I22848" s="63"/>
      <c r="J22848" s="63"/>
    </row>
    <row r="22849" spans="9:10" x14ac:dyDescent="0.35">
      <c r="I22849" s="63"/>
      <c r="J22849" s="63"/>
    </row>
    <row r="22850" spans="9:10" x14ac:dyDescent="0.35">
      <c r="I22850" s="63"/>
      <c r="J22850" s="63"/>
    </row>
    <row r="22851" spans="9:10" x14ac:dyDescent="0.35">
      <c r="I22851" s="63"/>
      <c r="J22851" s="63"/>
    </row>
    <row r="22852" spans="9:10" x14ac:dyDescent="0.35">
      <c r="I22852" s="63"/>
      <c r="J22852" s="63"/>
    </row>
    <row r="22853" spans="9:10" x14ac:dyDescent="0.35">
      <c r="I22853" s="63"/>
      <c r="J22853" s="63"/>
    </row>
    <row r="22854" spans="9:10" x14ac:dyDescent="0.35">
      <c r="I22854" s="63"/>
      <c r="J22854" s="63"/>
    </row>
    <row r="22855" spans="9:10" x14ac:dyDescent="0.35">
      <c r="I22855" s="63"/>
      <c r="J22855" s="63"/>
    </row>
    <row r="22856" spans="9:10" x14ac:dyDescent="0.35">
      <c r="I22856" s="63"/>
      <c r="J22856" s="63"/>
    </row>
    <row r="22857" spans="9:10" x14ac:dyDescent="0.35">
      <c r="I22857" s="63"/>
      <c r="J22857" s="63"/>
    </row>
    <row r="22858" spans="9:10" x14ac:dyDescent="0.35">
      <c r="I22858" s="63"/>
      <c r="J22858" s="63"/>
    </row>
    <row r="22859" spans="9:10" x14ac:dyDescent="0.35">
      <c r="I22859" s="63"/>
      <c r="J22859" s="63"/>
    </row>
    <row r="22860" spans="9:10" x14ac:dyDescent="0.35">
      <c r="I22860" s="63"/>
      <c r="J22860" s="63"/>
    </row>
    <row r="22861" spans="9:10" x14ac:dyDescent="0.35">
      <c r="I22861" s="63"/>
      <c r="J22861" s="63"/>
    </row>
    <row r="22862" spans="9:10" x14ac:dyDescent="0.35">
      <c r="I22862" s="63"/>
      <c r="J22862" s="63"/>
    </row>
    <row r="22863" spans="9:10" x14ac:dyDescent="0.35">
      <c r="I22863" s="63"/>
      <c r="J22863" s="63"/>
    </row>
    <row r="22864" spans="9:10" x14ac:dyDescent="0.35">
      <c r="I22864" s="63"/>
      <c r="J22864" s="63"/>
    </row>
    <row r="22865" spans="9:10" x14ac:dyDescent="0.35">
      <c r="I22865" s="63"/>
      <c r="J22865" s="63"/>
    </row>
    <row r="22866" spans="9:10" x14ac:dyDescent="0.35">
      <c r="I22866" s="63"/>
      <c r="J22866" s="63"/>
    </row>
    <row r="22867" spans="9:10" x14ac:dyDescent="0.35">
      <c r="I22867" s="63"/>
      <c r="J22867" s="63"/>
    </row>
    <row r="22868" spans="9:10" x14ac:dyDescent="0.35">
      <c r="I22868" s="63"/>
      <c r="J22868" s="63"/>
    </row>
    <row r="22869" spans="9:10" x14ac:dyDescent="0.35">
      <c r="I22869" s="63"/>
      <c r="J22869" s="63"/>
    </row>
    <row r="22870" spans="9:10" x14ac:dyDescent="0.35">
      <c r="I22870" s="63"/>
      <c r="J22870" s="63"/>
    </row>
    <row r="22871" spans="9:10" x14ac:dyDescent="0.35">
      <c r="I22871" s="63"/>
      <c r="J22871" s="63"/>
    </row>
    <row r="22872" spans="9:10" x14ac:dyDescent="0.35">
      <c r="I22872" s="63"/>
      <c r="J22872" s="63"/>
    </row>
    <row r="22873" spans="9:10" x14ac:dyDescent="0.35">
      <c r="I22873" s="63"/>
      <c r="J22873" s="63"/>
    </row>
    <row r="22874" spans="9:10" x14ac:dyDescent="0.35">
      <c r="I22874" s="63"/>
      <c r="J22874" s="63"/>
    </row>
    <row r="22875" spans="9:10" x14ac:dyDescent="0.35">
      <c r="I22875" s="63"/>
      <c r="J22875" s="63"/>
    </row>
    <row r="22876" spans="9:10" x14ac:dyDescent="0.35">
      <c r="I22876" s="63"/>
      <c r="J22876" s="63"/>
    </row>
    <row r="22877" spans="9:10" x14ac:dyDescent="0.35">
      <c r="I22877" s="63"/>
      <c r="J22877" s="63"/>
    </row>
    <row r="22878" spans="9:10" x14ac:dyDescent="0.35">
      <c r="I22878" s="63"/>
      <c r="J22878" s="63"/>
    </row>
    <row r="22879" spans="9:10" x14ac:dyDescent="0.35">
      <c r="I22879" s="63"/>
      <c r="J22879" s="63"/>
    </row>
    <row r="22880" spans="9:10" x14ac:dyDescent="0.35">
      <c r="I22880" s="63"/>
      <c r="J22880" s="63"/>
    </row>
    <row r="22881" spans="9:10" x14ac:dyDescent="0.35">
      <c r="I22881" s="63"/>
      <c r="J22881" s="63"/>
    </row>
    <row r="22882" spans="9:10" x14ac:dyDescent="0.35">
      <c r="I22882" s="63"/>
      <c r="J22882" s="63"/>
    </row>
    <row r="22883" spans="9:10" x14ac:dyDescent="0.35">
      <c r="I22883" s="63"/>
      <c r="J22883" s="63"/>
    </row>
    <row r="22884" spans="9:10" x14ac:dyDescent="0.35">
      <c r="I22884" s="63"/>
      <c r="J22884" s="63"/>
    </row>
    <row r="22885" spans="9:10" x14ac:dyDescent="0.35">
      <c r="I22885" s="63"/>
      <c r="J22885" s="63"/>
    </row>
    <row r="22886" spans="9:10" x14ac:dyDescent="0.35">
      <c r="I22886" s="63"/>
      <c r="J22886" s="63"/>
    </row>
    <row r="22887" spans="9:10" x14ac:dyDescent="0.35">
      <c r="I22887" s="63"/>
      <c r="J22887" s="63"/>
    </row>
    <row r="22888" spans="9:10" x14ac:dyDescent="0.35">
      <c r="I22888" s="63"/>
      <c r="J22888" s="63"/>
    </row>
    <row r="22889" spans="9:10" x14ac:dyDescent="0.35">
      <c r="I22889" s="63"/>
      <c r="J22889" s="63"/>
    </row>
    <row r="22890" spans="9:10" x14ac:dyDescent="0.35">
      <c r="I22890" s="63"/>
      <c r="J22890" s="63"/>
    </row>
    <row r="22891" spans="9:10" x14ac:dyDescent="0.35">
      <c r="I22891" s="63"/>
      <c r="J22891" s="63"/>
    </row>
    <row r="22892" spans="9:10" x14ac:dyDescent="0.35">
      <c r="I22892" s="63"/>
      <c r="J22892" s="63"/>
    </row>
    <row r="22893" spans="9:10" x14ac:dyDescent="0.35">
      <c r="I22893" s="63"/>
      <c r="J22893" s="63"/>
    </row>
    <row r="22894" spans="9:10" x14ac:dyDescent="0.35">
      <c r="I22894" s="63"/>
      <c r="J22894" s="63"/>
    </row>
    <row r="22895" spans="9:10" x14ac:dyDescent="0.35">
      <c r="I22895" s="63"/>
      <c r="J22895" s="63"/>
    </row>
    <row r="22896" spans="9:10" x14ac:dyDescent="0.35">
      <c r="I22896" s="63"/>
      <c r="J22896" s="63"/>
    </row>
    <row r="22897" spans="9:10" x14ac:dyDescent="0.35">
      <c r="I22897" s="63"/>
      <c r="J22897" s="63"/>
    </row>
    <row r="22898" spans="9:10" x14ac:dyDescent="0.35">
      <c r="I22898" s="63"/>
      <c r="J22898" s="63"/>
    </row>
    <row r="22899" spans="9:10" x14ac:dyDescent="0.35">
      <c r="I22899" s="63"/>
      <c r="J22899" s="63"/>
    </row>
    <row r="22900" spans="9:10" x14ac:dyDescent="0.35">
      <c r="I22900" s="63"/>
      <c r="J22900" s="63"/>
    </row>
    <row r="22901" spans="9:10" x14ac:dyDescent="0.35">
      <c r="I22901" s="63"/>
      <c r="J22901" s="63"/>
    </row>
    <row r="22902" spans="9:10" x14ac:dyDescent="0.35">
      <c r="I22902" s="63"/>
      <c r="J22902" s="63"/>
    </row>
    <row r="22903" spans="9:10" x14ac:dyDescent="0.35">
      <c r="I22903" s="63"/>
      <c r="J22903" s="63"/>
    </row>
    <row r="22904" spans="9:10" x14ac:dyDescent="0.35">
      <c r="I22904" s="63"/>
      <c r="J22904" s="63"/>
    </row>
    <row r="22905" spans="9:10" x14ac:dyDescent="0.35">
      <c r="I22905" s="63"/>
      <c r="J22905" s="63"/>
    </row>
    <row r="22906" spans="9:10" x14ac:dyDescent="0.35">
      <c r="I22906" s="63"/>
      <c r="J22906" s="63"/>
    </row>
    <row r="22907" spans="9:10" x14ac:dyDescent="0.35">
      <c r="I22907" s="63"/>
      <c r="J22907" s="63"/>
    </row>
    <row r="22908" spans="9:10" x14ac:dyDescent="0.35">
      <c r="I22908" s="63"/>
      <c r="J22908" s="63"/>
    </row>
    <row r="22909" spans="9:10" x14ac:dyDescent="0.35">
      <c r="I22909" s="63"/>
      <c r="J22909" s="63"/>
    </row>
    <row r="22910" spans="9:10" x14ac:dyDescent="0.35">
      <c r="I22910" s="63"/>
      <c r="J22910" s="63"/>
    </row>
    <row r="22911" spans="9:10" x14ac:dyDescent="0.35">
      <c r="I22911" s="63"/>
      <c r="J22911" s="63"/>
    </row>
    <row r="22912" spans="9:10" x14ac:dyDescent="0.35">
      <c r="I22912" s="63"/>
      <c r="J22912" s="63"/>
    </row>
    <row r="22913" spans="9:10" x14ac:dyDescent="0.35">
      <c r="I22913" s="63"/>
      <c r="J22913" s="63"/>
    </row>
    <row r="22914" spans="9:10" x14ac:dyDescent="0.35">
      <c r="I22914" s="63"/>
      <c r="J22914" s="63"/>
    </row>
    <row r="22915" spans="9:10" x14ac:dyDescent="0.35">
      <c r="I22915" s="63"/>
      <c r="J22915" s="63"/>
    </row>
    <row r="22916" spans="9:10" x14ac:dyDescent="0.35">
      <c r="I22916" s="63"/>
      <c r="J22916" s="63"/>
    </row>
    <row r="22917" spans="9:10" x14ac:dyDescent="0.35">
      <c r="I22917" s="63"/>
      <c r="J22917" s="63"/>
    </row>
    <row r="22918" spans="9:10" x14ac:dyDescent="0.35">
      <c r="I22918" s="63"/>
      <c r="J22918" s="63"/>
    </row>
    <row r="22919" spans="9:10" x14ac:dyDescent="0.35">
      <c r="I22919" s="63"/>
      <c r="J22919" s="63"/>
    </row>
    <row r="22920" spans="9:10" x14ac:dyDescent="0.35">
      <c r="I22920" s="63"/>
      <c r="J22920" s="63"/>
    </row>
    <row r="22921" spans="9:10" x14ac:dyDescent="0.35">
      <c r="I22921" s="63"/>
      <c r="J22921" s="63"/>
    </row>
    <row r="22922" spans="9:10" x14ac:dyDescent="0.35">
      <c r="I22922" s="63"/>
      <c r="J22922" s="63"/>
    </row>
    <row r="22923" spans="9:10" x14ac:dyDescent="0.35">
      <c r="I22923" s="63"/>
      <c r="J22923" s="63"/>
    </row>
    <row r="22924" spans="9:10" x14ac:dyDescent="0.35">
      <c r="I22924" s="63"/>
      <c r="J22924" s="63"/>
    </row>
    <row r="22925" spans="9:10" x14ac:dyDescent="0.35">
      <c r="I22925" s="63"/>
      <c r="J22925" s="63"/>
    </row>
    <row r="22926" spans="9:10" x14ac:dyDescent="0.35">
      <c r="I22926" s="63"/>
      <c r="J22926" s="63"/>
    </row>
    <row r="22927" spans="9:10" x14ac:dyDescent="0.35">
      <c r="I22927" s="63"/>
      <c r="J22927" s="63"/>
    </row>
    <row r="22928" spans="9:10" x14ac:dyDescent="0.35">
      <c r="I22928" s="63"/>
      <c r="J22928" s="63"/>
    </row>
    <row r="22929" spans="9:10" x14ac:dyDescent="0.35">
      <c r="I22929" s="63"/>
      <c r="J22929" s="63"/>
    </row>
    <row r="22930" spans="9:10" x14ac:dyDescent="0.35">
      <c r="I22930" s="63"/>
      <c r="J22930" s="63"/>
    </row>
    <row r="22931" spans="9:10" x14ac:dyDescent="0.35">
      <c r="I22931" s="63"/>
      <c r="J22931" s="63"/>
    </row>
    <row r="22932" spans="9:10" x14ac:dyDescent="0.35">
      <c r="I22932" s="63"/>
      <c r="J22932" s="63"/>
    </row>
    <row r="22933" spans="9:10" x14ac:dyDescent="0.35">
      <c r="I22933" s="63"/>
      <c r="J22933" s="63"/>
    </row>
    <row r="22934" spans="9:10" x14ac:dyDescent="0.35">
      <c r="I22934" s="63"/>
      <c r="J22934" s="63"/>
    </row>
    <row r="22935" spans="9:10" x14ac:dyDescent="0.35">
      <c r="I22935" s="63"/>
      <c r="J22935" s="63"/>
    </row>
    <row r="22936" spans="9:10" x14ac:dyDescent="0.35">
      <c r="I22936" s="63"/>
      <c r="J22936" s="63"/>
    </row>
    <row r="22937" spans="9:10" x14ac:dyDescent="0.35">
      <c r="I22937" s="63"/>
      <c r="J22937" s="63"/>
    </row>
    <row r="22938" spans="9:10" x14ac:dyDescent="0.35">
      <c r="I22938" s="63"/>
      <c r="J22938" s="63"/>
    </row>
    <row r="22939" spans="9:10" x14ac:dyDescent="0.35">
      <c r="I22939" s="63"/>
      <c r="J22939" s="63"/>
    </row>
    <row r="22940" spans="9:10" x14ac:dyDescent="0.35">
      <c r="I22940" s="63"/>
      <c r="J22940" s="63"/>
    </row>
    <row r="22941" spans="9:10" x14ac:dyDescent="0.35">
      <c r="I22941" s="63"/>
      <c r="J22941" s="63"/>
    </row>
    <row r="22942" spans="9:10" x14ac:dyDescent="0.35">
      <c r="I22942" s="63"/>
      <c r="J22942" s="63"/>
    </row>
    <row r="22943" spans="9:10" x14ac:dyDescent="0.35">
      <c r="I22943" s="63"/>
      <c r="J22943" s="63"/>
    </row>
    <row r="22944" spans="9:10" x14ac:dyDescent="0.35">
      <c r="I22944" s="63"/>
      <c r="J22944" s="63"/>
    </row>
    <row r="22945" spans="9:10" x14ac:dyDescent="0.35">
      <c r="I22945" s="63"/>
      <c r="J22945" s="63"/>
    </row>
    <row r="22946" spans="9:10" x14ac:dyDescent="0.35">
      <c r="I22946" s="63"/>
      <c r="J22946" s="63"/>
    </row>
    <row r="22947" spans="9:10" x14ac:dyDescent="0.35">
      <c r="I22947" s="63"/>
      <c r="J22947" s="63"/>
    </row>
    <row r="22948" spans="9:10" x14ac:dyDescent="0.35">
      <c r="I22948" s="63"/>
      <c r="J22948" s="63"/>
    </row>
    <row r="22949" spans="9:10" x14ac:dyDescent="0.35">
      <c r="I22949" s="63"/>
      <c r="J22949" s="63"/>
    </row>
    <row r="22950" spans="9:10" x14ac:dyDescent="0.35">
      <c r="I22950" s="63"/>
      <c r="J22950" s="63"/>
    </row>
    <row r="22951" spans="9:10" x14ac:dyDescent="0.35">
      <c r="I22951" s="63"/>
      <c r="J22951" s="63"/>
    </row>
    <row r="22952" spans="9:10" x14ac:dyDescent="0.35">
      <c r="I22952" s="63"/>
      <c r="J22952" s="63"/>
    </row>
    <row r="22953" spans="9:10" x14ac:dyDescent="0.35">
      <c r="I22953" s="63"/>
      <c r="J22953" s="63"/>
    </row>
    <row r="22954" spans="9:10" x14ac:dyDescent="0.35">
      <c r="I22954" s="63"/>
      <c r="J22954" s="63"/>
    </row>
    <row r="22955" spans="9:10" x14ac:dyDescent="0.35">
      <c r="I22955" s="63"/>
      <c r="J22955" s="63"/>
    </row>
    <row r="22956" spans="9:10" x14ac:dyDescent="0.35">
      <c r="I22956" s="63"/>
      <c r="J22956" s="63"/>
    </row>
    <row r="22957" spans="9:10" x14ac:dyDescent="0.35">
      <c r="I22957" s="63"/>
      <c r="J22957" s="63"/>
    </row>
    <row r="22958" spans="9:10" x14ac:dyDescent="0.35">
      <c r="I22958" s="63"/>
      <c r="J22958" s="63"/>
    </row>
    <row r="22959" spans="9:10" x14ac:dyDescent="0.35">
      <c r="I22959" s="63"/>
      <c r="J22959" s="63"/>
    </row>
    <row r="22960" spans="9:10" x14ac:dyDescent="0.35">
      <c r="I22960" s="63"/>
      <c r="J22960" s="63"/>
    </row>
    <row r="22961" spans="9:10" x14ac:dyDescent="0.35">
      <c r="I22961" s="63"/>
      <c r="J22961" s="63"/>
    </row>
    <row r="22962" spans="9:10" x14ac:dyDescent="0.35">
      <c r="I22962" s="63"/>
      <c r="J22962" s="63"/>
    </row>
    <row r="22963" spans="9:10" x14ac:dyDescent="0.35">
      <c r="I22963" s="63"/>
      <c r="J22963" s="63"/>
    </row>
    <row r="22964" spans="9:10" x14ac:dyDescent="0.35">
      <c r="I22964" s="63"/>
      <c r="J22964" s="63"/>
    </row>
    <row r="22965" spans="9:10" x14ac:dyDescent="0.35">
      <c r="I22965" s="63"/>
      <c r="J22965" s="63"/>
    </row>
    <row r="22966" spans="9:10" x14ac:dyDescent="0.35">
      <c r="I22966" s="63"/>
      <c r="J22966" s="63"/>
    </row>
    <row r="22967" spans="9:10" x14ac:dyDescent="0.35">
      <c r="I22967" s="63"/>
      <c r="J22967" s="63"/>
    </row>
    <row r="22968" spans="9:10" x14ac:dyDescent="0.35">
      <c r="I22968" s="63"/>
      <c r="J22968" s="63"/>
    </row>
    <row r="22969" spans="9:10" x14ac:dyDescent="0.35">
      <c r="I22969" s="63"/>
      <c r="J22969" s="63"/>
    </row>
    <row r="22970" spans="9:10" x14ac:dyDescent="0.35">
      <c r="I22970" s="63"/>
      <c r="J22970" s="63"/>
    </row>
    <row r="22971" spans="9:10" x14ac:dyDescent="0.35">
      <c r="I22971" s="63"/>
      <c r="J22971" s="63"/>
    </row>
    <row r="22972" spans="9:10" x14ac:dyDescent="0.35">
      <c r="I22972" s="63"/>
      <c r="J22972" s="63"/>
    </row>
    <row r="22973" spans="9:10" x14ac:dyDescent="0.35">
      <c r="I22973" s="63"/>
      <c r="J22973" s="63"/>
    </row>
    <row r="22974" spans="9:10" x14ac:dyDescent="0.35">
      <c r="I22974" s="63"/>
      <c r="J22974" s="63"/>
    </row>
    <row r="22975" spans="9:10" x14ac:dyDescent="0.35">
      <c r="I22975" s="63"/>
      <c r="J22975" s="63"/>
    </row>
    <row r="22976" spans="9:10" x14ac:dyDescent="0.35">
      <c r="I22976" s="63"/>
      <c r="J22976" s="63"/>
    </row>
    <row r="22977" spans="9:10" x14ac:dyDescent="0.35">
      <c r="I22977" s="63"/>
      <c r="J22977" s="63"/>
    </row>
    <row r="22978" spans="9:10" x14ac:dyDescent="0.35">
      <c r="I22978" s="63"/>
      <c r="J22978" s="63"/>
    </row>
    <row r="22979" spans="9:10" x14ac:dyDescent="0.35">
      <c r="I22979" s="63"/>
      <c r="J22979" s="63"/>
    </row>
    <row r="22980" spans="9:10" x14ac:dyDescent="0.35">
      <c r="I22980" s="63"/>
      <c r="J22980" s="63"/>
    </row>
    <row r="22981" spans="9:10" x14ac:dyDescent="0.35">
      <c r="I22981" s="63"/>
      <c r="J22981" s="63"/>
    </row>
    <row r="22982" spans="9:10" x14ac:dyDescent="0.35">
      <c r="I22982" s="63"/>
      <c r="J22982" s="63"/>
    </row>
    <row r="22983" spans="9:10" x14ac:dyDescent="0.35">
      <c r="I22983" s="63"/>
      <c r="J22983" s="63"/>
    </row>
    <row r="22984" spans="9:10" x14ac:dyDescent="0.35">
      <c r="I22984" s="63"/>
      <c r="J22984" s="63"/>
    </row>
    <row r="22985" spans="9:10" x14ac:dyDescent="0.35">
      <c r="I22985" s="63"/>
      <c r="J22985" s="63"/>
    </row>
    <row r="22986" spans="9:10" x14ac:dyDescent="0.35">
      <c r="I22986" s="63"/>
      <c r="J22986" s="63"/>
    </row>
    <row r="22987" spans="9:10" x14ac:dyDescent="0.35">
      <c r="I22987" s="63"/>
      <c r="J22987" s="63"/>
    </row>
    <row r="22988" spans="9:10" x14ac:dyDescent="0.35">
      <c r="I22988" s="63"/>
      <c r="J22988" s="63"/>
    </row>
    <row r="22989" spans="9:10" x14ac:dyDescent="0.35">
      <c r="I22989" s="63"/>
      <c r="J22989" s="63"/>
    </row>
    <row r="22990" spans="9:10" x14ac:dyDescent="0.35">
      <c r="I22990" s="63"/>
      <c r="J22990" s="63"/>
    </row>
    <row r="22991" spans="9:10" x14ac:dyDescent="0.35">
      <c r="I22991" s="63"/>
      <c r="J22991" s="63"/>
    </row>
    <row r="22992" spans="9:10" x14ac:dyDescent="0.35">
      <c r="I22992" s="63"/>
      <c r="J22992" s="63"/>
    </row>
    <row r="22993" spans="9:10" x14ac:dyDescent="0.35">
      <c r="I22993" s="63"/>
      <c r="J22993" s="63"/>
    </row>
    <row r="22994" spans="9:10" x14ac:dyDescent="0.35">
      <c r="I22994" s="63"/>
      <c r="J22994" s="63"/>
    </row>
    <row r="22995" spans="9:10" x14ac:dyDescent="0.35">
      <c r="I22995" s="63"/>
      <c r="J22995" s="63"/>
    </row>
    <row r="22996" spans="9:10" x14ac:dyDescent="0.35">
      <c r="I22996" s="63"/>
      <c r="J22996" s="63"/>
    </row>
    <row r="22997" spans="9:10" x14ac:dyDescent="0.35">
      <c r="I22997" s="63"/>
      <c r="J22997" s="63"/>
    </row>
    <row r="22998" spans="9:10" x14ac:dyDescent="0.35">
      <c r="I22998" s="63"/>
      <c r="J22998" s="63"/>
    </row>
    <row r="22999" spans="9:10" x14ac:dyDescent="0.35">
      <c r="I22999" s="63"/>
      <c r="J22999" s="63"/>
    </row>
    <row r="23000" spans="9:10" x14ac:dyDescent="0.35">
      <c r="I23000" s="63"/>
      <c r="J23000" s="63"/>
    </row>
    <row r="23001" spans="9:10" x14ac:dyDescent="0.35">
      <c r="I23001" s="63"/>
      <c r="J23001" s="63"/>
    </row>
    <row r="23002" spans="9:10" x14ac:dyDescent="0.35">
      <c r="I23002" s="63"/>
      <c r="J23002" s="63"/>
    </row>
    <row r="23003" spans="9:10" x14ac:dyDescent="0.35">
      <c r="I23003" s="63"/>
      <c r="J23003" s="63"/>
    </row>
    <row r="23004" spans="9:10" x14ac:dyDescent="0.35">
      <c r="I23004" s="63"/>
      <c r="J23004" s="63"/>
    </row>
    <row r="23005" spans="9:10" x14ac:dyDescent="0.35">
      <c r="I23005" s="63"/>
      <c r="J23005" s="63"/>
    </row>
    <row r="23006" spans="9:10" x14ac:dyDescent="0.35">
      <c r="I23006" s="63"/>
      <c r="J23006" s="63"/>
    </row>
    <row r="23007" spans="9:10" x14ac:dyDescent="0.35">
      <c r="I23007" s="63"/>
      <c r="J23007" s="63"/>
    </row>
    <row r="23008" spans="9:10" x14ac:dyDescent="0.35">
      <c r="I23008" s="63"/>
      <c r="J23008" s="63"/>
    </row>
    <row r="23009" spans="9:10" x14ac:dyDescent="0.35">
      <c r="I23009" s="63"/>
      <c r="J23009" s="63"/>
    </row>
    <row r="23010" spans="9:10" x14ac:dyDescent="0.35">
      <c r="I23010" s="63"/>
      <c r="J23010" s="63"/>
    </row>
    <row r="23011" spans="9:10" x14ac:dyDescent="0.35">
      <c r="I23011" s="63"/>
      <c r="J23011" s="63"/>
    </row>
    <row r="23012" spans="9:10" x14ac:dyDescent="0.35">
      <c r="I23012" s="63"/>
      <c r="J23012" s="63"/>
    </row>
    <row r="23013" spans="9:10" x14ac:dyDescent="0.35">
      <c r="I23013" s="63"/>
      <c r="J23013" s="63"/>
    </row>
    <row r="23014" spans="9:10" x14ac:dyDescent="0.35">
      <c r="I23014" s="63"/>
      <c r="J23014" s="63"/>
    </row>
    <row r="23015" spans="9:10" x14ac:dyDescent="0.35">
      <c r="I23015" s="63"/>
      <c r="J23015" s="63"/>
    </row>
    <row r="23016" spans="9:10" x14ac:dyDescent="0.35">
      <c r="I23016" s="63"/>
      <c r="J23016" s="63"/>
    </row>
    <row r="23017" spans="9:10" x14ac:dyDescent="0.35">
      <c r="I23017" s="63"/>
      <c r="J23017" s="63"/>
    </row>
    <row r="23018" spans="9:10" x14ac:dyDescent="0.35">
      <c r="I23018" s="63"/>
      <c r="J23018" s="63"/>
    </row>
    <row r="23019" spans="9:10" x14ac:dyDescent="0.35">
      <c r="I23019" s="63"/>
      <c r="J23019" s="63"/>
    </row>
    <row r="23020" spans="9:10" x14ac:dyDescent="0.35">
      <c r="I23020" s="63"/>
      <c r="J23020" s="63"/>
    </row>
    <row r="23021" spans="9:10" x14ac:dyDescent="0.35">
      <c r="I23021" s="63"/>
      <c r="J23021" s="63"/>
    </row>
    <row r="23022" spans="9:10" x14ac:dyDescent="0.35">
      <c r="I23022" s="63"/>
      <c r="J23022" s="63"/>
    </row>
    <row r="23023" spans="9:10" x14ac:dyDescent="0.35">
      <c r="I23023" s="63"/>
      <c r="J23023" s="63"/>
    </row>
    <row r="23024" spans="9:10" x14ac:dyDescent="0.35">
      <c r="I23024" s="63"/>
      <c r="J23024" s="63"/>
    </row>
    <row r="23025" spans="9:10" x14ac:dyDescent="0.35">
      <c r="I23025" s="63"/>
      <c r="J23025" s="63"/>
    </row>
    <row r="23026" spans="9:10" x14ac:dyDescent="0.35">
      <c r="I23026" s="63"/>
      <c r="J23026" s="63"/>
    </row>
    <row r="23027" spans="9:10" x14ac:dyDescent="0.35">
      <c r="I23027" s="63"/>
      <c r="J23027" s="63"/>
    </row>
    <row r="23028" spans="9:10" x14ac:dyDescent="0.35">
      <c r="I23028" s="63"/>
      <c r="J23028" s="63"/>
    </row>
    <row r="23029" spans="9:10" x14ac:dyDescent="0.35">
      <c r="I23029" s="63"/>
      <c r="J23029" s="63"/>
    </row>
    <row r="23030" spans="9:10" x14ac:dyDescent="0.35">
      <c r="I23030" s="63"/>
      <c r="J23030" s="63"/>
    </row>
    <row r="23031" spans="9:10" x14ac:dyDescent="0.35">
      <c r="I23031" s="63"/>
      <c r="J23031" s="63"/>
    </row>
    <row r="23032" spans="9:10" x14ac:dyDescent="0.35">
      <c r="I23032" s="63"/>
      <c r="J23032" s="63"/>
    </row>
    <row r="23033" spans="9:10" x14ac:dyDescent="0.35">
      <c r="I23033" s="63"/>
      <c r="J23033" s="63"/>
    </row>
    <row r="23034" spans="9:10" x14ac:dyDescent="0.35">
      <c r="I23034" s="63"/>
      <c r="J23034" s="63"/>
    </row>
    <row r="23035" spans="9:10" x14ac:dyDescent="0.35">
      <c r="I23035" s="63"/>
      <c r="J23035" s="63"/>
    </row>
    <row r="23036" spans="9:10" x14ac:dyDescent="0.35">
      <c r="I23036" s="63"/>
      <c r="J23036" s="63"/>
    </row>
    <row r="23037" spans="9:10" x14ac:dyDescent="0.35">
      <c r="I23037" s="63"/>
      <c r="J23037" s="63"/>
    </row>
    <row r="23038" spans="9:10" x14ac:dyDescent="0.35">
      <c r="I23038" s="63"/>
      <c r="J23038" s="63"/>
    </row>
    <row r="23039" spans="9:10" x14ac:dyDescent="0.35">
      <c r="I23039" s="63"/>
      <c r="J23039" s="63"/>
    </row>
    <row r="23040" spans="9:10" x14ac:dyDescent="0.35">
      <c r="I23040" s="63"/>
      <c r="J23040" s="63"/>
    </row>
    <row r="23041" spans="9:10" x14ac:dyDescent="0.35">
      <c r="I23041" s="63"/>
      <c r="J23041" s="63"/>
    </row>
    <row r="23042" spans="9:10" x14ac:dyDescent="0.35">
      <c r="I23042" s="63"/>
      <c r="J23042" s="63"/>
    </row>
    <row r="23043" spans="9:10" x14ac:dyDescent="0.35">
      <c r="I23043" s="63"/>
      <c r="J23043" s="63"/>
    </row>
    <row r="23044" spans="9:10" x14ac:dyDescent="0.35">
      <c r="I23044" s="63"/>
      <c r="J23044" s="63"/>
    </row>
    <row r="23045" spans="9:10" x14ac:dyDescent="0.35">
      <c r="I23045" s="63"/>
      <c r="J23045" s="63"/>
    </row>
    <row r="23046" spans="9:10" x14ac:dyDescent="0.35">
      <c r="I23046" s="63"/>
      <c r="J23046" s="63"/>
    </row>
    <row r="23047" spans="9:10" x14ac:dyDescent="0.35">
      <c r="I23047" s="63"/>
      <c r="J23047" s="63"/>
    </row>
    <row r="23048" spans="9:10" x14ac:dyDescent="0.35">
      <c r="I23048" s="63"/>
      <c r="J23048" s="63"/>
    </row>
    <row r="23049" spans="9:10" x14ac:dyDescent="0.35">
      <c r="I23049" s="63"/>
      <c r="J23049" s="63"/>
    </row>
    <row r="23050" spans="9:10" x14ac:dyDescent="0.35">
      <c r="I23050" s="63"/>
      <c r="J23050" s="63"/>
    </row>
    <row r="23051" spans="9:10" x14ac:dyDescent="0.35">
      <c r="I23051" s="63"/>
      <c r="J23051" s="63"/>
    </row>
    <row r="23052" spans="9:10" x14ac:dyDescent="0.35">
      <c r="I23052" s="63"/>
      <c r="J23052" s="63"/>
    </row>
    <row r="23053" spans="9:10" x14ac:dyDescent="0.35">
      <c r="I23053" s="63"/>
      <c r="J23053" s="63"/>
    </row>
    <row r="23054" spans="9:10" x14ac:dyDescent="0.35">
      <c r="I23054" s="63"/>
      <c r="J23054" s="63"/>
    </row>
    <row r="23055" spans="9:10" x14ac:dyDescent="0.35">
      <c r="I23055" s="63"/>
      <c r="J23055" s="63"/>
    </row>
    <row r="23056" spans="9:10" x14ac:dyDescent="0.35">
      <c r="I23056" s="63"/>
      <c r="J23056" s="63"/>
    </row>
    <row r="23057" spans="9:10" x14ac:dyDescent="0.35">
      <c r="I23057" s="63"/>
      <c r="J23057" s="63"/>
    </row>
    <row r="23058" spans="9:10" x14ac:dyDescent="0.35">
      <c r="I23058" s="63"/>
      <c r="J23058" s="63"/>
    </row>
    <row r="23059" spans="9:10" x14ac:dyDescent="0.35">
      <c r="I23059" s="63"/>
      <c r="J23059" s="63"/>
    </row>
    <row r="23060" spans="9:10" x14ac:dyDescent="0.35">
      <c r="I23060" s="63"/>
      <c r="J23060" s="63"/>
    </row>
    <row r="23061" spans="9:10" x14ac:dyDescent="0.35">
      <c r="I23061" s="63"/>
      <c r="J23061" s="63"/>
    </row>
    <row r="23062" spans="9:10" x14ac:dyDescent="0.35">
      <c r="I23062" s="63"/>
      <c r="J23062" s="63"/>
    </row>
    <row r="23063" spans="9:10" x14ac:dyDescent="0.35">
      <c r="I23063" s="63"/>
      <c r="J23063" s="63"/>
    </row>
    <row r="23064" spans="9:10" x14ac:dyDescent="0.35">
      <c r="I23064" s="63"/>
      <c r="J23064" s="63"/>
    </row>
    <row r="23065" spans="9:10" x14ac:dyDescent="0.35">
      <c r="I23065" s="63"/>
      <c r="J23065" s="63"/>
    </row>
    <row r="23066" spans="9:10" x14ac:dyDescent="0.35">
      <c r="I23066" s="63"/>
      <c r="J23066" s="63"/>
    </row>
    <row r="23067" spans="9:10" x14ac:dyDescent="0.35">
      <c r="I23067" s="63"/>
      <c r="J23067" s="63"/>
    </row>
    <row r="23068" spans="9:10" x14ac:dyDescent="0.35">
      <c r="I23068" s="63"/>
      <c r="J23068" s="63"/>
    </row>
    <row r="23069" spans="9:10" x14ac:dyDescent="0.35">
      <c r="I23069" s="63"/>
      <c r="J23069" s="63"/>
    </row>
    <row r="23070" spans="9:10" x14ac:dyDescent="0.35">
      <c r="I23070" s="63"/>
      <c r="J23070" s="63"/>
    </row>
    <row r="23071" spans="9:10" x14ac:dyDescent="0.35">
      <c r="I23071" s="63"/>
      <c r="J23071" s="63"/>
    </row>
    <row r="23072" spans="9:10" x14ac:dyDescent="0.35">
      <c r="I23072" s="63"/>
      <c r="J23072" s="63"/>
    </row>
    <row r="23073" spans="9:10" x14ac:dyDescent="0.35">
      <c r="I23073" s="63"/>
      <c r="J23073" s="63"/>
    </row>
    <row r="23074" spans="9:10" x14ac:dyDescent="0.35">
      <c r="I23074" s="63"/>
      <c r="J23074" s="63"/>
    </row>
    <row r="23075" spans="9:10" x14ac:dyDescent="0.35">
      <c r="I23075" s="63"/>
      <c r="J23075" s="63"/>
    </row>
    <row r="23076" spans="9:10" x14ac:dyDescent="0.35">
      <c r="I23076" s="63"/>
      <c r="J23076" s="63"/>
    </row>
    <row r="23077" spans="9:10" x14ac:dyDescent="0.35">
      <c r="I23077" s="63"/>
      <c r="J23077" s="63"/>
    </row>
    <row r="23078" spans="9:10" x14ac:dyDescent="0.35">
      <c r="I23078" s="63"/>
      <c r="J23078" s="63"/>
    </row>
    <row r="23079" spans="9:10" x14ac:dyDescent="0.35">
      <c r="I23079" s="63"/>
      <c r="J23079" s="63"/>
    </row>
    <row r="23080" spans="9:10" x14ac:dyDescent="0.35">
      <c r="I23080" s="63"/>
      <c r="J23080" s="63"/>
    </row>
    <row r="23081" spans="9:10" x14ac:dyDescent="0.35">
      <c r="I23081" s="63"/>
      <c r="J23081" s="63"/>
    </row>
    <row r="23082" spans="9:10" x14ac:dyDescent="0.35">
      <c r="I23082" s="63"/>
      <c r="J23082" s="63"/>
    </row>
    <row r="23083" spans="9:10" x14ac:dyDescent="0.35">
      <c r="I23083" s="63"/>
      <c r="J23083" s="63"/>
    </row>
    <row r="23084" spans="9:10" x14ac:dyDescent="0.35">
      <c r="I23084" s="63"/>
      <c r="J23084" s="63"/>
    </row>
    <row r="23085" spans="9:10" x14ac:dyDescent="0.35">
      <c r="I23085" s="63"/>
      <c r="J23085" s="63"/>
    </row>
    <row r="23086" spans="9:10" x14ac:dyDescent="0.35">
      <c r="I23086" s="63"/>
      <c r="J23086" s="63"/>
    </row>
    <row r="23087" spans="9:10" x14ac:dyDescent="0.35">
      <c r="I23087" s="63"/>
      <c r="J23087" s="63"/>
    </row>
    <row r="23088" spans="9:10" x14ac:dyDescent="0.35">
      <c r="I23088" s="63"/>
      <c r="J23088" s="63"/>
    </row>
    <row r="23089" spans="9:10" x14ac:dyDescent="0.35">
      <c r="I23089" s="63"/>
      <c r="J23089" s="63"/>
    </row>
    <row r="23090" spans="9:10" x14ac:dyDescent="0.35">
      <c r="I23090" s="63"/>
      <c r="J23090" s="63"/>
    </row>
    <row r="23091" spans="9:10" x14ac:dyDescent="0.35">
      <c r="I23091" s="63"/>
      <c r="J23091" s="63"/>
    </row>
    <row r="23092" spans="9:10" x14ac:dyDescent="0.35">
      <c r="I23092" s="63"/>
      <c r="J23092" s="63"/>
    </row>
    <row r="23093" spans="9:10" x14ac:dyDescent="0.35">
      <c r="I23093" s="63"/>
      <c r="J23093" s="63"/>
    </row>
    <row r="23094" spans="9:10" x14ac:dyDescent="0.35">
      <c r="I23094" s="63"/>
      <c r="J23094" s="63"/>
    </row>
    <row r="23095" spans="9:10" x14ac:dyDescent="0.35">
      <c r="I23095" s="63"/>
      <c r="J23095" s="63"/>
    </row>
    <row r="23096" spans="9:10" x14ac:dyDescent="0.35">
      <c r="I23096" s="63"/>
      <c r="J23096" s="63"/>
    </row>
    <row r="23097" spans="9:10" x14ac:dyDescent="0.35">
      <c r="I23097" s="63"/>
      <c r="J23097" s="63"/>
    </row>
    <row r="23098" spans="9:10" x14ac:dyDescent="0.35">
      <c r="I23098" s="63"/>
      <c r="J23098" s="63"/>
    </row>
    <row r="23099" spans="9:10" x14ac:dyDescent="0.35">
      <c r="I23099" s="63"/>
      <c r="J23099" s="63"/>
    </row>
    <row r="23100" spans="9:10" x14ac:dyDescent="0.35">
      <c r="I23100" s="63"/>
      <c r="J23100" s="63"/>
    </row>
    <row r="23101" spans="9:10" x14ac:dyDescent="0.35">
      <c r="I23101" s="63"/>
      <c r="J23101" s="63"/>
    </row>
    <row r="23102" spans="9:10" x14ac:dyDescent="0.35">
      <c r="I23102" s="63"/>
      <c r="J23102" s="63"/>
    </row>
    <row r="23103" spans="9:10" x14ac:dyDescent="0.35">
      <c r="I23103" s="63"/>
      <c r="J23103" s="63"/>
    </row>
    <row r="23104" spans="9:10" x14ac:dyDescent="0.35">
      <c r="I23104" s="63"/>
      <c r="J23104" s="63"/>
    </row>
    <row r="23105" spans="9:10" x14ac:dyDescent="0.35">
      <c r="I23105" s="63"/>
      <c r="J23105" s="63"/>
    </row>
    <row r="23106" spans="9:10" x14ac:dyDescent="0.35">
      <c r="I23106" s="63"/>
      <c r="J23106" s="63"/>
    </row>
    <row r="23107" spans="9:10" x14ac:dyDescent="0.35">
      <c r="I23107" s="63"/>
      <c r="J23107" s="63"/>
    </row>
    <row r="23108" spans="9:10" x14ac:dyDescent="0.35">
      <c r="I23108" s="63"/>
      <c r="J23108" s="63"/>
    </row>
    <row r="23109" spans="9:10" x14ac:dyDescent="0.35">
      <c r="I23109" s="63"/>
      <c r="J23109" s="63"/>
    </row>
    <row r="23110" spans="9:10" x14ac:dyDescent="0.35">
      <c r="I23110" s="63"/>
      <c r="J23110" s="63"/>
    </row>
    <row r="23111" spans="9:10" x14ac:dyDescent="0.35">
      <c r="I23111" s="63"/>
      <c r="J23111" s="63"/>
    </row>
    <row r="23112" spans="9:10" x14ac:dyDescent="0.35">
      <c r="I23112" s="63"/>
      <c r="J23112" s="63"/>
    </row>
    <row r="23113" spans="9:10" x14ac:dyDescent="0.35">
      <c r="I23113" s="63"/>
      <c r="J23113" s="63"/>
    </row>
    <row r="23114" spans="9:10" x14ac:dyDescent="0.35">
      <c r="I23114" s="63"/>
      <c r="J23114" s="63"/>
    </row>
    <row r="23115" spans="9:10" x14ac:dyDescent="0.35">
      <c r="I23115" s="63"/>
      <c r="J23115" s="63"/>
    </row>
    <row r="23116" spans="9:10" x14ac:dyDescent="0.35">
      <c r="I23116" s="63"/>
      <c r="J23116" s="63"/>
    </row>
    <row r="23117" spans="9:10" x14ac:dyDescent="0.35">
      <c r="I23117" s="63"/>
      <c r="J23117" s="63"/>
    </row>
    <row r="23118" spans="9:10" x14ac:dyDescent="0.35">
      <c r="I23118" s="63"/>
      <c r="J23118" s="63"/>
    </row>
    <row r="23119" spans="9:10" x14ac:dyDescent="0.35">
      <c r="I23119" s="63"/>
      <c r="J23119" s="63"/>
    </row>
    <row r="23120" spans="9:10" x14ac:dyDescent="0.35">
      <c r="I23120" s="63"/>
      <c r="J23120" s="63"/>
    </row>
    <row r="23121" spans="9:10" x14ac:dyDescent="0.35">
      <c r="I23121" s="63"/>
      <c r="J23121" s="63"/>
    </row>
    <row r="23122" spans="9:10" x14ac:dyDescent="0.35">
      <c r="I23122" s="63"/>
      <c r="J23122" s="63"/>
    </row>
    <row r="23123" spans="9:10" x14ac:dyDescent="0.35">
      <c r="I23123" s="63"/>
      <c r="J23123" s="63"/>
    </row>
    <row r="23124" spans="9:10" x14ac:dyDescent="0.35">
      <c r="I23124" s="63"/>
      <c r="J23124" s="63"/>
    </row>
    <row r="23125" spans="9:10" x14ac:dyDescent="0.35">
      <c r="I23125" s="63"/>
      <c r="J23125" s="63"/>
    </row>
    <row r="23126" spans="9:10" x14ac:dyDescent="0.35">
      <c r="I23126" s="63"/>
      <c r="J23126" s="63"/>
    </row>
    <row r="23127" spans="9:10" x14ac:dyDescent="0.35">
      <c r="I23127" s="63"/>
      <c r="J23127" s="63"/>
    </row>
    <row r="23128" spans="9:10" x14ac:dyDescent="0.35">
      <c r="I23128" s="63"/>
      <c r="J23128" s="63"/>
    </row>
    <row r="23129" spans="9:10" x14ac:dyDescent="0.35">
      <c r="I23129" s="63"/>
      <c r="J23129" s="63"/>
    </row>
    <row r="23130" spans="9:10" x14ac:dyDescent="0.35">
      <c r="I23130" s="63"/>
      <c r="J23130" s="63"/>
    </row>
    <row r="23131" spans="9:10" x14ac:dyDescent="0.35">
      <c r="I23131" s="63"/>
      <c r="J23131" s="63"/>
    </row>
    <row r="23132" spans="9:10" x14ac:dyDescent="0.35">
      <c r="I23132" s="63"/>
      <c r="J23132" s="63"/>
    </row>
    <row r="23133" spans="9:10" x14ac:dyDescent="0.35">
      <c r="I23133" s="63"/>
      <c r="J23133" s="63"/>
    </row>
    <row r="23134" spans="9:10" x14ac:dyDescent="0.35">
      <c r="I23134" s="63"/>
      <c r="J23134" s="63"/>
    </row>
    <row r="23135" spans="9:10" x14ac:dyDescent="0.35">
      <c r="I23135" s="63"/>
      <c r="J23135" s="63"/>
    </row>
    <row r="23136" spans="9:10" x14ac:dyDescent="0.35">
      <c r="I23136" s="63"/>
      <c r="J23136" s="63"/>
    </row>
    <row r="23137" spans="9:10" x14ac:dyDescent="0.35">
      <c r="I23137" s="63"/>
      <c r="J23137" s="63"/>
    </row>
    <row r="23138" spans="9:10" x14ac:dyDescent="0.35">
      <c r="I23138" s="63"/>
      <c r="J23138" s="63"/>
    </row>
    <row r="23139" spans="9:10" x14ac:dyDescent="0.35">
      <c r="I23139" s="63"/>
      <c r="J23139" s="63"/>
    </row>
    <row r="23140" spans="9:10" x14ac:dyDescent="0.35">
      <c r="I23140" s="63"/>
      <c r="J23140" s="63"/>
    </row>
    <row r="23141" spans="9:10" x14ac:dyDescent="0.35">
      <c r="I23141" s="63"/>
      <c r="J23141" s="63"/>
    </row>
    <row r="23142" spans="9:10" x14ac:dyDescent="0.35">
      <c r="I23142" s="63"/>
      <c r="J23142" s="63"/>
    </row>
    <row r="23143" spans="9:10" x14ac:dyDescent="0.35">
      <c r="I23143" s="63"/>
      <c r="J23143" s="63"/>
    </row>
    <row r="23144" spans="9:10" x14ac:dyDescent="0.35">
      <c r="I23144" s="63"/>
      <c r="J23144" s="63"/>
    </row>
    <row r="23145" spans="9:10" x14ac:dyDescent="0.35">
      <c r="I23145" s="63"/>
      <c r="J23145" s="63"/>
    </row>
    <row r="23146" spans="9:10" x14ac:dyDescent="0.35">
      <c r="I23146" s="63"/>
      <c r="J23146" s="63"/>
    </row>
    <row r="23147" spans="9:10" x14ac:dyDescent="0.35">
      <c r="I23147" s="63"/>
      <c r="J23147" s="63"/>
    </row>
    <row r="23148" spans="9:10" x14ac:dyDescent="0.35">
      <c r="I23148" s="63"/>
      <c r="J23148" s="63"/>
    </row>
    <row r="23149" spans="9:10" x14ac:dyDescent="0.35">
      <c r="I23149" s="63"/>
      <c r="J23149" s="63"/>
    </row>
    <row r="23150" spans="9:10" x14ac:dyDescent="0.35">
      <c r="I23150" s="63"/>
      <c r="J23150" s="63"/>
    </row>
    <row r="23151" spans="9:10" x14ac:dyDescent="0.35">
      <c r="I23151" s="63"/>
      <c r="J23151" s="63"/>
    </row>
    <row r="23152" spans="9:10" x14ac:dyDescent="0.35">
      <c r="I23152" s="63"/>
      <c r="J23152" s="63"/>
    </row>
    <row r="23153" spans="9:10" x14ac:dyDescent="0.35">
      <c r="I23153" s="63"/>
      <c r="J23153" s="63"/>
    </row>
    <row r="23154" spans="9:10" x14ac:dyDescent="0.35">
      <c r="I23154" s="63"/>
      <c r="J23154" s="63"/>
    </row>
    <row r="23155" spans="9:10" x14ac:dyDescent="0.35">
      <c r="I23155" s="63"/>
      <c r="J23155" s="63"/>
    </row>
    <row r="23156" spans="9:10" x14ac:dyDescent="0.35">
      <c r="I23156" s="63"/>
      <c r="J23156" s="63"/>
    </row>
    <row r="23157" spans="9:10" x14ac:dyDescent="0.35">
      <c r="I23157" s="63"/>
      <c r="J23157" s="63"/>
    </row>
    <row r="23158" spans="9:10" x14ac:dyDescent="0.35">
      <c r="I23158" s="63"/>
      <c r="J23158" s="63"/>
    </row>
    <row r="23159" spans="9:10" x14ac:dyDescent="0.35">
      <c r="I23159" s="63"/>
      <c r="J23159" s="63"/>
    </row>
    <row r="23160" spans="9:10" x14ac:dyDescent="0.35">
      <c r="I23160" s="63"/>
      <c r="J23160" s="63"/>
    </row>
    <row r="23161" spans="9:10" x14ac:dyDescent="0.35">
      <c r="I23161" s="63"/>
      <c r="J23161" s="63"/>
    </row>
    <row r="23162" spans="9:10" x14ac:dyDescent="0.35">
      <c r="I23162" s="63"/>
      <c r="J23162" s="63"/>
    </row>
    <row r="23163" spans="9:10" x14ac:dyDescent="0.35">
      <c r="I23163" s="63"/>
      <c r="J23163" s="63"/>
    </row>
    <row r="23164" spans="9:10" x14ac:dyDescent="0.35">
      <c r="I23164" s="63"/>
      <c r="J23164" s="63"/>
    </row>
    <row r="23165" spans="9:10" x14ac:dyDescent="0.35">
      <c r="I23165" s="63"/>
      <c r="J23165" s="63"/>
    </row>
    <row r="23166" spans="9:10" x14ac:dyDescent="0.35">
      <c r="I23166" s="63"/>
      <c r="J23166" s="63"/>
    </row>
    <row r="23167" spans="9:10" x14ac:dyDescent="0.35">
      <c r="I23167" s="63"/>
      <c r="J23167" s="63"/>
    </row>
    <row r="23168" spans="9:10" x14ac:dyDescent="0.35">
      <c r="I23168" s="63"/>
      <c r="J23168" s="63"/>
    </row>
    <row r="23169" spans="9:10" x14ac:dyDescent="0.35">
      <c r="I23169" s="63"/>
      <c r="J23169" s="63"/>
    </row>
    <row r="23170" spans="9:10" x14ac:dyDescent="0.35">
      <c r="I23170" s="63"/>
      <c r="J23170" s="63"/>
    </row>
    <row r="23171" spans="9:10" x14ac:dyDescent="0.35">
      <c r="I23171" s="63"/>
      <c r="J23171" s="63"/>
    </row>
    <row r="23172" spans="9:10" x14ac:dyDescent="0.35">
      <c r="I23172" s="63"/>
      <c r="J23172" s="63"/>
    </row>
    <row r="23173" spans="9:10" x14ac:dyDescent="0.35">
      <c r="I23173" s="63"/>
      <c r="J23173" s="63"/>
    </row>
    <row r="23174" spans="9:10" x14ac:dyDescent="0.35">
      <c r="I23174" s="63"/>
      <c r="J23174" s="63"/>
    </row>
    <row r="23175" spans="9:10" x14ac:dyDescent="0.35">
      <c r="I23175" s="63"/>
      <c r="J23175" s="63"/>
    </row>
    <row r="23176" spans="9:10" x14ac:dyDescent="0.35">
      <c r="I23176" s="63"/>
      <c r="J23176" s="63"/>
    </row>
    <row r="23177" spans="9:10" x14ac:dyDescent="0.35">
      <c r="I23177" s="63"/>
      <c r="J23177" s="63"/>
    </row>
    <row r="23178" spans="9:10" x14ac:dyDescent="0.35">
      <c r="I23178" s="63"/>
      <c r="J23178" s="63"/>
    </row>
    <row r="23179" spans="9:10" x14ac:dyDescent="0.35">
      <c r="I23179" s="63"/>
      <c r="J23179" s="63"/>
    </row>
    <row r="23180" spans="9:10" x14ac:dyDescent="0.35">
      <c r="I23180" s="63"/>
      <c r="J23180" s="63"/>
    </row>
    <row r="23181" spans="9:10" x14ac:dyDescent="0.35">
      <c r="I23181" s="63"/>
      <c r="J23181" s="63"/>
    </row>
    <row r="23182" spans="9:10" x14ac:dyDescent="0.35">
      <c r="I23182" s="63"/>
      <c r="J23182" s="63"/>
    </row>
    <row r="23183" spans="9:10" x14ac:dyDescent="0.35">
      <c r="I23183" s="63"/>
      <c r="J23183" s="63"/>
    </row>
    <row r="23184" spans="9:10" x14ac:dyDescent="0.35">
      <c r="I23184" s="63"/>
      <c r="J23184" s="63"/>
    </row>
    <row r="23185" spans="9:10" x14ac:dyDescent="0.35">
      <c r="I23185" s="63"/>
      <c r="J23185" s="63"/>
    </row>
    <row r="23186" spans="9:10" x14ac:dyDescent="0.35">
      <c r="I23186" s="63"/>
      <c r="J23186" s="63"/>
    </row>
    <row r="23187" spans="9:10" x14ac:dyDescent="0.35">
      <c r="I23187" s="63"/>
      <c r="J23187" s="63"/>
    </row>
    <row r="23188" spans="9:10" x14ac:dyDescent="0.35">
      <c r="I23188" s="63"/>
      <c r="J23188" s="63"/>
    </row>
    <row r="23189" spans="9:10" x14ac:dyDescent="0.35">
      <c r="I23189" s="63"/>
      <c r="J23189" s="63"/>
    </row>
    <row r="23190" spans="9:10" x14ac:dyDescent="0.35">
      <c r="I23190" s="63"/>
      <c r="J23190" s="63"/>
    </row>
    <row r="23191" spans="9:10" x14ac:dyDescent="0.35">
      <c r="I23191" s="63"/>
      <c r="J23191" s="63"/>
    </row>
    <row r="23192" spans="9:10" x14ac:dyDescent="0.35">
      <c r="I23192" s="63"/>
      <c r="J23192" s="63"/>
    </row>
    <row r="23193" spans="9:10" x14ac:dyDescent="0.35">
      <c r="I23193" s="63"/>
      <c r="J23193" s="63"/>
    </row>
    <row r="23194" spans="9:10" x14ac:dyDescent="0.35">
      <c r="I23194" s="63"/>
      <c r="J23194" s="63"/>
    </row>
    <row r="23195" spans="9:10" x14ac:dyDescent="0.35">
      <c r="I23195" s="63"/>
      <c r="J23195" s="63"/>
    </row>
    <row r="23196" spans="9:10" x14ac:dyDescent="0.35">
      <c r="I23196" s="63"/>
      <c r="J23196" s="63"/>
    </row>
    <row r="23197" spans="9:10" x14ac:dyDescent="0.35">
      <c r="I23197" s="63"/>
      <c r="J23197" s="63"/>
    </row>
    <row r="23198" spans="9:10" x14ac:dyDescent="0.35">
      <c r="I23198" s="63"/>
      <c r="J23198" s="63"/>
    </row>
    <row r="23199" spans="9:10" x14ac:dyDescent="0.35">
      <c r="I23199" s="63"/>
      <c r="J23199" s="63"/>
    </row>
    <row r="23200" spans="9:10" x14ac:dyDescent="0.35">
      <c r="I23200" s="63"/>
      <c r="J23200" s="63"/>
    </row>
    <row r="23201" spans="9:10" x14ac:dyDescent="0.35">
      <c r="I23201" s="63"/>
      <c r="J23201" s="63"/>
    </row>
    <row r="23202" spans="9:10" x14ac:dyDescent="0.35">
      <c r="I23202" s="63"/>
      <c r="J23202" s="63"/>
    </row>
    <row r="23203" spans="9:10" x14ac:dyDescent="0.35">
      <c r="I23203" s="63"/>
      <c r="J23203" s="63"/>
    </row>
    <row r="23204" spans="9:10" x14ac:dyDescent="0.35">
      <c r="I23204" s="63"/>
      <c r="J23204" s="63"/>
    </row>
    <row r="23205" spans="9:10" x14ac:dyDescent="0.35">
      <c r="I23205" s="63"/>
      <c r="J23205" s="63"/>
    </row>
    <row r="23206" spans="9:10" x14ac:dyDescent="0.35">
      <c r="I23206" s="63"/>
      <c r="J23206" s="63"/>
    </row>
    <row r="23207" spans="9:10" x14ac:dyDescent="0.35">
      <c r="I23207" s="63"/>
      <c r="J23207" s="63"/>
    </row>
    <row r="23208" spans="9:10" x14ac:dyDescent="0.35">
      <c r="I23208" s="63"/>
      <c r="J23208" s="63"/>
    </row>
    <row r="23209" spans="9:10" x14ac:dyDescent="0.35">
      <c r="I23209" s="63"/>
      <c r="J23209" s="63"/>
    </row>
    <row r="23210" spans="9:10" x14ac:dyDescent="0.35">
      <c r="I23210" s="63"/>
      <c r="J23210" s="63"/>
    </row>
    <row r="23211" spans="9:10" x14ac:dyDescent="0.35">
      <c r="I23211" s="63"/>
      <c r="J23211" s="63"/>
    </row>
    <row r="23212" spans="9:10" x14ac:dyDescent="0.35">
      <c r="I23212" s="63"/>
      <c r="J23212" s="63"/>
    </row>
    <row r="23213" spans="9:10" x14ac:dyDescent="0.35">
      <c r="I23213" s="63"/>
      <c r="J23213" s="63"/>
    </row>
    <row r="23214" spans="9:10" x14ac:dyDescent="0.35">
      <c r="I23214" s="63"/>
      <c r="J23214" s="63"/>
    </row>
    <row r="23215" spans="9:10" x14ac:dyDescent="0.35">
      <c r="I23215" s="63"/>
      <c r="J23215" s="63"/>
    </row>
    <row r="23216" spans="9:10" x14ac:dyDescent="0.35">
      <c r="I23216" s="63"/>
      <c r="J23216" s="63"/>
    </row>
    <row r="23217" spans="9:10" x14ac:dyDescent="0.35">
      <c r="I23217" s="63"/>
      <c r="J23217" s="63"/>
    </row>
    <row r="23218" spans="9:10" x14ac:dyDescent="0.35">
      <c r="I23218" s="63"/>
      <c r="J23218" s="63"/>
    </row>
    <row r="23219" spans="9:10" x14ac:dyDescent="0.35">
      <c r="I23219" s="63"/>
      <c r="J23219" s="63"/>
    </row>
    <row r="23220" spans="9:10" x14ac:dyDescent="0.35">
      <c r="I23220" s="63"/>
      <c r="J23220" s="63"/>
    </row>
    <row r="23221" spans="9:10" x14ac:dyDescent="0.35">
      <c r="I23221" s="63"/>
      <c r="J23221" s="63"/>
    </row>
    <row r="23222" spans="9:10" x14ac:dyDescent="0.35">
      <c r="I23222" s="63"/>
      <c r="J23222" s="63"/>
    </row>
    <row r="23223" spans="9:10" x14ac:dyDescent="0.35">
      <c r="I23223" s="63"/>
      <c r="J23223" s="63"/>
    </row>
    <row r="23224" spans="9:10" x14ac:dyDescent="0.35">
      <c r="I23224" s="63"/>
      <c r="J23224" s="63"/>
    </row>
    <row r="23225" spans="9:10" x14ac:dyDescent="0.35">
      <c r="I23225" s="63"/>
      <c r="J23225" s="63"/>
    </row>
    <row r="23226" spans="9:10" x14ac:dyDescent="0.35">
      <c r="I23226" s="63"/>
      <c r="J23226" s="63"/>
    </row>
    <row r="23227" spans="9:10" x14ac:dyDescent="0.35">
      <c r="I23227" s="63"/>
      <c r="J23227" s="63"/>
    </row>
    <row r="23228" spans="9:10" x14ac:dyDescent="0.35">
      <c r="I23228" s="63"/>
      <c r="J23228" s="63"/>
    </row>
    <row r="23229" spans="9:10" x14ac:dyDescent="0.35">
      <c r="I23229" s="63"/>
      <c r="J23229" s="63"/>
    </row>
    <row r="23230" spans="9:10" x14ac:dyDescent="0.35">
      <c r="I23230" s="63"/>
      <c r="J23230" s="63"/>
    </row>
    <row r="23231" spans="9:10" x14ac:dyDescent="0.35">
      <c r="I23231" s="63"/>
      <c r="J23231" s="63"/>
    </row>
    <row r="23232" spans="9:10" x14ac:dyDescent="0.35">
      <c r="I23232" s="63"/>
      <c r="J23232" s="63"/>
    </row>
    <row r="23233" spans="9:10" x14ac:dyDescent="0.35">
      <c r="I23233" s="63"/>
      <c r="J23233" s="63"/>
    </row>
    <row r="23234" spans="9:10" x14ac:dyDescent="0.35">
      <c r="I23234" s="63"/>
      <c r="J23234" s="63"/>
    </row>
    <row r="23235" spans="9:10" x14ac:dyDescent="0.35">
      <c r="I23235" s="63"/>
      <c r="J23235" s="63"/>
    </row>
    <row r="23236" spans="9:10" x14ac:dyDescent="0.35">
      <c r="I23236" s="63"/>
      <c r="J23236" s="63"/>
    </row>
    <row r="23237" spans="9:10" x14ac:dyDescent="0.35">
      <c r="I23237" s="63"/>
      <c r="J23237" s="63"/>
    </row>
    <row r="23238" spans="9:10" x14ac:dyDescent="0.35">
      <c r="I23238" s="63"/>
      <c r="J23238" s="63"/>
    </row>
    <row r="23239" spans="9:10" x14ac:dyDescent="0.35">
      <c r="I23239" s="63"/>
      <c r="J23239" s="63"/>
    </row>
    <row r="23240" spans="9:10" x14ac:dyDescent="0.35">
      <c r="I23240" s="63"/>
      <c r="J23240" s="63"/>
    </row>
    <row r="23241" spans="9:10" x14ac:dyDescent="0.35">
      <c r="I23241" s="63"/>
      <c r="J23241" s="63"/>
    </row>
    <row r="23242" spans="9:10" x14ac:dyDescent="0.35">
      <c r="I23242" s="63"/>
      <c r="J23242" s="63"/>
    </row>
    <row r="23243" spans="9:10" x14ac:dyDescent="0.35">
      <c r="I23243" s="63"/>
      <c r="J23243" s="63"/>
    </row>
    <row r="23244" spans="9:10" x14ac:dyDescent="0.35">
      <c r="I23244" s="63"/>
      <c r="J23244" s="63"/>
    </row>
    <row r="23245" spans="9:10" x14ac:dyDescent="0.35">
      <c r="I23245" s="63"/>
      <c r="J23245" s="63"/>
    </row>
    <row r="23246" spans="9:10" x14ac:dyDescent="0.35">
      <c r="I23246" s="63"/>
      <c r="J23246" s="63"/>
    </row>
    <row r="23247" spans="9:10" x14ac:dyDescent="0.35">
      <c r="I23247" s="63"/>
      <c r="J23247" s="63"/>
    </row>
    <row r="23248" spans="9:10" x14ac:dyDescent="0.35">
      <c r="I23248" s="63"/>
      <c r="J23248" s="63"/>
    </row>
    <row r="23249" spans="9:10" x14ac:dyDescent="0.35">
      <c r="I23249" s="63"/>
      <c r="J23249" s="63"/>
    </row>
    <row r="23250" spans="9:10" x14ac:dyDescent="0.35">
      <c r="I23250" s="63"/>
      <c r="J23250" s="63"/>
    </row>
    <row r="23251" spans="9:10" x14ac:dyDescent="0.35">
      <c r="I23251" s="63"/>
      <c r="J23251" s="63"/>
    </row>
    <row r="23252" spans="9:10" x14ac:dyDescent="0.35">
      <c r="I23252" s="63"/>
      <c r="J23252" s="63"/>
    </row>
    <row r="23253" spans="9:10" x14ac:dyDescent="0.35">
      <c r="I23253" s="63"/>
      <c r="J23253" s="63"/>
    </row>
    <row r="23254" spans="9:10" x14ac:dyDescent="0.35">
      <c r="I23254" s="63"/>
      <c r="J23254" s="63"/>
    </row>
    <row r="23255" spans="9:10" x14ac:dyDescent="0.35">
      <c r="I23255" s="63"/>
      <c r="J23255" s="63"/>
    </row>
    <row r="23256" spans="9:10" x14ac:dyDescent="0.35">
      <c r="I23256" s="63"/>
      <c r="J23256" s="63"/>
    </row>
    <row r="23257" spans="9:10" x14ac:dyDescent="0.35">
      <c r="I23257" s="63"/>
      <c r="J23257" s="63"/>
    </row>
    <row r="23258" spans="9:10" x14ac:dyDescent="0.35">
      <c r="I23258" s="63"/>
      <c r="J23258" s="63"/>
    </row>
    <row r="23259" spans="9:10" x14ac:dyDescent="0.35">
      <c r="I23259" s="63"/>
      <c r="J23259" s="63"/>
    </row>
    <row r="23260" spans="9:10" x14ac:dyDescent="0.35">
      <c r="I23260" s="63"/>
      <c r="J23260" s="63"/>
    </row>
    <row r="23261" spans="9:10" x14ac:dyDescent="0.35">
      <c r="I23261" s="63"/>
      <c r="J23261" s="63"/>
    </row>
    <row r="23262" spans="9:10" x14ac:dyDescent="0.35">
      <c r="I23262" s="63"/>
      <c r="J23262" s="63"/>
    </row>
    <row r="23263" spans="9:10" x14ac:dyDescent="0.35">
      <c r="I23263" s="63"/>
      <c r="J23263" s="63"/>
    </row>
    <row r="23264" spans="9:10" x14ac:dyDescent="0.35">
      <c r="I23264" s="63"/>
      <c r="J23264" s="63"/>
    </row>
    <row r="23265" spans="9:10" x14ac:dyDescent="0.35">
      <c r="I23265" s="63"/>
      <c r="J23265" s="63"/>
    </row>
    <row r="23266" spans="9:10" x14ac:dyDescent="0.35">
      <c r="I23266" s="63"/>
      <c r="J23266" s="63"/>
    </row>
    <row r="23267" spans="9:10" x14ac:dyDescent="0.35">
      <c r="I23267" s="63"/>
      <c r="J23267" s="63"/>
    </row>
    <row r="23268" spans="9:10" x14ac:dyDescent="0.35">
      <c r="I23268" s="63"/>
      <c r="J23268" s="63"/>
    </row>
    <row r="23269" spans="9:10" x14ac:dyDescent="0.35">
      <c r="I23269" s="63"/>
      <c r="J23269" s="63"/>
    </row>
    <row r="23270" spans="9:10" x14ac:dyDescent="0.35">
      <c r="I23270" s="63"/>
      <c r="J23270" s="63"/>
    </row>
    <row r="23271" spans="9:10" x14ac:dyDescent="0.35">
      <c r="I23271" s="63"/>
      <c r="J23271" s="63"/>
    </row>
    <row r="23272" spans="9:10" x14ac:dyDescent="0.35">
      <c r="I23272" s="63"/>
      <c r="J23272" s="63"/>
    </row>
    <row r="23273" spans="9:10" x14ac:dyDescent="0.35">
      <c r="I23273" s="63"/>
      <c r="J23273" s="63"/>
    </row>
    <row r="23274" spans="9:10" x14ac:dyDescent="0.35">
      <c r="I23274" s="63"/>
      <c r="J23274" s="63"/>
    </row>
    <row r="23275" spans="9:10" x14ac:dyDescent="0.35">
      <c r="I23275" s="63"/>
      <c r="J23275" s="63"/>
    </row>
    <row r="23276" spans="9:10" x14ac:dyDescent="0.35">
      <c r="I23276" s="63"/>
      <c r="J23276" s="63"/>
    </row>
    <row r="23277" spans="9:10" x14ac:dyDescent="0.35">
      <c r="I23277" s="63"/>
      <c r="J23277" s="63"/>
    </row>
    <row r="23278" spans="9:10" x14ac:dyDescent="0.35">
      <c r="I23278" s="63"/>
      <c r="J23278" s="63"/>
    </row>
    <row r="23279" spans="9:10" x14ac:dyDescent="0.35">
      <c r="I23279" s="63"/>
      <c r="J23279" s="63"/>
    </row>
    <row r="23280" spans="9:10" x14ac:dyDescent="0.35">
      <c r="I23280" s="63"/>
      <c r="J23280" s="63"/>
    </row>
    <row r="23281" spans="9:10" x14ac:dyDescent="0.35">
      <c r="I23281" s="63"/>
      <c r="J23281" s="63"/>
    </row>
    <row r="23282" spans="9:10" x14ac:dyDescent="0.35">
      <c r="I23282" s="63"/>
      <c r="J23282" s="63"/>
    </row>
    <row r="23283" spans="9:10" x14ac:dyDescent="0.35">
      <c r="I23283" s="63"/>
      <c r="J23283" s="63"/>
    </row>
    <row r="23284" spans="9:10" x14ac:dyDescent="0.35">
      <c r="I23284" s="63"/>
      <c r="J23284" s="63"/>
    </row>
    <row r="23285" spans="9:10" x14ac:dyDescent="0.35">
      <c r="I23285" s="63"/>
      <c r="J23285" s="63"/>
    </row>
    <row r="23286" spans="9:10" x14ac:dyDescent="0.35">
      <c r="I23286" s="63"/>
      <c r="J23286" s="63"/>
    </row>
    <row r="23287" spans="9:10" x14ac:dyDescent="0.35">
      <c r="I23287" s="63"/>
      <c r="J23287" s="63"/>
    </row>
    <row r="23288" spans="9:10" x14ac:dyDescent="0.35">
      <c r="I23288" s="63"/>
      <c r="J23288" s="63"/>
    </row>
    <row r="23289" spans="9:10" x14ac:dyDescent="0.35">
      <c r="I23289" s="63"/>
      <c r="J23289" s="63"/>
    </row>
    <row r="23290" spans="9:10" x14ac:dyDescent="0.35">
      <c r="I23290" s="63"/>
      <c r="J23290" s="63"/>
    </row>
    <row r="23291" spans="9:10" x14ac:dyDescent="0.35">
      <c r="I23291" s="63"/>
      <c r="J23291" s="63"/>
    </row>
    <row r="23292" spans="9:10" x14ac:dyDescent="0.35">
      <c r="I23292" s="63"/>
      <c r="J23292" s="63"/>
    </row>
    <row r="23293" spans="9:10" x14ac:dyDescent="0.35">
      <c r="I23293" s="63"/>
      <c r="J23293" s="63"/>
    </row>
    <row r="23294" spans="9:10" x14ac:dyDescent="0.35">
      <c r="I23294" s="63"/>
      <c r="J23294" s="63"/>
    </row>
    <row r="23295" spans="9:10" x14ac:dyDescent="0.35">
      <c r="I23295" s="63"/>
      <c r="J23295" s="63"/>
    </row>
    <row r="23296" spans="9:10" x14ac:dyDescent="0.35">
      <c r="I23296" s="63"/>
      <c r="J23296" s="63"/>
    </row>
    <row r="23297" spans="9:10" x14ac:dyDescent="0.35">
      <c r="I23297" s="63"/>
      <c r="J23297" s="63"/>
    </row>
    <row r="23298" spans="9:10" x14ac:dyDescent="0.35">
      <c r="I23298" s="63"/>
      <c r="J23298" s="63"/>
    </row>
    <row r="23299" spans="9:10" x14ac:dyDescent="0.35">
      <c r="I23299" s="63"/>
      <c r="J23299" s="63"/>
    </row>
    <row r="23300" spans="9:10" x14ac:dyDescent="0.35">
      <c r="I23300" s="63"/>
      <c r="J23300" s="63"/>
    </row>
    <row r="23301" spans="9:10" x14ac:dyDescent="0.35">
      <c r="I23301" s="63"/>
      <c r="J23301" s="63"/>
    </row>
    <row r="23302" spans="9:10" x14ac:dyDescent="0.35">
      <c r="I23302" s="63"/>
      <c r="J23302" s="63"/>
    </row>
    <row r="23303" spans="9:10" x14ac:dyDescent="0.35">
      <c r="I23303" s="63"/>
      <c r="J23303" s="63"/>
    </row>
    <row r="23304" spans="9:10" x14ac:dyDescent="0.35">
      <c r="I23304" s="63"/>
      <c r="J23304" s="63"/>
    </row>
    <row r="23305" spans="9:10" x14ac:dyDescent="0.35">
      <c r="I23305" s="63"/>
      <c r="J23305" s="63"/>
    </row>
    <row r="23306" spans="9:10" x14ac:dyDescent="0.35">
      <c r="I23306" s="63"/>
      <c r="J23306" s="63"/>
    </row>
    <row r="23307" spans="9:10" x14ac:dyDescent="0.35">
      <c r="I23307" s="63"/>
      <c r="J23307" s="63"/>
    </row>
    <row r="23308" spans="9:10" x14ac:dyDescent="0.35">
      <c r="I23308" s="63"/>
      <c r="J23308" s="63"/>
    </row>
    <row r="23309" spans="9:10" x14ac:dyDescent="0.35">
      <c r="I23309" s="63"/>
      <c r="J23309" s="63"/>
    </row>
    <row r="23310" spans="9:10" x14ac:dyDescent="0.35">
      <c r="I23310" s="63"/>
      <c r="J23310" s="63"/>
    </row>
    <row r="23311" spans="9:10" x14ac:dyDescent="0.35">
      <c r="I23311" s="63"/>
      <c r="J23311" s="63"/>
    </row>
    <row r="23312" spans="9:10" x14ac:dyDescent="0.35">
      <c r="I23312" s="63"/>
      <c r="J23312" s="63"/>
    </row>
    <row r="23313" spans="9:10" x14ac:dyDescent="0.35">
      <c r="I23313" s="63"/>
      <c r="J23313" s="63"/>
    </row>
    <row r="23314" spans="9:10" x14ac:dyDescent="0.35">
      <c r="I23314" s="63"/>
      <c r="J23314" s="63"/>
    </row>
    <row r="23315" spans="9:10" x14ac:dyDescent="0.35">
      <c r="I23315" s="63"/>
      <c r="J23315" s="63"/>
    </row>
    <row r="23316" spans="9:10" x14ac:dyDescent="0.35">
      <c r="I23316" s="63"/>
      <c r="J23316" s="63"/>
    </row>
    <row r="23317" spans="9:10" x14ac:dyDescent="0.35">
      <c r="I23317" s="63"/>
      <c r="J23317" s="63"/>
    </row>
    <row r="23318" spans="9:10" x14ac:dyDescent="0.35">
      <c r="I23318" s="63"/>
      <c r="J23318" s="63"/>
    </row>
    <row r="23319" spans="9:10" x14ac:dyDescent="0.35">
      <c r="I23319" s="63"/>
      <c r="J23319" s="63"/>
    </row>
    <row r="23320" spans="9:10" x14ac:dyDescent="0.35">
      <c r="I23320" s="63"/>
      <c r="J23320" s="63"/>
    </row>
    <row r="23321" spans="9:10" x14ac:dyDescent="0.35">
      <c r="I23321" s="63"/>
      <c r="J23321" s="63"/>
    </row>
    <row r="23322" spans="9:10" x14ac:dyDescent="0.35">
      <c r="I23322" s="63"/>
      <c r="J23322" s="63"/>
    </row>
    <row r="23323" spans="9:10" x14ac:dyDescent="0.35">
      <c r="I23323" s="63"/>
      <c r="J23323" s="63"/>
    </row>
    <row r="23324" spans="9:10" x14ac:dyDescent="0.35">
      <c r="I23324" s="63"/>
      <c r="J23324" s="63"/>
    </row>
    <row r="23325" spans="9:10" x14ac:dyDescent="0.35">
      <c r="I23325" s="63"/>
      <c r="J23325" s="63"/>
    </row>
    <row r="23326" spans="9:10" x14ac:dyDescent="0.35">
      <c r="I23326" s="63"/>
      <c r="J23326" s="63"/>
    </row>
    <row r="23327" spans="9:10" x14ac:dyDescent="0.35">
      <c r="I23327" s="63"/>
      <c r="J23327" s="63"/>
    </row>
    <row r="23328" spans="9:10" x14ac:dyDescent="0.35">
      <c r="I23328" s="63"/>
      <c r="J23328" s="63"/>
    </row>
    <row r="23329" spans="9:10" x14ac:dyDescent="0.35">
      <c r="I23329" s="63"/>
      <c r="J23329" s="63"/>
    </row>
    <row r="23330" spans="9:10" x14ac:dyDescent="0.35">
      <c r="I23330" s="63"/>
      <c r="J23330" s="63"/>
    </row>
    <row r="23331" spans="9:10" x14ac:dyDescent="0.35">
      <c r="I23331" s="63"/>
      <c r="J23331" s="63"/>
    </row>
    <row r="23332" spans="9:10" x14ac:dyDescent="0.35">
      <c r="I23332" s="63"/>
      <c r="J23332" s="63"/>
    </row>
    <row r="23333" spans="9:10" x14ac:dyDescent="0.35">
      <c r="I23333" s="63"/>
      <c r="J23333" s="63"/>
    </row>
    <row r="23334" spans="9:10" x14ac:dyDescent="0.35">
      <c r="I23334" s="63"/>
      <c r="J23334" s="63"/>
    </row>
    <row r="23335" spans="9:10" x14ac:dyDescent="0.35">
      <c r="I23335" s="63"/>
      <c r="J23335" s="63"/>
    </row>
    <row r="23336" spans="9:10" x14ac:dyDescent="0.35">
      <c r="I23336" s="63"/>
      <c r="J23336" s="63"/>
    </row>
    <row r="23337" spans="9:10" x14ac:dyDescent="0.35">
      <c r="I23337" s="63"/>
      <c r="J23337" s="63"/>
    </row>
    <row r="23338" spans="9:10" x14ac:dyDescent="0.35">
      <c r="I23338" s="63"/>
      <c r="J23338" s="63"/>
    </row>
    <row r="23339" spans="9:10" x14ac:dyDescent="0.35">
      <c r="I23339" s="63"/>
      <c r="J23339" s="63"/>
    </row>
    <row r="23340" spans="9:10" x14ac:dyDescent="0.35">
      <c r="I23340" s="63"/>
      <c r="J23340" s="63"/>
    </row>
    <row r="23341" spans="9:10" x14ac:dyDescent="0.35">
      <c r="I23341" s="63"/>
      <c r="J23341" s="63"/>
    </row>
    <row r="23342" spans="9:10" x14ac:dyDescent="0.35">
      <c r="I23342" s="63"/>
      <c r="J23342" s="63"/>
    </row>
    <row r="23343" spans="9:10" x14ac:dyDescent="0.35">
      <c r="I23343" s="63"/>
      <c r="J23343" s="63"/>
    </row>
    <row r="23344" spans="9:10" x14ac:dyDescent="0.35">
      <c r="I23344" s="63"/>
      <c r="J23344" s="63"/>
    </row>
    <row r="23345" spans="9:10" x14ac:dyDescent="0.35">
      <c r="I23345" s="63"/>
      <c r="J23345" s="63"/>
    </row>
    <row r="23346" spans="9:10" x14ac:dyDescent="0.35">
      <c r="I23346" s="63"/>
      <c r="J23346" s="63"/>
    </row>
    <row r="23347" spans="9:10" x14ac:dyDescent="0.35">
      <c r="I23347" s="63"/>
      <c r="J23347" s="63"/>
    </row>
    <row r="23348" spans="9:10" x14ac:dyDescent="0.35">
      <c r="I23348" s="63"/>
      <c r="J23348" s="63"/>
    </row>
    <row r="23349" spans="9:10" x14ac:dyDescent="0.35">
      <c r="I23349" s="63"/>
      <c r="J23349" s="63"/>
    </row>
    <row r="23350" spans="9:10" x14ac:dyDescent="0.35">
      <c r="I23350" s="63"/>
      <c r="J23350" s="63"/>
    </row>
    <row r="23351" spans="9:10" x14ac:dyDescent="0.35">
      <c r="I23351" s="63"/>
      <c r="J23351" s="63"/>
    </row>
    <row r="23352" spans="9:10" x14ac:dyDescent="0.35">
      <c r="I23352" s="63"/>
      <c r="J23352" s="63"/>
    </row>
    <row r="23353" spans="9:10" x14ac:dyDescent="0.35">
      <c r="I23353" s="63"/>
      <c r="J23353" s="63"/>
    </row>
    <row r="23354" spans="9:10" x14ac:dyDescent="0.35">
      <c r="I23354" s="63"/>
      <c r="J23354" s="63"/>
    </row>
    <row r="23355" spans="9:10" x14ac:dyDescent="0.35">
      <c r="I23355" s="63"/>
      <c r="J23355" s="63"/>
    </row>
    <row r="23356" spans="9:10" x14ac:dyDescent="0.35">
      <c r="I23356" s="63"/>
      <c r="J23356" s="63"/>
    </row>
    <row r="23357" spans="9:10" x14ac:dyDescent="0.35">
      <c r="I23357" s="63"/>
      <c r="J23357" s="63"/>
    </row>
    <row r="23358" spans="9:10" x14ac:dyDescent="0.35">
      <c r="I23358" s="63"/>
      <c r="J23358" s="63"/>
    </row>
    <row r="23359" spans="9:10" x14ac:dyDescent="0.35">
      <c r="I23359" s="63"/>
      <c r="J23359" s="63"/>
    </row>
    <row r="23360" spans="9:10" x14ac:dyDescent="0.35">
      <c r="I23360" s="63"/>
      <c r="J23360" s="63"/>
    </row>
    <row r="23361" spans="9:10" x14ac:dyDescent="0.35">
      <c r="I23361" s="63"/>
      <c r="J23361" s="63"/>
    </row>
    <row r="23362" spans="9:10" x14ac:dyDescent="0.35">
      <c r="I23362" s="63"/>
      <c r="J23362" s="63"/>
    </row>
    <row r="23363" spans="9:10" x14ac:dyDescent="0.35">
      <c r="I23363" s="63"/>
      <c r="J23363" s="63"/>
    </row>
    <row r="23364" spans="9:10" x14ac:dyDescent="0.35">
      <c r="I23364" s="63"/>
      <c r="J23364" s="63"/>
    </row>
    <row r="23365" spans="9:10" x14ac:dyDescent="0.35">
      <c r="I23365" s="63"/>
      <c r="J23365" s="63"/>
    </row>
    <row r="23366" spans="9:10" x14ac:dyDescent="0.35">
      <c r="I23366" s="63"/>
      <c r="J23366" s="63"/>
    </row>
    <row r="23367" spans="9:10" x14ac:dyDescent="0.35">
      <c r="I23367" s="63"/>
      <c r="J23367" s="63"/>
    </row>
    <row r="23368" spans="9:10" x14ac:dyDescent="0.35">
      <c r="I23368" s="63"/>
      <c r="J23368" s="63"/>
    </row>
    <row r="23369" spans="9:10" x14ac:dyDescent="0.35">
      <c r="I23369" s="63"/>
      <c r="J23369" s="63"/>
    </row>
    <row r="23370" spans="9:10" x14ac:dyDescent="0.35">
      <c r="I23370" s="63"/>
      <c r="J23370" s="63"/>
    </row>
    <row r="23371" spans="9:10" x14ac:dyDescent="0.35">
      <c r="I23371" s="63"/>
      <c r="J23371" s="63"/>
    </row>
    <row r="23372" spans="9:10" x14ac:dyDescent="0.35">
      <c r="I23372" s="63"/>
      <c r="J23372" s="63"/>
    </row>
    <row r="23373" spans="9:10" x14ac:dyDescent="0.35">
      <c r="I23373" s="63"/>
      <c r="J23373" s="63"/>
    </row>
    <row r="23374" spans="9:10" x14ac:dyDescent="0.35">
      <c r="I23374" s="63"/>
      <c r="J23374" s="63"/>
    </row>
    <row r="23375" spans="9:10" x14ac:dyDescent="0.35">
      <c r="I23375" s="63"/>
      <c r="J23375" s="63"/>
    </row>
    <row r="23376" spans="9:10" x14ac:dyDescent="0.35">
      <c r="I23376" s="63"/>
      <c r="J23376" s="63"/>
    </row>
    <row r="23377" spans="9:10" x14ac:dyDescent="0.35">
      <c r="I23377" s="63"/>
      <c r="J23377" s="63"/>
    </row>
    <row r="23378" spans="9:10" x14ac:dyDescent="0.35">
      <c r="I23378" s="63"/>
      <c r="J23378" s="63"/>
    </row>
    <row r="23379" spans="9:10" x14ac:dyDescent="0.35">
      <c r="I23379" s="63"/>
      <c r="J23379" s="63"/>
    </row>
    <row r="23380" spans="9:10" x14ac:dyDescent="0.35">
      <c r="I23380" s="63"/>
      <c r="J23380" s="63"/>
    </row>
    <row r="23381" spans="9:10" x14ac:dyDescent="0.35">
      <c r="I23381" s="63"/>
      <c r="J23381" s="63"/>
    </row>
    <row r="23382" spans="9:10" x14ac:dyDescent="0.35">
      <c r="I23382" s="63"/>
      <c r="J23382" s="63"/>
    </row>
    <row r="23383" spans="9:10" x14ac:dyDescent="0.35">
      <c r="I23383" s="63"/>
      <c r="J23383" s="63"/>
    </row>
    <row r="23384" spans="9:10" x14ac:dyDescent="0.35">
      <c r="I23384" s="63"/>
      <c r="J23384" s="63"/>
    </row>
    <row r="23385" spans="9:10" x14ac:dyDescent="0.35">
      <c r="I23385" s="63"/>
      <c r="J23385" s="63"/>
    </row>
    <row r="23386" spans="9:10" x14ac:dyDescent="0.35">
      <c r="I23386" s="63"/>
      <c r="J23386" s="63"/>
    </row>
    <row r="23387" spans="9:10" x14ac:dyDescent="0.35">
      <c r="I23387" s="63"/>
      <c r="J23387" s="63"/>
    </row>
    <row r="23388" spans="9:10" x14ac:dyDescent="0.35">
      <c r="I23388" s="63"/>
      <c r="J23388" s="63"/>
    </row>
    <row r="23389" spans="9:10" x14ac:dyDescent="0.35">
      <c r="I23389" s="63"/>
      <c r="J23389" s="63"/>
    </row>
    <row r="23390" spans="9:10" x14ac:dyDescent="0.35">
      <c r="I23390" s="63"/>
      <c r="J23390" s="63"/>
    </row>
    <row r="23391" spans="9:10" x14ac:dyDescent="0.35">
      <c r="I23391" s="63"/>
      <c r="J23391" s="63"/>
    </row>
    <row r="23392" spans="9:10" x14ac:dyDescent="0.35">
      <c r="I23392" s="63"/>
      <c r="J23392" s="63"/>
    </row>
    <row r="23393" spans="9:10" x14ac:dyDescent="0.35">
      <c r="I23393" s="63"/>
      <c r="J23393" s="63"/>
    </row>
    <row r="23394" spans="9:10" x14ac:dyDescent="0.35">
      <c r="I23394" s="63"/>
      <c r="J23394" s="63"/>
    </row>
    <row r="23395" spans="9:10" x14ac:dyDescent="0.35">
      <c r="I23395" s="63"/>
      <c r="J23395" s="63"/>
    </row>
    <row r="23396" spans="9:10" x14ac:dyDescent="0.35">
      <c r="I23396" s="63"/>
      <c r="J23396" s="63"/>
    </row>
    <row r="23397" spans="9:10" x14ac:dyDescent="0.35">
      <c r="I23397" s="63"/>
      <c r="J23397" s="63"/>
    </row>
    <row r="23398" spans="9:10" x14ac:dyDescent="0.35">
      <c r="I23398" s="63"/>
      <c r="J23398" s="63"/>
    </row>
    <row r="23399" spans="9:10" x14ac:dyDescent="0.35">
      <c r="I23399" s="63"/>
      <c r="J23399" s="63"/>
    </row>
    <row r="23400" spans="9:10" x14ac:dyDescent="0.35">
      <c r="I23400" s="63"/>
      <c r="J23400" s="63"/>
    </row>
    <row r="23401" spans="9:10" x14ac:dyDescent="0.35">
      <c r="I23401" s="63"/>
      <c r="J23401" s="63"/>
    </row>
    <row r="23402" spans="9:10" x14ac:dyDescent="0.35">
      <c r="I23402" s="63"/>
      <c r="J23402" s="63"/>
    </row>
    <row r="23403" spans="9:10" x14ac:dyDescent="0.35">
      <c r="I23403" s="63"/>
      <c r="J23403" s="63"/>
    </row>
    <row r="23404" spans="9:10" x14ac:dyDescent="0.35">
      <c r="I23404" s="63"/>
      <c r="J23404" s="63"/>
    </row>
    <row r="23405" spans="9:10" x14ac:dyDescent="0.35">
      <c r="I23405" s="63"/>
      <c r="J23405" s="63"/>
    </row>
    <row r="23406" spans="9:10" x14ac:dyDescent="0.35">
      <c r="I23406" s="63"/>
      <c r="J23406" s="63"/>
    </row>
    <row r="23407" spans="9:10" x14ac:dyDescent="0.35">
      <c r="I23407" s="63"/>
      <c r="J23407" s="63"/>
    </row>
    <row r="23408" spans="9:10" x14ac:dyDescent="0.35">
      <c r="I23408" s="63"/>
      <c r="J23408" s="63"/>
    </row>
    <row r="23409" spans="9:10" x14ac:dyDescent="0.35">
      <c r="I23409" s="63"/>
      <c r="J23409" s="63"/>
    </row>
    <row r="23410" spans="9:10" x14ac:dyDescent="0.35">
      <c r="I23410" s="63"/>
      <c r="J23410" s="63"/>
    </row>
    <row r="23411" spans="9:10" x14ac:dyDescent="0.35">
      <c r="I23411" s="63"/>
      <c r="J23411" s="63"/>
    </row>
    <row r="23412" spans="9:10" x14ac:dyDescent="0.35">
      <c r="I23412" s="63"/>
      <c r="J23412" s="63"/>
    </row>
    <row r="23413" spans="9:10" x14ac:dyDescent="0.35">
      <c r="I23413" s="63"/>
      <c r="J23413" s="63"/>
    </row>
    <row r="23414" spans="9:10" x14ac:dyDescent="0.35">
      <c r="I23414" s="63"/>
      <c r="J23414" s="63"/>
    </row>
    <row r="23415" spans="9:10" x14ac:dyDescent="0.35">
      <c r="I23415" s="63"/>
      <c r="J23415" s="63"/>
    </row>
    <row r="23416" spans="9:10" x14ac:dyDescent="0.35">
      <c r="I23416" s="63"/>
      <c r="J23416" s="63"/>
    </row>
    <row r="23417" spans="9:10" x14ac:dyDescent="0.35">
      <c r="I23417" s="63"/>
      <c r="J23417" s="63"/>
    </row>
    <row r="23418" spans="9:10" x14ac:dyDescent="0.35">
      <c r="I23418" s="63"/>
      <c r="J23418" s="63"/>
    </row>
    <row r="23419" spans="9:10" x14ac:dyDescent="0.35">
      <c r="I23419" s="63"/>
      <c r="J23419" s="63"/>
    </row>
    <row r="23420" spans="9:10" x14ac:dyDescent="0.35">
      <c r="I23420" s="63"/>
      <c r="J23420" s="63"/>
    </row>
    <row r="23421" spans="9:10" x14ac:dyDescent="0.35">
      <c r="I23421" s="63"/>
      <c r="J23421" s="63"/>
    </row>
    <row r="23422" spans="9:10" x14ac:dyDescent="0.35">
      <c r="I23422" s="63"/>
      <c r="J23422" s="63"/>
    </row>
    <row r="23423" spans="9:10" x14ac:dyDescent="0.35">
      <c r="I23423" s="63"/>
      <c r="J23423" s="63"/>
    </row>
    <row r="23424" spans="9:10" x14ac:dyDescent="0.35">
      <c r="I23424" s="63"/>
      <c r="J23424" s="63"/>
    </row>
    <row r="23425" spans="9:10" x14ac:dyDescent="0.35">
      <c r="I23425" s="63"/>
      <c r="J23425" s="63"/>
    </row>
    <row r="23426" spans="9:10" x14ac:dyDescent="0.35">
      <c r="I23426" s="63"/>
      <c r="J23426" s="63"/>
    </row>
    <row r="23427" spans="9:10" x14ac:dyDescent="0.35">
      <c r="I23427" s="63"/>
      <c r="J23427" s="63"/>
    </row>
    <row r="23428" spans="9:10" x14ac:dyDescent="0.35">
      <c r="I23428" s="63"/>
      <c r="J23428" s="63"/>
    </row>
    <row r="23429" spans="9:10" x14ac:dyDescent="0.35">
      <c r="I23429" s="63"/>
      <c r="J23429" s="63"/>
    </row>
    <row r="23430" spans="9:10" x14ac:dyDescent="0.35">
      <c r="I23430" s="63"/>
      <c r="J23430" s="63"/>
    </row>
    <row r="23431" spans="9:10" x14ac:dyDescent="0.35">
      <c r="I23431" s="63"/>
      <c r="J23431" s="63"/>
    </row>
    <row r="23432" spans="9:10" x14ac:dyDescent="0.35">
      <c r="I23432" s="63"/>
      <c r="J23432" s="63"/>
    </row>
    <row r="23433" spans="9:10" x14ac:dyDescent="0.35">
      <c r="I23433" s="63"/>
      <c r="J23433" s="63"/>
    </row>
    <row r="23434" spans="9:10" x14ac:dyDescent="0.35">
      <c r="I23434" s="63"/>
      <c r="J23434" s="63"/>
    </row>
    <row r="23435" spans="9:10" x14ac:dyDescent="0.35">
      <c r="I23435" s="63"/>
      <c r="J23435" s="63"/>
    </row>
    <row r="23436" spans="9:10" x14ac:dyDescent="0.35">
      <c r="I23436" s="63"/>
      <c r="J23436" s="63"/>
    </row>
    <row r="23437" spans="9:10" x14ac:dyDescent="0.35">
      <c r="I23437" s="63"/>
      <c r="J23437" s="63"/>
    </row>
    <row r="23438" spans="9:10" x14ac:dyDescent="0.35">
      <c r="I23438" s="63"/>
      <c r="J23438" s="63"/>
    </row>
    <row r="23439" spans="9:10" x14ac:dyDescent="0.35">
      <c r="I23439" s="63"/>
      <c r="J23439" s="63"/>
    </row>
    <row r="23440" spans="9:10" x14ac:dyDescent="0.35">
      <c r="I23440" s="63"/>
      <c r="J23440" s="63"/>
    </row>
    <row r="23441" spans="9:10" x14ac:dyDescent="0.35">
      <c r="I23441" s="63"/>
      <c r="J23441" s="63"/>
    </row>
    <row r="23442" spans="9:10" x14ac:dyDescent="0.35">
      <c r="I23442" s="63"/>
      <c r="J23442" s="63"/>
    </row>
    <row r="23443" spans="9:10" x14ac:dyDescent="0.35">
      <c r="I23443" s="63"/>
      <c r="J23443" s="63"/>
    </row>
    <row r="23444" spans="9:10" x14ac:dyDescent="0.35">
      <c r="I23444" s="63"/>
      <c r="J23444" s="63"/>
    </row>
    <row r="23445" spans="9:10" x14ac:dyDescent="0.35">
      <c r="I23445" s="63"/>
      <c r="J23445" s="63"/>
    </row>
    <row r="23446" spans="9:10" x14ac:dyDescent="0.35">
      <c r="I23446" s="63"/>
      <c r="J23446" s="63"/>
    </row>
    <row r="23447" spans="9:10" x14ac:dyDescent="0.35">
      <c r="I23447" s="63"/>
      <c r="J23447" s="63"/>
    </row>
    <row r="23448" spans="9:10" x14ac:dyDescent="0.35">
      <c r="I23448" s="63"/>
      <c r="J23448" s="63"/>
    </row>
    <row r="23449" spans="9:10" x14ac:dyDescent="0.35">
      <c r="I23449" s="63"/>
      <c r="J23449" s="63"/>
    </row>
    <row r="23450" spans="9:10" x14ac:dyDescent="0.35">
      <c r="I23450" s="63"/>
      <c r="J23450" s="63"/>
    </row>
    <row r="23451" spans="9:10" x14ac:dyDescent="0.35">
      <c r="I23451" s="63"/>
      <c r="J23451" s="63"/>
    </row>
    <row r="23452" spans="9:10" x14ac:dyDescent="0.35">
      <c r="I23452" s="63"/>
      <c r="J23452" s="63"/>
    </row>
    <row r="23453" spans="9:10" x14ac:dyDescent="0.35">
      <c r="I23453" s="63"/>
      <c r="J23453" s="63"/>
    </row>
    <row r="23454" spans="9:10" x14ac:dyDescent="0.35">
      <c r="I23454" s="63"/>
      <c r="J23454" s="63"/>
    </row>
    <row r="23455" spans="9:10" x14ac:dyDescent="0.35">
      <c r="I23455" s="63"/>
      <c r="J23455" s="63"/>
    </row>
    <row r="23456" spans="9:10" x14ac:dyDescent="0.35">
      <c r="I23456" s="63"/>
      <c r="J23456" s="63"/>
    </row>
    <row r="23457" spans="9:10" x14ac:dyDescent="0.35">
      <c r="I23457" s="63"/>
      <c r="J23457" s="63"/>
    </row>
    <row r="23458" spans="9:10" x14ac:dyDescent="0.35">
      <c r="I23458" s="63"/>
      <c r="J23458" s="63"/>
    </row>
    <row r="23459" spans="9:10" x14ac:dyDescent="0.35">
      <c r="I23459" s="63"/>
      <c r="J23459" s="63"/>
    </row>
    <row r="23460" spans="9:10" x14ac:dyDescent="0.35">
      <c r="I23460" s="63"/>
      <c r="J23460" s="63"/>
    </row>
    <row r="23461" spans="9:10" x14ac:dyDescent="0.35">
      <c r="I23461" s="63"/>
      <c r="J23461" s="63"/>
    </row>
    <row r="23462" spans="9:10" x14ac:dyDescent="0.35">
      <c r="I23462" s="63"/>
      <c r="J23462" s="63"/>
    </row>
    <row r="23463" spans="9:10" x14ac:dyDescent="0.35">
      <c r="I23463" s="63"/>
      <c r="J23463" s="63"/>
    </row>
    <row r="23464" spans="9:10" x14ac:dyDescent="0.35">
      <c r="I23464" s="63"/>
      <c r="J23464" s="63"/>
    </row>
    <row r="23465" spans="9:10" x14ac:dyDescent="0.35">
      <c r="I23465" s="63"/>
      <c r="J23465" s="63"/>
    </row>
    <row r="23466" spans="9:10" x14ac:dyDescent="0.35">
      <c r="I23466" s="63"/>
      <c r="J23466" s="63"/>
    </row>
    <row r="23467" spans="9:10" x14ac:dyDescent="0.35">
      <c r="I23467" s="63"/>
      <c r="J23467" s="63"/>
    </row>
    <row r="23468" spans="9:10" x14ac:dyDescent="0.35">
      <c r="I23468" s="63"/>
      <c r="J23468" s="63"/>
    </row>
    <row r="23469" spans="9:10" x14ac:dyDescent="0.35">
      <c r="I23469" s="63"/>
      <c r="J23469" s="63"/>
    </row>
    <row r="23470" spans="9:10" x14ac:dyDescent="0.35">
      <c r="I23470" s="63"/>
      <c r="J23470" s="63"/>
    </row>
    <row r="23471" spans="9:10" x14ac:dyDescent="0.35">
      <c r="I23471" s="63"/>
      <c r="J23471" s="63"/>
    </row>
    <row r="23472" spans="9:10" x14ac:dyDescent="0.35">
      <c r="I23472" s="63"/>
      <c r="J23472" s="63"/>
    </row>
    <row r="23473" spans="9:10" x14ac:dyDescent="0.35">
      <c r="I23473" s="63"/>
      <c r="J23473" s="63"/>
    </row>
    <row r="23474" spans="9:10" x14ac:dyDescent="0.35">
      <c r="I23474" s="63"/>
      <c r="J23474" s="63"/>
    </row>
    <row r="23475" spans="9:10" x14ac:dyDescent="0.35">
      <c r="I23475" s="63"/>
      <c r="J23475" s="63"/>
    </row>
    <row r="23476" spans="9:10" x14ac:dyDescent="0.35">
      <c r="I23476" s="63"/>
      <c r="J23476" s="63"/>
    </row>
    <row r="23477" spans="9:10" x14ac:dyDescent="0.35">
      <c r="I23477" s="63"/>
      <c r="J23477" s="63"/>
    </row>
    <row r="23478" spans="9:10" x14ac:dyDescent="0.35">
      <c r="I23478" s="63"/>
      <c r="J23478" s="63"/>
    </row>
    <row r="23479" spans="9:10" x14ac:dyDescent="0.35">
      <c r="I23479" s="63"/>
      <c r="J23479" s="63"/>
    </row>
    <row r="23480" spans="9:10" x14ac:dyDescent="0.35">
      <c r="I23480" s="63"/>
      <c r="J23480" s="63"/>
    </row>
    <row r="23481" spans="9:10" x14ac:dyDescent="0.35">
      <c r="I23481" s="63"/>
      <c r="J23481" s="63"/>
    </row>
    <row r="23482" spans="9:10" x14ac:dyDescent="0.35">
      <c r="I23482" s="63"/>
      <c r="J23482" s="63"/>
    </row>
    <row r="23483" spans="9:10" x14ac:dyDescent="0.35">
      <c r="I23483" s="63"/>
      <c r="J23483" s="63"/>
    </row>
    <row r="23484" spans="9:10" x14ac:dyDescent="0.35">
      <c r="I23484" s="63"/>
      <c r="J23484" s="63"/>
    </row>
    <row r="23485" spans="9:10" x14ac:dyDescent="0.35">
      <c r="I23485" s="63"/>
      <c r="J23485" s="63"/>
    </row>
    <row r="23486" spans="9:10" x14ac:dyDescent="0.35">
      <c r="I23486" s="63"/>
      <c r="J23486" s="63"/>
    </row>
    <row r="23487" spans="9:10" x14ac:dyDescent="0.35">
      <c r="I23487" s="63"/>
      <c r="J23487" s="63"/>
    </row>
    <row r="23488" spans="9:10" x14ac:dyDescent="0.35">
      <c r="I23488" s="63"/>
      <c r="J23488" s="63"/>
    </row>
    <row r="23489" spans="9:10" x14ac:dyDescent="0.35">
      <c r="I23489" s="63"/>
      <c r="J23489" s="63"/>
    </row>
    <row r="23490" spans="9:10" x14ac:dyDescent="0.35">
      <c r="I23490" s="63"/>
      <c r="J23490" s="63"/>
    </row>
    <row r="23491" spans="9:10" x14ac:dyDescent="0.35">
      <c r="I23491" s="63"/>
      <c r="J23491" s="63"/>
    </row>
    <row r="23492" spans="9:10" x14ac:dyDescent="0.35">
      <c r="I23492" s="63"/>
      <c r="J23492" s="63"/>
    </row>
    <row r="23493" spans="9:10" x14ac:dyDescent="0.35">
      <c r="I23493" s="63"/>
      <c r="J23493" s="63"/>
    </row>
    <row r="23494" spans="9:10" x14ac:dyDescent="0.35">
      <c r="I23494" s="63"/>
      <c r="J23494" s="63"/>
    </row>
    <row r="23495" spans="9:10" x14ac:dyDescent="0.35">
      <c r="I23495" s="63"/>
      <c r="J23495" s="63"/>
    </row>
    <row r="23496" spans="9:10" x14ac:dyDescent="0.35">
      <c r="I23496" s="63"/>
      <c r="J23496" s="63"/>
    </row>
    <row r="23497" spans="9:10" x14ac:dyDescent="0.35">
      <c r="I23497" s="63"/>
      <c r="J23497" s="63"/>
    </row>
    <row r="23498" spans="9:10" x14ac:dyDescent="0.35">
      <c r="I23498" s="63"/>
      <c r="J23498" s="63"/>
    </row>
    <row r="23499" spans="9:10" x14ac:dyDescent="0.35">
      <c r="I23499" s="63"/>
      <c r="J23499" s="63"/>
    </row>
    <row r="23500" spans="9:10" x14ac:dyDescent="0.35">
      <c r="I23500" s="63"/>
      <c r="J23500" s="63"/>
    </row>
    <row r="23501" spans="9:10" x14ac:dyDescent="0.35">
      <c r="I23501" s="63"/>
      <c r="J23501" s="63"/>
    </row>
    <row r="23502" spans="9:10" x14ac:dyDescent="0.35">
      <c r="I23502" s="63"/>
      <c r="J23502" s="63"/>
    </row>
    <row r="23503" spans="9:10" x14ac:dyDescent="0.35">
      <c r="I23503" s="63"/>
      <c r="J23503" s="63"/>
    </row>
    <row r="23504" spans="9:10" x14ac:dyDescent="0.35">
      <c r="I23504" s="63"/>
      <c r="J23504" s="63"/>
    </row>
    <row r="23505" spans="9:10" x14ac:dyDescent="0.35">
      <c r="I23505" s="63"/>
      <c r="J23505" s="63"/>
    </row>
    <row r="23506" spans="9:10" x14ac:dyDescent="0.35">
      <c r="I23506" s="63"/>
      <c r="J23506" s="63"/>
    </row>
    <row r="23507" spans="9:10" x14ac:dyDescent="0.35">
      <c r="I23507" s="63"/>
      <c r="J23507" s="63"/>
    </row>
    <row r="23508" spans="9:10" x14ac:dyDescent="0.35">
      <c r="I23508" s="63"/>
      <c r="J23508" s="63"/>
    </row>
    <row r="23509" spans="9:10" x14ac:dyDescent="0.35">
      <c r="I23509" s="63"/>
      <c r="J23509" s="63"/>
    </row>
    <row r="23510" spans="9:10" x14ac:dyDescent="0.35">
      <c r="I23510" s="63"/>
      <c r="J23510" s="63"/>
    </row>
    <row r="23511" spans="9:10" x14ac:dyDescent="0.35">
      <c r="I23511" s="63"/>
      <c r="J23511" s="63"/>
    </row>
    <row r="23512" spans="9:10" x14ac:dyDescent="0.35">
      <c r="I23512" s="63"/>
      <c r="J23512" s="63"/>
    </row>
    <row r="23513" spans="9:10" x14ac:dyDescent="0.35">
      <c r="I23513" s="63"/>
      <c r="J23513" s="63"/>
    </row>
    <row r="23514" spans="9:10" x14ac:dyDescent="0.35">
      <c r="I23514" s="63"/>
      <c r="J23514" s="63"/>
    </row>
    <row r="23515" spans="9:10" x14ac:dyDescent="0.35">
      <c r="I23515" s="63"/>
      <c r="J23515" s="63"/>
    </row>
    <row r="23516" spans="9:10" x14ac:dyDescent="0.35">
      <c r="I23516" s="63"/>
      <c r="J23516" s="63"/>
    </row>
    <row r="23517" spans="9:10" x14ac:dyDescent="0.35">
      <c r="I23517" s="63"/>
      <c r="J23517" s="63"/>
    </row>
    <row r="23518" spans="9:10" x14ac:dyDescent="0.35">
      <c r="I23518" s="63"/>
      <c r="J23518" s="63"/>
    </row>
    <row r="23519" spans="9:10" x14ac:dyDescent="0.35">
      <c r="I23519" s="63"/>
      <c r="J23519" s="63"/>
    </row>
    <row r="23520" spans="9:10" x14ac:dyDescent="0.35">
      <c r="I23520" s="63"/>
      <c r="J23520" s="63"/>
    </row>
    <row r="23521" spans="9:10" x14ac:dyDescent="0.35">
      <c r="I23521" s="63"/>
      <c r="J23521" s="63"/>
    </row>
    <row r="23522" spans="9:10" x14ac:dyDescent="0.35">
      <c r="I23522" s="63"/>
      <c r="J23522" s="63"/>
    </row>
    <row r="23523" spans="9:10" x14ac:dyDescent="0.35">
      <c r="I23523" s="63"/>
      <c r="J23523" s="63"/>
    </row>
    <row r="23524" spans="9:10" x14ac:dyDescent="0.35">
      <c r="I23524" s="63"/>
      <c r="J23524" s="63"/>
    </row>
    <row r="23525" spans="9:10" x14ac:dyDescent="0.35">
      <c r="I23525" s="63"/>
      <c r="J23525" s="63"/>
    </row>
    <row r="23526" spans="9:10" x14ac:dyDescent="0.35">
      <c r="I23526" s="63"/>
      <c r="J23526" s="63"/>
    </row>
    <row r="23527" spans="9:10" x14ac:dyDescent="0.35">
      <c r="I23527" s="63"/>
      <c r="J23527" s="63"/>
    </row>
    <row r="23528" spans="9:10" x14ac:dyDescent="0.35">
      <c r="I23528" s="63"/>
      <c r="J23528" s="63"/>
    </row>
    <row r="23529" spans="9:10" x14ac:dyDescent="0.35">
      <c r="I23529" s="63"/>
      <c r="J23529" s="63"/>
    </row>
    <row r="23530" spans="9:10" x14ac:dyDescent="0.35">
      <c r="I23530" s="63"/>
      <c r="J23530" s="63"/>
    </row>
    <row r="23531" spans="9:10" x14ac:dyDescent="0.35">
      <c r="I23531" s="63"/>
      <c r="J23531" s="63"/>
    </row>
    <row r="23532" spans="9:10" x14ac:dyDescent="0.35">
      <c r="I23532" s="63"/>
      <c r="J23532" s="63"/>
    </row>
    <row r="23533" spans="9:10" x14ac:dyDescent="0.35">
      <c r="I23533" s="63"/>
      <c r="J23533" s="63"/>
    </row>
    <row r="23534" spans="9:10" x14ac:dyDescent="0.35">
      <c r="I23534" s="63"/>
      <c r="J23534" s="63"/>
    </row>
    <row r="23535" spans="9:10" x14ac:dyDescent="0.35">
      <c r="I23535" s="63"/>
      <c r="J23535" s="63"/>
    </row>
    <row r="23536" spans="9:10" x14ac:dyDescent="0.35">
      <c r="I23536" s="63"/>
      <c r="J23536" s="63"/>
    </row>
    <row r="23537" spans="9:10" x14ac:dyDescent="0.35">
      <c r="I23537" s="63"/>
      <c r="J23537" s="63"/>
    </row>
    <row r="23538" spans="9:10" x14ac:dyDescent="0.35">
      <c r="I23538" s="63"/>
      <c r="J23538" s="63"/>
    </row>
    <row r="23539" spans="9:10" x14ac:dyDescent="0.35">
      <c r="I23539" s="63"/>
      <c r="J23539" s="63"/>
    </row>
    <row r="23540" spans="9:10" x14ac:dyDescent="0.35">
      <c r="I23540" s="63"/>
      <c r="J23540" s="63"/>
    </row>
    <row r="23541" spans="9:10" x14ac:dyDescent="0.35">
      <c r="I23541" s="63"/>
      <c r="J23541" s="63"/>
    </row>
    <row r="23542" spans="9:10" x14ac:dyDescent="0.35">
      <c r="I23542" s="63"/>
      <c r="J23542" s="63"/>
    </row>
    <row r="23543" spans="9:10" x14ac:dyDescent="0.35">
      <c r="I23543" s="63"/>
      <c r="J23543" s="63"/>
    </row>
    <row r="23544" spans="9:10" x14ac:dyDescent="0.35">
      <c r="I23544" s="63"/>
      <c r="J23544" s="63"/>
    </row>
    <row r="23545" spans="9:10" x14ac:dyDescent="0.35">
      <c r="I23545" s="63"/>
      <c r="J23545" s="63"/>
    </row>
    <row r="23546" spans="9:10" x14ac:dyDescent="0.35">
      <c r="I23546" s="63"/>
      <c r="J23546" s="63"/>
    </row>
    <row r="23547" spans="9:10" x14ac:dyDescent="0.35">
      <c r="I23547" s="63"/>
      <c r="J23547" s="63"/>
    </row>
    <row r="23548" spans="9:10" x14ac:dyDescent="0.35">
      <c r="I23548" s="63"/>
      <c r="J23548" s="63"/>
    </row>
    <row r="23549" spans="9:10" x14ac:dyDescent="0.35">
      <c r="I23549" s="63"/>
      <c r="J23549" s="63"/>
    </row>
    <row r="23550" spans="9:10" x14ac:dyDescent="0.35">
      <c r="I23550" s="63"/>
      <c r="J23550" s="63"/>
    </row>
    <row r="23551" spans="9:10" x14ac:dyDescent="0.35">
      <c r="I23551" s="63"/>
      <c r="J23551" s="63"/>
    </row>
    <row r="23552" spans="9:10" x14ac:dyDescent="0.35">
      <c r="I23552" s="63"/>
      <c r="J23552" s="63"/>
    </row>
    <row r="23553" spans="9:10" x14ac:dyDescent="0.35">
      <c r="I23553" s="63"/>
      <c r="J23553" s="63"/>
    </row>
    <row r="23554" spans="9:10" x14ac:dyDescent="0.35">
      <c r="I23554" s="63"/>
      <c r="J23554" s="63"/>
    </row>
    <row r="23555" spans="9:10" x14ac:dyDescent="0.35">
      <c r="I23555" s="63"/>
      <c r="J23555" s="63"/>
    </row>
    <row r="23556" spans="9:10" x14ac:dyDescent="0.35">
      <c r="I23556" s="63"/>
      <c r="J23556" s="63"/>
    </row>
    <row r="23557" spans="9:10" x14ac:dyDescent="0.35">
      <c r="I23557" s="63"/>
      <c r="J23557" s="63"/>
    </row>
    <row r="23558" spans="9:10" x14ac:dyDescent="0.35">
      <c r="I23558" s="63"/>
      <c r="J23558" s="63"/>
    </row>
    <row r="23559" spans="9:10" x14ac:dyDescent="0.35">
      <c r="I23559" s="63"/>
      <c r="J23559" s="63"/>
    </row>
    <row r="23560" spans="9:10" x14ac:dyDescent="0.35">
      <c r="I23560" s="63"/>
      <c r="J23560" s="63"/>
    </row>
    <row r="23561" spans="9:10" x14ac:dyDescent="0.35">
      <c r="I23561" s="63"/>
      <c r="J23561" s="63"/>
    </row>
    <row r="23562" spans="9:10" x14ac:dyDescent="0.35">
      <c r="I23562" s="63"/>
      <c r="J23562" s="63"/>
    </row>
    <row r="23563" spans="9:10" x14ac:dyDescent="0.35">
      <c r="I23563" s="63"/>
      <c r="J23563" s="63"/>
    </row>
    <row r="23564" spans="9:10" x14ac:dyDescent="0.35">
      <c r="I23564" s="63"/>
      <c r="J23564" s="63"/>
    </row>
    <row r="23565" spans="9:10" x14ac:dyDescent="0.35">
      <c r="I23565" s="63"/>
      <c r="J23565" s="63"/>
    </row>
    <row r="23566" spans="9:10" x14ac:dyDescent="0.35">
      <c r="I23566" s="63"/>
      <c r="J23566" s="63"/>
    </row>
    <row r="23567" spans="9:10" x14ac:dyDescent="0.35">
      <c r="I23567" s="63"/>
      <c r="J23567" s="63"/>
    </row>
    <row r="23568" spans="9:10" x14ac:dyDescent="0.35">
      <c r="I23568" s="63"/>
      <c r="J23568" s="63"/>
    </row>
    <row r="23569" spans="9:10" x14ac:dyDescent="0.35">
      <c r="I23569" s="63"/>
      <c r="J23569" s="63"/>
    </row>
    <row r="23570" spans="9:10" x14ac:dyDescent="0.35">
      <c r="I23570" s="63"/>
      <c r="J23570" s="63"/>
    </row>
    <row r="23571" spans="9:10" x14ac:dyDescent="0.35">
      <c r="I23571" s="63"/>
      <c r="J23571" s="63"/>
    </row>
    <row r="23572" spans="9:10" x14ac:dyDescent="0.35">
      <c r="I23572" s="63"/>
      <c r="J23572" s="63"/>
    </row>
    <row r="23573" spans="9:10" x14ac:dyDescent="0.35">
      <c r="I23573" s="63"/>
      <c r="J23573" s="63"/>
    </row>
    <row r="23574" spans="9:10" x14ac:dyDescent="0.35">
      <c r="I23574" s="63"/>
      <c r="J23574" s="63"/>
    </row>
    <row r="23575" spans="9:10" x14ac:dyDescent="0.35">
      <c r="I23575" s="63"/>
      <c r="J23575" s="63"/>
    </row>
    <row r="23576" spans="9:10" x14ac:dyDescent="0.35">
      <c r="I23576" s="63"/>
      <c r="J23576" s="63"/>
    </row>
    <row r="23577" spans="9:10" x14ac:dyDescent="0.35">
      <c r="I23577" s="63"/>
      <c r="J23577" s="63"/>
    </row>
    <row r="23578" spans="9:10" x14ac:dyDescent="0.35">
      <c r="I23578" s="63"/>
      <c r="J23578" s="63"/>
    </row>
    <row r="23579" spans="9:10" x14ac:dyDescent="0.35">
      <c r="I23579" s="63"/>
      <c r="J23579" s="63"/>
    </row>
    <row r="23580" spans="9:10" x14ac:dyDescent="0.35">
      <c r="I23580" s="63"/>
      <c r="J23580" s="63"/>
    </row>
    <row r="23581" spans="9:10" x14ac:dyDescent="0.35">
      <c r="I23581" s="63"/>
      <c r="J23581" s="63"/>
    </row>
    <row r="23582" spans="9:10" x14ac:dyDescent="0.35">
      <c r="I23582" s="63"/>
      <c r="J23582" s="63"/>
    </row>
    <row r="23583" spans="9:10" x14ac:dyDescent="0.35">
      <c r="I23583" s="63"/>
      <c r="J23583" s="63"/>
    </row>
    <row r="23584" spans="9:10" x14ac:dyDescent="0.35">
      <c r="I23584" s="63"/>
      <c r="J23584" s="63"/>
    </row>
    <row r="23585" spans="9:10" x14ac:dyDescent="0.35">
      <c r="I23585" s="63"/>
      <c r="J23585" s="63"/>
    </row>
    <row r="23586" spans="9:10" x14ac:dyDescent="0.35">
      <c r="I23586" s="63"/>
      <c r="J23586" s="63"/>
    </row>
    <row r="23587" spans="9:10" x14ac:dyDescent="0.35">
      <c r="I23587" s="63"/>
      <c r="J23587" s="63"/>
    </row>
    <row r="23588" spans="9:10" x14ac:dyDescent="0.35">
      <c r="I23588" s="63"/>
      <c r="J23588" s="63"/>
    </row>
    <row r="23589" spans="9:10" x14ac:dyDescent="0.35">
      <c r="I23589" s="63"/>
      <c r="J23589" s="63"/>
    </row>
    <row r="23590" spans="9:10" x14ac:dyDescent="0.35">
      <c r="I23590" s="63"/>
      <c r="J23590" s="63"/>
    </row>
    <row r="23591" spans="9:10" x14ac:dyDescent="0.35">
      <c r="I23591" s="63"/>
      <c r="J23591" s="63"/>
    </row>
    <row r="23592" spans="9:10" x14ac:dyDescent="0.35">
      <c r="I23592" s="63"/>
      <c r="J23592" s="63"/>
    </row>
    <row r="23593" spans="9:10" x14ac:dyDescent="0.35">
      <c r="I23593" s="63"/>
      <c r="J23593" s="63"/>
    </row>
    <row r="23594" spans="9:10" x14ac:dyDescent="0.35">
      <c r="I23594" s="63"/>
      <c r="J23594" s="63"/>
    </row>
    <row r="23595" spans="9:10" x14ac:dyDescent="0.35">
      <c r="I23595" s="63"/>
      <c r="J23595" s="63"/>
    </row>
    <row r="23596" spans="9:10" x14ac:dyDescent="0.35">
      <c r="I23596" s="63"/>
      <c r="J23596" s="63"/>
    </row>
    <row r="23597" spans="9:10" x14ac:dyDescent="0.35">
      <c r="I23597" s="63"/>
      <c r="J23597" s="63"/>
    </row>
    <row r="23598" spans="9:10" x14ac:dyDescent="0.35">
      <c r="I23598" s="63"/>
      <c r="J23598" s="63"/>
    </row>
    <row r="23599" spans="9:10" x14ac:dyDescent="0.35">
      <c r="I23599" s="63"/>
      <c r="J23599" s="63"/>
    </row>
    <row r="23600" spans="9:10" x14ac:dyDescent="0.35">
      <c r="I23600" s="63"/>
      <c r="J23600" s="63"/>
    </row>
    <row r="23601" spans="9:10" x14ac:dyDescent="0.35">
      <c r="I23601" s="63"/>
      <c r="J23601" s="63"/>
    </row>
    <row r="23602" spans="9:10" x14ac:dyDescent="0.35">
      <c r="I23602" s="63"/>
      <c r="J23602" s="63"/>
    </row>
    <row r="23603" spans="9:10" x14ac:dyDescent="0.35">
      <c r="I23603" s="63"/>
      <c r="J23603" s="63"/>
    </row>
    <row r="23604" spans="9:10" x14ac:dyDescent="0.35">
      <c r="I23604" s="63"/>
      <c r="J23604" s="63"/>
    </row>
    <row r="23605" spans="9:10" x14ac:dyDescent="0.35">
      <c r="I23605" s="63"/>
      <c r="J23605" s="63"/>
    </row>
    <row r="23606" spans="9:10" x14ac:dyDescent="0.35">
      <c r="I23606" s="63"/>
      <c r="J23606" s="63"/>
    </row>
    <row r="23607" spans="9:10" x14ac:dyDescent="0.35">
      <c r="I23607" s="63"/>
      <c r="J23607" s="63"/>
    </row>
    <row r="23608" spans="9:10" x14ac:dyDescent="0.35">
      <c r="I23608" s="63"/>
      <c r="J23608" s="63"/>
    </row>
    <row r="23609" spans="9:10" x14ac:dyDescent="0.35">
      <c r="I23609" s="63"/>
      <c r="J23609" s="63"/>
    </row>
    <row r="23610" spans="9:10" x14ac:dyDescent="0.35">
      <c r="I23610" s="63"/>
      <c r="J23610" s="63"/>
    </row>
    <row r="23611" spans="9:10" x14ac:dyDescent="0.35">
      <c r="I23611" s="63"/>
      <c r="J23611" s="63"/>
    </row>
    <row r="23612" spans="9:10" x14ac:dyDescent="0.35">
      <c r="I23612" s="63"/>
      <c r="J23612" s="63"/>
    </row>
    <row r="23613" spans="9:10" x14ac:dyDescent="0.35">
      <c r="I23613" s="63"/>
      <c r="J23613" s="63"/>
    </row>
    <row r="23614" spans="9:10" x14ac:dyDescent="0.35">
      <c r="I23614" s="63"/>
      <c r="J23614" s="63"/>
    </row>
    <row r="23615" spans="9:10" x14ac:dyDescent="0.35">
      <c r="I23615" s="63"/>
      <c r="J23615" s="63"/>
    </row>
    <row r="23616" spans="9:10" x14ac:dyDescent="0.35">
      <c r="I23616" s="63"/>
      <c r="J23616" s="63"/>
    </row>
    <row r="23617" spans="9:10" x14ac:dyDescent="0.35">
      <c r="I23617" s="63"/>
      <c r="J23617" s="63"/>
    </row>
    <row r="23618" spans="9:10" x14ac:dyDescent="0.35">
      <c r="I23618" s="63"/>
      <c r="J23618" s="63"/>
    </row>
    <row r="23619" spans="9:10" x14ac:dyDescent="0.35">
      <c r="I23619" s="63"/>
      <c r="J23619" s="63"/>
    </row>
    <row r="23620" spans="9:10" x14ac:dyDescent="0.35">
      <c r="I23620" s="63"/>
      <c r="J23620" s="63"/>
    </row>
    <row r="23621" spans="9:10" x14ac:dyDescent="0.35">
      <c r="I23621" s="63"/>
      <c r="J23621" s="63"/>
    </row>
    <row r="23622" spans="9:10" x14ac:dyDescent="0.35">
      <c r="I23622" s="63"/>
      <c r="J23622" s="63"/>
    </row>
    <row r="23623" spans="9:10" x14ac:dyDescent="0.35">
      <c r="I23623" s="63"/>
      <c r="J23623" s="63"/>
    </row>
    <row r="23624" spans="9:10" x14ac:dyDescent="0.35">
      <c r="I23624" s="63"/>
      <c r="J23624" s="63"/>
    </row>
    <row r="23625" spans="9:10" x14ac:dyDescent="0.35">
      <c r="I23625" s="63"/>
      <c r="J23625" s="63"/>
    </row>
    <row r="23626" spans="9:10" x14ac:dyDescent="0.35">
      <c r="I23626" s="63"/>
      <c r="J23626" s="63"/>
    </row>
    <row r="23627" spans="9:10" x14ac:dyDescent="0.35">
      <c r="I23627" s="63"/>
      <c r="J23627" s="63"/>
    </row>
    <row r="23628" spans="9:10" x14ac:dyDescent="0.35">
      <c r="I23628" s="63"/>
      <c r="J23628" s="63"/>
    </row>
    <row r="23629" spans="9:10" x14ac:dyDescent="0.35">
      <c r="I23629" s="63"/>
      <c r="J23629" s="63"/>
    </row>
    <row r="23630" spans="9:10" x14ac:dyDescent="0.35">
      <c r="I23630" s="63"/>
      <c r="J23630" s="63"/>
    </row>
    <row r="23631" spans="9:10" x14ac:dyDescent="0.35">
      <c r="I23631" s="63"/>
      <c r="J23631" s="63"/>
    </row>
    <row r="23632" spans="9:10" x14ac:dyDescent="0.35">
      <c r="I23632" s="63"/>
      <c r="J23632" s="63"/>
    </row>
    <row r="23633" spans="9:10" x14ac:dyDescent="0.35">
      <c r="I23633" s="63"/>
      <c r="J23633" s="63"/>
    </row>
    <row r="23634" spans="9:10" x14ac:dyDescent="0.35">
      <c r="I23634" s="63"/>
      <c r="J23634" s="63"/>
    </row>
    <row r="23635" spans="9:10" x14ac:dyDescent="0.35">
      <c r="I23635" s="63"/>
      <c r="J23635" s="63"/>
    </row>
    <row r="23636" spans="9:10" x14ac:dyDescent="0.35">
      <c r="I23636" s="63"/>
      <c r="J23636" s="63"/>
    </row>
    <row r="23637" spans="9:10" x14ac:dyDescent="0.35">
      <c r="I23637" s="63"/>
      <c r="J23637" s="63"/>
    </row>
    <row r="23638" spans="9:10" x14ac:dyDescent="0.35">
      <c r="I23638" s="63"/>
      <c r="J23638" s="63"/>
    </row>
    <row r="23639" spans="9:10" x14ac:dyDescent="0.35">
      <c r="I23639" s="63"/>
      <c r="J23639" s="63"/>
    </row>
    <row r="23640" spans="9:10" x14ac:dyDescent="0.35">
      <c r="I23640" s="63"/>
      <c r="J23640" s="63"/>
    </row>
    <row r="23641" spans="9:10" x14ac:dyDescent="0.35">
      <c r="I23641" s="63"/>
      <c r="J23641" s="63"/>
    </row>
    <row r="23642" spans="9:10" x14ac:dyDescent="0.35">
      <c r="I23642" s="63"/>
      <c r="J23642" s="63"/>
    </row>
    <row r="23643" spans="9:10" x14ac:dyDescent="0.35">
      <c r="I23643" s="63"/>
      <c r="J23643" s="63"/>
    </row>
    <row r="23644" spans="9:10" x14ac:dyDescent="0.35">
      <c r="I23644" s="63"/>
      <c r="J23644" s="63"/>
    </row>
    <row r="23645" spans="9:10" x14ac:dyDescent="0.35">
      <c r="I23645" s="63"/>
      <c r="J23645" s="63"/>
    </row>
    <row r="23646" spans="9:10" x14ac:dyDescent="0.35">
      <c r="I23646" s="63"/>
      <c r="J23646" s="63"/>
    </row>
    <row r="23647" spans="9:10" x14ac:dyDescent="0.35">
      <c r="I23647" s="63"/>
      <c r="J23647" s="63"/>
    </row>
    <row r="23648" spans="9:10" x14ac:dyDescent="0.35">
      <c r="I23648" s="63"/>
      <c r="J23648" s="63"/>
    </row>
    <row r="23649" spans="9:10" x14ac:dyDescent="0.35">
      <c r="I23649" s="63"/>
      <c r="J23649" s="63"/>
    </row>
    <row r="23650" spans="9:10" x14ac:dyDescent="0.35">
      <c r="I23650" s="63"/>
      <c r="J23650" s="63"/>
    </row>
    <row r="23651" spans="9:10" x14ac:dyDescent="0.35">
      <c r="I23651" s="63"/>
      <c r="J23651" s="63"/>
    </row>
    <row r="23652" spans="9:10" x14ac:dyDescent="0.35">
      <c r="I23652" s="63"/>
      <c r="J23652" s="63"/>
    </row>
    <row r="23653" spans="9:10" x14ac:dyDescent="0.35">
      <c r="I23653" s="63"/>
      <c r="J23653" s="63"/>
    </row>
    <row r="23654" spans="9:10" x14ac:dyDescent="0.35">
      <c r="I23654" s="63"/>
      <c r="J23654" s="63"/>
    </row>
    <row r="23655" spans="9:10" x14ac:dyDescent="0.35">
      <c r="I23655" s="63"/>
      <c r="J23655" s="63"/>
    </row>
    <row r="23656" spans="9:10" x14ac:dyDescent="0.35">
      <c r="I23656" s="63"/>
      <c r="J23656" s="63"/>
    </row>
    <row r="23657" spans="9:10" x14ac:dyDescent="0.35">
      <c r="I23657" s="63"/>
      <c r="J23657" s="63"/>
    </row>
    <row r="23658" spans="9:10" x14ac:dyDescent="0.35">
      <c r="I23658" s="63"/>
      <c r="J23658" s="63"/>
    </row>
    <row r="23659" spans="9:10" x14ac:dyDescent="0.35">
      <c r="I23659" s="63"/>
      <c r="J23659" s="63"/>
    </row>
    <row r="23660" spans="9:10" x14ac:dyDescent="0.35">
      <c r="I23660" s="63"/>
      <c r="J23660" s="63"/>
    </row>
    <row r="23661" spans="9:10" x14ac:dyDescent="0.35">
      <c r="I23661" s="63"/>
      <c r="J23661" s="63"/>
    </row>
    <row r="23662" spans="9:10" x14ac:dyDescent="0.35">
      <c r="I23662" s="63"/>
      <c r="J23662" s="63"/>
    </row>
    <row r="23663" spans="9:10" x14ac:dyDescent="0.35">
      <c r="I23663" s="63"/>
      <c r="J23663" s="63"/>
    </row>
    <row r="23664" spans="9:10" x14ac:dyDescent="0.35">
      <c r="I23664" s="63"/>
      <c r="J23664" s="63"/>
    </row>
    <row r="23665" spans="9:10" x14ac:dyDescent="0.35">
      <c r="I23665" s="63"/>
      <c r="J23665" s="63"/>
    </row>
    <row r="23666" spans="9:10" x14ac:dyDescent="0.35">
      <c r="I23666" s="63"/>
      <c r="J23666" s="63"/>
    </row>
    <row r="23667" spans="9:10" x14ac:dyDescent="0.35">
      <c r="I23667" s="63"/>
      <c r="J23667" s="63"/>
    </row>
    <row r="23668" spans="9:10" x14ac:dyDescent="0.35">
      <c r="I23668" s="63"/>
      <c r="J23668" s="63"/>
    </row>
    <row r="23669" spans="9:10" x14ac:dyDescent="0.35">
      <c r="I23669" s="63"/>
      <c r="J23669" s="63"/>
    </row>
    <row r="23670" spans="9:10" x14ac:dyDescent="0.35">
      <c r="I23670" s="63"/>
      <c r="J23670" s="63"/>
    </row>
    <row r="23671" spans="9:10" x14ac:dyDescent="0.35">
      <c r="I23671" s="63"/>
      <c r="J23671" s="63"/>
    </row>
    <row r="23672" spans="9:10" x14ac:dyDescent="0.35">
      <c r="I23672" s="63"/>
      <c r="J23672" s="63"/>
    </row>
    <row r="23673" spans="9:10" x14ac:dyDescent="0.35">
      <c r="I23673" s="63"/>
      <c r="J23673" s="63"/>
    </row>
    <row r="23674" spans="9:10" x14ac:dyDescent="0.35">
      <c r="I23674" s="63"/>
      <c r="J23674" s="63"/>
    </row>
    <row r="23675" spans="9:10" x14ac:dyDescent="0.35">
      <c r="I23675" s="63"/>
      <c r="J23675" s="63"/>
    </row>
    <row r="23676" spans="9:10" x14ac:dyDescent="0.35">
      <c r="I23676" s="63"/>
      <c r="J23676" s="63"/>
    </row>
    <row r="23677" spans="9:10" x14ac:dyDescent="0.35">
      <c r="I23677" s="63"/>
      <c r="J23677" s="63"/>
    </row>
    <row r="23678" spans="9:10" x14ac:dyDescent="0.35">
      <c r="I23678" s="63"/>
      <c r="J23678" s="63"/>
    </row>
    <row r="23679" spans="9:10" x14ac:dyDescent="0.35">
      <c r="I23679" s="63"/>
      <c r="J23679" s="63"/>
    </row>
    <row r="23680" spans="9:10" x14ac:dyDescent="0.35">
      <c r="I23680" s="63"/>
      <c r="J23680" s="63"/>
    </row>
    <row r="23681" spans="9:10" x14ac:dyDescent="0.35">
      <c r="I23681" s="63"/>
      <c r="J23681" s="63"/>
    </row>
    <row r="23682" spans="9:10" x14ac:dyDescent="0.35">
      <c r="I23682" s="63"/>
      <c r="J23682" s="63"/>
    </row>
    <row r="23683" spans="9:10" x14ac:dyDescent="0.35">
      <c r="I23683" s="63"/>
      <c r="J23683" s="63"/>
    </row>
    <row r="23684" spans="9:10" x14ac:dyDescent="0.35">
      <c r="I23684" s="63"/>
      <c r="J23684" s="63"/>
    </row>
    <row r="23685" spans="9:10" x14ac:dyDescent="0.35">
      <c r="I23685" s="63"/>
      <c r="J23685" s="63"/>
    </row>
    <row r="23686" spans="9:10" x14ac:dyDescent="0.35">
      <c r="I23686" s="63"/>
      <c r="J23686" s="63"/>
    </row>
    <row r="23687" spans="9:10" x14ac:dyDescent="0.35">
      <c r="I23687" s="63"/>
      <c r="J23687" s="63"/>
    </row>
    <row r="23688" spans="9:10" x14ac:dyDescent="0.35">
      <c r="I23688" s="63"/>
      <c r="J23688" s="63"/>
    </row>
    <row r="23689" spans="9:10" x14ac:dyDescent="0.35">
      <c r="I23689" s="63"/>
      <c r="J23689" s="63"/>
    </row>
    <row r="23690" spans="9:10" x14ac:dyDescent="0.35">
      <c r="I23690" s="63"/>
      <c r="J23690" s="63"/>
    </row>
    <row r="23691" spans="9:10" x14ac:dyDescent="0.35">
      <c r="I23691" s="63"/>
      <c r="J23691" s="63"/>
    </row>
    <row r="23692" spans="9:10" x14ac:dyDescent="0.35">
      <c r="I23692" s="63"/>
      <c r="J23692" s="63"/>
    </row>
    <row r="23693" spans="9:10" x14ac:dyDescent="0.35">
      <c r="I23693" s="63"/>
      <c r="J23693" s="63"/>
    </row>
    <row r="23694" spans="9:10" x14ac:dyDescent="0.35">
      <c r="I23694" s="63"/>
      <c r="J23694" s="63"/>
    </row>
    <row r="23695" spans="9:10" x14ac:dyDescent="0.35">
      <c r="I23695" s="63"/>
      <c r="J23695" s="63"/>
    </row>
    <row r="23696" spans="9:10" x14ac:dyDescent="0.35">
      <c r="I23696" s="63"/>
      <c r="J23696" s="63"/>
    </row>
    <row r="23697" spans="9:10" x14ac:dyDescent="0.35">
      <c r="I23697" s="63"/>
      <c r="J23697" s="63"/>
    </row>
    <row r="23698" spans="9:10" x14ac:dyDescent="0.35">
      <c r="I23698" s="63"/>
      <c r="J23698" s="63"/>
    </row>
    <row r="23699" spans="9:10" x14ac:dyDescent="0.35">
      <c r="I23699" s="63"/>
      <c r="J23699" s="63"/>
    </row>
    <row r="23700" spans="9:10" x14ac:dyDescent="0.35">
      <c r="I23700" s="63"/>
      <c r="J23700" s="63"/>
    </row>
    <row r="23701" spans="9:10" x14ac:dyDescent="0.35">
      <c r="I23701" s="63"/>
      <c r="J23701" s="63"/>
    </row>
    <row r="23702" spans="9:10" x14ac:dyDescent="0.35">
      <c r="I23702" s="63"/>
      <c r="J23702" s="63"/>
    </row>
    <row r="23703" spans="9:10" x14ac:dyDescent="0.35">
      <c r="I23703" s="63"/>
      <c r="J23703" s="63"/>
    </row>
    <row r="23704" spans="9:10" x14ac:dyDescent="0.35">
      <c r="I23704" s="63"/>
      <c r="J23704" s="63"/>
    </row>
    <row r="23705" spans="9:10" x14ac:dyDescent="0.35">
      <c r="I23705" s="63"/>
      <c r="J23705" s="63"/>
    </row>
    <row r="23706" spans="9:10" x14ac:dyDescent="0.35">
      <c r="I23706" s="63"/>
      <c r="J23706" s="63"/>
    </row>
    <row r="23707" spans="9:10" x14ac:dyDescent="0.35">
      <c r="I23707" s="63"/>
      <c r="J23707" s="63"/>
    </row>
    <row r="23708" spans="9:10" x14ac:dyDescent="0.35">
      <c r="I23708" s="63"/>
      <c r="J23708" s="63"/>
    </row>
    <row r="23709" spans="9:10" x14ac:dyDescent="0.35">
      <c r="I23709" s="63"/>
      <c r="J23709" s="63"/>
    </row>
    <row r="23710" spans="9:10" x14ac:dyDescent="0.35">
      <c r="I23710" s="63"/>
      <c r="J23710" s="63"/>
    </row>
    <row r="23711" spans="9:10" x14ac:dyDescent="0.35">
      <c r="I23711" s="63"/>
      <c r="J23711" s="63"/>
    </row>
    <row r="23712" spans="9:10" x14ac:dyDescent="0.35">
      <c r="I23712" s="63"/>
      <c r="J23712" s="63"/>
    </row>
    <row r="23713" spans="9:10" x14ac:dyDescent="0.35">
      <c r="I23713" s="63"/>
      <c r="J23713" s="63"/>
    </row>
    <row r="23714" spans="9:10" x14ac:dyDescent="0.35">
      <c r="I23714" s="63"/>
      <c r="J23714" s="63"/>
    </row>
    <row r="23715" spans="9:10" x14ac:dyDescent="0.35">
      <c r="I23715" s="63"/>
      <c r="J23715" s="63"/>
    </row>
    <row r="23716" spans="9:10" x14ac:dyDescent="0.35">
      <c r="I23716" s="63"/>
      <c r="J23716" s="63"/>
    </row>
    <row r="23717" spans="9:10" x14ac:dyDescent="0.35">
      <c r="I23717" s="63"/>
      <c r="J23717" s="63"/>
    </row>
    <row r="23718" spans="9:10" x14ac:dyDescent="0.35">
      <c r="I23718" s="63"/>
      <c r="J23718" s="63"/>
    </row>
    <row r="23719" spans="9:10" x14ac:dyDescent="0.35">
      <c r="I23719" s="63"/>
      <c r="J23719" s="63"/>
    </row>
    <row r="23720" spans="9:10" x14ac:dyDescent="0.35">
      <c r="I23720" s="63"/>
      <c r="J23720" s="63"/>
    </row>
    <row r="23721" spans="9:10" x14ac:dyDescent="0.35">
      <c r="I23721" s="63"/>
      <c r="J23721" s="63"/>
    </row>
    <row r="23722" spans="9:10" x14ac:dyDescent="0.35">
      <c r="I23722" s="63"/>
      <c r="J23722" s="63"/>
    </row>
    <row r="23723" spans="9:10" x14ac:dyDescent="0.35">
      <c r="I23723" s="63"/>
      <c r="J23723" s="63"/>
    </row>
    <row r="23724" spans="9:10" x14ac:dyDescent="0.35">
      <c r="I23724" s="63"/>
      <c r="J23724" s="63"/>
    </row>
    <row r="23725" spans="9:10" x14ac:dyDescent="0.35">
      <c r="I23725" s="63"/>
      <c r="J23725" s="63"/>
    </row>
    <row r="23726" spans="9:10" x14ac:dyDescent="0.35">
      <c r="I23726" s="63"/>
      <c r="J23726" s="63"/>
    </row>
    <row r="23727" spans="9:10" x14ac:dyDescent="0.35">
      <c r="I23727" s="63"/>
      <c r="J23727" s="63"/>
    </row>
    <row r="23728" spans="9:10" x14ac:dyDescent="0.35">
      <c r="I23728" s="63"/>
      <c r="J23728" s="63"/>
    </row>
    <row r="23729" spans="9:10" x14ac:dyDescent="0.35">
      <c r="I23729" s="63"/>
      <c r="J23729" s="63"/>
    </row>
    <row r="23730" spans="9:10" x14ac:dyDescent="0.35">
      <c r="I23730" s="63"/>
      <c r="J23730" s="63"/>
    </row>
    <row r="23731" spans="9:10" x14ac:dyDescent="0.35">
      <c r="I23731" s="63"/>
      <c r="J23731" s="63"/>
    </row>
    <row r="23732" spans="9:10" x14ac:dyDescent="0.35">
      <c r="I23732" s="63"/>
      <c r="J23732" s="63"/>
    </row>
    <row r="23733" spans="9:10" x14ac:dyDescent="0.35">
      <c r="I23733" s="63"/>
      <c r="J23733" s="63"/>
    </row>
    <row r="23734" spans="9:10" x14ac:dyDescent="0.35">
      <c r="I23734" s="63"/>
      <c r="J23734" s="63"/>
    </row>
    <row r="23735" spans="9:10" x14ac:dyDescent="0.35">
      <c r="I23735" s="63"/>
      <c r="J23735" s="63"/>
    </row>
    <row r="23736" spans="9:10" x14ac:dyDescent="0.35">
      <c r="I23736" s="63"/>
      <c r="J23736" s="63"/>
    </row>
    <row r="23737" spans="9:10" x14ac:dyDescent="0.35">
      <c r="I23737" s="63"/>
      <c r="J23737" s="63"/>
    </row>
    <row r="23738" spans="9:10" x14ac:dyDescent="0.35">
      <c r="I23738" s="63"/>
      <c r="J23738" s="63"/>
    </row>
    <row r="23739" spans="9:10" x14ac:dyDescent="0.35">
      <c r="I23739" s="63"/>
      <c r="J23739" s="63"/>
    </row>
    <row r="23740" spans="9:10" x14ac:dyDescent="0.35">
      <c r="I23740" s="63"/>
      <c r="J23740" s="63"/>
    </row>
    <row r="23741" spans="9:10" x14ac:dyDescent="0.35">
      <c r="I23741" s="63"/>
      <c r="J23741" s="63"/>
    </row>
    <row r="23742" spans="9:10" x14ac:dyDescent="0.35">
      <c r="I23742" s="63"/>
      <c r="J23742" s="63"/>
    </row>
    <row r="23743" spans="9:10" x14ac:dyDescent="0.35">
      <c r="I23743" s="63"/>
      <c r="J23743" s="63"/>
    </row>
    <row r="23744" spans="9:10" x14ac:dyDescent="0.35">
      <c r="I23744" s="63"/>
      <c r="J23744" s="63"/>
    </row>
    <row r="23745" spans="9:10" x14ac:dyDescent="0.35">
      <c r="I23745" s="63"/>
      <c r="J23745" s="63"/>
    </row>
    <row r="23746" spans="9:10" x14ac:dyDescent="0.35">
      <c r="I23746" s="63"/>
      <c r="J23746" s="63"/>
    </row>
    <row r="23747" spans="9:10" x14ac:dyDescent="0.35">
      <c r="I23747" s="63"/>
      <c r="J23747" s="63"/>
    </row>
    <row r="23748" spans="9:10" x14ac:dyDescent="0.35">
      <c r="I23748" s="63"/>
      <c r="J23748" s="63"/>
    </row>
    <row r="23749" spans="9:10" x14ac:dyDescent="0.35">
      <c r="I23749" s="63"/>
      <c r="J23749" s="63"/>
    </row>
    <row r="23750" spans="9:10" x14ac:dyDescent="0.35">
      <c r="I23750" s="63"/>
      <c r="J23750" s="63"/>
    </row>
    <row r="23751" spans="9:10" x14ac:dyDescent="0.35">
      <c r="I23751" s="63"/>
      <c r="J23751" s="63"/>
    </row>
    <row r="23752" spans="9:10" x14ac:dyDescent="0.35">
      <c r="I23752" s="63"/>
      <c r="J23752" s="63"/>
    </row>
    <row r="23753" spans="9:10" x14ac:dyDescent="0.35">
      <c r="I23753" s="63"/>
      <c r="J23753" s="63"/>
    </row>
    <row r="23754" spans="9:10" x14ac:dyDescent="0.35">
      <c r="I23754" s="63"/>
      <c r="J23754" s="63"/>
    </row>
    <row r="23755" spans="9:10" x14ac:dyDescent="0.35">
      <c r="I23755" s="63"/>
      <c r="J23755" s="63"/>
    </row>
    <row r="23756" spans="9:10" x14ac:dyDescent="0.35">
      <c r="I23756" s="63"/>
      <c r="J23756" s="63"/>
    </row>
    <row r="23757" spans="9:10" x14ac:dyDescent="0.35">
      <c r="I23757" s="63"/>
      <c r="J23757" s="63"/>
    </row>
    <row r="23758" spans="9:10" x14ac:dyDescent="0.35">
      <c r="I23758" s="63"/>
      <c r="J23758" s="63"/>
    </row>
    <row r="23759" spans="9:10" x14ac:dyDescent="0.35">
      <c r="I23759" s="63"/>
      <c r="J23759" s="63"/>
    </row>
    <row r="23760" spans="9:10" x14ac:dyDescent="0.35">
      <c r="I23760" s="63"/>
      <c r="J23760" s="63"/>
    </row>
    <row r="23761" spans="9:10" x14ac:dyDescent="0.35">
      <c r="I23761" s="63"/>
      <c r="J23761" s="63"/>
    </row>
    <row r="23762" spans="9:10" x14ac:dyDescent="0.35">
      <c r="I23762" s="63"/>
      <c r="J23762" s="63"/>
    </row>
    <row r="23763" spans="9:10" x14ac:dyDescent="0.35">
      <c r="I23763" s="63"/>
      <c r="J23763" s="63"/>
    </row>
    <row r="23764" spans="9:10" x14ac:dyDescent="0.35">
      <c r="I23764" s="63"/>
      <c r="J23764" s="63"/>
    </row>
    <row r="23765" spans="9:10" x14ac:dyDescent="0.35">
      <c r="I23765" s="63"/>
      <c r="J23765" s="63"/>
    </row>
    <row r="23766" spans="9:10" x14ac:dyDescent="0.35">
      <c r="I23766" s="63"/>
      <c r="J23766" s="63"/>
    </row>
    <row r="23767" spans="9:10" x14ac:dyDescent="0.35">
      <c r="I23767" s="63"/>
      <c r="J23767" s="63"/>
    </row>
    <row r="23768" spans="9:10" x14ac:dyDescent="0.35">
      <c r="I23768" s="63"/>
      <c r="J23768" s="63"/>
    </row>
    <row r="23769" spans="9:10" x14ac:dyDescent="0.35">
      <c r="I23769" s="63"/>
      <c r="J23769" s="63"/>
    </row>
    <row r="23770" spans="9:10" x14ac:dyDescent="0.35">
      <c r="I23770" s="63"/>
      <c r="J23770" s="63"/>
    </row>
    <row r="23771" spans="9:10" x14ac:dyDescent="0.35">
      <c r="I23771" s="63"/>
      <c r="J23771" s="63"/>
    </row>
    <row r="23772" spans="9:10" x14ac:dyDescent="0.35">
      <c r="I23772" s="63"/>
      <c r="J23772" s="63"/>
    </row>
    <row r="23773" spans="9:10" x14ac:dyDescent="0.35">
      <c r="I23773" s="63"/>
      <c r="J23773" s="63"/>
    </row>
    <row r="23774" spans="9:10" x14ac:dyDescent="0.35">
      <c r="I23774" s="63"/>
      <c r="J23774" s="63"/>
    </row>
    <row r="23775" spans="9:10" x14ac:dyDescent="0.35">
      <c r="I23775" s="63"/>
      <c r="J23775" s="63"/>
    </row>
    <row r="23776" spans="9:10" x14ac:dyDescent="0.35">
      <c r="I23776" s="63"/>
      <c r="J23776" s="63"/>
    </row>
    <row r="23777" spans="9:10" x14ac:dyDescent="0.35">
      <c r="I23777" s="63"/>
      <c r="J23777" s="63"/>
    </row>
    <row r="23778" spans="9:10" x14ac:dyDescent="0.35">
      <c r="I23778" s="63"/>
      <c r="J23778" s="63"/>
    </row>
    <row r="23779" spans="9:10" x14ac:dyDescent="0.35">
      <c r="I23779" s="63"/>
      <c r="J23779" s="63"/>
    </row>
    <row r="23780" spans="9:10" x14ac:dyDescent="0.35">
      <c r="I23780" s="63"/>
      <c r="J23780" s="63"/>
    </row>
    <row r="23781" spans="9:10" x14ac:dyDescent="0.35">
      <c r="I23781" s="63"/>
      <c r="J23781" s="63"/>
    </row>
    <row r="23782" spans="9:10" x14ac:dyDescent="0.35">
      <c r="I23782" s="63"/>
      <c r="J23782" s="63"/>
    </row>
    <row r="23783" spans="9:10" x14ac:dyDescent="0.35">
      <c r="I23783" s="63"/>
      <c r="J23783" s="63"/>
    </row>
    <row r="23784" spans="9:10" x14ac:dyDescent="0.35">
      <c r="I23784" s="63"/>
      <c r="J23784" s="63"/>
    </row>
    <row r="23785" spans="9:10" x14ac:dyDescent="0.35">
      <c r="I23785" s="63"/>
      <c r="J23785" s="63"/>
    </row>
    <row r="23786" spans="9:10" x14ac:dyDescent="0.35">
      <c r="I23786" s="63"/>
      <c r="J23786" s="63"/>
    </row>
    <row r="23787" spans="9:10" x14ac:dyDescent="0.35">
      <c r="I23787" s="63"/>
      <c r="J23787" s="63"/>
    </row>
    <row r="23788" spans="9:10" x14ac:dyDescent="0.35">
      <c r="I23788" s="63"/>
      <c r="J23788" s="63"/>
    </row>
    <row r="23789" spans="9:10" x14ac:dyDescent="0.35">
      <c r="I23789" s="63"/>
      <c r="J23789" s="63"/>
    </row>
    <row r="23790" spans="9:10" x14ac:dyDescent="0.35">
      <c r="I23790" s="63"/>
      <c r="J23790" s="63"/>
    </row>
    <row r="23791" spans="9:10" x14ac:dyDescent="0.35">
      <c r="I23791" s="63"/>
      <c r="J23791" s="63"/>
    </row>
    <row r="23792" spans="9:10" x14ac:dyDescent="0.35">
      <c r="I23792" s="63"/>
      <c r="J23792" s="63"/>
    </row>
    <row r="23793" spans="9:10" x14ac:dyDescent="0.35">
      <c r="I23793" s="63"/>
      <c r="J23793" s="63"/>
    </row>
    <row r="23794" spans="9:10" x14ac:dyDescent="0.35">
      <c r="I23794" s="63"/>
      <c r="J23794" s="63"/>
    </row>
    <row r="23795" spans="9:10" x14ac:dyDescent="0.35">
      <c r="I23795" s="63"/>
      <c r="J23795" s="63"/>
    </row>
    <row r="23796" spans="9:10" x14ac:dyDescent="0.35">
      <c r="I23796" s="63"/>
      <c r="J23796" s="63"/>
    </row>
    <row r="23797" spans="9:10" x14ac:dyDescent="0.35">
      <c r="I23797" s="63"/>
      <c r="J23797" s="63"/>
    </row>
    <row r="23798" spans="9:10" x14ac:dyDescent="0.35">
      <c r="I23798" s="63"/>
      <c r="J23798" s="63"/>
    </row>
    <row r="23799" spans="9:10" x14ac:dyDescent="0.35">
      <c r="I23799" s="63"/>
      <c r="J23799" s="63"/>
    </row>
    <row r="23800" spans="9:10" x14ac:dyDescent="0.35">
      <c r="I23800" s="63"/>
      <c r="J23800" s="63"/>
    </row>
    <row r="23801" spans="9:10" x14ac:dyDescent="0.35">
      <c r="I23801" s="63"/>
      <c r="J23801" s="63"/>
    </row>
    <row r="23802" spans="9:10" x14ac:dyDescent="0.35">
      <c r="I23802" s="63"/>
      <c r="J23802" s="63"/>
    </row>
    <row r="23803" spans="9:10" x14ac:dyDescent="0.35">
      <c r="I23803" s="63"/>
      <c r="J23803" s="63"/>
    </row>
    <row r="23804" spans="9:10" x14ac:dyDescent="0.35">
      <c r="I23804" s="63"/>
      <c r="J23804" s="63"/>
    </row>
    <row r="23805" spans="9:10" x14ac:dyDescent="0.35">
      <c r="I23805" s="63"/>
      <c r="J23805" s="63"/>
    </row>
    <row r="23806" spans="9:10" x14ac:dyDescent="0.35">
      <c r="I23806" s="63"/>
      <c r="J23806" s="63"/>
    </row>
    <row r="23807" spans="9:10" x14ac:dyDescent="0.35">
      <c r="I23807" s="63"/>
      <c r="J23807" s="63"/>
    </row>
    <row r="23808" spans="9:10" x14ac:dyDescent="0.35">
      <c r="I23808" s="63"/>
      <c r="J23808" s="63"/>
    </row>
    <row r="23809" spans="9:10" x14ac:dyDescent="0.35">
      <c r="I23809" s="63"/>
      <c r="J23809" s="63"/>
    </row>
    <row r="23810" spans="9:10" x14ac:dyDescent="0.35">
      <c r="I23810" s="63"/>
      <c r="J23810" s="63"/>
    </row>
    <row r="23811" spans="9:10" x14ac:dyDescent="0.35">
      <c r="I23811" s="63"/>
      <c r="J23811" s="63"/>
    </row>
    <row r="23812" spans="9:10" x14ac:dyDescent="0.35">
      <c r="I23812" s="63"/>
      <c r="J23812" s="63"/>
    </row>
    <row r="23813" spans="9:10" x14ac:dyDescent="0.35">
      <c r="I23813" s="63"/>
      <c r="J23813" s="63"/>
    </row>
    <row r="23814" spans="9:10" x14ac:dyDescent="0.35">
      <c r="I23814" s="63"/>
      <c r="J23814" s="63"/>
    </row>
    <row r="23815" spans="9:10" x14ac:dyDescent="0.35">
      <c r="I23815" s="63"/>
      <c r="J23815" s="63"/>
    </row>
    <row r="23816" spans="9:10" x14ac:dyDescent="0.35">
      <c r="I23816" s="63"/>
      <c r="J23816" s="63"/>
    </row>
    <row r="23817" spans="9:10" x14ac:dyDescent="0.35">
      <c r="I23817" s="63"/>
      <c r="J23817" s="63"/>
    </row>
    <row r="23818" spans="9:10" x14ac:dyDescent="0.35">
      <c r="I23818" s="63"/>
      <c r="J23818" s="63"/>
    </row>
    <row r="23819" spans="9:10" x14ac:dyDescent="0.35">
      <c r="I23819" s="63"/>
      <c r="J23819" s="63"/>
    </row>
    <row r="23820" spans="9:10" x14ac:dyDescent="0.35">
      <c r="I23820" s="63"/>
      <c r="J23820" s="63"/>
    </row>
    <row r="23821" spans="9:10" x14ac:dyDescent="0.35">
      <c r="I23821" s="63"/>
      <c r="J23821" s="63"/>
    </row>
    <row r="23822" spans="9:10" x14ac:dyDescent="0.35">
      <c r="I23822" s="63"/>
      <c r="J23822" s="63"/>
    </row>
    <row r="23823" spans="9:10" x14ac:dyDescent="0.35">
      <c r="I23823" s="63"/>
      <c r="J23823" s="63"/>
    </row>
    <row r="23824" spans="9:10" x14ac:dyDescent="0.35">
      <c r="I23824" s="63"/>
      <c r="J23824" s="63"/>
    </row>
    <row r="23825" spans="9:10" x14ac:dyDescent="0.35">
      <c r="I23825" s="63"/>
      <c r="J23825" s="63"/>
    </row>
    <row r="23826" spans="9:10" x14ac:dyDescent="0.35">
      <c r="I23826" s="63"/>
      <c r="J23826" s="63"/>
    </row>
    <row r="23827" spans="9:10" x14ac:dyDescent="0.35">
      <c r="I23827" s="63"/>
      <c r="J23827" s="63"/>
    </row>
    <row r="23828" spans="9:10" x14ac:dyDescent="0.35">
      <c r="I23828" s="63"/>
      <c r="J23828" s="63"/>
    </row>
    <row r="23829" spans="9:10" x14ac:dyDescent="0.35">
      <c r="I23829" s="63"/>
      <c r="J23829" s="63"/>
    </row>
    <row r="23830" spans="9:10" x14ac:dyDescent="0.35">
      <c r="I23830" s="63"/>
      <c r="J23830" s="63"/>
    </row>
    <row r="23831" spans="9:10" x14ac:dyDescent="0.35">
      <c r="I23831" s="63"/>
      <c r="J23831" s="63"/>
    </row>
    <row r="23832" spans="9:10" x14ac:dyDescent="0.35">
      <c r="I23832" s="63"/>
      <c r="J23832" s="63"/>
    </row>
    <row r="23833" spans="9:10" x14ac:dyDescent="0.35">
      <c r="I23833" s="63"/>
      <c r="J23833" s="63"/>
    </row>
    <row r="23834" spans="9:10" x14ac:dyDescent="0.35">
      <c r="I23834" s="63"/>
      <c r="J23834" s="63"/>
    </row>
    <row r="23835" spans="9:10" x14ac:dyDescent="0.35">
      <c r="I23835" s="63"/>
      <c r="J23835" s="63"/>
    </row>
    <row r="23836" spans="9:10" x14ac:dyDescent="0.35">
      <c r="I23836" s="63"/>
      <c r="J23836" s="63"/>
    </row>
    <row r="23837" spans="9:10" x14ac:dyDescent="0.35">
      <c r="I23837" s="63"/>
      <c r="J23837" s="63"/>
    </row>
    <row r="23838" spans="9:10" x14ac:dyDescent="0.35">
      <c r="I23838" s="63"/>
      <c r="J23838" s="63"/>
    </row>
    <row r="23839" spans="9:10" x14ac:dyDescent="0.35">
      <c r="I23839" s="63"/>
      <c r="J23839" s="63"/>
    </row>
    <row r="23840" spans="9:10" x14ac:dyDescent="0.35">
      <c r="I23840" s="63"/>
      <c r="J23840" s="63"/>
    </row>
    <row r="23841" spans="9:10" x14ac:dyDescent="0.35">
      <c r="I23841" s="63"/>
      <c r="J23841" s="63"/>
    </row>
    <row r="23842" spans="9:10" x14ac:dyDescent="0.35">
      <c r="I23842" s="63"/>
      <c r="J23842" s="63"/>
    </row>
    <row r="23843" spans="9:10" x14ac:dyDescent="0.35">
      <c r="I23843" s="63"/>
      <c r="J23843" s="63"/>
    </row>
    <row r="23844" spans="9:10" x14ac:dyDescent="0.35">
      <c r="I23844" s="63"/>
      <c r="J23844" s="63"/>
    </row>
    <row r="23845" spans="9:10" x14ac:dyDescent="0.35">
      <c r="I23845" s="63"/>
      <c r="J23845" s="63"/>
    </row>
    <row r="23846" spans="9:10" x14ac:dyDescent="0.35">
      <c r="I23846" s="63"/>
      <c r="J23846" s="63"/>
    </row>
    <row r="23847" spans="9:10" x14ac:dyDescent="0.35">
      <c r="I23847" s="63"/>
      <c r="J23847" s="63"/>
    </row>
    <row r="23848" spans="9:10" x14ac:dyDescent="0.35">
      <c r="I23848" s="63"/>
      <c r="J23848" s="63"/>
    </row>
    <row r="23849" spans="9:10" x14ac:dyDescent="0.35">
      <c r="I23849" s="63"/>
      <c r="J23849" s="63"/>
    </row>
    <row r="23850" spans="9:10" x14ac:dyDescent="0.35">
      <c r="I23850" s="63"/>
      <c r="J23850" s="63"/>
    </row>
    <row r="23851" spans="9:10" x14ac:dyDescent="0.35">
      <c r="I23851" s="63"/>
      <c r="J23851" s="63"/>
    </row>
    <row r="23852" spans="9:10" x14ac:dyDescent="0.35">
      <c r="I23852" s="63"/>
      <c r="J23852" s="63"/>
    </row>
    <row r="23853" spans="9:10" x14ac:dyDescent="0.35">
      <c r="I23853" s="63"/>
      <c r="J23853" s="63"/>
    </row>
    <row r="23854" spans="9:10" x14ac:dyDescent="0.35">
      <c r="I23854" s="63"/>
      <c r="J23854" s="63"/>
    </row>
    <row r="23855" spans="9:10" x14ac:dyDescent="0.35">
      <c r="I23855" s="63"/>
      <c r="J23855" s="63"/>
    </row>
    <row r="23856" spans="9:10" x14ac:dyDescent="0.35">
      <c r="I23856" s="63"/>
      <c r="J23856" s="63"/>
    </row>
    <row r="23857" spans="9:10" x14ac:dyDescent="0.35">
      <c r="I23857" s="63"/>
      <c r="J23857" s="63"/>
    </row>
    <row r="23858" spans="9:10" x14ac:dyDescent="0.35">
      <c r="I23858" s="63"/>
      <c r="J23858" s="63"/>
    </row>
    <row r="23859" spans="9:10" x14ac:dyDescent="0.35">
      <c r="I23859" s="63"/>
      <c r="J23859" s="63"/>
    </row>
    <row r="23860" spans="9:10" x14ac:dyDescent="0.35">
      <c r="I23860" s="63"/>
      <c r="J23860" s="63"/>
    </row>
    <row r="23861" spans="9:10" x14ac:dyDescent="0.35">
      <c r="I23861" s="63"/>
      <c r="J23861" s="63"/>
    </row>
    <row r="23862" spans="9:10" x14ac:dyDescent="0.35">
      <c r="I23862" s="63"/>
      <c r="J23862" s="63"/>
    </row>
    <row r="23863" spans="9:10" x14ac:dyDescent="0.35">
      <c r="I23863" s="63"/>
      <c r="J23863" s="63"/>
    </row>
    <row r="23864" spans="9:10" x14ac:dyDescent="0.35">
      <c r="I23864" s="63"/>
      <c r="J23864" s="63"/>
    </row>
    <row r="23865" spans="9:10" x14ac:dyDescent="0.35">
      <c r="I23865" s="63"/>
      <c r="J23865" s="63"/>
    </row>
    <row r="23866" spans="9:10" x14ac:dyDescent="0.35">
      <c r="I23866" s="63"/>
      <c r="J23866" s="63"/>
    </row>
    <row r="23867" spans="9:10" x14ac:dyDescent="0.35">
      <c r="I23867" s="63"/>
      <c r="J23867" s="63"/>
    </row>
    <row r="23868" spans="9:10" x14ac:dyDescent="0.35">
      <c r="I23868" s="63"/>
      <c r="J23868" s="63"/>
    </row>
    <row r="23869" spans="9:10" x14ac:dyDescent="0.35">
      <c r="I23869" s="63"/>
      <c r="J23869" s="63"/>
    </row>
    <row r="23870" spans="9:10" x14ac:dyDescent="0.35">
      <c r="I23870" s="63"/>
      <c r="J23870" s="63"/>
    </row>
    <row r="23871" spans="9:10" x14ac:dyDescent="0.35">
      <c r="I23871" s="63"/>
      <c r="J23871" s="63"/>
    </row>
    <row r="23872" spans="9:10" x14ac:dyDescent="0.35">
      <c r="I23872" s="63"/>
      <c r="J23872" s="63"/>
    </row>
    <row r="23873" spans="9:10" x14ac:dyDescent="0.35">
      <c r="I23873" s="63"/>
      <c r="J23873" s="63"/>
    </row>
    <row r="23874" spans="9:10" x14ac:dyDescent="0.35">
      <c r="I23874" s="63"/>
      <c r="J23874" s="63"/>
    </row>
    <row r="23875" spans="9:10" x14ac:dyDescent="0.35">
      <c r="I23875" s="63"/>
      <c r="J23875" s="63"/>
    </row>
    <row r="23876" spans="9:10" x14ac:dyDescent="0.35">
      <c r="I23876" s="63"/>
      <c r="J23876" s="63"/>
    </row>
    <row r="23877" spans="9:10" x14ac:dyDescent="0.35">
      <c r="I23877" s="63"/>
      <c r="J23877" s="63"/>
    </row>
    <row r="23878" spans="9:10" x14ac:dyDescent="0.35">
      <c r="I23878" s="63"/>
      <c r="J23878" s="63"/>
    </row>
    <row r="23879" spans="9:10" x14ac:dyDescent="0.35">
      <c r="I23879" s="63"/>
      <c r="J23879" s="63"/>
    </row>
    <row r="23880" spans="9:10" x14ac:dyDescent="0.35">
      <c r="I23880" s="63"/>
      <c r="J23880" s="63"/>
    </row>
    <row r="23881" spans="9:10" x14ac:dyDescent="0.35">
      <c r="I23881" s="63"/>
      <c r="J23881" s="63"/>
    </row>
    <row r="23882" spans="9:10" x14ac:dyDescent="0.35">
      <c r="I23882" s="63"/>
      <c r="J23882" s="63"/>
    </row>
    <row r="23883" spans="9:10" x14ac:dyDescent="0.35">
      <c r="I23883" s="63"/>
      <c r="J23883" s="63"/>
    </row>
    <row r="23884" spans="9:10" x14ac:dyDescent="0.35">
      <c r="I23884" s="63"/>
      <c r="J23884" s="63"/>
    </row>
    <row r="23885" spans="9:10" x14ac:dyDescent="0.35">
      <c r="I23885" s="63"/>
      <c r="J23885" s="63"/>
    </row>
    <row r="23886" spans="9:10" x14ac:dyDescent="0.35">
      <c r="I23886" s="63"/>
      <c r="J23886" s="63"/>
    </row>
    <row r="23887" spans="9:10" x14ac:dyDescent="0.35">
      <c r="I23887" s="63"/>
      <c r="J23887" s="63"/>
    </row>
    <row r="23888" spans="9:10" x14ac:dyDescent="0.35">
      <c r="I23888" s="63"/>
      <c r="J23888" s="63"/>
    </row>
    <row r="23889" spans="9:10" x14ac:dyDescent="0.35">
      <c r="I23889" s="63"/>
      <c r="J23889" s="63"/>
    </row>
    <row r="23890" spans="9:10" x14ac:dyDescent="0.35">
      <c r="I23890" s="63"/>
      <c r="J23890" s="63"/>
    </row>
    <row r="23891" spans="9:10" x14ac:dyDescent="0.35">
      <c r="I23891" s="63"/>
      <c r="J23891" s="63"/>
    </row>
    <row r="23892" spans="9:10" x14ac:dyDescent="0.35">
      <c r="I23892" s="63"/>
      <c r="J23892" s="63"/>
    </row>
    <row r="23893" spans="9:10" x14ac:dyDescent="0.35">
      <c r="I23893" s="63"/>
      <c r="J23893" s="63"/>
    </row>
    <row r="23894" spans="9:10" x14ac:dyDescent="0.35">
      <c r="I23894" s="63"/>
      <c r="J23894" s="63"/>
    </row>
    <row r="23895" spans="9:10" x14ac:dyDescent="0.35">
      <c r="I23895" s="63"/>
      <c r="J23895" s="63"/>
    </row>
    <row r="23896" spans="9:10" x14ac:dyDescent="0.35">
      <c r="I23896" s="63"/>
      <c r="J23896" s="63"/>
    </row>
    <row r="23897" spans="9:10" x14ac:dyDescent="0.35">
      <c r="I23897" s="63"/>
      <c r="J23897" s="63"/>
    </row>
    <row r="23898" spans="9:10" x14ac:dyDescent="0.35">
      <c r="I23898" s="63"/>
      <c r="J23898" s="63"/>
    </row>
    <row r="23899" spans="9:10" x14ac:dyDescent="0.35">
      <c r="I23899" s="63"/>
      <c r="J23899" s="63"/>
    </row>
    <row r="23900" spans="9:10" x14ac:dyDescent="0.35">
      <c r="I23900" s="63"/>
      <c r="J23900" s="63"/>
    </row>
    <row r="23901" spans="9:10" x14ac:dyDescent="0.35">
      <c r="I23901" s="63"/>
      <c r="J23901" s="63"/>
    </row>
    <row r="23902" spans="9:10" x14ac:dyDescent="0.35">
      <c r="I23902" s="63"/>
      <c r="J23902" s="63"/>
    </row>
    <row r="23903" spans="9:10" x14ac:dyDescent="0.35">
      <c r="I23903" s="63"/>
      <c r="J23903" s="63"/>
    </row>
    <row r="23904" spans="9:10" x14ac:dyDescent="0.35">
      <c r="I23904" s="63"/>
      <c r="J23904" s="63"/>
    </row>
    <row r="23905" spans="9:10" x14ac:dyDescent="0.35">
      <c r="I23905" s="63"/>
      <c r="J23905" s="63"/>
    </row>
    <row r="23906" spans="9:10" x14ac:dyDescent="0.35">
      <c r="I23906" s="63"/>
      <c r="J23906" s="63"/>
    </row>
    <row r="23907" spans="9:10" x14ac:dyDescent="0.35">
      <c r="I23907" s="63"/>
      <c r="J23907" s="63"/>
    </row>
    <row r="23908" spans="9:10" x14ac:dyDescent="0.35">
      <c r="I23908" s="63"/>
      <c r="J23908" s="63"/>
    </row>
    <row r="23909" spans="9:10" x14ac:dyDescent="0.35">
      <c r="I23909" s="63"/>
      <c r="J23909" s="63"/>
    </row>
    <row r="23910" spans="9:10" x14ac:dyDescent="0.35">
      <c r="I23910" s="63"/>
      <c r="J23910" s="63"/>
    </row>
    <row r="23911" spans="9:10" x14ac:dyDescent="0.35">
      <c r="I23911" s="63"/>
      <c r="J23911" s="63"/>
    </row>
    <row r="23912" spans="9:10" x14ac:dyDescent="0.35">
      <c r="I23912" s="63"/>
      <c r="J23912" s="63"/>
    </row>
    <row r="23913" spans="9:10" x14ac:dyDescent="0.35">
      <c r="I23913" s="63"/>
      <c r="J23913" s="63"/>
    </row>
    <row r="23914" spans="9:10" x14ac:dyDescent="0.35">
      <c r="I23914" s="63"/>
      <c r="J23914" s="63"/>
    </row>
    <row r="23915" spans="9:10" x14ac:dyDescent="0.35">
      <c r="I23915" s="63"/>
      <c r="J23915" s="63"/>
    </row>
    <row r="23916" spans="9:10" x14ac:dyDescent="0.35">
      <c r="I23916" s="63"/>
      <c r="J23916" s="63"/>
    </row>
    <row r="23917" spans="9:10" x14ac:dyDescent="0.35">
      <c r="I23917" s="63"/>
      <c r="J23917" s="63"/>
    </row>
    <row r="23918" spans="9:10" x14ac:dyDescent="0.35">
      <c r="I23918" s="63"/>
      <c r="J23918" s="63"/>
    </row>
    <row r="23919" spans="9:10" x14ac:dyDescent="0.35">
      <c r="I23919" s="63"/>
      <c r="J23919" s="63"/>
    </row>
    <row r="23920" spans="9:10" x14ac:dyDescent="0.35">
      <c r="I23920" s="63"/>
      <c r="J23920" s="63"/>
    </row>
    <row r="23921" spans="9:10" x14ac:dyDescent="0.35">
      <c r="I23921" s="63"/>
      <c r="J23921" s="63"/>
    </row>
    <row r="23922" spans="9:10" x14ac:dyDescent="0.35">
      <c r="I23922" s="63"/>
      <c r="J23922" s="63"/>
    </row>
    <row r="23923" spans="9:10" x14ac:dyDescent="0.35">
      <c r="I23923" s="63"/>
      <c r="J23923" s="63"/>
    </row>
    <row r="23924" spans="9:10" x14ac:dyDescent="0.35">
      <c r="I23924" s="63"/>
      <c r="J23924" s="63"/>
    </row>
    <row r="23925" spans="9:10" x14ac:dyDescent="0.35">
      <c r="I23925" s="63"/>
      <c r="J23925" s="63"/>
    </row>
    <row r="23926" spans="9:10" x14ac:dyDescent="0.35">
      <c r="I23926" s="63"/>
      <c r="J23926" s="63"/>
    </row>
    <row r="23927" spans="9:10" x14ac:dyDescent="0.35">
      <c r="I23927" s="63"/>
      <c r="J23927" s="63"/>
    </row>
    <row r="23928" spans="9:10" x14ac:dyDescent="0.35">
      <c r="I23928" s="63"/>
      <c r="J23928" s="63"/>
    </row>
    <row r="23929" spans="9:10" x14ac:dyDescent="0.35">
      <c r="I23929" s="63"/>
      <c r="J23929" s="63"/>
    </row>
    <row r="23930" spans="9:10" x14ac:dyDescent="0.35">
      <c r="I23930" s="63"/>
      <c r="J23930" s="63"/>
    </row>
    <row r="23931" spans="9:10" x14ac:dyDescent="0.35">
      <c r="I23931" s="63"/>
      <c r="J23931" s="63"/>
    </row>
    <row r="23932" spans="9:10" x14ac:dyDescent="0.35">
      <c r="I23932" s="63"/>
      <c r="J23932" s="63"/>
    </row>
    <row r="23933" spans="9:10" x14ac:dyDescent="0.35">
      <c r="I23933" s="63"/>
      <c r="J23933" s="63"/>
    </row>
    <row r="23934" spans="9:10" x14ac:dyDescent="0.35">
      <c r="I23934" s="63"/>
      <c r="J23934" s="63"/>
    </row>
    <row r="23935" spans="9:10" x14ac:dyDescent="0.35">
      <c r="I23935" s="63"/>
      <c r="J23935" s="63"/>
    </row>
    <row r="23936" spans="9:10" x14ac:dyDescent="0.35">
      <c r="I23936" s="63"/>
      <c r="J23936" s="63"/>
    </row>
    <row r="23937" spans="9:10" x14ac:dyDescent="0.35">
      <c r="I23937" s="63"/>
      <c r="J23937" s="63"/>
    </row>
    <row r="23938" spans="9:10" x14ac:dyDescent="0.35">
      <c r="I23938" s="63"/>
      <c r="J23938" s="63"/>
    </row>
    <row r="23939" spans="9:10" x14ac:dyDescent="0.35">
      <c r="I23939" s="63"/>
      <c r="J23939" s="63"/>
    </row>
    <row r="23940" spans="9:10" x14ac:dyDescent="0.35">
      <c r="I23940" s="63"/>
      <c r="J23940" s="63"/>
    </row>
    <row r="23941" spans="9:10" x14ac:dyDescent="0.35">
      <c r="I23941" s="63"/>
      <c r="J23941" s="63"/>
    </row>
    <row r="23942" spans="9:10" x14ac:dyDescent="0.35">
      <c r="I23942" s="63"/>
      <c r="J23942" s="63"/>
    </row>
    <row r="23943" spans="9:10" x14ac:dyDescent="0.35">
      <c r="I23943" s="63"/>
      <c r="J23943" s="63"/>
    </row>
    <row r="23944" spans="9:10" x14ac:dyDescent="0.35">
      <c r="I23944" s="63"/>
      <c r="J23944" s="63"/>
    </row>
    <row r="23945" spans="9:10" x14ac:dyDescent="0.35">
      <c r="I23945" s="63"/>
      <c r="J23945" s="63"/>
    </row>
    <row r="23946" spans="9:10" x14ac:dyDescent="0.35">
      <c r="I23946" s="63"/>
      <c r="J23946" s="63"/>
    </row>
    <row r="23947" spans="9:10" x14ac:dyDescent="0.35">
      <c r="I23947" s="63"/>
      <c r="J23947" s="63"/>
    </row>
    <row r="23948" spans="9:10" x14ac:dyDescent="0.35">
      <c r="I23948" s="63"/>
      <c r="J23948" s="63"/>
    </row>
    <row r="23949" spans="9:10" x14ac:dyDescent="0.35">
      <c r="I23949" s="63"/>
      <c r="J23949" s="63"/>
    </row>
    <row r="23950" spans="9:10" x14ac:dyDescent="0.35">
      <c r="I23950" s="63"/>
      <c r="J23950" s="63"/>
    </row>
    <row r="23951" spans="9:10" x14ac:dyDescent="0.35">
      <c r="I23951" s="63"/>
      <c r="J23951" s="63"/>
    </row>
    <row r="23952" spans="9:10" x14ac:dyDescent="0.35">
      <c r="I23952" s="63"/>
      <c r="J23952" s="63"/>
    </row>
    <row r="23953" spans="9:10" x14ac:dyDescent="0.35">
      <c r="I23953" s="63"/>
      <c r="J23953" s="63"/>
    </row>
    <row r="23954" spans="9:10" x14ac:dyDescent="0.35">
      <c r="I23954" s="63"/>
      <c r="J23954" s="63"/>
    </row>
    <row r="23955" spans="9:10" x14ac:dyDescent="0.35">
      <c r="I23955" s="63"/>
      <c r="J23955" s="63"/>
    </row>
    <row r="23956" spans="9:10" x14ac:dyDescent="0.35">
      <c r="I23956" s="63"/>
      <c r="J23956" s="63"/>
    </row>
    <row r="23957" spans="9:10" x14ac:dyDescent="0.35">
      <c r="I23957" s="63"/>
      <c r="J23957" s="63"/>
    </row>
    <row r="23958" spans="9:10" x14ac:dyDescent="0.35">
      <c r="I23958" s="63"/>
      <c r="J23958" s="63"/>
    </row>
    <row r="23959" spans="9:10" x14ac:dyDescent="0.35">
      <c r="I23959" s="63"/>
      <c r="J23959" s="63"/>
    </row>
    <row r="23960" spans="9:10" x14ac:dyDescent="0.35">
      <c r="I23960" s="63"/>
      <c r="J23960" s="63"/>
    </row>
    <row r="23961" spans="9:10" x14ac:dyDescent="0.35">
      <c r="I23961" s="63"/>
      <c r="J23961" s="63"/>
    </row>
    <row r="23962" spans="9:10" x14ac:dyDescent="0.35">
      <c r="I23962" s="63"/>
      <c r="J23962" s="63"/>
    </row>
    <row r="23963" spans="9:10" x14ac:dyDescent="0.35">
      <c r="I23963" s="63"/>
      <c r="J23963" s="63"/>
    </row>
    <row r="23964" spans="9:10" x14ac:dyDescent="0.35">
      <c r="I23964" s="63"/>
      <c r="J23964" s="63"/>
    </row>
    <row r="23965" spans="9:10" x14ac:dyDescent="0.35">
      <c r="I23965" s="63"/>
      <c r="J23965" s="63"/>
    </row>
    <row r="23966" spans="9:10" x14ac:dyDescent="0.35">
      <c r="I23966" s="63"/>
      <c r="J23966" s="63"/>
    </row>
    <row r="23967" spans="9:10" x14ac:dyDescent="0.35">
      <c r="I23967" s="63"/>
      <c r="J23967" s="63"/>
    </row>
    <row r="23968" spans="9:10" x14ac:dyDescent="0.35">
      <c r="I23968" s="63"/>
      <c r="J23968" s="63"/>
    </row>
    <row r="23969" spans="9:10" x14ac:dyDescent="0.35">
      <c r="I23969" s="63"/>
      <c r="J23969" s="63"/>
    </row>
    <row r="23970" spans="9:10" x14ac:dyDescent="0.35">
      <c r="I23970" s="63"/>
      <c r="J23970" s="63"/>
    </row>
    <row r="23971" spans="9:10" x14ac:dyDescent="0.35">
      <c r="I23971" s="63"/>
      <c r="J23971" s="63"/>
    </row>
    <row r="23972" spans="9:10" x14ac:dyDescent="0.35">
      <c r="I23972" s="63"/>
      <c r="J23972" s="63"/>
    </row>
    <row r="23973" spans="9:10" x14ac:dyDescent="0.35">
      <c r="I23973" s="63"/>
      <c r="J23973" s="63"/>
    </row>
    <row r="23974" spans="9:10" x14ac:dyDescent="0.35">
      <c r="I23974" s="63"/>
      <c r="J23974" s="63"/>
    </row>
    <row r="23975" spans="9:10" x14ac:dyDescent="0.35">
      <c r="I23975" s="63"/>
      <c r="J23975" s="63"/>
    </row>
    <row r="23976" spans="9:10" x14ac:dyDescent="0.35">
      <c r="I23976" s="63"/>
      <c r="J23976" s="63"/>
    </row>
    <row r="23977" spans="9:10" x14ac:dyDescent="0.35">
      <c r="I23977" s="63"/>
      <c r="J23977" s="63"/>
    </row>
    <row r="23978" spans="9:10" x14ac:dyDescent="0.35">
      <c r="I23978" s="63"/>
      <c r="J23978" s="63"/>
    </row>
    <row r="23979" spans="9:10" x14ac:dyDescent="0.35">
      <c r="I23979" s="63"/>
      <c r="J23979" s="63"/>
    </row>
    <row r="23980" spans="9:10" x14ac:dyDescent="0.35">
      <c r="I23980" s="63"/>
      <c r="J23980" s="63"/>
    </row>
    <row r="23981" spans="9:10" x14ac:dyDescent="0.35">
      <c r="I23981" s="63"/>
      <c r="J23981" s="63"/>
    </row>
    <row r="23982" spans="9:10" x14ac:dyDescent="0.35">
      <c r="I23982" s="63"/>
      <c r="J23982" s="63"/>
    </row>
    <row r="23983" spans="9:10" x14ac:dyDescent="0.35">
      <c r="I23983" s="63"/>
      <c r="J23983" s="63"/>
    </row>
    <row r="23984" spans="9:10" x14ac:dyDescent="0.35">
      <c r="I23984" s="63"/>
      <c r="J23984" s="63"/>
    </row>
    <row r="23985" spans="9:10" x14ac:dyDescent="0.35">
      <c r="I23985" s="63"/>
      <c r="J23985" s="63"/>
    </row>
    <row r="23986" spans="9:10" x14ac:dyDescent="0.35">
      <c r="I23986" s="63"/>
      <c r="J23986" s="63"/>
    </row>
    <row r="23987" spans="9:10" x14ac:dyDescent="0.35">
      <c r="I23987" s="63"/>
      <c r="J23987" s="63"/>
    </row>
    <row r="23988" spans="9:10" x14ac:dyDescent="0.35">
      <c r="I23988" s="63"/>
      <c r="J23988" s="63"/>
    </row>
    <row r="23989" spans="9:10" x14ac:dyDescent="0.35">
      <c r="I23989" s="63"/>
      <c r="J23989" s="63"/>
    </row>
    <row r="23990" spans="9:10" x14ac:dyDescent="0.35">
      <c r="I23990" s="63"/>
      <c r="J23990" s="63"/>
    </row>
    <row r="23991" spans="9:10" x14ac:dyDescent="0.35">
      <c r="I23991" s="63"/>
      <c r="J23991" s="63"/>
    </row>
    <row r="23992" spans="9:10" x14ac:dyDescent="0.35">
      <c r="I23992" s="63"/>
      <c r="J23992" s="63"/>
    </row>
    <row r="23993" spans="9:10" x14ac:dyDescent="0.35">
      <c r="I23993" s="63"/>
      <c r="J23993" s="63"/>
    </row>
    <row r="23994" spans="9:10" x14ac:dyDescent="0.35">
      <c r="I23994" s="63"/>
      <c r="J23994" s="63"/>
    </row>
    <row r="23995" spans="9:10" x14ac:dyDescent="0.35">
      <c r="I23995" s="63"/>
      <c r="J23995" s="63"/>
    </row>
    <row r="23996" spans="9:10" x14ac:dyDescent="0.35">
      <c r="I23996" s="63"/>
      <c r="J23996" s="63"/>
    </row>
    <row r="23997" spans="9:10" x14ac:dyDescent="0.35">
      <c r="I23997" s="63"/>
      <c r="J23997" s="63"/>
    </row>
    <row r="23998" spans="9:10" x14ac:dyDescent="0.35">
      <c r="I23998" s="63"/>
      <c r="J23998" s="63"/>
    </row>
    <row r="23999" spans="9:10" x14ac:dyDescent="0.35">
      <c r="I23999" s="63"/>
      <c r="J23999" s="63"/>
    </row>
    <row r="24000" spans="9:10" x14ac:dyDescent="0.35">
      <c r="I24000" s="63"/>
      <c r="J24000" s="63"/>
    </row>
    <row r="24001" spans="9:10" x14ac:dyDescent="0.35">
      <c r="I24001" s="63"/>
      <c r="J24001" s="63"/>
    </row>
    <row r="24002" spans="9:10" x14ac:dyDescent="0.35">
      <c r="I24002" s="63"/>
      <c r="J24002" s="63"/>
    </row>
    <row r="24003" spans="9:10" x14ac:dyDescent="0.35">
      <c r="I24003" s="63"/>
      <c r="J24003" s="63"/>
    </row>
    <row r="24004" spans="9:10" x14ac:dyDescent="0.35">
      <c r="I24004" s="63"/>
      <c r="J24004" s="63"/>
    </row>
    <row r="24005" spans="9:10" x14ac:dyDescent="0.35">
      <c r="I24005" s="63"/>
      <c r="J24005" s="63"/>
    </row>
    <row r="24006" spans="9:10" x14ac:dyDescent="0.35">
      <c r="I24006" s="63"/>
      <c r="J24006" s="63"/>
    </row>
    <row r="24007" spans="9:10" x14ac:dyDescent="0.35">
      <c r="I24007" s="63"/>
      <c r="J24007" s="63"/>
    </row>
    <row r="24008" spans="9:10" x14ac:dyDescent="0.35">
      <c r="I24008" s="63"/>
      <c r="J24008" s="63"/>
    </row>
    <row r="24009" spans="9:10" x14ac:dyDescent="0.35">
      <c r="I24009" s="63"/>
      <c r="J24009" s="63"/>
    </row>
    <row r="24010" spans="9:10" x14ac:dyDescent="0.35">
      <c r="I24010" s="63"/>
      <c r="J24010" s="63"/>
    </row>
    <row r="24011" spans="9:10" x14ac:dyDescent="0.35">
      <c r="I24011" s="63"/>
      <c r="J24011" s="63"/>
    </row>
    <row r="24012" spans="9:10" x14ac:dyDescent="0.35">
      <c r="I24012" s="63"/>
      <c r="J24012" s="63"/>
    </row>
    <row r="24013" spans="9:10" x14ac:dyDescent="0.35">
      <c r="I24013" s="63"/>
      <c r="J24013" s="63"/>
    </row>
    <row r="24014" spans="9:10" x14ac:dyDescent="0.35">
      <c r="I24014" s="63"/>
      <c r="J24014" s="63"/>
    </row>
    <row r="24015" spans="9:10" x14ac:dyDescent="0.35">
      <c r="I24015" s="63"/>
      <c r="J24015" s="63"/>
    </row>
    <row r="24016" spans="9:10" x14ac:dyDescent="0.35">
      <c r="I24016" s="63"/>
      <c r="J24016" s="63"/>
    </row>
    <row r="24017" spans="9:10" x14ac:dyDescent="0.35">
      <c r="I24017" s="63"/>
      <c r="J24017" s="63"/>
    </row>
    <row r="24018" spans="9:10" x14ac:dyDescent="0.35">
      <c r="I24018" s="63"/>
      <c r="J24018" s="63"/>
    </row>
    <row r="24019" spans="9:10" x14ac:dyDescent="0.35">
      <c r="I24019" s="63"/>
      <c r="J24019" s="63"/>
    </row>
    <row r="24020" spans="9:10" x14ac:dyDescent="0.35">
      <c r="I24020" s="63"/>
      <c r="J24020" s="63"/>
    </row>
    <row r="24021" spans="9:10" x14ac:dyDescent="0.35">
      <c r="I24021" s="63"/>
      <c r="J24021" s="63"/>
    </row>
    <row r="24022" spans="9:10" x14ac:dyDescent="0.35">
      <c r="I24022" s="63"/>
      <c r="J24022" s="63"/>
    </row>
    <row r="24023" spans="9:10" x14ac:dyDescent="0.35">
      <c r="I24023" s="63"/>
      <c r="J24023" s="63"/>
    </row>
    <row r="24024" spans="9:10" x14ac:dyDescent="0.35">
      <c r="I24024" s="63"/>
      <c r="J24024" s="63"/>
    </row>
    <row r="24025" spans="9:10" x14ac:dyDescent="0.35">
      <c r="I24025" s="63"/>
      <c r="J24025" s="63"/>
    </row>
    <row r="24026" spans="9:10" x14ac:dyDescent="0.35">
      <c r="I24026" s="63"/>
      <c r="J24026" s="63"/>
    </row>
    <row r="24027" spans="9:10" x14ac:dyDescent="0.35">
      <c r="I24027" s="63"/>
      <c r="J24027" s="63"/>
    </row>
    <row r="24028" spans="9:10" x14ac:dyDescent="0.35">
      <c r="I24028" s="63"/>
      <c r="J24028" s="63"/>
    </row>
    <row r="24029" spans="9:10" x14ac:dyDescent="0.35">
      <c r="I24029" s="63"/>
      <c r="J24029" s="63"/>
    </row>
    <row r="24030" spans="9:10" x14ac:dyDescent="0.35">
      <c r="I24030" s="63"/>
      <c r="J24030" s="63"/>
    </row>
    <row r="24031" spans="9:10" x14ac:dyDescent="0.35">
      <c r="I24031" s="63"/>
      <c r="J24031" s="63"/>
    </row>
    <row r="24032" spans="9:10" x14ac:dyDescent="0.35">
      <c r="I24032" s="63"/>
      <c r="J24032" s="63"/>
    </row>
    <row r="24033" spans="9:10" x14ac:dyDescent="0.35">
      <c r="I24033" s="63"/>
      <c r="J24033" s="63"/>
    </row>
    <row r="24034" spans="9:10" x14ac:dyDescent="0.35">
      <c r="I24034" s="63"/>
      <c r="J24034" s="63"/>
    </row>
    <row r="24035" spans="9:10" x14ac:dyDescent="0.35">
      <c r="I24035" s="63"/>
      <c r="J24035" s="63"/>
    </row>
    <row r="24036" spans="9:10" x14ac:dyDescent="0.35">
      <c r="I24036" s="63"/>
      <c r="J24036" s="63"/>
    </row>
    <row r="24037" spans="9:10" x14ac:dyDescent="0.35">
      <c r="I24037" s="63"/>
      <c r="J24037" s="63"/>
    </row>
    <row r="24038" spans="9:10" x14ac:dyDescent="0.35">
      <c r="I24038" s="63"/>
      <c r="J24038" s="63"/>
    </row>
    <row r="24039" spans="9:10" x14ac:dyDescent="0.35">
      <c r="I24039" s="63"/>
      <c r="J24039" s="63"/>
    </row>
    <row r="24040" spans="9:10" x14ac:dyDescent="0.35">
      <c r="I24040" s="63"/>
      <c r="J24040" s="63"/>
    </row>
    <row r="24041" spans="9:10" x14ac:dyDescent="0.35">
      <c r="I24041" s="63"/>
      <c r="J24041" s="63"/>
    </row>
    <row r="24042" spans="9:10" x14ac:dyDescent="0.35">
      <c r="I24042" s="63"/>
      <c r="J24042" s="63"/>
    </row>
    <row r="24043" spans="9:10" x14ac:dyDescent="0.35">
      <c r="I24043" s="63"/>
      <c r="J24043" s="63"/>
    </row>
    <row r="24044" spans="9:10" x14ac:dyDescent="0.35">
      <c r="I24044" s="63"/>
      <c r="J24044" s="63"/>
    </row>
    <row r="24045" spans="9:10" x14ac:dyDescent="0.35">
      <c r="I24045" s="63"/>
      <c r="J24045" s="63"/>
    </row>
    <row r="24046" spans="9:10" x14ac:dyDescent="0.35">
      <c r="I24046" s="63"/>
      <c r="J24046" s="63"/>
    </row>
    <row r="24047" spans="9:10" x14ac:dyDescent="0.35">
      <c r="I24047" s="63"/>
      <c r="J24047" s="63"/>
    </row>
    <row r="24048" spans="9:10" x14ac:dyDescent="0.35">
      <c r="I24048" s="63"/>
      <c r="J24048" s="63"/>
    </row>
    <row r="24049" spans="9:10" x14ac:dyDescent="0.35">
      <c r="I24049" s="63"/>
      <c r="J24049" s="63"/>
    </row>
    <row r="24050" spans="9:10" x14ac:dyDescent="0.35">
      <c r="I24050" s="63"/>
      <c r="J24050" s="63"/>
    </row>
    <row r="24051" spans="9:10" x14ac:dyDescent="0.35">
      <c r="I24051" s="63"/>
      <c r="J24051" s="63"/>
    </row>
    <row r="24052" spans="9:10" x14ac:dyDescent="0.35">
      <c r="I24052" s="63"/>
      <c r="J24052" s="63"/>
    </row>
    <row r="24053" spans="9:10" x14ac:dyDescent="0.35">
      <c r="I24053" s="63"/>
      <c r="J24053" s="63"/>
    </row>
    <row r="24054" spans="9:10" x14ac:dyDescent="0.35">
      <c r="I24054" s="63"/>
      <c r="J24054" s="63"/>
    </row>
    <row r="24055" spans="9:10" x14ac:dyDescent="0.35">
      <c r="I24055" s="63"/>
      <c r="J24055" s="63"/>
    </row>
    <row r="24056" spans="9:10" x14ac:dyDescent="0.35">
      <c r="I24056" s="63"/>
      <c r="J24056" s="63"/>
    </row>
    <row r="24057" spans="9:10" x14ac:dyDescent="0.35">
      <c r="I24057" s="63"/>
      <c r="J24057" s="63"/>
    </row>
    <row r="24058" spans="9:10" x14ac:dyDescent="0.35">
      <c r="I24058" s="63"/>
      <c r="J24058" s="63"/>
    </row>
    <row r="24059" spans="9:10" x14ac:dyDescent="0.35">
      <c r="I24059" s="63"/>
      <c r="J24059" s="63"/>
    </row>
    <row r="24060" spans="9:10" x14ac:dyDescent="0.35">
      <c r="I24060" s="63"/>
      <c r="J24060" s="63"/>
    </row>
    <row r="24061" spans="9:10" x14ac:dyDescent="0.35">
      <c r="I24061" s="63"/>
      <c r="J24061" s="63"/>
    </row>
    <row r="24062" spans="9:10" x14ac:dyDescent="0.35">
      <c r="I24062" s="63"/>
      <c r="J24062" s="63"/>
    </row>
    <row r="24063" spans="9:10" x14ac:dyDescent="0.35">
      <c r="I24063" s="63"/>
      <c r="J24063" s="63"/>
    </row>
    <row r="24064" spans="9:10" x14ac:dyDescent="0.35">
      <c r="I24064" s="63"/>
      <c r="J24064" s="63"/>
    </row>
    <row r="24065" spans="9:10" x14ac:dyDescent="0.35">
      <c r="I24065" s="63"/>
      <c r="J24065" s="63"/>
    </row>
    <row r="24066" spans="9:10" x14ac:dyDescent="0.35">
      <c r="I24066" s="63"/>
      <c r="J24066" s="63"/>
    </row>
    <row r="24067" spans="9:10" x14ac:dyDescent="0.35">
      <c r="I24067" s="63"/>
      <c r="J24067" s="63"/>
    </row>
    <row r="24068" spans="9:10" x14ac:dyDescent="0.35">
      <c r="I24068" s="63"/>
      <c r="J24068" s="63"/>
    </row>
    <row r="24069" spans="9:10" x14ac:dyDescent="0.35">
      <c r="I24069" s="63"/>
      <c r="J24069" s="63"/>
    </row>
    <row r="24070" spans="9:10" x14ac:dyDescent="0.35">
      <c r="I24070" s="63"/>
      <c r="J24070" s="63"/>
    </row>
    <row r="24071" spans="9:10" x14ac:dyDescent="0.35">
      <c r="I24071" s="63"/>
      <c r="J24071" s="63"/>
    </row>
    <row r="24072" spans="9:10" x14ac:dyDescent="0.35">
      <c r="I24072" s="63"/>
      <c r="J24072" s="63"/>
    </row>
    <row r="24073" spans="9:10" x14ac:dyDescent="0.35">
      <c r="I24073" s="63"/>
      <c r="J24073" s="63"/>
    </row>
    <row r="24074" spans="9:10" x14ac:dyDescent="0.35">
      <c r="I24074" s="63"/>
      <c r="J24074" s="63"/>
    </row>
    <row r="24075" spans="9:10" x14ac:dyDescent="0.35">
      <c r="I24075" s="63"/>
      <c r="J24075" s="63"/>
    </row>
    <row r="24076" spans="9:10" x14ac:dyDescent="0.35">
      <c r="I24076" s="63"/>
      <c r="J24076" s="63"/>
    </row>
    <row r="24077" spans="9:10" x14ac:dyDescent="0.35">
      <c r="I24077" s="63"/>
      <c r="J24077" s="63"/>
    </row>
    <row r="24078" spans="9:10" x14ac:dyDescent="0.35">
      <c r="I24078" s="63"/>
      <c r="J24078" s="63"/>
    </row>
    <row r="24079" spans="9:10" x14ac:dyDescent="0.35">
      <c r="I24079" s="63"/>
      <c r="J24079" s="63"/>
    </row>
    <row r="24080" spans="9:10" x14ac:dyDescent="0.35">
      <c r="I24080" s="63"/>
      <c r="J24080" s="63"/>
    </row>
    <row r="24081" spans="9:10" x14ac:dyDescent="0.35">
      <c r="I24081" s="63"/>
      <c r="J24081" s="63"/>
    </row>
    <row r="24082" spans="9:10" x14ac:dyDescent="0.35">
      <c r="I24082" s="63"/>
      <c r="J24082" s="63"/>
    </row>
    <row r="24083" spans="9:10" x14ac:dyDescent="0.35">
      <c r="I24083" s="63"/>
      <c r="J24083" s="63"/>
    </row>
    <row r="24084" spans="9:10" x14ac:dyDescent="0.35">
      <c r="I24084" s="63"/>
      <c r="J24084" s="63"/>
    </row>
    <row r="24085" spans="9:10" x14ac:dyDescent="0.35">
      <c r="I24085" s="63"/>
      <c r="J24085" s="63"/>
    </row>
    <row r="24086" spans="9:10" x14ac:dyDescent="0.35">
      <c r="I24086" s="63"/>
      <c r="J24086" s="63"/>
    </row>
    <row r="24087" spans="9:10" x14ac:dyDescent="0.35">
      <c r="I24087" s="63"/>
      <c r="J24087" s="63"/>
    </row>
    <row r="24088" spans="9:10" x14ac:dyDescent="0.35">
      <c r="I24088" s="63"/>
      <c r="J24088" s="63"/>
    </row>
    <row r="24089" spans="9:10" x14ac:dyDescent="0.35">
      <c r="I24089" s="63"/>
      <c r="J24089" s="63"/>
    </row>
    <row r="24090" spans="9:10" x14ac:dyDescent="0.35">
      <c r="I24090" s="63"/>
      <c r="J24090" s="63"/>
    </row>
    <row r="24091" spans="9:10" x14ac:dyDescent="0.35">
      <c r="I24091" s="63"/>
      <c r="J24091" s="63"/>
    </row>
    <row r="24092" spans="9:10" x14ac:dyDescent="0.35">
      <c r="I24092" s="63"/>
      <c r="J24092" s="63"/>
    </row>
    <row r="24093" spans="9:10" x14ac:dyDescent="0.35">
      <c r="I24093" s="63"/>
      <c r="J24093" s="63"/>
    </row>
    <row r="24094" spans="9:10" x14ac:dyDescent="0.35">
      <c r="I24094" s="63"/>
      <c r="J24094" s="63"/>
    </row>
    <row r="24095" spans="9:10" x14ac:dyDescent="0.35">
      <c r="I24095" s="63"/>
      <c r="J24095" s="63"/>
    </row>
    <row r="24096" spans="9:10" x14ac:dyDescent="0.35">
      <c r="I24096" s="63"/>
      <c r="J24096" s="63"/>
    </row>
    <row r="24097" spans="9:10" x14ac:dyDescent="0.35">
      <c r="I24097" s="63"/>
      <c r="J24097" s="63"/>
    </row>
    <row r="24098" spans="9:10" x14ac:dyDescent="0.35">
      <c r="I24098" s="63"/>
      <c r="J24098" s="63"/>
    </row>
    <row r="24099" spans="9:10" x14ac:dyDescent="0.35">
      <c r="I24099" s="63"/>
      <c r="J24099" s="63"/>
    </row>
    <row r="24100" spans="9:10" x14ac:dyDescent="0.35">
      <c r="I24100" s="63"/>
      <c r="J24100" s="63"/>
    </row>
    <row r="24101" spans="9:10" x14ac:dyDescent="0.35">
      <c r="I24101" s="63"/>
      <c r="J24101" s="63"/>
    </row>
    <row r="24102" spans="9:10" x14ac:dyDescent="0.35">
      <c r="I24102" s="63"/>
      <c r="J24102" s="63"/>
    </row>
    <row r="24103" spans="9:10" x14ac:dyDescent="0.35">
      <c r="I24103" s="63"/>
      <c r="J24103" s="63"/>
    </row>
    <row r="24104" spans="9:10" x14ac:dyDescent="0.35">
      <c r="I24104" s="63"/>
      <c r="J24104" s="63"/>
    </row>
    <row r="24105" spans="9:10" x14ac:dyDescent="0.35">
      <c r="I24105" s="63"/>
      <c r="J24105" s="63"/>
    </row>
    <row r="24106" spans="9:10" x14ac:dyDescent="0.35">
      <c r="I24106" s="63"/>
      <c r="J24106" s="63"/>
    </row>
    <row r="24107" spans="9:10" x14ac:dyDescent="0.35">
      <c r="I24107" s="63"/>
      <c r="J24107" s="63"/>
    </row>
    <row r="24108" spans="9:10" x14ac:dyDescent="0.35">
      <c r="I24108" s="63"/>
      <c r="J24108" s="63"/>
    </row>
    <row r="24109" spans="9:10" x14ac:dyDescent="0.35">
      <c r="I24109" s="63"/>
      <c r="J24109" s="63"/>
    </row>
    <row r="24110" spans="9:10" x14ac:dyDescent="0.35">
      <c r="I24110" s="63"/>
      <c r="J24110" s="63"/>
    </row>
    <row r="24111" spans="9:10" x14ac:dyDescent="0.35">
      <c r="I24111" s="63"/>
      <c r="J24111" s="63"/>
    </row>
    <row r="24112" spans="9:10" x14ac:dyDescent="0.35">
      <c r="I24112" s="63"/>
      <c r="J24112" s="63"/>
    </row>
    <row r="24113" spans="9:10" x14ac:dyDescent="0.35">
      <c r="I24113" s="63"/>
      <c r="J24113" s="63"/>
    </row>
    <row r="24114" spans="9:10" x14ac:dyDescent="0.35">
      <c r="I24114" s="63"/>
      <c r="J24114" s="63"/>
    </row>
    <row r="24115" spans="9:10" x14ac:dyDescent="0.35">
      <c r="I24115" s="63"/>
      <c r="J24115" s="63"/>
    </row>
    <row r="24116" spans="9:10" x14ac:dyDescent="0.35">
      <c r="I24116" s="63"/>
      <c r="J24116" s="63"/>
    </row>
    <row r="24117" spans="9:10" x14ac:dyDescent="0.35">
      <c r="I24117" s="63"/>
      <c r="J24117" s="63"/>
    </row>
    <row r="24118" spans="9:10" x14ac:dyDescent="0.35">
      <c r="I24118" s="63"/>
      <c r="J24118" s="63"/>
    </row>
    <row r="24119" spans="9:10" x14ac:dyDescent="0.35">
      <c r="I24119" s="63"/>
      <c r="J24119" s="63"/>
    </row>
    <row r="24120" spans="9:10" x14ac:dyDescent="0.35">
      <c r="I24120" s="63"/>
      <c r="J24120" s="63"/>
    </row>
    <row r="24121" spans="9:10" x14ac:dyDescent="0.35">
      <c r="I24121" s="63"/>
      <c r="J24121" s="63"/>
    </row>
    <row r="24122" spans="9:10" x14ac:dyDescent="0.35">
      <c r="I24122" s="63"/>
      <c r="J24122" s="63"/>
    </row>
    <row r="24123" spans="9:10" x14ac:dyDescent="0.35">
      <c r="I24123" s="63"/>
      <c r="J24123" s="63"/>
    </row>
    <row r="24124" spans="9:10" x14ac:dyDescent="0.35">
      <c r="I24124" s="63"/>
      <c r="J24124" s="63"/>
    </row>
    <row r="24125" spans="9:10" x14ac:dyDescent="0.35">
      <c r="I24125" s="63"/>
      <c r="J24125" s="63"/>
    </row>
    <row r="24126" spans="9:10" x14ac:dyDescent="0.35">
      <c r="I24126" s="63"/>
      <c r="J24126" s="63"/>
    </row>
    <row r="24127" spans="9:10" x14ac:dyDescent="0.35">
      <c r="I24127" s="63"/>
      <c r="J24127" s="63"/>
    </row>
    <row r="24128" spans="9:10" x14ac:dyDescent="0.35">
      <c r="I24128" s="63"/>
      <c r="J24128" s="63"/>
    </row>
    <row r="24129" spans="9:10" x14ac:dyDescent="0.35">
      <c r="I24129" s="63"/>
      <c r="J24129" s="63"/>
    </row>
    <row r="24130" spans="9:10" x14ac:dyDescent="0.35">
      <c r="I24130" s="63"/>
      <c r="J24130" s="63"/>
    </row>
    <row r="24131" spans="9:10" x14ac:dyDescent="0.35">
      <c r="I24131" s="63"/>
      <c r="J24131" s="63"/>
    </row>
    <row r="24132" spans="9:10" x14ac:dyDescent="0.35">
      <c r="I24132" s="63"/>
      <c r="J24132" s="63"/>
    </row>
    <row r="24133" spans="9:10" x14ac:dyDescent="0.35">
      <c r="I24133" s="63"/>
      <c r="J24133" s="63"/>
    </row>
    <row r="24134" spans="9:10" x14ac:dyDescent="0.35">
      <c r="I24134" s="63"/>
      <c r="J24134" s="63"/>
    </row>
    <row r="24135" spans="9:10" x14ac:dyDescent="0.35">
      <c r="I24135" s="63"/>
      <c r="J24135" s="63"/>
    </row>
    <row r="24136" spans="9:10" x14ac:dyDescent="0.35">
      <c r="I24136" s="63"/>
      <c r="J24136" s="63"/>
    </row>
    <row r="24137" spans="9:10" x14ac:dyDescent="0.35">
      <c r="I24137" s="63"/>
      <c r="J24137" s="63"/>
    </row>
    <row r="24138" spans="9:10" x14ac:dyDescent="0.35">
      <c r="I24138" s="63"/>
      <c r="J24138" s="63"/>
    </row>
    <row r="24139" spans="9:10" x14ac:dyDescent="0.35">
      <c r="I24139" s="63"/>
      <c r="J24139" s="63"/>
    </row>
    <row r="24140" spans="9:10" x14ac:dyDescent="0.35">
      <c r="I24140" s="63"/>
      <c r="J24140" s="63"/>
    </row>
    <row r="24141" spans="9:10" x14ac:dyDescent="0.35">
      <c r="I24141" s="63"/>
      <c r="J24141" s="63"/>
    </row>
    <row r="24142" spans="9:10" x14ac:dyDescent="0.35">
      <c r="I24142" s="63"/>
      <c r="J24142" s="63"/>
    </row>
    <row r="24143" spans="9:10" x14ac:dyDescent="0.35">
      <c r="I24143" s="63"/>
      <c r="J24143" s="63"/>
    </row>
    <row r="24144" spans="9:10" x14ac:dyDescent="0.35">
      <c r="I24144" s="63"/>
      <c r="J24144" s="63"/>
    </row>
    <row r="24145" spans="9:10" x14ac:dyDescent="0.35">
      <c r="I24145" s="63"/>
      <c r="J24145" s="63"/>
    </row>
    <row r="24146" spans="9:10" x14ac:dyDescent="0.35">
      <c r="I24146" s="63"/>
      <c r="J24146" s="63"/>
    </row>
    <row r="24147" spans="9:10" x14ac:dyDescent="0.35">
      <c r="I24147" s="63"/>
      <c r="J24147" s="63"/>
    </row>
    <row r="24148" spans="9:10" x14ac:dyDescent="0.35">
      <c r="I24148" s="63"/>
      <c r="J24148" s="63"/>
    </row>
    <row r="24149" spans="9:10" x14ac:dyDescent="0.35">
      <c r="I24149" s="63"/>
      <c r="J24149" s="63"/>
    </row>
    <row r="24150" spans="9:10" x14ac:dyDescent="0.35">
      <c r="I24150" s="63"/>
      <c r="J24150" s="63"/>
    </row>
    <row r="24151" spans="9:10" x14ac:dyDescent="0.35">
      <c r="I24151" s="63"/>
      <c r="J24151" s="63"/>
    </row>
    <row r="24152" spans="9:10" x14ac:dyDescent="0.35">
      <c r="I24152" s="63"/>
      <c r="J24152" s="63"/>
    </row>
    <row r="24153" spans="9:10" x14ac:dyDescent="0.35">
      <c r="I24153" s="63"/>
      <c r="J24153" s="63"/>
    </row>
    <row r="24154" spans="9:10" x14ac:dyDescent="0.35">
      <c r="I24154" s="63"/>
      <c r="J24154" s="63"/>
    </row>
    <row r="24155" spans="9:10" x14ac:dyDescent="0.35">
      <c r="I24155" s="63"/>
      <c r="J24155" s="63"/>
    </row>
    <row r="24156" spans="9:10" x14ac:dyDescent="0.35">
      <c r="I24156" s="63"/>
      <c r="J24156" s="63"/>
    </row>
    <row r="24157" spans="9:10" x14ac:dyDescent="0.35">
      <c r="I24157" s="63"/>
      <c r="J24157" s="63"/>
    </row>
    <row r="24158" spans="9:10" x14ac:dyDescent="0.35">
      <c r="I24158" s="63"/>
      <c r="J24158" s="63"/>
    </row>
    <row r="24159" spans="9:10" x14ac:dyDescent="0.35">
      <c r="I24159" s="63"/>
      <c r="J24159" s="63"/>
    </row>
    <row r="24160" spans="9:10" x14ac:dyDescent="0.35">
      <c r="I24160" s="63"/>
      <c r="J24160" s="63"/>
    </row>
    <row r="24161" spans="9:10" x14ac:dyDescent="0.35">
      <c r="I24161" s="63"/>
      <c r="J24161" s="63"/>
    </row>
    <row r="24162" spans="9:10" x14ac:dyDescent="0.35">
      <c r="I24162" s="63"/>
      <c r="J24162" s="63"/>
    </row>
    <row r="24163" spans="9:10" x14ac:dyDescent="0.35">
      <c r="I24163" s="63"/>
      <c r="J24163" s="63"/>
    </row>
    <row r="24164" spans="9:10" x14ac:dyDescent="0.35">
      <c r="I24164" s="63"/>
      <c r="J24164" s="63"/>
    </row>
    <row r="24165" spans="9:10" x14ac:dyDescent="0.35">
      <c r="I24165" s="63"/>
      <c r="J24165" s="63"/>
    </row>
    <row r="24166" spans="9:10" x14ac:dyDescent="0.35">
      <c r="I24166" s="63"/>
      <c r="J24166" s="63"/>
    </row>
    <row r="24167" spans="9:10" x14ac:dyDescent="0.35">
      <c r="I24167" s="63"/>
      <c r="J24167" s="63"/>
    </row>
    <row r="24168" spans="9:10" x14ac:dyDescent="0.35">
      <c r="I24168" s="63"/>
      <c r="J24168" s="63"/>
    </row>
    <row r="24169" spans="9:10" x14ac:dyDescent="0.35">
      <c r="I24169" s="63"/>
      <c r="J24169" s="63"/>
    </row>
    <row r="24170" spans="9:10" x14ac:dyDescent="0.35">
      <c r="I24170" s="63"/>
      <c r="J24170" s="63"/>
    </row>
    <row r="24171" spans="9:10" x14ac:dyDescent="0.35">
      <c r="I24171" s="63"/>
      <c r="J24171" s="63"/>
    </row>
    <row r="24172" spans="9:10" x14ac:dyDescent="0.35">
      <c r="I24172" s="63"/>
      <c r="J24172" s="63"/>
    </row>
    <row r="24173" spans="9:10" x14ac:dyDescent="0.35">
      <c r="I24173" s="63"/>
      <c r="J24173" s="63"/>
    </row>
    <row r="24174" spans="9:10" x14ac:dyDescent="0.35">
      <c r="I24174" s="63"/>
      <c r="J24174" s="63"/>
    </row>
    <row r="24175" spans="9:10" x14ac:dyDescent="0.35">
      <c r="I24175" s="63"/>
      <c r="J24175" s="63"/>
    </row>
    <row r="24176" spans="9:10" x14ac:dyDescent="0.35">
      <c r="I24176" s="63"/>
      <c r="J24176" s="63"/>
    </row>
    <row r="24177" spans="9:10" x14ac:dyDescent="0.35">
      <c r="I24177" s="63"/>
      <c r="J24177" s="63"/>
    </row>
    <row r="24178" spans="9:10" x14ac:dyDescent="0.35">
      <c r="I24178" s="63"/>
      <c r="J24178" s="63"/>
    </row>
    <row r="24179" spans="9:10" x14ac:dyDescent="0.35">
      <c r="I24179" s="63"/>
      <c r="J24179" s="63"/>
    </row>
    <row r="24180" spans="9:10" x14ac:dyDescent="0.35">
      <c r="I24180" s="63"/>
      <c r="J24180" s="63"/>
    </row>
    <row r="24181" spans="9:10" x14ac:dyDescent="0.35">
      <c r="I24181" s="63"/>
      <c r="J24181" s="63"/>
    </row>
    <row r="24182" spans="9:10" x14ac:dyDescent="0.35">
      <c r="I24182" s="63"/>
      <c r="J24182" s="63"/>
    </row>
    <row r="24183" spans="9:10" x14ac:dyDescent="0.35">
      <c r="I24183" s="63"/>
      <c r="J24183" s="63"/>
    </row>
    <row r="24184" spans="9:10" x14ac:dyDescent="0.35">
      <c r="I24184" s="63"/>
      <c r="J24184" s="63"/>
    </row>
    <row r="24185" spans="9:10" x14ac:dyDescent="0.35">
      <c r="I24185" s="63"/>
      <c r="J24185" s="63"/>
    </row>
    <row r="24186" spans="9:10" x14ac:dyDescent="0.35">
      <c r="I24186" s="63"/>
      <c r="J24186" s="63"/>
    </row>
    <row r="24187" spans="9:10" x14ac:dyDescent="0.35">
      <c r="I24187" s="63"/>
      <c r="J24187" s="63"/>
    </row>
    <row r="24188" spans="9:10" x14ac:dyDescent="0.35">
      <c r="I24188" s="63"/>
      <c r="J24188" s="63"/>
    </row>
    <row r="24189" spans="9:10" x14ac:dyDescent="0.35">
      <c r="I24189" s="63"/>
      <c r="J24189" s="63"/>
    </row>
    <row r="24190" spans="9:10" x14ac:dyDescent="0.35">
      <c r="I24190" s="63"/>
      <c r="J24190" s="63"/>
    </row>
    <row r="24191" spans="9:10" x14ac:dyDescent="0.35">
      <c r="I24191" s="63"/>
      <c r="J24191" s="63"/>
    </row>
    <row r="24192" spans="9:10" x14ac:dyDescent="0.35">
      <c r="I24192" s="63"/>
      <c r="J24192" s="63"/>
    </row>
    <row r="24193" spans="9:10" x14ac:dyDescent="0.35">
      <c r="I24193" s="63"/>
      <c r="J24193" s="63"/>
    </row>
    <row r="24194" spans="9:10" x14ac:dyDescent="0.35">
      <c r="I24194" s="63"/>
      <c r="J24194" s="63"/>
    </row>
    <row r="24195" spans="9:10" x14ac:dyDescent="0.35">
      <c r="I24195" s="63"/>
      <c r="J24195" s="63"/>
    </row>
    <row r="24196" spans="9:10" x14ac:dyDescent="0.35">
      <c r="I24196" s="63"/>
      <c r="J24196" s="63"/>
    </row>
    <row r="24197" spans="9:10" x14ac:dyDescent="0.35">
      <c r="I24197" s="63"/>
      <c r="J24197" s="63"/>
    </row>
    <row r="24198" spans="9:10" x14ac:dyDescent="0.35">
      <c r="I24198" s="63"/>
      <c r="J24198" s="63"/>
    </row>
    <row r="24199" spans="9:10" x14ac:dyDescent="0.35">
      <c r="I24199" s="63"/>
      <c r="J24199" s="63"/>
    </row>
    <row r="24200" spans="9:10" x14ac:dyDescent="0.35">
      <c r="I24200" s="63"/>
      <c r="J24200" s="63"/>
    </row>
    <row r="24201" spans="9:10" x14ac:dyDescent="0.35">
      <c r="I24201" s="63"/>
      <c r="J24201" s="63"/>
    </row>
    <row r="24202" spans="9:10" x14ac:dyDescent="0.35">
      <c r="I24202" s="63"/>
      <c r="J24202" s="63"/>
    </row>
    <row r="24203" spans="9:10" x14ac:dyDescent="0.35">
      <c r="I24203" s="63"/>
      <c r="J24203" s="63"/>
    </row>
    <row r="24204" spans="9:10" x14ac:dyDescent="0.35">
      <c r="I24204" s="63"/>
      <c r="J24204" s="63"/>
    </row>
    <row r="24205" spans="9:10" x14ac:dyDescent="0.35">
      <c r="I24205" s="63"/>
      <c r="J24205" s="63"/>
    </row>
    <row r="24206" spans="9:10" x14ac:dyDescent="0.35">
      <c r="I24206" s="63"/>
      <c r="J24206" s="63"/>
    </row>
    <row r="24207" spans="9:10" x14ac:dyDescent="0.35">
      <c r="I24207" s="63"/>
      <c r="J24207" s="63"/>
    </row>
    <row r="24208" spans="9:10" x14ac:dyDescent="0.35">
      <c r="I24208" s="63"/>
      <c r="J24208" s="63"/>
    </row>
    <row r="24209" spans="9:10" x14ac:dyDescent="0.35">
      <c r="I24209" s="63"/>
      <c r="J24209" s="63"/>
    </row>
    <row r="24210" spans="9:10" x14ac:dyDescent="0.35">
      <c r="I24210" s="63"/>
      <c r="J24210" s="63"/>
    </row>
    <row r="24211" spans="9:10" x14ac:dyDescent="0.35">
      <c r="I24211" s="63"/>
      <c r="J24211" s="63"/>
    </row>
    <row r="24212" spans="9:10" x14ac:dyDescent="0.35">
      <c r="I24212" s="63"/>
      <c r="J24212" s="63"/>
    </row>
    <row r="24213" spans="9:10" x14ac:dyDescent="0.35">
      <c r="I24213" s="63"/>
      <c r="J24213" s="63"/>
    </row>
    <row r="24214" spans="9:10" x14ac:dyDescent="0.35">
      <c r="I24214" s="63"/>
      <c r="J24214" s="63"/>
    </row>
    <row r="24215" spans="9:10" x14ac:dyDescent="0.35">
      <c r="I24215" s="63"/>
      <c r="J24215" s="63"/>
    </row>
    <row r="24216" spans="9:10" x14ac:dyDescent="0.35">
      <c r="I24216" s="63"/>
      <c r="J24216" s="63"/>
    </row>
    <row r="24217" spans="9:10" x14ac:dyDescent="0.35">
      <c r="I24217" s="63"/>
      <c r="J24217" s="63"/>
    </row>
    <row r="24218" spans="9:10" x14ac:dyDescent="0.35">
      <c r="I24218" s="63"/>
      <c r="J24218" s="63"/>
    </row>
    <row r="24219" spans="9:10" x14ac:dyDescent="0.35">
      <c r="I24219" s="63"/>
      <c r="J24219" s="63"/>
    </row>
    <row r="24220" spans="9:10" x14ac:dyDescent="0.35">
      <c r="I24220" s="63"/>
      <c r="J24220" s="63"/>
    </row>
    <row r="24221" spans="9:10" x14ac:dyDescent="0.35">
      <c r="I24221" s="63"/>
      <c r="J24221" s="63"/>
    </row>
    <row r="24222" spans="9:10" x14ac:dyDescent="0.35">
      <c r="I24222" s="63"/>
      <c r="J24222" s="63"/>
    </row>
    <row r="24223" spans="9:10" x14ac:dyDescent="0.35">
      <c r="I24223" s="63"/>
      <c r="J24223" s="63"/>
    </row>
    <row r="24224" spans="9:10" x14ac:dyDescent="0.35">
      <c r="I24224" s="63"/>
      <c r="J24224" s="63"/>
    </row>
    <row r="24225" spans="9:10" x14ac:dyDescent="0.35">
      <c r="I24225" s="63"/>
      <c r="J24225" s="63"/>
    </row>
    <row r="24226" spans="9:10" x14ac:dyDescent="0.35">
      <c r="I24226" s="63"/>
      <c r="J24226" s="63"/>
    </row>
    <row r="24227" spans="9:10" x14ac:dyDescent="0.35">
      <c r="I24227" s="63"/>
      <c r="J24227" s="63"/>
    </row>
    <row r="24228" spans="9:10" x14ac:dyDescent="0.35">
      <c r="I24228" s="63"/>
      <c r="J24228" s="63"/>
    </row>
    <row r="24229" spans="9:10" x14ac:dyDescent="0.35">
      <c r="I24229" s="63"/>
      <c r="J24229" s="63"/>
    </row>
    <row r="24230" spans="9:10" x14ac:dyDescent="0.35">
      <c r="I24230" s="63"/>
      <c r="J24230" s="63"/>
    </row>
    <row r="24231" spans="9:10" x14ac:dyDescent="0.35">
      <c r="I24231" s="63"/>
      <c r="J24231" s="63"/>
    </row>
    <row r="24232" spans="9:10" x14ac:dyDescent="0.35">
      <c r="I24232" s="63"/>
      <c r="J24232" s="63"/>
    </row>
    <row r="24233" spans="9:10" x14ac:dyDescent="0.35">
      <c r="I24233" s="63"/>
      <c r="J24233" s="63"/>
    </row>
    <row r="24234" spans="9:10" x14ac:dyDescent="0.35">
      <c r="I24234" s="63"/>
      <c r="J24234" s="63"/>
    </row>
    <row r="24235" spans="9:10" x14ac:dyDescent="0.35">
      <c r="I24235" s="63"/>
      <c r="J24235" s="63"/>
    </row>
    <row r="24236" spans="9:10" x14ac:dyDescent="0.35">
      <c r="I24236" s="63"/>
      <c r="J24236" s="63"/>
    </row>
    <row r="24237" spans="9:10" x14ac:dyDescent="0.35">
      <c r="I24237" s="63"/>
      <c r="J24237" s="63"/>
    </row>
    <row r="24238" spans="9:10" x14ac:dyDescent="0.35">
      <c r="I24238" s="63"/>
      <c r="J24238" s="63"/>
    </row>
    <row r="24239" spans="9:10" x14ac:dyDescent="0.35">
      <c r="I24239" s="63"/>
      <c r="J24239" s="63"/>
    </row>
    <row r="24240" spans="9:10" x14ac:dyDescent="0.35">
      <c r="I24240" s="63"/>
      <c r="J24240" s="63"/>
    </row>
    <row r="24241" spans="9:10" x14ac:dyDescent="0.35">
      <c r="I24241" s="63"/>
      <c r="J24241" s="63"/>
    </row>
    <row r="24242" spans="9:10" x14ac:dyDescent="0.35">
      <c r="I24242" s="63"/>
      <c r="J24242" s="63"/>
    </row>
    <row r="24243" spans="9:10" x14ac:dyDescent="0.35">
      <c r="I24243" s="63"/>
      <c r="J24243" s="63"/>
    </row>
    <row r="24244" spans="9:10" x14ac:dyDescent="0.35">
      <c r="I24244" s="63"/>
      <c r="J24244" s="63"/>
    </row>
    <row r="24245" spans="9:10" x14ac:dyDescent="0.35">
      <c r="I24245" s="63"/>
      <c r="J24245" s="63"/>
    </row>
    <row r="24246" spans="9:10" x14ac:dyDescent="0.35">
      <c r="I24246" s="63"/>
      <c r="J24246" s="63"/>
    </row>
    <row r="24247" spans="9:10" x14ac:dyDescent="0.35">
      <c r="I24247" s="63"/>
      <c r="J24247" s="63"/>
    </row>
    <row r="24248" spans="9:10" x14ac:dyDescent="0.35">
      <c r="I24248" s="63"/>
      <c r="J24248" s="63"/>
    </row>
    <row r="24249" spans="9:10" x14ac:dyDescent="0.35">
      <c r="I24249" s="63"/>
      <c r="J24249" s="63"/>
    </row>
    <row r="24250" spans="9:10" x14ac:dyDescent="0.35">
      <c r="I24250" s="63"/>
      <c r="J24250" s="63"/>
    </row>
    <row r="24251" spans="9:10" x14ac:dyDescent="0.35">
      <c r="I24251" s="63"/>
      <c r="J24251" s="63"/>
    </row>
    <row r="24252" spans="9:10" x14ac:dyDescent="0.35">
      <c r="I24252" s="63"/>
      <c r="J24252" s="63"/>
    </row>
    <row r="24253" spans="9:10" x14ac:dyDescent="0.35">
      <c r="I24253" s="63"/>
      <c r="J24253" s="63"/>
    </row>
    <row r="24254" spans="9:10" x14ac:dyDescent="0.35">
      <c r="I24254" s="63"/>
      <c r="J24254" s="63"/>
    </row>
    <row r="24255" spans="9:10" x14ac:dyDescent="0.35">
      <c r="I24255" s="63"/>
      <c r="J24255" s="63"/>
    </row>
    <row r="24256" spans="9:10" x14ac:dyDescent="0.35">
      <c r="I24256" s="63"/>
      <c r="J24256" s="63"/>
    </row>
    <row r="24257" spans="9:10" x14ac:dyDescent="0.35">
      <c r="I24257" s="63"/>
      <c r="J24257" s="63"/>
    </row>
    <row r="24258" spans="9:10" x14ac:dyDescent="0.35">
      <c r="I24258" s="63"/>
      <c r="J24258" s="63"/>
    </row>
    <row r="24259" spans="9:10" x14ac:dyDescent="0.35">
      <c r="I24259" s="63"/>
      <c r="J24259" s="63"/>
    </row>
    <row r="24260" spans="9:10" x14ac:dyDescent="0.35">
      <c r="I24260" s="63"/>
      <c r="J24260" s="63"/>
    </row>
    <row r="24261" spans="9:10" x14ac:dyDescent="0.35">
      <c r="I24261" s="63"/>
      <c r="J24261" s="63"/>
    </row>
    <row r="24262" spans="9:10" x14ac:dyDescent="0.35">
      <c r="I24262" s="63"/>
      <c r="J24262" s="63"/>
    </row>
    <row r="24263" spans="9:10" x14ac:dyDescent="0.35">
      <c r="I24263" s="63"/>
      <c r="J24263" s="63"/>
    </row>
    <row r="24264" spans="9:10" x14ac:dyDescent="0.35">
      <c r="I24264" s="63"/>
      <c r="J24264" s="63"/>
    </row>
    <row r="24265" spans="9:10" x14ac:dyDescent="0.35">
      <c r="I24265" s="63"/>
      <c r="J24265" s="63"/>
    </row>
    <row r="24266" spans="9:10" x14ac:dyDescent="0.35">
      <c r="I24266" s="63"/>
      <c r="J24266" s="63"/>
    </row>
    <row r="24267" spans="9:10" x14ac:dyDescent="0.35">
      <c r="I24267" s="63"/>
      <c r="J24267" s="63"/>
    </row>
    <row r="24268" spans="9:10" x14ac:dyDescent="0.35">
      <c r="I24268" s="63"/>
      <c r="J24268" s="63"/>
    </row>
    <row r="24269" spans="9:10" x14ac:dyDescent="0.35">
      <c r="I24269" s="63"/>
      <c r="J24269" s="63"/>
    </row>
    <row r="24270" spans="9:10" x14ac:dyDescent="0.35">
      <c r="I24270" s="63"/>
      <c r="J24270" s="63"/>
    </row>
    <row r="24271" spans="9:10" x14ac:dyDescent="0.35">
      <c r="I24271" s="63"/>
      <c r="J24271" s="63"/>
    </row>
    <row r="24272" spans="9:10" x14ac:dyDescent="0.35">
      <c r="I24272" s="63"/>
      <c r="J24272" s="63"/>
    </row>
    <row r="24273" spans="9:10" x14ac:dyDescent="0.35">
      <c r="I24273" s="63"/>
      <c r="J24273" s="63"/>
    </row>
    <row r="24274" spans="9:10" x14ac:dyDescent="0.35">
      <c r="I24274" s="63"/>
      <c r="J24274" s="63"/>
    </row>
    <row r="24275" spans="9:10" x14ac:dyDescent="0.35">
      <c r="I24275" s="63"/>
      <c r="J24275" s="63"/>
    </row>
    <row r="24276" spans="9:10" x14ac:dyDescent="0.35">
      <c r="I24276" s="63"/>
      <c r="J24276" s="63"/>
    </row>
    <row r="24277" spans="9:10" x14ac:dyDescent="0.35">
      <c r="I24277" s="63"/>
      <c r="J24277" s="63"/>
    </row>
    <row r="24278" spans="9:10" x14ac:dyDescent="0.35">
      <c r="I24278" s="63"/>
      <c r="J24278" s="63"/>
    </row>
    <row r="24279" spans="9:10" x14ac:dyDescent="0.35">
      <c r="I24279" s="63"/>
      <c r="J24279" s="63"/>
    </row>
    <row r="24280" spans="9:10" x14ac:dyDescent="0.35">
      <c r="I24280" s="63"/>
      <c r="J24280" s="63"/>
    </row>
    <row r="24281" spans="9:10" x14ac:dyDescent="0.35">
      <c r="I24281" s="63"/>
      <c r="J24281" s="63"/>
    </row>
    <row r="24282" spans="9:10" x14ac:dyDescent="0.35">
      <c r="I24282" s="63"/>
      <c r="J24282" s="63"/>
    </row>
    <row r="24283" spans="9:10" x14ac:dyDescent="0.35">
      <c r="I24283" s="63"/>
      <c r="J24283" s="63"/>
    </row>
    <row r="24284" spans="9:10" x14ac:dyDescent="0.35">
      <c r="I24284" s="63"/>
      <c r="J24284" s="63"/>
    </row>
    <row r="24285" spans="9:10" x14ac:dyDescent="0.35">
      <c r="I24285" s="63"/>
      <c r="J24285" s="63"/>
    </row>
    <row r="24286" spans="9:10" x14ac:dyDescent="0.35">
      <c r="I24286" s="63"/>
      <c r="J24286" s="63"/>
    </row>
    <row r="24287" spans="9:10" x14ac:dyDescent="0.35">
      <c r="I24287" s="63"/>
      <c r="J24287" s="63"/>
    </row>
    <row r="24288" spans="9:10" x14ac:dyDescent="0.35">
      <c r="I24288" s="63"/>
      <c r="J24288" s="63"/>
    </row>
    <row r="24289" spans="9:10" x14ac:dyDescent="0.35">
      <c r="I24289" s="63"/>
      <c r="J24289" s="63"/>
    </row>
    <row r="24290" spans="9:10" x14ac:dyDescent="0.35">
      <c r="I24290" s="63"/>
      <c r="J24290" s="63"/>
    </row>
    <row r="24291" spans="9:10" x14ac:dyDescent="0.35">
      <c r="I24291" s="63"/>
      <c r="J24291" s="63"/>
    </row>
    <row r="24292" spans="9:10" x14ac:dyDescent="0.35">
      <c r="I24292" s="63"/>
      <c r="J24292" s="63"/>
    </row>
    <row r="24293" spans="9:10" x14ac:dyDescent="0.35">
      <c r="I24293" s="63"/>
      <c r="J24293" s="63"/>
    </row>
    <row r="24294" spans="9:10" x14ac:dyDescent="0.35">
      <c r="I24294" s="63"/>
      <c r="J24294" s="63"/>
    </row>
    <row r="24295" spans="9:10" x14ac:dyDescent="0.35">
      <c r="I24295" s="63"/>
      <c r="J24295" s="63"/>
    </row>
    <row r="24296" spans="9:10" x14ac:dyDescent="0.35">
      <c r="I24296" s="63"/>
      <c r="J24296" s="63"/>
    </row>
    <row r="24297" spans="9:10" x14ac:dyDescent="0.35">
      <c r="I24297" s="63"/>
      <c r="J24297" s="63"/>
    </row>
    <row r="24298" spans="9:10" x14ac:dyDescent="0.35">
      <c r="I24298" s="63"/>
      <c r="J24298" s="63"/>
    </row>
    <row r="24299" spans="9:10" x14ac:dyDescent="0.35">
      <c r="I24299" s="63"/>
      <c r="J24299" s="63"/>
    </row>
    <row r="24300" spans="9:10" x14ac:dyDescent="0.35">
      <c r="I24300" s="63"/>
      <c r="J24300" s="63"/>
    </row>
    <row r="24301" spans="9:10" x14ac:dyDescent="0.35">
      <c r="I24301" s="63"/>
      <c r="J24301" s="63"/>
    </row>
    <row r="24302" spans="9:10" x14ac:dyDescent="0.35">
      <c r="I24302" s="63"/>
      <c r="J24302" s="63"/>
    </row>
    <row r="24303" spans="9:10" x14ac:dyDescent="0.35">
      <c r="I24303" s="63"/>
      <c r="J24303" s="63"/>
    </row>
    <row r="24304" spans="9:10" x14ac:dyDescent="0.35">
      <c r="I24304" s="63"/>
      <c r="J24304" s="63"/>
    </row>
    <row r="24305" spans="9:10" x14ac:dyDescent="0.35">
      <c r="I24305" s="63"/>
      <c r="J24305" s="63"/>
    </row>
    <row r="24306" spans="9:10" x14ac:dyDescent="0.35">
      <c r="I24306" s="63"/>
      <c r="J24306" s="63"/>
    </row>
    <row r="24307" spans="9:10" x14ac:dyDescent="0.35">
      <c r="I24307" s="63"/>
      <c r="J24307" s="63"/>
    </row>
    <row r="24308" spans="9:10" x14ac:dyDescent="0.35">
      <c r="I24308" s="63"/>
      <c r="J24308" s="63"/>
    </row>
    <row r="24309" spans="9:10" x14ac:dyDescent="0.35">
      <c r="I24309" s="63"/>
      <c r="J24309" s="63"/>
    </row>
    <row r="24310" spans="9:10" x14ac:dyDescent="0.35">
      <c r="I24310" s="63"/>
      <c r="J24310" s="63"/>
    </row>
    <row r="24311" spans="9:10" x14ac:dyDescent="0.35">
      <c r="I24311" s="63"/>
      <c r="J24311" s="63"/>
    </row>
    <row r="24312" spans="9:10" x14ac:dyDescent="0.35">
      <c r="I24312" s="63"/>
      <c r="J24312" s="63"/>
    </row>
    <row r="24313" spans="9:10" x14ac:dyDescent="0.35">
      <c r="I24313" s="63"/>
      <c r="J24313" s="63"/>
    </row>
    <row r="24314" spans="9:10" x14ac:dyDescent="0.35">
      <c r="I24314" s="63"/>
      <c r="J24314" s="63"/>
    </row>
    <row r="24315" spans="9:10" x14ac:dyDescent="0.35">
      <c r="I24315" s="63"/>
      <c r="J24315" s="63"/>
    </row>
    <row r="24316" spans="9:10" x14ac:dyDescent="0.35">
      <c r="I24316" s="63"/>
      <c r="J24316" s="63"/>
    </row>
    <row r="24317" spans="9:10" x14ac:dyDescent="0.35">
      <c r="I24317" s="63"/>
      <c r="J24317" s="63"/>
    </row>
    <row r="24318" spans="9:10" x14ac:dyDescent="0.35">
      <c r="I24318" s="63"/>
      <c r="J24318" s="63"/>
    </row>
    <row r="24319" spans="9:10" x14ac:dyDescent="0.35">
      <c r="I24319" s="63"/>
      <c r="J24319" s="63"/>
    </row>
    <row r="24320" spans="9:10" x14ac:dyDescent="0.35">
      <c r="I24320" s="63"/>
      <c r="J24320" s="63"/>
    </row>
    <row r="24321" spans="9:10" x14ac:dyDescent="0.35">
      <c r="I24321" s="63"/>
      <c r="J24321" s="63"/>
    </row>
    <row r="24322" spans="9:10" x14ac:dyDescent="0.35">
      <c r="I24322" s="63"/>
      <c r="J24322" s="63"/>
    </row>
    <row r="24323" spans="9:10" x14ac:dyDescent="0.35">
      <c r="I24323" s="63"/>
      <c r="J24323" s="63"/>
    </row>
    <row r="24324" spans="9:10" x14ac:dyDescent="0.35">
      <c r="I24324" s="63"/>
      <c r="J24324" s="63"/>
    </row>
    <row r="24325" spans="9:10" x14ac:dyDescent="0.35">
      <c r="I24325" s="63"/>
      <c r="J24325" s="63"/>
    </row>
    <row r="24326" spans="9:10" x14ac:dyDescent="0.35">
      <c r="I24326" s="63"/>
      <c r="J24326" s="63"/>
    </row>
    <row r="24327" spans="9:10" x14ac:dyDescent="0.35">
      <c r="I24327" s="63"/>
      <c r="J24327" s="63"/>
    </row>
    <row r="24328" spans="9:10" x14ac:dyDescent="0.35">
      <c r="I24328" s="63"/>
      <c r="J24328" s="63"/>
    </row>
    <row r="24329" spans="9:10" x14ac:dyDescent="0.35">
      <c r="I24329" s="63"/>
      <c r="J24329" s="63"/>
    </row>
    <row r="24330" spans="9:10" x14ac:dyDescent="0.35">
      <c r="I24330" s="63"/>
      <c r="J24330" s="63"/>
    </row>
    <row r="24331" spans="9:10" x14ac:dyDescent="0.35">
      <c r="I24331" s="63"/>
      <c r="J24331" s="63"/>
    </row>
    <row r="24332" spans="9:10" x14ac:dyDescent="0.35">
      <c r="I24332" s="63"/>
      <c r="J24332" s="63"/>
    </row>
    <row r="24333" spans="9:10" x14ac:dyDescent="0.35">
      <c r="I24333" s="63"/>
      <c r="J24333" s="63"/>
    </row>
    <row r="24334" spans="9:10" x14ac:dyDescent="0.35">
      <c r="I24334" s="63"/>
      <c r="J24334" s="63"/>
    </row>
    <row r="24335" spans="9:10" x14ac:dyDescent="0.35">
      <c r="I24335" s="63"/>
      <c r="J24335" s="63"/>
    </row>
    <row r="24336" spans="9:10" x14ac:dyDescent="0.35">
      <c r="I24336" s="63"/>
      <c r="J24336" s="63"/>
    </row>
    <row r="24337" spans="9:10" x14ac:dyDescent="0.35">
      <c r="I24337" s="63"/>
      <c r="J24337" s="63"/>
    </row>
    <row r="24338" spans="9:10" x14ac:dyDescent="0.35">
      <c r="I24338" s="63"/>
      <c r="J24338" s="63"/>
    </row>
    <row r="24339" spans="9:10" x14ac:dyDescent="0.35">
      <c r="I24339" s="63"/>
      <c r="J24339" s="63"/>
    </row>
    <row r="24340" spans="9:10" x14ac:dyDescent="0.35">
      <c r="I24340" s="63"/>
      <c r="J24340" s="63"/>
    </row>
    <row r="24341" spans="9:10" x14ac:dyDescent="0.35">
      <c r="I24341" s="63"/>
      <c r="J24341" s="63"/>
    </row>
    <row r="24342" spans="9:10" x14ac:dyDescent="0.35">
      <c r="I24342" s="63"/>
      <c r="J24342" s="63"/>
    </row>
    <row r="24343" spans="9:10" x14ac:dyDescent="0.35">
      <c r="I24343" s="63"/>
      <c r="J24343" s="63"/>
    </row>
    <row r="24344" spans="9:10" x14ac:dyDescent="0.35">
      <c r="I24344" s="63"/>
      <c r="J24344" s="63"/>
    </row>
    <row r="24345" spans="9:10" x14ac:dyDescent="0.35">
      <c r="I24345" s="63"/>
      <c r="J24345" s="63"/>
    </row>
    <row r="24346" spans="9:10" x14ac:dyDescent="0.35">
      <c r="I24346" s="63"/>
      <c r="J24346" s="63"/>
    </row>
    <row r="24347" spans="9:10" x14ac:dyDescent="0.35">
      <c r="I24347" s="63"/>
      <c r="J24347" s="63"/>
    </row>
    <row r="24348" spans="9:10" x14ac:dyDescent="0.35">
      <c r="I24348" s="63"/>
      <c r="J24348" s="63"/>
    </row>
    <row r="24349" spans="9:10" x14ac:dyDescent="0.35">
      <c r="I24349" s="63"/>
      <c r="J24349" s="63"/>
    </row>
    <row r="24350" spans="9:10" x14ac:dyDescent="0.35">
      <c r="I24350" s="63"/>
      <c r="J24350" s="63"/>
    </row>
    <row r="24351" spans="9:10" x14ac:dyDescent="0.35">
      <c r="I24351" s="63"/>
      <c r="J24351" s="63"/>
    </row>
    <row r="24352" spans="9:10" x14ac:dyDescent="0.35">
      <c r="I24352" s="63"/>
      <c r="J24352" s="63"/>
    </row>
    <row r="24353" spans="9:10" x14ac:dyDescent="0.35">
      <c r="I24353" s="63"/>
      <c r="J24353" s="63"/>
    </row>
    <row r="24354" spans="9:10" x14ac:dyDescent="0.35">
      <c r="I24354" s="63"/>
      <c r="J24354" s="63"/>
    </row>
    <row r="24355" spans="9:10" x14ac:dyDescent="0.35">
      <c r="I24355" s="63"/>
      <c r="J24355" s="63"/>
    </row>
    <row r="24356" spans="9:10" x14ac:dyDescent="0.35">
      <c r="I24356" s="63"/>
      <c r="J24356" s="63"/>
    </row>
    <row r="24357" spans="9:10" x14ac:dyDescent="0.35">
      <c r="I24357" s="63"/>
      <c r="J24357" s="63"/>
    </row>
    <row r="24358" spans="9:10" x14ac:dyDescent="0.35">
      <c r="I24358" s="63"/>
      <c r="J24358" s="63"/>
    </row>
    <row r="24359" spans="9:10" x14ac:dyDescent="0.35">
      <c r="I24359" s="63"/>
      <c r="J24359" s="63"/>
    </row>
    <row r="24360" spans="9:10" x14ac:dyDescent="0.35">
      <c r="I24360" s="63"/>
      <c r="J24360" s="63"/>
    </row>
    <row r="24361" spans="9:10" x14ac:dyDescent="0.35">
      <c r="I24361" s="63"/>
      <c r="J24361" s="63"/>
    </row>
    <row r="24362" spans="9:10" x14ac:dyDescent="0.35">
      <c r="I24362" s="63"/>
      <c r="J24362" s="63"/>
    </row>
    <row r="24363" spans="9:10" x14ac:dyDescent="0.35">
      <c r="I24363" s="63"/>
      <c r="J24363" s="63"/>
    </row>
    <row r="24364" spans="9:10" x14ac:dyDescent="0.35">
      <c r="I24364" s="63"/>
      <c r="J24364" s="63"/>
    </row>
    <row r="24365" spans="9:10" x14ac:dyDescent="0.35">
      <c r="I24365" s="63"/>
      <c r="J24365" s="63"/>
    </row>
    <row r="24366" spans="9:10" x14ac:dyDescent="0.35">
      <c r="I24366" s="63"/>
      <c r="J24366" s="63"/>
    </row>
    <row r="24367" spans="9:10" x14ac:dyDescent="0.35">
      <c r="I24367" s="63"/>
      <c r="J24367" s="63"/>
    </row>
    <row r="24368" spans="9:10" x14ac:dyDescent="0.35">
      <c r="I24368" s="63"/>
      <c r="J24368" s="63"/>
    </row>
    <row r="24369" spans="9:10" x14ac:dyDescent="0.35">
      <c r="I24369" s="63"/>
      <c r="J24369" s="63"/>
    </row>
    <row r="24370" spans="9:10" x14ac:dyDescent="0.35">
      <c r="I24370" s="63"/>
      <c r="J24370" s="63"/>
    </row>
    <row r="24371" spans="9:10" x14ac:dyDescent="0.35">
      <c r="I24371" s="63"/>
      <c r="J24371" s="63"/>
    </row>
    <row r="24372" spans="9:10" x14ac:dyDescent="0.35">
      <c r="I24372" s="63"/>
      <c r="J24372" s="63"/>
    </row>
    <row r="24373" spans="9:10" x14ac:dyDescent="0.35">
      <c r="I24373" s="63"/>
      <c r="J24373" s="63"/>
    </row>
    <row r="24374" spans="9:10" x14ac:dyDescent="0.35">
      <c r="I24374" s="63"/>
      <c r="J24374" s="63"/>
    </row>
    <row r="24375" spans="9:10" x14ac:dyDescent="0.35">
      <c r="I24375" s="63"/>
      <c r="J24375" s="63"/>
    </row>
    <row r="24376" spans="9:10" x14ac:dyDescent="0.35">
      <c r="I24376" s="63"/>
      <c r="J24376" s="63"/>
    </row>
    <row r="24377" spans="9:10" x14ac:dyDescent="0.35">
      <c r="I24377" s="63"/>
      <c r="J24377" s="63"/>
    </row>
    <row r="24378" spans="9:10" x14ac:dyDescent="0.35">
      <c r="I24378" s="63"/>
      <c r="J24378" s="63"/>
    </row>
    <row r="24379" spans="9:10" x14ac:dyDescent="0.35">
      <c r="I24379" s="63"/>
      <c r="J24379" s="63"/>
    </row>
    <row r="24380" spans="9:10" x14ac:dyDescent="0.35">
      <c r="I24380" s="63"/>
      <c r="J24380" s="63"/>
    </row>
    <row r="24381" spans="9:10" x14ac:dyDescent="0.35">
      <c r="I24381" s="63"/>
      <c r="J24381" s="63"/>
    </row>
    <row r="24382" spans="9:10" x14ac:dyDescent="0.35">
      <c r="I24382" s="63"/>
      <c r="J24382" s="63"/>
    </row>
    <row r="24383" spans="9:10" x14ac:dyDescent="0.35">
      <c r="I24383" s="63"/>
      <c r="J24383" s="63"/>
    </row>
    <row r="24384" spans="9:10" x14ac:dyDescent="0.35">
      <c r="I24384" s="63"/>
      <c r="J24384" s="63"/>
    </row>
    <row r="24385" spans="9:10" x14ac:dyDescent="0.35">
      <c r="I24385" s="63"/>
      <c r="J24385" s="63"/>
    </row>
    <row r="24386" spans="9:10" x14ac:dyDescent="0.35">
      <c r="I24386" s="63"/>
      <c r="J24386" s="63"/>
    </row>
    <row r="24387" spans="9:10" x14ac:dyDescent="0.35">
      <c r="I24387" s="63"/>
      <c r="J24387" s="63"/>
    </row>
    <row r="24388" spans="9:10" x14ac:dyDescent="0.35">
      <c r="I24388" s="63"/>
      <c r="J24388" s="63"/>
    </row>
    <row r="24389" spans="9:10" x14ac:dyDescent="0.35">
      <c r="I24389" s="63"/>
      <c r="J24389" s="63"/>
    </row>
    <row r="24390" spans="9:10" x14ac:dyDescent="0.35">
      <c r="I24390" s="63"/>
      <c r="J24390" s="63"/>
    </row>
    <row r="24391" spans="9:10" x14ac:dyDescent="0.35">
      <c r="I24391" s="63"/>
      <c r="J24391" s="63"/>
    </row>
    <row r="24392" spans="9:10" x14ac:dyDescent="0.35">
      <c r="I24392" s="63"/>
      <c r="J24392" s="63"/>
    </row>
    <row r="24393" spans="9:10" x14ac:dyDescent="0.35">
      <c r="I24393" s="63"/>
      <c r="J24393" s="63"/>
    </row>
    <row r="24394" spans="9:10" x14ac:dyDescent="0.35">
      <c r="I24394" s="63"/>
      <c r="J24394" s="63"/>
    </row>
    <row r="24395" spans="9:10" x14ac:dyDescent="0.35">
      <c r="I24395" s="63"/>
      <c r="J24395" s="63"/>
    </row>
    <row r="24396" spans="9:10" x14ac:dyDescent="0.35">
      <c r="I24396" s="63"/>
      <c r="J24396" s="63"/>
    </row>
    <row r="24397" spans="9:10" x14ac:dyDescent="0.35">
      <c r="I24397" s="63"/>
      <c r="J24397" s="63"/>
    </row>
    <row r="24398" spans="9:10" x14ac:dyDescent="0.35">
      <c r="I24398" s="63"/>
      <c r="J24398" s="63"/>
    </row>
    <row r="24399" spans="9:10" x14ac:dyDescent="0.35">
      <c r="I24399" s="63"/>
      <c r="J24399" s="63"/>
    </row>
    <row r="24400" spans="9:10" x14ac:dyDescent="0.35">
      <c r="I24400" s="63"/>
      <c r="J24400" s="63"/>
    </row>
    <row r="24401" spans="9:10" x14ac:dyDescent="0.35">
      <c r="I24401" s="63"/>
      <c r="J24401" s="63"/>
    </row>
    <row r="24402" spans="9:10" x14ac:dyDescent="0.35">
      <c r="I24402" s="63"/>
      <c r="J24402" s="63"/>
    </row>
    <row r="24403" spans="9:10" x14ac:dyDescent="0.35">
      <c r="I24403" s="63"/>
      <c r="J24403" s="63"/>
    </row>
    <row r="24404" spans="9:10" x14ac:dyDescent="0.35">
      <c r="I24404" s="63"/>
      <c r="J24404" s="63"/>
    </row>
    <row r="24405" spans="9:10" x14ac:dyDescent="0.35">
      <c r="I24405" s="63"/>
      <c r="J24405" s="63"/>
    </row>
    <row r="24406" spans="9:10" x14ac:dyDescent="0.35">
      <c r="I24406" s="63"/>
      <c r="J24406" s="63"/>
    </row>
    <row r="24407" spans="9:10" x14ac:dyDescent="0.35">
      <c r="I24407" s="63"/>
      <c r="J24407" s="63"/>
    </row>
    <row r="24408" spans="9:10" x14ac:dyDescent="0.35">
      <c r="I24408" s="63"/>
      <c r="J24408" s="63"/>
    </row>
    <row r="24409" spans="9:10" x14ac:dyDescent="0.35">
      <c r="I24409" s="63"/>
      <c r="J24409" s="63"/>
    </row>
    <row r="24410" spans="9:10" x14ac:dyDescent="0.35">
      <c r="I24410" s="63"/>
      <c r="J24410" s="63"/>
    </row>
    <row r="24411" spans="9:10" x14ac:dyDescent="0.35">
      <c r="I24411" s="63"/>
      <c r="J24411" s="63"/>
    </row>
    <row r="24412" spans="9:10" x14ac:dyDescent="0.35">
      <c r="I24412" s="63"/>
      <c r="J24412" s="63"/>
    </row>
    <row r="24413" spans="9:10" x14ac:dyDescent="0.35">
      <c r="I24413" s="63"/>
      <c r="J24413" s="63"/>
    </row>
    <row r="24414" spans="9:10" x14ac:dyDescent="0.35">
      <c r="I24414" s="63"/>
      <c r="J24414" s="63"/>
    </row>
    <row r="24415" spans="9:10" x14ac:dyDescent="0.35">
      <c r="I24415" s="63"/>
      <c r="J24415" s="63"/>
    </row>
    <row r="24416" spans="9:10" x14ac:dyDescent="0.35">
      <c r="I24416" s="63"/>
      <c r="J24416" s="63"/>
    </row>
    <row r="24417" spans="9:10" x14ac:dyDescent="0.35">
      <c r="I24417" s="63"/>
      <c r="J24417" s="63"/>
    </row>
    <row r="24418" spans="9:10" x14ac:dyDescent="0.35">
      <c r="I24418" s="63"/>
      <c r="J24418" s="63"/>
    </row>
    <row r="24419" spans="9:10" x14ac:dyDescent="0.35">
      <c r="I24419" s="63"/>
      <c r="J24419" s="63"/>
    </row>
    <row r="24420" spans="9:10" x14ac:dyDescent="0.35">
      <c r="I24420" s="63"/>
      <c r="J24420" s="63"/>
    </row>
    <row r="24421" spans="9:10" x14ac:dyDescent="0.35">
      <c r="I24421" s="63"/>
      <c r="J24421" s="63"/>
    </row>
    <row r="24422" spans="9:10" x14ac:dyDescent="0.35">
      <c r="I24422" s="63"/>
      <c r="J24422" s="63"/>
    </row>
    <row r="24423" spans="9:10" x14ac:dyDescent="0.35">
      <c r="I24423" s="63"/>
      <c r="J24423" s="63"/>
    </row>
    <row r="24424" spans="9:10" x14ac:dyDescent="0.35">
      <c r="I24424" s="63"/>
      <c r="J24424" s="63"/>
    </row>
    <row r="24425" spans="9:10" x14ac:dyDescent="0.35">
      <c r="I24425" s="63"/>
      <c r="J24425" s="63"/>
    </row>
    <row r="24426" spans="9:10" x14ac:dyDescent="0.35">
      <c r="I24426" s="63"/>
      <c r="J24426" s="63"/>
    </row>
    <row r="24427" spans="9:10" x14ac:dyDescent="0.35">
      <c r="I24427" s="63"/>
      <c r="J24427" s="63"/>
    </row>
    <row r="24428" spans="9:10" x14ac:dyDescent="0.35">
      <c r="I24428" s="63"/>
      <c r="J24428" s="63"/>
    </row>
    <row r="24429" spans="9:10" x14ac:dyDescent="0.35">
      <c r="I24429" s="63"/>
      <c r="J24429" s="63"/>
    </row>
    <row r="24430" spans="9:10" x14ac:dyDescent="0.35">
      <c r="I24430" s="63"/>
      <c r="J24430" s="63"/>
    </row>
    <row r="24431" spans="9:10" x14ac:dyDescent="0.35">
      <c r="I24431" s="63"/>
      <c r="J24431" s="63"/>
    </row>
    <row r="24432" spans="9:10" x14ac:dyDescent="0.35">
      <c r="I24432" s="63"/>
      <c r="J24432" s="63"/>
    </row>
    <row r="24433" spans="9:10" x14ac:dyDescent="0.35">
      <c r="I24433" s="63"/>
      <c r="J24433" s="63"/>
    </row>
    <row r="24434" spans="9:10" x14ac:dyDescent="0.35">
      <c r="I24434" s="63"/>
      <c r="J24434" s="63"/>
    </row>
    <row r="24435" spans="9:10" x14ac:dyDescent="0.35">
      <c r="I24435" s="63"/>
      <c r="J24435" s="63"/>
    </row>
    <row r="24436" spans="9:10" x14ac:dyDescent="0.35">
      <c r="I24436" s="63"/>
      <c r="J24436" s="63"/>
    </row>
    <row r="24437" spans="9:10" x14ac:dyDescent="0.35">
      <c r="I24437" s="63"/>
      <c r="J24437" s="63"/>
    </row>
    <row r="24438" spans="9:10" x14ac:dyDescent="0.35">
      <c r="I24438" s="63"/>
      <c r="J24438" s="63"/>
    </row>
    <row r="24439" spans="9:10" x14ac:dyDescent="0.35">
      <c r="I24439" s="63"/>
      <c r="J24439" s="63"/>
    </row>
    <row r="24440" spans="9:10" x14ac:dyDescent="0.35">
      <c r="I24440" s="63"/>
      <c r="J24440" s="63"/>
    </row>
    <row r="24441" spans="9:10" x14ac:dyDescent="0.35">
      <c r="I24441" s="63"/>
      <c r="J24441" s="63"/>
    </row>
    <row r="24442" spans="9:10" x14ac:dyDescent="0.35">
      <c r="I24442" s="63"/>
      <c r="J24442" s="63"/>
    </row>
    <row r="24443" spans="9:10" x14ac:dyDescent="0.35">
      <c r="I24443" s="63"/>
      <c r="J24443" s="63"/>
    </row>
    <row r="24444" spans="9:10" x14ac:dyDescent="0.35">
      <c r="I24444" s="63"/>
      <c r="J24444" s="63"/>
    </row>
    <row r="24445" spans="9:10" x14ac:dyDescent="0.35">
      <c r="I24445" s="63"/>
      <c r="J24445" s="63"/>
    </row>
    <row r="24446" spans="9:10" x14ac:dyDescent="0.35">
      <c r="I24446" s="63"/>
      <c r="J24446" s="63"/>
    </row>
    <row r="24447" spans="9:10" x14ac:dyDescent="0.35">
      <c r="I24447" s="63"/>
      <c r="J24447" s="63"/>
    </row>
    <row r="24448" spans="9:10" x14ac:dyDescent="0.35">
      <c r="I24448" s="63"/>
      <c r="J24448" s="63"/>
    </row>
    <row r="24449" spans="9:10" x14ac:dyDescent="0.35">
      <c r="I24449" s="63"/>
      <c r="J24449" s="63"/>
    </row>
    <row r="24450" spans="9:10" x14ac:dyDescent="0.35">
      <c r="I24450" s="63"/>
      <c r="J24450" s="63"/>
    </row>
    <row r="24451" spans="9:10" x14ac:dyDescent="0.35">
      <c r="I24451" s="63"/>
      <c r="J24451" s="63"/>
    </row>
    <row r="24452" spans="9:10" x14ac:dyDescent="0.35">
      <c r="I24452" s="63"/>
      <c r="J24452" s="63"/>
    </row>
    <row r="24453" spans="9:10" x14ac:dyDescent="0.35">
      <c r="I24453" s="63"/>
      <c r="J24453" s="63"/>
    </row>
    <row r="24454" spans="9:10" x14ac:dyDescent="0.35">
      <c r="I24454" s="63"/>
      <c r="J24454" s="63"/>
    </row>
    <row r="24455" spans="9:10" x14ac:dyDescent="0.35">
      <c r="I24455" s="63"/>
      <c r="J24455" s="63"/>
    </row>
    <row r="24456" spans="9:10" x14ac:dyDescent="0.35">
      <c r="I24456" s="63"/>
      <c r="J24456" s="63"/>
    </row>
    <row r="24457" spans="9:10" x14ac:dyDescent="0.35">
      <c r="I24457" s="63"/>
      <c r="J24457" s="63"/>
    </row>
    <row r="24458" spans="9:10" x14ac:dyDescent="0.35">
      <c r="I24458" s="63"/>
      <c r="J24458" s="63"/>
    </row>
    <row r="24459" spans="9:10" x14ac:dyDescent="0.35">
      <c r="I24459" s="63"/>
      <c r="J24459" s="63"/>
    </row>
    <row r="24460" spans="9:10" x14ac:dyDescent="0.35">
      <c r="I24460" s="63"/>
      <c r="J24460" s="63"/>
    </row>
    <row r="24461" spans="9:10" x14ac:dyDescent="0.35">
      <c r="I24461" s="63"/>
      <c r="J24461" s="63"/>
    </row>
    <row r="24462" spans="9:10" x14ac:dyDescent="0.35">
      <c r="I24462" s="63"/>
      <c r="J24462" s="63"/>
    </row>
    <row r="24463" spans="9:10" x14ac:dyDescent="0.35">
      <c r="I24463" s="63"/>
      <c r="J24463" s="63"/>
    </row>
    <row r="24464" spans="9:10" x14ac:dyDescent="0.35">
      <c r="I24464" s="63"/>
      <c r="J24464" s="63"/>
    </row>
    <row r="24465" spans="9:10" x14ac:dyDescent="0.35">
      <c r="I24465" s="63"/>
      <c r="J24465" s="63"/>
    </row>
    <row r="24466" spans="9:10" x14ac:dyDescent="0.35">
      <c r="I24466" s="63"/>
      <c r="J24466" s="63"/>
    </row>
    <row r="24467" spans="9:10" x14ac:dyDescent="0.35">
      <c r="I24467" s="63"/>
      <c r="J24467" s="63"/>
    </row>
    <row r="24468" spans="9:10" x14ac:dyDescent="0.35">
      <c r="I24468" s="63"/>
      <c r="J24468" s="63"/>
    </row>
    <row r="24469" spans="9:10" x14ac:dyDescent="0.35">
      <c r="I24469" s="63"/>
      <c r="J24469" s="63"/>
    </row>
    <row r="24470" spans="9:10" x14ac:dyDescent="0.35">
      <c r="I24470" s="63"/>
      <c r="J24470" s="63"/>
    </row>
    <row r="24471" spans="9:10" x14ac:dyDescent="0.35">
      <c r="I24471" s="63"/>
      <c r="J24471" s="63"/>
    </row>
    <row r="24472" spans="9:10" x14ac:dyDescent="0.35">
      <c r="I24472" s="63"/>
      <c r="J24472" s="63"/>
    </row>
    <row r="24473" spans="9:10" x14ac:dyDescent="0.35">
      <c r="I24473" s="63"/>
      <c r="J24473" s="63"/>
    </row>
    <row r="24474" spans="9:10" x14ac:dyDescent="0.35">
      <c r="I24474" s="63"/>
      <c r="J24474" s="63"/>
    </row>
    <row r="24475" spans="9:10" x14ac:dyDescent="0.35">
      <c r="I24475" s="63"/>
      <c r="J24475" s="63"/>
    </row>
    <row r="24476" spans="9:10" x14ac:dyDescent="0.35">
      <c r="I24476" s="63"/>
      <c r="J24476" s="63"/>
    </row>
    <row r="24477" spans="9:10" x14ac:dyDescent="0.35">
      <c r="I24477" s="63"/>
      <c r="J24477" s="63"/>
    </row>
    <row r="24478" spans="9:10" x14ac:dyDescent="0.35">
      <c r="I24478" s="63"/>
      <c r="J24478" s="63"/>
    </row>
    <row r="24479" spans="9:10" x14ac:dyDescent="0.35">
      <c r="I24479" s="63"/>
      <c r="J24479" s="63"/>
    </row>
    <row r="24480" spans="9:10" x14ac:dyDescent="0.35">
      <c r="I24480" s="63"/>
      <c r="J24480" s="63"/>
    </row>
    <row r="24481" spans="9:10" x14ac:dyDescent="0.35">
      <c r="I24481" s="63"/>
      <c r="J24481" s="63"/>
    </row>
    <row r="24482" spans="9:10" x14ac:dyDescent="0.35">
      <c r="I24482" s="63"/>
      <c r="J24482" s="63"/>
    </row>
    <row r="24483" spans="9:10" x14ac:dyDescent="0.35">
      <c r="I24483" s="63"/>
      <c r="J24483" s="63"/>
    </row>
    <row r="24484" spans="9:10" x14ac:dyDescent="0.35">
      <c r="I24484" s="63"/>
      <c r="J24484" s="63"/>
    </row>
    <row r="24485" spans="9:10" x14ac:dyDescent="0.35">
      <c r="I24485" s="63"/>
      <c r="J24485" s="63"/>
    </row>
    <row r="24486" spans="9:10" x14ac:dyDescent="0.35">
      <c r="I24486" s="63"/>
      <c r="J24486" s="63"/>
    </row>
    <row r="24487" spans="9:10" x14ac:dyDescent="0.35">
      <c r="I24487" s="63"/>
      <c r="J24487" s="63"/>
    </row>
    <row r="24488" spans="9:10" x14ac:dyDescent="0.35">
      <c r="I24488" s="63"/>
      <c r="J24488" s="63"/>
    </row>
    <row r="24489" spans="9:10" x14ac:dyDescent="0.35">
      <c r="I24489" s="63"/>
      <c r="J24489" s="63"/>
    </row>
    <row r="24490" spans="9:10" x14ac:dyDescent="0.35">
      <c r="I24490" s="63"/>
      <c r="J24490" s="63"/>
    </row>
    <row r="24491" spans="9:10" x14ac:dyDescent="0.35">
      <c r="I24491" s="63"/>
      <c r="J24491" s="63"/>
    </row>
    <row r="24492" spans="9:10" x14ac:dyDescent="0.35">
      <c r="I24492" s="63"/>
      <c r="J24492" s="63"/>
    </row>
    <row r="24493" spans="9:10" x14ac:dyDescent="0.35">
      <c r="I24493" s="63"/>
      <c r="J24493" s="63"/>
    </row>
    <row r="24494" spans="9:10" x14ac:dyDescent="0.35">
      <c r="I24494" s="63"/>
      <c r="J24494" s="63"/>
    </row>
    <row r="24495" spans="9:10" x14ac:dyDescent="0.35">
      <c r="I24495" s="63"/>
      <c r="J24495" s="63"/>
    </row>
    <row r="24496" spans="9:10" x14ac:dyDescent="0.35">
      <c r="I24496" s="63"/>
      <c r="J24496" s="63"/>
    </row>
    <row r="24497" spans="9:10" x14ac:dyDescent="0.35">
      <c r="I24497" s="63"/>
      <c r="J24497" s="63"/>
    </row>
    <row r="24498" spans="9:10" x14ac:dyDescent="0.35">
      <c r="I24498" s="63"/>
      <c r="J24498" s="63"/>
    </row>
    <row r="24499" spans="9:10" x14ac:dyDescent="0.35">
      <c r="I24499" s="63"/>
      <c r="J24499" s="63"/>
    </row>
    <row r="24500" spans="9:10" x14ac:dyDescent="0.35">
      <c r="I24500" s="63"/>
      <c r="J24500" s="63"/>
    </row>
    <row r="24501" spans="9:10" x14ac:dyDescent="0.35">
      <c r="I24501" s="63"/>
      <c r="J24501" s="63"/>
    </row>
    <row r="24502" spans="9:10" x14ac:dyDescent="0.35">
      <c r="I24502" s="63"/>
      <c r="J24502" s="63"/>
    </row>
    <row r="24503" spans="9:10" x14ac:dyDescent="0.35">
      <c r="I24503" s="63"/>
      <c r="J24503" s="63"/>
    </row>
    <row r="24504" spans="9:10" x14ac:dyDescent="0.35">
      <c r="I24504" s="63"/>
      <c r="J24504" s="63"/>
    </row>
    <row r="24505" spans="9:10" x14ac:dyDescent="0.35">
      <c r="I24505" s="63"/>
      <c r="J24505" s="63"/>
    </row>
    <row r="24506" spans="9:10" x14ac:dyDescent="0.35">
      <c r="I24506" s="63"/>
      <c r="J24506" s="63"/>
    </row>
    <row r="24507" spans="9:10" x14ac:dyDescent="0.35">
      <c r="I24507" s="63"/>
      <c r="J24507" s="63"/>
    </row>
    <row r="24508" spans="9:10" x14ac:dyDescent="0.35">
      <c r="I24508" s="63"/>
      <c r="J24508" s="63"/>
    </row>
    <row r="24509" spans="9:10" x14ac:dyDescent="0.35">
      <c r="I24509" s="63"/>
      <c r="J24509" s="63"/>
    </row>
    <row r="24510" spans="9:10" x14ac:dyDescent="0.35">
      <c r="I24510" s="63"/>
      <c r="J24510" s="63"/>
    </row>
    <row r="24511" spans="9:10" x14ac:dyDescent="0.35">
      <c r="I24511" s="63"/>
      <c r="J24511" s="63"/>
    </row>
    <row r="24512" spans="9:10" x14ac:dyDescent="0.35">
      <c r="I24512" s="63"/>
      <c r="J24512" s="63"/>
    </row>
    <row r="24513" spans="9:10" x14ac:dyDescent="0.35">
      <c r="I24513" s="63"/>
      <c r="J24513" s="63"/>
    </row>
    <row r="24514" spans="9:10" x14ac:dyDescent="0.35">
      <c r="I24514" s="63"/>
      <c r="J24514" s="63"/>
    </row>
    <row r="24515" spans="9:10" x14ac:dyDescent="0.35">
      <c r="I24515" s="63"/>
      <c r="J24515" s="63"/>
    </row>
    <row r="24516" spans="9:10" x14ac:dyDescent="0.35">
      <c r="I24516" s="63"/>
      <c r="J24516" s="63"/>
    </row>
    <row r="24517" spans="9:10" x14ac:dyDescent="0.35">
      <c r="I24517" s="63"/>
      <c r="J24517" s="63"/>
    </row>
    <row r="24518" spans="9:10" x14ac:dyDescent="0.35">
      <c r="I24518" s="63"/>
      <c r="J24518" s="63"/>
    </row>
    <row r="24519" spans="9:10" x14ac:dyDescent="0.35">
      <c r="I24519" s="63"/>
      <c r="J24519" s="63"/>
    </row>
    <row r="24520" spans="9:10" x14ac:dyDescent="0.35">
      <c r="I24520" s="63"/>
      <c r="J24520" s="63"/>
    </row>
    <row r="24521" spans="9:10" x14ac:dyDescent="0.35">
      <c r="I24521" s="63"/>
      <c r="J24521" s="63"/>
    </row>
    <row r="24522" spans="9:10" x14ac:dyDescent="0.35">
      <c r="I24522" s="63"/>
      <c r="J24522" s="63"/>
    </row>
    <row r="24523" spans="9:10" x14ac:dyDescent="0.35">
      <c r="I24523" s="63"/>
      <c r="J24523" s="63"/>
    </row>
    <row r="24524" spans="9:10" x14ac:dyDescent="0.35">
      <c r="I24524" s="63"/>
      <c r="J24524" s="63"/>
    </row>
    <row r="24525" spans="9:10" x14ac:dyDescent="0.35">
      <c r="I24525" s="63"/>
      <c r="J24525" s="63"/>
    </row>
    <row r="24526" spans="9:10" x14ac:dyDescent="0.35">
      <c r="I24526" s="63"/>
      <c r="J24526" s="63"/>
    </row>
    <row r="24527" spans="9:10" x14ac:dyDescent="0.35">
      <c r="I24527" s="63"/>
      <c r="J24527" s="63"/>
    </row>
    <row r="24528" spans="9:10" x14ac:dyDescent="0.35">
      <c r="I24528" s="63"/>
      <c r="J24528" s="63"/>
    </row>
    <row r="24529" spans="9:10" x14ac:dyDescent="0.35">
      <c r="I24529" s="63"/>
      <c r="J24529" s="63"/>
    </row>
    <row r="24530" spans="9:10" x14ac:dyDescent="0.35">
      <c r="I24530" s="63"/>
      <c r="J24530" s="63"/>
    </row>
    <row r="24531" spans="9:10" x14ac:dyDescent="0.35">
      <c r="I24531" s="63"/>
      <c r="J24531" s="63"/>
    </row>
    <row r="24532" spans="9:10" x14ac:dyDescent="0.35">
      <c r="I24532" s="63"/>
      <c r="J24532" s="63"/>
    </row>
    <row r="24533" spans="9:10" x14ac:dyDescent="0.35">
      <c r="I24533" s="63"/>
      <c r="J24533" s="63"/>
    </row>
    <row r="24534" spans="9:10" x14ac:dyDescent="0.35">
      <c r="I24534" s="63"/>
      <c r="J24534" s="63"/>
    </row>
    <row r="24535" spans="9:10" x14ac:dyDescent="0.35">
      <c r="I24535" s="63"/>
      <c r="J24535" s="63"/>
    </row>
    <row r="24536" spans="9:10" x14ac:dyDescent="0.35">
      <c r="I24536" s="63"/>
      <c r="J24536" s="63"/>
    </row>
    <row r="24537" spans="9:10" x14ac:dyDescent="0.35">
      <c r="I24537" s="63"/>
      <c r="J24537" s="63"/>
    </row>
    <row r="24538" spans="9:10" x14ac:dyDescent="0.35">
      <c r="I24538" s="63"/>
      <c r="J24538" s="63"/>
    </row>
    <row r="24539" spans="9:10" x14ac:dyDescent="0.35">
      <c r="I24539" s="63"/>
      <c r="J24539" s="63"/>
    </row>
    <row r="24540" spans="9:10" x14ac:dyDescent="0.35">
      <c r="I24540" s="63"/>
      <c r="J24540" s="63"/>
    </row>
    <row r="24541" spans="9:10" x14ac:dyDescent="0.35">
      <c r="I24541" s="63"/>
      <c r="J24541" s="63"/>
    </row>
    <row r="24542" spans="9:10" x14ac:dyDescent="0.35">
      <c r="I24542" s="63"/>
      <c r="J24542" s="63"/>
    </row>
    <row r="24543" spans="9:10" x14ac:dyDescent="0.35">
      <c r="I24543" s="63"/>
      <c r="J24543" s="63"/>
    </row>
    <row r="24544" spans="9:10" x14ac:dyDescent="0.35">
      <c r="I24544" s="63"/>
      <c r="J24544" s="63"/>
    </row>
    <row r="24545" spans="9:10" x14ac:dyDescent="0.35">
      <c r="I24545" s="63"/>
      <c r="J24545" s="63"/>
    </row>
    <row r="24546" spans="9:10" x14ac:dyDescent="0.35">
      <c r="I24546" s="63"/>
      <c r="J24546" s="63"/>
    </row>
    <row r="24547" spans="9:10" x14ac:dyDescent="0.35">
      <c r="I24547" s="63"/>
      <c r="J24547" s="63"/>
    </row>
    <row r="24548" spans="9:10" x14ac:dyDescent="0.35">
      <c r="I24548" s="63"/>
      <c r="J24548" s="63"/>
    </row>
    <row r="24549" spans="9:10" x14ac:dyDescent="0.35">
      <c r="I24549" s="63"/>
      <c r="J24549" s="63"/>
    </row>
    <row r="24550" spans="9:10" x14ac:dyDescent="0.35">
      <c r="I24550" s="63"/>
      <c r="J24550" s="63"/>
    </row>
    <row r="24551" spans="9:10" x14ac:dyDescent="0.35">
      <c r="I24551" s="63"/>
      <c r="J24551" s="63"/>
    </row>
    <row r="24552" spans="9:10" x14ac:dyDescent="0.35">
      <c r="I24552" s="63"/>
      <c r="J24552" s="63"/>
    </row>
    <row r="24553" spans="9:10" x14ac:dyDescent="0.35">
      <c r="I24553" s="63"/>
      <c r="J24553" s="63"/>
    </row>
    <row r="24554" spans="9:10" x14ac:dyDescent="0.35">
      <c r="I24554" s="63"/>
      <c r="J24554" s="63"/>
    </row>
    <row r="24555" spans="9:10" x14ac:dyDescent="0.35">
      <c r="I24555" s="63"/>
      <c r="J24555" s="63"/>
    </row>
    <row r="24556" spans="9:10" x14ac:dyDescent="0.35">
      <c r="I24556" s="63"/>
      <c r="J24556" s="63"/>
    </row>
    <row r="24557" spans="9:10" x14ac:dyDescent="0.35">
      <c r="I24557" s="63"/>
      <c r="J24557" s="63"/>
    </row>
    <row r="24558" spans="9:10" x14ac:dyDescent="0.35">
      <c r="I24558" s="63"/>
      <c r="J24558" s="63"/>
    </row>
    <row r="24559" spans="9:10" x14ac:dyDescent="0.35">
      <c r="I24559" s="63"/>
      <c r="J24559" s="63"/>
    </row>
    <row r="24560" spans="9:10" x14ac:dyDescent="0.35">
      <c r="I24560" s="63"/>
      <c r="J24560" s="63"/>
    </row>
    <row r="24561" spans="9:10" x14ac:dyDescent="0.35">
      <c r="I24561" s="63"/>
      <c r="J24561" s="63"/>
    </row>
    <row r="24562" spans="9:10" x14ac:dyDescent="0.35">
      <c r="I24562" s="63"/>
      <c r="J24562" s="63"/>
    </row>
    <row r="24563" spans="9:10" x14ac:dyDescent="0.35">
      <c r="I24563" s="63"/>
      <c r="J24563" s="63"/>
    </row>
    <row r="24564" spans="9:10" x14ac:dyDescent="0.35">
      <c r="I24564" s="63"/>
      <c r="J24564" s="63"/>
    </row>
    <row r="24565" spans="9:10" x14ac:dyDescent="0.35">
      <c r="I24565" s="63"/>
      <c r="J24565" s="63"/>
    </row>
    <row r="24566" spans="9:10" x14ac:dyDescent="0.35">
      <c r="I24566" s="63"/>
      <c r="J24566" s="63"/>
    </row>
    <row r="24567" spans="9:10" x14ac:dyDescent="0.35">
      <c r="I24567" s="63"/>
      <c r="J24567" s="63"/>
    </row>
    <row r="24568" spans="9:10" x14ac:dyDescent="0.35">
      <c r="I24568" s="63"/>
      <c r="J24568" s="63"/>
    </row>
    <row r="24569" spans="9:10" x14ac:dyDescent="0.35">
      <c r="I24569" s="63"/>
      <c r="J24569" s="63"/>
    </row>
    <row r="24570" spans="9:10" x14ac:dyDescent="0.35">
      <c r="I24570" s="63"/>
      <c r="J24570" s="63"/>
    </row>
    <row r="24571" spans="9:10" x14ac:dyDescent="0.35">
      <c r="I24571" s="63"/>
      <c r="J24571" s="63"/>
    </row>
    <row r="24572" spans="9:10" x14ac:dyDescent="0.35">
      <c r="I24572" s="63"/>
      <c r="J24572" s="63"/>
    </row>
    <row r="24573" spans="9:10" x14ac:dyDescent="0.35">
      <c r="I24573" s="63"/>
      <c r="J24573" s="63"/>
    </row>
    <row r="24574" spans="9:10" x14ac:dyDescent="0.35">
      <c r="I24574" s="63"/>
      <c r="J24574" s="63"/>
    </row>
    <row r="24575" spans="9:10" x14ac:dyDescent="0.35">
      <c r="I24575" s="63"/>
      <c r="J24575" s="63"/>
    </row>
    <row r="24576" spans="9:10" x14ac:dyDescent="0.35">
      <c r="I24576" s="63"/>
      <c r="J24576" s="63"/>
    </row>
    <row r="24577" spans="9:10" x14ac:dyDescent="0.35">
      <c r="I24577" s="63"/>
      <c r="J24577" s="63"/>
    </row>
    <row r="24578" spans="9:10" x14ac:dyDescent="0.35">
      <c r="I24578" s="63"/>
      <c r="J24578" s="63"/>
    </row>
    <row r="24579" spans="9:10" x14ac:dyDescent="0.35">
      <c r="I24579" s="63"/>
      <c r="J24579" s="63"/>
    </row>
    <row r="24580" spans="9:10" x14ac:dyDescent="0.35">
      <c r="I24580" s="63"/>
      <c r="J24580" s="63"/>
    </row>
    <row r="24581" spans="9:10" x14ac:dyDescent="0.35">
      <c r="I24581" s="63"/>
      <c r="J24581" s="63"/>
    </row>
    <row r="24582" spans="9:10" x14ac:dyDescent="0.35">
      <c r="I24582" s="63"/>
      <c r="J24582" s="63"/>
    </row>
    <row r="24583" spans="9:10" x14ac:dyDescent="0.35">
      <c r="I24583" s="63"/>
      <c r="J24583" s="63"/>
    </row>
    <row r="24584" spans="9:10" x14ac:dyDescent="0.35">
      <c r="I24584" s="63"/>
      <c r="J24584" s="63"/>
    </row>
    <row r="24585" spans="9:10" x14ac:dyDescent="0.35">
      <c r="I24585" s="63"/>
      <c r="J24585" s="63"/>
    </row>
    <row r="24586" spans="9:10" x14ac:dyDescent="0.35">
      <c r="I24586" s="63"/>
      <c r="J24586" s="63"/>
    </row>
    <row r="24587" spans="9:10" x14ac:dyDescent="0.35">
      <c r="I24587" s="63"/>
      <c r="J24587" s="63"/>
    </row>
    <row r="24588" spans="9:10" x14ac:dyDescent="0.35">
      <c r="I24588" s="63"/>
      <c r="J24588" s="63"/>
    </row>
    <row r="24589" spans="9:10" x14ac:dyDescent="0.35">
      <c r="I24589" s="63"/>
      <c r="J24589" s="63"/>
    </row>
    <row r="24590" spans="9:10" x14ac:dyDescent="0.35">
      <c r="I24590" s="63"/>
      <c r="J24590" s="63"/>
    </row>
    <row r="24591" spans="9:10" x14ac:dyDescent="0.35">
      <c r="I24591" s="63"/>
      <c r="J24591" s="63"/>
    </row>
    <row r="24592" spans="9:10" x14ac:dyDescent="0.35">
      <c r="I24592" s="63"/>
      <c r="J24592" s="63"/>
    </row>
    <row r="24593" spans="9:10" x14ac:dyDescent="0.35">
      <c r="I24593" s="63"/>
      <c r="J24593" s="63"/>
    </row>
    <row r="24594" spans="9:10" x14ac:dyDescent="0.35">
      <c r="I24594" s="63"/>
      <c r="J24594" s="63"/>
    </row>
    <row r="24595" spans="9:10" x14ac:dyDescent="0.35">
      <c r="I24595" s="63"/>
      <c r="J24595" s="63"/>
    </row>
    <row r="24596" spans="9:10" x14ac:dyDescent="0.35">
      <c r="I24596" s="63"/>
      <c r="J24596" s="63"/>
    </row>
    <row r="24597" spans="9:10" x14ac:dyDescent="0.35">
      <c r="I24597" s="63"/>
      <c r="J24597" s="63"/>
    </row>
    <row r="24598" spans="9:10" x14ac:dyDescent="0.35">
      <c r="I24598" s="63"/>
      <c r="J24598" s="63"/>
    </row>
    <row r="24599" spans="9:10" x14ac:dyDescent="0.35">
      <c r="I24599" s="63"/>
      <c r="J24599" s="63"/>
    </row>
    <row r="24600" spans="9:10" x14ac:dyDescent="0.35">
      <c r="I24600" s="63"/>
      <c r="J24600" s="63"/>
    </row>
    <row r="24601" spans="9:10" x14ac:dyDescent="0.35">
      <c r="I24601" s="63"/>
      <c r="J24601" s="63"/>
    </row>
    <row r="24602" spans="9:10" x14ac:dyDescent="0.35">
      <c r="I24602" s="63"/>
      <c r="J24602" s="63"/>
    </row>
    <row r="24603" spans="9:10" x14ac:dyDescent="0.35">
      <c r="I24603" s="63"/>
      <c r="J24603" s="63"/>
    </row>
    <row r="24604" spans="9:10" x14ac:dyDescent="0.35">
      <c r="I24604" s="63"/>
      <c r="J24604" s="63"/>
    </row>
    <row r="24605" spans="9:10" x14ac:dyDescent="0.35">
      <c r="I24605" s="63"/>
      <c r="J24605" s="63"/>
    </row>
    <row r="24606" spans="9:10" x14ac:dyDescent="0.35">
      <c r="I24606" s="63"/>
      <c r="J24606" s="63"/>
    </row>
    <row r="24607" spans="9:10" x14ac:dyDescent="0.35">
      <c r="I24607" s="63"/>
      <c r="J24607" s="63"/>
    </row>
    <row r="24608" spans="9:10" x14ac:dyDescent="0.35">
      <c r="I24608" s="63"/>
      <c r="J24608" s="63"/>
    </row>
    <row r="24609" spans="9:10" x14ac:dyDescent="0.35">
      <c r="I24609" s="63"/>
      <c r="J24609" s="63"/>
    </row>
    <row r="24610" spans="9:10" x14ac:dyDescent="0.35">
      <c r="I24610" s="63"/>
      <c r="J24610" s="63"/>
    </row>
    <row r="24611" spans="9:10" x14ac:dyDescent="0.35">
      <c r="I24611" s="63"/>
      <c r="J24611" s="63"/>
    </row>
    <row r="24612" spans="9:10" x14ac:dyDescent="0.35">
      <c r="I24612" s="63"/>
      <c r="J24612" s="63"/>
    </row>
    <row r="24613" spans="9:10" x14ac:dyDescent="0.35">
      <c r="I24613" s="63"/>
      <c r="J24613" s="63"/>
    </row>
    <row r="24614" spans="9:10" x14ac:dyDescent="0.35">
      <c r="I24614" s="63"/>
      <c r="J24614" s="63"/>
    </row>
    <row r="24615" spans="9:10" x14ac:dyDescent="0.35">
      <c r="I24615" s="63"/>
      <c r="J24615" s="63"/>
    </row>
    <row r="24616" spans="9:10" x14ac:dyDescent="0.35">
      <c r="I24616" s="63"/>
      <c r="J24616" s="63"/>
    </row>
    <row r="24617" spans="9:10" x14ac:dyDescent="0.35">
      <c r="I24617" s="63"/>
      <c r="J24617" s="63"/>
    </row>
    <row r="24618" spans="9:10" x14ac:dyDescent="0.35">
      <c r="I24618" s="63"/>
      <c r="J24618" s="63"/>
    </row>
    <row r="24619" spans="9:10" x14ac:dyDescent="0.35">
      <c r="I24619" s="63"/>
      <c r="J24619" s="63"/>
    </row>
    <row r="24620" spans="9:10" x14ac:dyDescent="0.35">
      <c r="I24620" s="63"/>
      <c r="J24620" s="63"/>
    </row>
    <row r="24621" spans="9:10" x14ac:dyDescent="0.35">
      <c r="I24621" s="63"/>
      <c r="J24621" s="63"/>
    </row>
    <row r="24622" spans="9:10" x14ac:dyDescent="0.35">
      <c r="I24622" s="63"/>
      <c r="J24622" s="63"/>
    </row>
    <row r="24623" spans="9:10" x14ac:dyDescent="0.35">
      <c r="I24623" s="63"/>
      <c r="J24623" s="63"/>
    </row>
    <row r="24624" spans="9:10" x14ac:dyDescent="0.35">
      <c r="I24624" s="63"/>
      <c r="J24624" s="63"/>
    </row>
    <row r="24625" spans="9:10" x14ac:dyDescent="0.35">
      <c r="I24625" s="63"/>
      <c r="J24625" s="63"/>
    </row>
    <row r="24626" spans="9:10" x14ac:dyDescent="0.35">
      <c r="I24626" s="63"/>
      <c r="J24626" s="63"/>
    </row>
    <row r="24627" spans="9:10" x14ac:dyDescent="0.35">
      <c r="I24627" s="63"/>
      <c r="J24627" s="63"/>
    </row>
    <row r="24628" spans="9:10" x14ac:dyDescent="0.35">
      <c r="I24628" s="63"/>
      <c r="J24628" s="63"/>
    </row>
    <row r="24629" spans="9:10" x14ac:dyDescent="0.35">
      <c r="I24629" s="63"/>
      <c r="J24629" s="63"/>
    </row>
    <row r="24630" spans="9:10" x14ac:dyDescent="0.35">
      <c r="I24630" s="63"/>
      <c r="J24630" s="63"/>
    </row>
    <row r="24631" spans="9:10" x14ac:dyDescent="0.35">
      <c r="I24631" s="63"/>
      <c r="J24631" s="63"/>
    </row>
    <row r="24632" spans="9:10" x14ac:dyDescent="0.35">
      <c r="I24632" s="63"/>
      <c r="J24632" s="63"/>
    </row>
    <row r="24633" spans="9:10" x14ac:dyDescent="0.35">
      <c r="I24633" s="63"/>
      <c r="J24633" s="63"/>
    </row>
    <row r="24634" spans="9:10" x14ac:dyDescent="0.35">
      <c r="I24634" s="63"/>
      <c r="J24634" s="63"/>
    </row>
    <row r="24635" spans="9:10" x14ac:dyDescent="0.35">
      <c r="I24635" s="63"/>
      <c r="J24635" s="63"/>
    </row>
    <row r="24636" spans="9:10" x14ac:dyDescent="0.35">
      <c r="I24636" s="63"/>
      <c r="J24636" s="63"/>
    </row>
    <row r="24637" spans="9:10" x14ac:dyDescent="0.35">
      <c r="I24637" s="63"/>
      <c r="J24637" s="63"/>
    </row>
    <row r="24638" spans="9:10" x14ac:dyDescent="0.35">
      <c r="I24638" s="63"/>
      <c r="J24638" s="63"/>
    </row>
    <row r="24639" spans="9:10" x14ac:dyDescent="0.35">
      <c r="I24639" s="63"/>
      <c r="J24639" s="63"/>
    </row>
    <row r="24640" spans="9:10" x14ac:dyDescent="0.35">
      <c r="I24640" s="63"/>
      <c r="J24640" s="63"/>
    </row>
    <row r="24641" spans="9:10" x14ac:dyDescent="0.35">
      <c r="I24641" s="63"/>
      <c r="J24641" s="63"/>
    </row>
    <row r="24642" spans="9:10" x14ac:dyDescent="0.35">
      <c r="I24642" s="63"/>
      <c r="J24642" s="63"/>
    </row>
    <row r="24643" spans="9:10" x14ac:dyDescent="0.35">
      <c r="I24643" s="63"/>
      <c r="J24643" s="63"/>
    </row>
    <row r="24644" spans="9:10" x14ac:dyDescent="0.35">
      <c r="I24644" s="63"/>
      <c r="J24644" s="63"/>
    </row>
    <row r="24645" spans="9:10" x14ac:dyDescent="0.35">
      <c r="I24645" s="63"/>
      <c r="J24645" s="63"/>
    </row>
    <row r="24646" spans="9:10" x14ac:dyDescent="0.35">
      <c r="I24646" s="63"/>
      <c r="J24646" s="63"/>
    </row>
    <row r="24647" spans="9:10" x14ac:dyDescent="0.35">
      <c r="I24647" s="63"/>
      <c r="J24647" s="63"/>
    </row>
    <row r="24648" spans="9:10" x14ac:dyDescent="0.35">
      <c r="I24648" s="63"/>
      <c r="J24648" s="63"/>
    </row>
    <row r="24649" spans="9:10" x14ac:dyDescent="0.35">
      <c r="I24649" s="63"/>
      <c r="J24649" s="63"/>
    </row>
    <row r="24650" spans="9:10" x14ac:dyDescent="0.35">
      <c r="I24650" s="63"/>
      <c r="J24650" s="63"/>
    </row>
    <row r="24651" spans="9:10" x14ac:dyDescent="0.35">
      <c r="I24651" s="63"/>
      <c r="J24651" s="63"/>
    </row>
    <row r="24652" spans="9:10" x14ac:dyDescent="0.35">
      <c r="I24652" s="63"/>
      <c r="J24652" s="63"/>
    </row>
    <row r="24653" spans="9:10" x14ac:dyDescent="0.35">
      <c r="I24653" s="63"/>
      <c r="J24653" s="63"/>
    </row>
    <row r="24654" spans="9:10" x14ac:dyDescent="0.35">
      <c r="I24654" s="63"/>
      <c r="J24654" s="63"/>
    </row>
    <row r="24655" spans="9:10" x14ac:dyDescent="0.35">
      <c r="I24655" s="63"/>
      <c r="J24655" s="63"/>
    </row>
    <row r="24656" spans="9:10" x14ac:dyDescent="0.35">
      <c r="I24656" s="63"/>
      <c r="J24656" s="63"/>
    </row>
    <row r="24657" spans="9:10" x14ac:dyDescent="0.35">
      <c r="I24657" s="63"/>
      <c r="J24657" s="63"/>
    </row>
    <row r="24658" spans="9:10" x14ac:dyDescent="0.35">
      <c r="I24658" s="63"/>
      <c r="J24658" s="63"/>
    </row>
    <row r="24659" spans="9:10" x14ac:dyDescent="0.35">
      <c r="I24659" s="63"/>
      <c r="J24659" s="63"/>
    </row>
    <row r="24660" spans="9:10" x14ac:dyDescent="0.35">
      <c r="I24660" s="63"/>
      <c r="J24660" s="63"/>
    </row>
    <row r="24661" spans="9:10" x14ac:dyDescent="0.35">
      <c r="I24661" s="63"/>
      <c r="J24661" s="63"/>
    </row>
    <row r="24662" spans="9:10" x14ac:dyDescent="0.35">
      <c r="I24662" s="63"/>
      <c r="J24662" s="63"/>
    </row>
    <row r="24663" spans="9:10" x14ac:dyDescent="0.35">
      <c r="I24663" s="63"/>
      <c r="J24663" s="63"/>
    </row>
    <row r="24664" spans="9:10" x14ac:dyDescent="0.35">
      <c r="I24664" s="63"/>
      <c r="J24664" s="63"/>
    </row>
    <row r="24665" spans="9:10" x14ac:dyDescent="0.35">
      <c r="I24665" s="63"/>
      <c r="J24665" s="63"/>
    </row>
    <row r="24666" spans="9:10" x14ac:dyDescent="0.35">
      <c r="I24666" s="63"/>
      <c r="J24666" s="63"/>
    </row>
    <row r="24667" spans="9:10" x14ac:dyDescent="0.35">
      <c r="I24667" s="63"/>
      <c r="J24667" s="63"/>
    </row>
    <row r="24668" spans="9:10" x14ac:dyDescent="0.35">
      <c r="I24668" s="63"/>
      <c r="J24668" s="63"/>
    </row>
    <row r="24669" spans="9:10" x14ac:dyDescent="0.35">
      <c r="I24669" s="63"/>
      <c r="J24669" s="63"/>
    </row>
    <row r="24670" spans="9:10" x14ac:dyDescent="0.35">
      <c r="I24670" s="63"/>
      <c r="J24670" s="63"/>
    </row>
    <row r="24671" spans="9:10" x14ac:dyDescent="0.35">
      <c r="I24671" s="63"/>
      <c r="J24671" s="63"/>
    </row>
    <row r="24672" spans="9:10" x14ac:dyDescent="0.35">
      <c r="I24672" s="63"/>
      <c r="J24672" s="63"/>
    </row>
    <row r="24673" spans="9:10" x14ac:dyDescent="0.35">
      <c r="I24673" s="63"/>
      <c r="J24673" s="63"/>
    </row>
    <row r="24674" spans="9:10" x14ac:dyDescent="0.35">
      <c r="I24674" s="63"/>
      <c r="J24674" s="63"/>
    </row>
    <row r="24675" spans="9:10" x14ac:dyDescent="0.35">
      <c r="I24675" s="63"/>
      <c r="J24675" s="63"/>
    </row>
    <row r="24676" spans="9:10" x14ac:dyDescent="0.35">
      <c r="I24676" s="63"/>
      <c r="J24676" s="63"/>
    </row>
    <row r="24677" spans="9:10" x14ac:dyDescent="0.35">
      <c r="I24677" s="63"/>
      <c r="J24677" s="63"/>
    </row>
    <row r="24678" spans="9:10" x14ac:dyDescent="0.35">
      <c r="I24678" s="63"/>
      <c r="J24678" s="63"/>
    </row>
    <row r="24679" spans="9:10" x14ac:dyDescent="0.35">
      <c r="I24679" s="63"/>
      <c r="J24679" s="63"/>
    </row>
    <row r="24680" spans="9:10" x14ac:dyDescent="0.35">
      <c r="I24680" s="63"/>
      <c r="J24680" s="63"/>
    </row>
    <row r="24681" spans="9:10" x14ac:dyDescent="0.35">
      <c r="I24681" s="63"/>
      <c r="J24681" s="63"/>
    </row>
    <row r="24682" spans="9:10" x14ac:dyDescent="0.35">
      <c r="I24682" s="63"/>
      <c r="J24682" s="63"/>
    </row>
    <row r="24683" spans="9:10" x14ac:dyDescent="0.35">
      <c r="I24683" s="63"/>
      <c r="J24683" s="63"/>
    </row>
    <row r="24684" spans="9:10" x14ac:dyDescent="0.35">
      <c r="I24684" s="63"/>
      <c r="J24684" s="63"/>
    </row>
    <row r="24685" spans="9:10" x14ac:dyDescent="0.35">
      <c r="I24685" s="63"/>
      <c r="J24685" s="63"/>
    </row>
    <row r="24686" spans="9:10" x14ac:dyDescent="0.35">
      <c r="I24686" s="63"/>
      <c r="J24686" s="63"/>
    </row>
    <row r="24687" spans="9:10" x14ac:dyDescent="0.35">
      <c r="I24687" s="63"/>
      <c r="J24687" s="63"/>
    </row>
    <row r="24688" spans="9:10" x14ac:dyDescent="0.35">
      <c r="I24688" s="63"/>
      <c r="J24688" s="63"/>
    </row>
    <row r="24689" spans="9:10" x14ac:dyDescent="0.35">
      <c r="I24689" s="63"/>
      <c r="J24689" s="63"/>
    </row>
    <row r="24690" spans="9:10" x14ac:dyDescent="0.35">
      <c r="I24690" s="63"/>
      <c r="J24690" s="63"/>
    </row>
    <row r="24691" spans="9:10" x14ac:dyDescent="0.35">
      <c r="I24691" s="63"/>
      <c r="J24691" s="63"/>
    </row>
    <row r="24692" spans="9:10" x14ac:dyDescent="0.35">
      <c r="I24692" s="63"/>
      <c r="J24692" s="63"/>
    </row>
    <row r="24693" spans="9:10" x14ac:dyDescent="0.35">
      <c r="I24693" s="63"/>
      <c r="J24693" s="63"/>
    </row>
    <row r="24694" spans="9:10" x14ac:dyDescent="0.35">
      <c r="I24694" s="63"/>
      <c r="J24694" s="63"/>
    </row>
    <row r="24695" spans="9:10" x14ac:dyDescent="0.35">
      <c r="I24695" s="63"/>
      <c r="J24695" s="63"/>
    </row>
    <row r="24696" spans="9:10" x14ac:dyDescent="0.35">
      <c r="I24696" s="63"/>
      <c r="J24696" s="63"/>
    </row>
    <row r="24697" spans="9:10" x14ac:dyDescent="0.35">
      <c r="I24697" s="63"/>
      <c r="J24697" s="63"/>
    </row>
    <row r="24698" spans="9:10" x14ac:dyDescent="0.35">
      <c r="I24698" s="63"/>
      <c r="J24698" s="63"/>
    </row>
    <row r="24699" spans="9:10" x14ac:dyDescent="0.35">
      <c r="I24699" s="63"/>
      <c r="J24699" s="63"/>
    </row>
    <row r="24700" spans="9:10" x14ac:dyDescent="0.35">
      <c r="I24700" s="63"/>
      <c r="J24700" s="63"/>
    </row>
    <row r="24701" spans="9:10" x14ac:dyDescent="0.35">
      <c r="I24701" s="63"/>
      <c r="J24701" s="63"/>
    </row>
    <row r="24702" spans="9:10" x14ac:dyDescent="0.35">
      <c r="I24702" s="63"/>
      <c r="J24702" s="63"/>
    </row>
    <row r="24703" spans="9:10" x14ac:dyDescent="0.35">
      <c r="I24703" s="63"/>
      <c r="J24703" s="63"/>
    </row>
    <row r="24704" spans="9:10" x14ac:dyDescent="0.35">
      <c r="I24704" s="63"/>
      <c r="J24704" s="63"/>
    </row>
    <row r="24705" spans="9:10" x14ac:dyDescent="0.35">
      <c r="I24705" s="63"/>
      <c r="J24705" s="63"/>
    </row>
    <row r="24706" spans="9:10" x14ac:dyDescent="0.35">
      <c r="I24706" s="63"/>
      <c r="J24706" s="63"/>
    </row>
    <row r="24707" spans="9:10" x14ac:dyDescent="0.35">
      <c r="I24707" s="63"/>
      <c r="J24707" s="63"/>
    </row>
    <row r="24708" spans="9:10" x14ac:dyDescent="0.35">
      <c r="I24708" s="63"/>
      <c r="J24708" s="63"/>
    </row>
    <row r="24709" spans="9:10" x14ac:dyDescent="0.35">
      <c r="I24709" s="63"/>
      <c r="J24709" s="63"/>
    </row>
    <row r="24710" spans="9:10" x14ac:dyDescent="0.35">
      <c r="I24710" s="63"/>
      <c r="J24710" s="63"/>
    </row>
    <row r="24711" spans="9:10" x14ac:dyDescent="0.35">
      <c r="I24711" s="63"/>
      <c r="J24711" s="63"/>
    </row>
    <row r="24712" spans="9:10" x14ac:dyDescent="0.35">
      <c r="I24712" s="63"/>
      <c r="J24712" s="63"/>
    </row>
    <row r="24713" spans="9:10" x14ac:dyDescent="0.35">
      <c r="I24713" s="63"/>
      <c r="J24713" s="63"/>
    </row>
    <row r="24714" spans="9:10" x14ac:dyDescent="0.35">
      <c r="I24714" s="63"/>
      <c r="J24714" s="63"/>
    </row>
    <row r="24715" spans="9:10" x14ac:dyDescent="0.35">
      <c r="I24715" s="63"/>
      <c r="J24715" s="63"/>
    </row>
    <row r="24716" spans="9:10" x14ac:dyDescent="0.35">
      <c r="I24716" s="63"/>
      <c r="J24716" s="63"/>
    </row>
    <row r="24717" spans="9:10" x14ac:dyDescent="0.35">
      <c r="I24717" s="63"/>
      <c r="J24717" s="63"/>
    </row>
    <row r="24718" spans="9:10" x14ac:dyDescent="0.35">
      <c r="I24718" s="63"/>
      <c r="J24718" s="63"/>
    </row>
    <row r="24719" spans="9:10" x14ac:dyDescent="0.35">
      <c r="I24719" s="63"/>
      <c r="J24719" s="63"/>
    </row>
    <row r="24720" spans="9:10" x14ac:dyDescent="0.35">
      <c r="I24720" s="63"/>
      <c r="J24720" s="63"/>
    </row>
    <row r="24721" spans="9:10" x14ac:dyDescent="0.35">
      <c r="I24721" s="63"/>
      <c r="J24721" s="63"/>
    </row>
    <row r="24722" spans="9:10" x14ac:dyDescent="0.35">
      <c r="I24722" s="63"/>
      <c r="J24722" s="63"/>
    </row>
    <row r="24723" spans="9:10" x14ac:dyDescent="0.35">
      <c r="I24723" s="63"/>
      <c r="J24723" s="63"/>
    </row>
    <row r="24724" spans="9:10" x14ac:dyDescent="0.35">
      <c r="I24724" s="63"/>
      <c r="J24724" s="63"/>
    </row>
    <row r="24725" spans="9:10" x14ac:dyDescent="0.35">
      <c r="I24725" s="63"/>
      <c r="J24725" s="63"/>
    </row>
    <row r="24726" spans="9:10" x14ac:dyDescent="0.35">
      <c r="I24726" s="63"/>
      <c r="J24726" s="63"/>
    </row>
    <row r="24727" spans="9:10" x14ac:dyDescent="0.35">
      <c r="I24727" s="63"/>
      <c r="J24727" s="63"/>
    </row>
    <row r="24728" spans="9:10" x14ac:dyDescent="0.35">
      <c r="I24728" s="63"/>
      <c r="J24728" s="63"/>
    </row>
    <row r="24729" spans="9:10" x14ac:dyDescent="0.35">
      <c r="I24729" s="63"/>
      <c r="J24729" s="63"/>
    </row>
    <row r="24730" spans="9:10" x14ac:dyDescent="0.35">
      <c r="I24730" s="63"/>
      <c r="J24730" s="63"/>
    </row>
    <row r="24731" spans="9:10" x14ac:dyDescent="0.35">
      <c r="I24731" s="63"/>
      <c r="J24731" s="63"/>
    </row>
    <row r="24732" spans="9:10" x14ac:dyDescent="0.35">
      <c r="I24732" s="63"/>
      <c r="J24732" s="63"/>
    </row>
    <row r="24733" spans="9:10" x14ac:dyDescent="0.35">
      <c r="I24733" s="63"/>
      <c r="J24733" s="63"/>
    </row>
    <row r="24734" spans="9:10" x14ac:dyDescent="0.35">
      <c r="I24734" s="63"/>
      <c r="J24734" s="63"/>
    </row>
    <row r="24735" spans="9:10" x14ac:dyDescent="0.35">
      <c r="I24735" s="63"/>
      <c r="J24735" s="63"/>
    </row>
    <row r="24736" spans="9:10" x14ac:dyDescent="0.35">
      <c r="I24736" s="63"/>
      <c r="J24736" s="63"/>
    </row>
    <row r="24737" spans="9:10" x14ac:dyDescent="0.35">
      <c r="I24737" s="63"/>
      <c r="J24737" s="63"/>
    </row>
    <row r="24738" spans="9:10" x14ac:dyDescent="0.35">
      <c r="I24738" s="63"/>
      <c r="J24738" s="63"/>
    </row>
    <row r="24739" spans="9:10" x14ac:dyDescent="0.35">
      <c r="I24739" s="63"/>
      <c r="J24739" s="63"/>
    </row>
    <row r="24740" spans="9:10" x14ac:dyDescent="0.35">
      <c r="I24740" s="63"/>
      <c r="J24740" s="63"/>
    </row>
    <row r="24741" spans="9:10" x14ac:dyDescent="0.35">
      <c r="I24741" s="63"/>
      <c r="J24741" s="63"/>
    </row>
    <row r="24742" spans="9:10" x14ac:dyDescent="0.35">
      <c r="I24742" s="63"/>
      <c r="J24742" s="63"/>
    </row>
    <row r="24743" spans="9:10" x14ac:dyDescent="0.35">
      <c r="I24743" s="63"/>
      <c r="J24743" s="63"/>
    </row>
    <row r="24744" spans="9:10" x14ac:dyDescent="0.35">
      <c r="I24744" s="63"/>
      <c r="J24744" s="63"/>
    </row>
    <row r="24745" spans="9:10" x14ac:dyDescent="0.35">
      <c r="I24745" s="63"/>
      <c r="J24745" s="63"/>
    </row>
    <row r="24746" spans="9:10" x14ac:dyDescent="0.35">
      <c r="I24746" s="63"/>
      <c r="J24746" s="63"/>
    </row>
    <row r="24747" spans="9:10" x14ac:dyDescent="0.35">
      <c r="I24747" s="63"/>
      <c r="J24747" s="63"/>
    </row>
    <row r="24748" spans="9:10" x14ac:dyDescent="0.35">
      <c r="I24748" s="63"/>
      <c r="J24748" s="63"/>
    </row>
    <row r="24749" spans="9:10" x14ac:dyDescent="0.35">
      <c r="I24749" s="63"/>
      <c r="J24749" s="63"/>
    </row>
    <row r="24750" spans="9:10" x14ac:dyDescent="0.35">
      <c r="I24750" s="63"/>
      <c r="J24750" s="63"/>
    </row>
    <row r="24751" spans="9:10" x14ac:dyDescent="0.35">
      <c r="I24751" s="63"/>
      <c r="J24751" s="63"/>
    </row>
    <row r="24752" spans="9:10" x14ac:dyDescent="0.35">
      <c r="I24752" s="63"/>
      <c r="J24752" s="63"/>
    </row>
    <row r="24753" spans="9:10" x14ac:dyDescent="0.35">
      <c r="I24753" s="63"/>
      <c r="J24753" s="63"/>
    </row>
    <row r="24754" spans="9:10" x14ac:dyDescent="0.35">
      <c r="I24754" s="63"/>
      <c r="J24754" s="63"/>
    </row>
    <row r="24755" spans="9:10" x14ac:dyDescent="0.35">
      <c r="I24755" s="63"/>
      <c r="J24755" s="63"/>
    </row>
    <row r="24756" spans="9:10" x14ac:dyDescent="0.35">
      <c r="I24756" s="63"/>
      <c r="J24756" s="63"/>
    </row>
    <row r="24757" spans="9:10" x14ac:dyDescent="0.35">
      <c r="I24757" s="63"/>
      <c r="J24757" s="63"/>
    </row>
    <row r="24758" spans="9:10" x14ac:dyDescent="0.35">
      <c r="I24758" s="63"/>
      <c r="J24758" s="63"/>
    </row>
    <row r="24759" spans="9:10" x14ac:dyDescent="0.35">
      <c r="I24759" s="63"/>
      <c r="J24759" s="63"/>
    </row>
    <row r="24760" spans="9:10" x14ac:dyDescent="0.35">
      <c r="I24760" s="63"/>
      <c r="J24760" s="63"/>
    </row>
    <row r="24761" spans="9:10" x14ac:dyDescent="0.35">
      <c r="I24761" s="63"/>
      <c r="J24761" s="63"/>
    </row>
    <row r="24762" spans="9:10" x14ac:dyDescent="0.35">
      <c r="I24762" s="63"/>
      <c r="J24762" s="63"/>
    </row>
    <row r="24763" spans="9:10" x14ac:dyDescent="0.35">
      <c r="I24763" s="63"/>
      <c r="J24763" s="63"/>
    </row>
    <row r="24764" spans="9:10" x14ac:dyDescent="0.35">
      <c r="I24764" s="63"/>
      <c r="J24764" s="63"/>
    </row>
    <row r="24765" spans="9:10" x14ac:dyDescent="0.35">
      <c r="I24765" s="63"/>
      <c r="J24765" s="63"/>
    </row>
    <row r="24766" spans="9:10" x14ac:dyDescent="0.35">
      <c r="I24766" s="63"/>
      <c r="J24766" s="63"/>
    </row>
    <row r="24767" spans="9:10" x14ac:dyDescent="0.35">
      <c r="I24767" s="63"/>
      <c r="J24767" s="63"/>
    </row>
    <row r="24768" spans="9:10" x14ac:dyDescent="0.35">
      <c r="I24768" s="63"/>
      <c r="J24768" s="63"/>
    </row>
    <row r="24769" spans="9:10" x14ac:dyDescent="0.35">
      <c r="I24769" s="63"/>
      <c r="J24769" s="63"/>
    </row>
    <row r="24770" spans="9:10" x14ac:dyDescent="0.35">
      <c r="I24770" s="63"/>
      <c r="J24770" s="63"/>
    </row>
    <row r="24771" spans="9:10" x14ac:dyDescent="0.35">
      <c r="I24771" s="63"/>
      <c r="J24771" s="63"/>
    </row>
    <row r="24772" spans="9:10" x14ac:dyDescent="0.35">
      <c r="I24772" s="63"/>
      <c r="J24772" s="63"/>
    </row>
    <row r="24773" spans="9:10" x14ac:dyDescent="0.35">
      <c r="I24773" s="63"/>
      <c r="J24773" s="63"/>
    </row>
    <row r="24774" spans="9:10" x14ac:dyDescent="0.35">
      <c r="I24774" s="63"/>
      <c r="J24774" s="63"/>
    </row>
    <row r="24775" spans="9:10" x14ac:dyDescent="0.35">
      <c r="I24775" s="63"/>
      <c r="J24775" s="63"/>
    </row>
    <row r="24776" spans="9:10" x14ac:dyDescent="0.35">
      <c r="I24776" s="63"/>
      <c r="J24776" s="63"/>
    </row>
    <row r="24777" spans="9:10" x14ac:dyDescent="0.35">
      <c r="I24777" s="63"/>
      <c r="J24777" s="63"/>
    </row>
    <row r="24778" spans="9:10" x14ac:dyDescent="0.35">
      <c r="I24778" s="63"/>
      <c r="J24778" s="63"/>
    </row>
    <row r="24779" spans="9:10" x14ac:dyDescent="0.35">
      <c r="I24779" s="63"/>
      <c r="J24779" s="63"/>
    </row>
    <row r="24780" spans="9:10" x14ac:dyDescent="0.35">
      <c r="I24780" s="63"/>
      <c r="J24780" s="63"/>
    </row>
    <row r="24781" spans="9:10" x14ac:dyDescent="0.35">
      <c r="I24781" s="63"/>
      <c r="J24781" s="63"/>
    </row>
    <row r="24782" spans="9:10" x14ac:dyDescent="0.35">
      <c r="I24782" s="63"/>
      <c r="J24782" s="63"/>
    </row>
    <row r="24783" spans="9:10" x14ac:dyDescent="0.35">
      <c r="I24783" s="63"/>
      <c r="J24783" s="63"/>
    </row>
    <row r="24784" spans="9:10" x14ac:dyDescent="0.35">
      <c r="I24784" s="63"/>
      <c r="J24784" s="63"/>
    </row>
    <row r="24785" spans="9:10" x14ac:dyDescent="0.35">
      <c r="I24785" s="63"/>
      <c r="J24785" s="63"/>
    </row>
    <row r="24786" spans="9:10" x14ac:dyDescent="0.35">
      <c r="I24786" s="63"/>
      <c r="J24786" s="63"/>
    </row>
    <row r="24787" spans="9:10" x14ac:dyDescent="0.35">
      <c r="I24787" s="63"/>
      <c r="J24787" s="63"/>
    </row>
    <row r="24788" spans="9:10" x14ac:dyDescent="0.35">
      <c r="I24788" s="63"/>
      <c r="J24788" s="63"/>
    </row>
    <row r="24789" spans="9:10" x14ac:dyDescent="0.35">
      <c r="I24789" s="63"/>
      <c r="J24789" s="63"/>
    </row>
    <row r="24790" spans="9:10" x14ac:dyDescent="0.35">
      <c r="I24790" s="63"/>
      <c r="J24790" s="63"/>
    </row>
    <row r="24791" spans="9:10" x14ac:dyDescent="0.35">
      <c r="I24791" s="63"/>
      <c r="J24791" s="63"/>
    </row>
    <row r="24792" spans="9:10" x14ac:dyDescent="0.35">
      <c r="I24792" s="63"/>
      <c r="J24792" s="63"/>
    </row>
    <row r="24793" spans="9:10" x14ac:dyDescent="0.35">
      <c r="I24793" s="63"/>
      <c r="J24793" s="63"/>
    </row>
    <row r="24794" spans="9:10" x14ac:dyDescent="0.35">
      <c r="I24794" s="63"/>
      <c r="J24794" s="63"/>
    </row>
    <row r="24795" spans="9:10" x14ac:dyDescent="0.35">
      <c r="I24795" s="63"/>
      <c r="J24795" s="63"/>
    </row>
    <row r="24796" spans="9:10" x14ac:dyDescent="0.35">
      <c r="I24796" s="63"/>
      <c r="J24796" s="63"/>
    </row>
    <row r="24797" spans="9:10" x14ac:dyDescent="0.35">
      <c r="I24797" s="63"/>
      <c r="J24797" s="63"/>
    </row>
    <row r="24798" spans="9:10" x14ac:dyDescent="0.35">
      <c r="I24798" s="63"/>
      <c r="J24798" s="63"/>
    </row>
    <row r="24799" spans="9:10" x14ac:dyDescent="0.35">
      <c r="I24799" s="63"/>
      <c r="J24799" s="63"/>
    </row>
    <row r="24800" spans="9:10" x14ac:dyDescent="0.35">
      <c r="I24800" s="63"/>
      <c r="J24800" s="63"/>
    </row>
    <row r="24801" spans="9:10" x14ac:dyDescent="0.35">
      <c r="I24801" s="63"/>
      <c r="J24801" s="63"/>
    </row>
    <row r="24802" spans="9:10" x14ac:dyDescent="0.35">
      <c r="I24802" s="63"/>
      <c r="J24802" s="63"/>
    </row>
    <row r="24803" spans="9:10" x14ac:dyDescent="0.35">
      <c r="I24803" s="63"/>
      <c r="J24803" s="63"/>
    </row>
    <row r="24804" spans="9:10" x14ac:dyDescent="0.35">
      <c r="I24804" s="63"/>
      <c r="J24804" s="63"/>
    </row>
    <row r="24805" spans="9:10" x14ac:dyDescent="0.35">
      <c r="I24805" s="63"/>
      <c r="J24805" s="63"/>
    </row>
    <row r="24806" spans="9:10" x14ac:dyDescent="0.35">
      <c r="I24806" s="63"/>
      <c r="J24806" s="63"/>
    </row>
    <row r="24807" spans="9:10" x14ac:dyDescent="0.35">
      <c r="I24807" s="63"/>
      <c r="J24807" s="63"/>
    </row>
    <row r="24808" spans="9:10" x14ac:dyDescent="0.35">
      <c r="I24808" s="63"/>
      <c r="J24808" s="63"/>
    </row>
    <row r="24809" spans="9:10" x14ac:dyDescent="0.35">
      <c r="I24809" s="63"/>
      <c r="J24809" s="63"/>
    </row>
    <row r="24810" spans="9:10" x14ac:dyDescent="0.35">
      <c r="I24810" s="63"/>
      <c r="J24810" s="63"/>
    </row>
    <row r="24811" spans="9:10" x14ac:dyDescent="0.35">
      <c r="I24811" s="63"/>
      <c r="J24811" s="63"/>
    </row>
    <row r="24812" spans="9:10" x14ac:dyDescent="0.35">
      <c r="I24812" s="63"/>
      <c r="J24812" s="63"/>
    </row>
    <row r="24813" spans="9:10" x14ac:dyDescent="0.35">
      <c r="I24813" s="63"/>
      <c r="J24813" s="63"/>
    </row>
    <row r="24814" spans="9:10" x14ac:dyDescent="0.35">
      <c r="I24814" s="63"/>
      <c r="J24814" s="63"/>
    </row>
    <row r="24815" spans="9:10" x14ac:dyDescent="0.35">
      <c r="I24815" s="63"/>
      <c r="J24815" s="63"/>
    </row>
    <row r="24816" spans="9:10" x14ac:dyDescent="0.35">
      <c r="I24816" s="63"/>
      <c r="J24816" s="63"/>
    </row>
    <row r="24817" spans="9:10" x14ac:dyDescent="0.35">
      <c r="I24817" s="63"/>
      <c r="J24817" s="63"/>
    </row>
    <row r="24818" spans="9:10" x14ac:dyDescent="0.35">
      <c r="I24818" s="63"/>
      <c r="J24818" s="63"/>
    </row>
    <row r="24819" spans="9:10" x14ac:dyDescent="0.35">
      <c r="I24819" s="63"/>
      <c r="J24819" s="63"/>
    </row>
    <row r="24820" spans="9:10" x14ac:dyDescent="0.35">
      <c r="I24820" s="63"/>
      <c r="J24820" s="63"/>
    </row>
    <row r="24821" spans="9:10" x14ac:dyDescent="0.35">
      <c r="I24821" s="63"/>
      <c r="J24821" s="63"/>
    </row>
    <row r="24822" spans="9:10" x14ac:dyDescent="0.35">
      <c r="I24822" s="63"/>
      <c r="J24822" s="63"/>
    </row>
    <row r="24823" spans="9:10" x14ac:dyDescent="0.35">
      <c r="I24823" s="63"/>
      <c r="J24823" s="63"/>
    </row>
    <row r="24824" spans="9:10" x14ac:dyDescent="0.35">
      <c r="I24824" s="63"/>
      <c r="J24824" s="63"/>
    </row>
    <row r="24825" spans="9:10" x14ac:dyDescent="0.35">
      <c r="I24825" s="63"/>
      <c r="J24825" s="63"/>
    </row>
    <row r="24826" spans="9:10" x14ac:dyDescent="0.35">
      <c r="I24826" s="63"/>
      <c r="J24826" s="63"/>
    </row>
    <row r="24827" spans="9:10" x14ac:dyDescent="0.35">
      <c r="I24827" s="63"/>
      <c r="J24827" s="63"/>
    </row>
    <row r="24828" spans="9:10" x14ac:dyDescent="0.35">
      <c r="I24828" s="63"/>
      <c r="J24828" s="63"/>
    </row>
    <row r="24829" spans="9:10" x14ac:dyDescent="0.35">
      <c r="I24829" s="63"/>
      <c r="J24829" s="63"/>
    </row>
    <row r="24830" spans="9:10" x14ac:dyDescent="0.35">
      <c r="I24830" s="63"/>
      <c r="J24830" s="63"/>
    </row>
    <row r="24831" spans="9:10" x14ac:dyDescent="0.35">
      <c r="I24831" s="63"/>
      <c r="J24831" s="63"/>
    </row>
    <row r="24832" spans="9:10" x14ac:dyDescent="0.35">
      <c r="I24832" s="63"/>
      <c r="J24832" s="63"/>
    </row>
    <row r="24833" spans="9:10" x14ac:dyDescent="0.35">
      <c r="I24833" s="63"/>
      <c r="J24833" s="63"/>
    </row>
    <row r="24834" spans="9:10" x14ac:dyDescent="0.35">
      <c r="I24834" s="63"/>
      <c r="J24834" s="63"/>
    </row>
    <row r="24835" spans="9:10" x14ac:dyDescent="0.35">
      <c r="I24835" s="63"/>
      <c r="J24835" s="63"/>
    </row>
    <row r="24836" spans="9:10" x14ac:dyDescent="0.35">
      <c r="I24836" s="63"/>
      <c r="J24836" s="63"/>
    </row>
    <row r="24837" spans="9:10" x14ac:dyDescent="0.35">
      <c r="I24837" s="63"/>
      <c r="J24837" s="63"/>
    </row>
    <row r="24838" spans="9:10" x14ac:dyDescent="0.35">
      <c r="I24838" s="63"/>
      <c r="J24838" s="63"/>
    </row>
    <row r="24839" spans="9:10" x14ac:dyDescent="0.35">
      <c r="I24839" s="63"/>
      <c r="J24839" s="63"/>
    </row>
    <row r="24840" spans="9:10" x14ac:dyDescent="0.35">
      <c r="I24840" s="63"/>
      <c r="J24840" s="63"/>
    </row>
    <row r="24841" spans="9:10" x14ac:dyDescent="0.35">
      <c r="I24841" s="63"/>
      <c r="J24841" s="63"/>
    </row>
    <row r="24842" spans="9:10" x14ac:dyDescent="0.35">
      <c r="I24842" s="63"/>
      <c r="J24842" s="63"/>
    </row>
    <row r="24843" spans="9:10" x14ac:dyDescent="0.35">
      <c r="I24843" s="63"/>
      <c r="J24843" s="63"/>
    </row>
    <row r="24844" spans="9:10" x14ac:dyDescent="0.35">
      <c r="I24844" s="63"/>
      <c r="J24844" s="63"/>
    </row>
    <row r="24845" spans="9:10" x14ac:dyDescent="0.35">
      <c r="I24845" s="63"/>
      <c r="J24845" s="63"/>
    </row>
    <row r="24846" spans="9:10" x14ac:dyDescent="0.35">
      <c r="I24846" s="63"/>
      <c r="J24846" s="63"/>
    </row>
    <row r="24847" spans="9:10" x14ac:dyDescent="0.35">
      <c r="I24847" s="63"/>
      <c r="J24847" s="63"/>
    </row>
    <row r="24848" spans="9:10" x14ac:dyDescent="0.35">
      <c r="I24848" s="63"/>
      <c r="J24848" s="63"/>
    </row>
    <row r="24849" spans="9:10" x14ac:dyDescent="0.35">
      <c r="I24849" s="63"/>
      <c r="J24849" s="63"/>
    </row>
    <row r="24850" spans="9:10" x14ac:dyDescent="0.35">
      <c r="I24850" s="63"/>
      <c r="J24850" s="63"/>
    </row>
    <row r="24851" spans="9:10" x14ac:dyDescent="0.35">
      <c r="I24851" s="63"/>
      <c r="J24851" s="63"/>
    </row>
    <row r="24852" spans="9:10" x14ac:dyDescent="0.35">
      <c r="I24852" s="63"/>
      <c r="J24852" s="63"/>
    </row>
    <row r="24853" spans="9:10" x14ac:dyDescent="0.35">
      <c r="I24853" s="63"/>
      <c r="J24853" s="63"/>
    </row>
    <row r="24854" spans="9:10" x14ac:dyDescent="0.35">
      <c r="I24854" s="63"/>
      <c r="J24854" s="63"/>
    </row>
    <row r="24855" spans="9:10" x14ac:dyDescent="0.35">
      <c r="I24855" s="63"/>
      <c r="J24855" s="63"/>
    </row>
    <row r="24856" spans="9:10" x14ac:dyDescent="0.35">
      <c r="I24856" s="63"/>
      <c r="J24856" s="63"/>
    </row>
    <row r="24857" spans="9:10" x14ac:dyDescent="0.35">
      <c r="I24857" s="63"/>
      <c r="J24857" s="63"/>
    </row>
    <row r="24858" spans="9:10" x14ac:dyDescent="0.35">
      <c r="I24858" s="63"/>
      <c r="J24858" s="63"/>
    </row>
    <row r="24859" spans="9:10" x14ac:dyDescent="0.35">
      <c r="I24859" s="63"/>
      <c r="J24859" s="63"/>
    </row>
    <row r="24860" spans="9:10" x14ac:dyDescent="0.35">
      <c r="I24860" s="63"/>
      <c r="J24860" s="63"/>
    </row>
    <row r="24861" spans="9:10" x14ac:dyDescent="0.35">
      <c r="I24861" s="63"/>
      <c r="J24861" s="63"/>
    </row>
    <row r="24862" spans="9:10" x14ac:dyDescent="0.35">
      <c r="I24862" s="63"/>
      <c r="J24862" s="63"/>
    </row>
    <row r="24863" spans="9:10" x14ac:dyDescent="0.35">
      <c r="I24863" s="63"/>
      <c r="J24863" s="63"/>
    </row>
    <row r="24864" spans="9:10" x14ac:dyDescent="0.35">
      <c r="I24864" s="63"/>
      <c r="J24864" s="63"/>
    </row>
    <row r="24865" spans="9:10" x14ac:dyDescent="0.35">
      <c r="I24865" s="63"/>
      <c r="J24865" s="63"/>
    </row>
    <row r="24866" spans="9:10" x14ac:dyDescent="0.35">
      <c r="I24866" s="63"/>
      <c r="J24866" s="63"/>
    </row>
    <row r="24867" spans="9:10" x14ac:dyDescent="0.35">
      <c r="I24867" s="63"/>
      <c r="J24867" s="63"/>
    </row>
    <row r="24868" spans="9:10" x14ac:dyDescent="0.35">
      <c r="I24868" s="63"/>
      <c r="J24868" s="63"/>
    </row>
    <row r="24869" spans="9:10" x14ac:dyDescent="0.35">
      <c r="I24869" s="63"/>
      <c r="J24869" s="63"/>
    </row>
    <row r="24870" spans="9:10" x14ac:dyDescent="0.35">
      <c r="I24870" s="63"/>
      <c r="J24870" s="63"/>
    </row>
    <row r="24871" spans="9:10" x14ac:dyDescent="0.35">
      <c r="I24871" s="63"/>
      <c r="J24871" s="63"/>
    </row>
    <row r="24872" spans="9:10" x14ac:dyDescent="0.35">
      <c r="I24872" s="63"/>
      <c r="J24872" s="63"/>
    </row>
    <row r="24873" spans="9:10" x14ac:dyDescent="0.35">
      <c r="I24873" s="63"/>
      <c r="J24873" s="63"/>
    </row>
    <row r="24874" spans="9:10" x14ac:dyDescent="0.35">
      <c r="I24874" s="63"/>
      <c r="J24874" s="63"/>
    </row>
    <row r="24875" spans="9:10" x14ac:dyDescent="0.35">
      <c r="I24875" s="63"/>
      <c r="J24875" s="63"/>
    </row>
    <row r="24876" spans="9:10" x14ac:dyDescent="0.35">
      <c r="I24876" s="63"/>
      <c r="J24876" s="63"/>
    </row>
    <row r="24877" spans="9:10" x14ac:dyDescent="0.35">
      <c r="I24877" s="63"/>
      <c r="J24877" s="63"/>
    </row>
    <row r="24878" spans="9:10" x14ac:dyDescent="0.35">
      <c r="I24878" s="63"/>
      <c r="J24878" s="63"/>
    </row>
    <row r="24879" spans="9:10" x14ac:dyDescent="0.35">
      <c r="I24879" s="63"/>
      <c r="J24879" s="63"/>
    </row>
    <row r="24880" spans="9:10" x14ac:dyDescent="0.35">
      <c r="I24880" s="63"/>
      <c r="J24880" s="63"/>
    </row>
    <row r="24881" spans="9:10" x14ac:dyDescent="0.35">
      <c r="I24881" s="63"/>
      <c r="J24881" s="63"/>
    </row>
    <row r="24882" spans="9:10" x14ac:dyDescent="0.35">
      <c r="I24882" s="63"/>
      <c r="J24882" s="63"/>
    </row>
    <row r="24883" spans="9:10" x14ac:dyDescent="0.35">
      <c r="I24883" s="63"/>
      <c r="J24883" s="63"/>
    </row>
    <row r="24884" spans="9:10" x14ac:dyDescent="0.35">
      <c r="I24884" s="63"/>
      <c r="J24884" s="63"/>
    </row>
    <row r="24885" spans="9:10" x14ac:dyDescent="0.35">
      <c r="I24885" s="63"/>
      <c r="J24885" s="63"/>
    </row>
    <row r="24886" spans="9:10" x14ac:dyDescent="0.35">
      <c r="I24886" s="63"/>
      <c r="J24886" s="63"/>
    </row>
    <row r="24887" spans="9:10" x14ac:dyDescent="0.35">
      <c r="I24887" s="63"/>
      <c r="J24887" s="63"/>
    </row>
    <row r="24888" spans="9:10" x14ac:dyDescent="0.35">
      <c r="I24888" s="63"/>
      <c r="J24888" s="63"/>
    </row>
    <row r="24889" spans="9:10" x14ac:dyDescent="0.35">
      <c r="I24889" s="63"/>
      <c r="J24889" s="63"/>
    </row>
    <row r="24890" spans="9:10" x14ac:dyDescent="0.35">
      <c r="I24890" s="63"/>
      <c r="J24890" s="63"/>
    </row>
    <row r="24891" spans="9:10" x14ac:dyDescent="0.35">
      <c r="I24891" s="63"/>
      <c r="J24891" s="63"/>
    </row>
    <row r="24892" spans="9:10" x14ac:dyDescent="0.35">
      <c r="I24892" s="63"/>
      <c r="J24892" s="63"/>
    </row>
    <row r="24893" spans="9:10" x14ac:dyDescent="0.35">
      <c r="I24893" s="63"/>
      <c r="J24893" s="63"/>
    </row>
    <row r="24894" spans="9:10" x14ac:dyDescent="0.35">
      <c r="I24894" s="63"/>
      <c r="J24894" s="63"/>
    </row>
    <row r="24895" spans="9:10" x14ac:dyDescent="0.35">
      <c r="I24895" s="63"/>
      <c r="J24895" s="63"/>
    </row>
    <row r="24896" spans="9:10" x14ac:dyDescent="0.35">
      <c r="I24896" s="63"/>
      <c r="J24896" s="63"/>
    </row>
    <row r="24897" spans="9:10" x14ac:dyDescent="0.35">
      <c r="I24897" s="63"/>
      <c r="J24897" s="63"/>
    </row>
    <row r="24898" spans="9:10" x14ac:dyDescent="0.35">
      <c r="I24898" s="63"/>
      <c r="J24898" s="63"/>
    </row>
    <row r="24899" spans="9:10" x14ac:dyDescent="0.35">
      <c r="I24899" s="63"/>
      <c r="J24899" s="63"/>
    </row>
    <row r="24900" spans="9:10" x14ac:dyDescent="0.35">
      <c r="I24900" s="63"/>
      <c r="J24900" s="63"/>
    </row>
    <row r="24901" spans="9:10" x14ac:dyDescent="0.35">
      <c r="I24901" s="63"/>
      <c r="J24901" s="63"/>
    </row>
    <row r="24902" spans="9:10" x14ac:dyDescent="0.35">
      <c r="I24902" s="63"/>
      <c r="J24902" s="63"/>
    </row>
    <row r="24903" spans="9:10" x14ac:dyDescent="0.35">
      <c r="I24903" s="63"/>
      <c r="J24903" s="63"/>
    </row>
    <row r="24904" spans="9:10" x14ac:dyDescent="0.35">
      <c r="I24904" s="63"/>
      <c r="J24904" s="63"/>
    </row>
    <row r="24905" spans="9:10" x14ac:dyDescent="0.35">
      <c r="I24905" s="63"/>
      <c r="J24905" s="63"/>
    </row>
    <row r="24906" spans="9:10" x14ac:dyDescent="0.35">
      <c r="I24906" s="63"/>
      <c r="J24906" s="63"/>
    </row>
    <row r="24907" spans="9:10" x14ac:dyDescent="0.35">
      <c r="I24907" s="63"/>
      <c r="J24907" s="63"/>
    </row>
    <row r="24908" spans="9:10" x14ac:dyDescent="0.35">
      <c r="I24908" s="63"/>
      <c r="J24908" s="63"/>
    </row>
    <row r="24909" spans="9:10" x14ac:dyDescent="0.35">
      <c r="I24909" s="63"/>
      <c r="J24909" s="63"/>
    </row>
    <row r="24910" spans="9:10" x14ac:dyDescent="0.35">
      <c r="I24910" s="63"/>
      <c r="J24910" s="63"/>
    </row>
    <row r="24911" spans="9:10" x14ac:dyDescent="0.35">
      <c r="I24911" s="63"/>
      <c r="J24911" s="63"/>
    </row>
    <row r="24912" spans="9:10" x14ac:dyDescent="0.35">
      <c r="I24912" s="63"/>
      <c r="J24912" s="63"/>
    </row>
    <row r="24913" spans="9:10" x14ac:dyDescent="0.35">
      <c r="I24913" s="63"/>
      <c r="J24913" s="63"/>
    </row>
    <row r="24914" spans="9:10" x14ac:dyDescent="0.35">
      <c r="I24914" s="63"/>
      <c r="J24914" s="63"/>
    </row>
    <row r="24915" spans="9:10" x14ac:dyDescent="0.35">
      <c r="I24915" s="63"/>
      <c r="J24915" s="63"/>
    </row>
    <row r="24916" spans="9:10" x14ac:dyDescent="0.35">
      <c r="I24916" s="63"/>
      <c r="J24916" s="63"/>
    </row>
    <row r="24917" spans="9:10" x14ac:dyDescent="0.35">
      <c r="I24917" s="63"/>
      <c r="J24917" s="63"/>
    </row>
    <row r="24918" spans="9:10" x14ac:dyDescent="0.35">
      <c r="I24918" s="63"/>
      <c r="J24918" s="63"/>
    </row>
    <row r="24919" spans="9:10" x14ac:dyDescent="0.35">
      <c r="I24919" s="63"/>
      <c r="J24919" s="63"/>
    </row>
    <row r="24920" spans="9:10" x14ac:dyDescent="0.35">
      <c r="I24920" s="63"/>
      <c r="J24920" s="63"/>
    </row>
    <row r="24921" spans="9:10" x14ac:dyDescent="0.35">
      <c r="I24921" s="63"/>
      <c r="J24921" s="63"/>
    </row>
    <row r="24922" spans="9:10" x14ac:dyDescent="0.35">
      <c r="I24922" s="63"/>
      <c r="J24922" s="63"/>
    </row>
    <row r="24923" spans="9:10" x14ac:dyDescent="0.35">
      <c r="I24923" s="63"/>
      <c r="J24923" s="63"/>
    </row>
    <row r="24924" spans="9:10" x14ac:dyDescent="0.35">
      <c r="I24924" s="63"/>
      <c r="J24924" s="63"/>
    </row>
    <row r="24925" spans="9:10" x14ac:dyDescent="0.35">
      <c r="I24925" s="63"/>
      <c r="J24925" s="63"/>
    </row>
    <row r="24926" spans="9:10" x14ac:dyDescent="0.35">
      <c r="I24926" s="63"/>
      <c r="J24926" s="63"/>
    </row>
    <row r="24927" spans="9:10" x14ac:dyDescent="0.35">
      <c r="I24927" s="63"/>
      <c r="J24927" s="63"/>
    </row>
    <row r="24928" spans="9:10" x14ac:dyDescent="0.35">
      <c r="I24928" s="63"/>
      <c r="J24928" s="63"/>
    </row>
    <row r="24929" spans="9:10" x14ac:dyDescent="0.35">
      <c r="I24929" s="63"/>
      <c r="J24929" s="63"/>
    </row>
    <row r="24930" spans="9:10" x14ac:dyDescent="0.35">
      <c r="I24930" s="63"/>
      <c r="J24930" s="63"/>
    </row>
    <row r="24931" spans="9:10" x14ac:dyDescent="0.35">
      <c r="I24931" s="63"/>
      <c r="J24931" s="63"/>
    </row>
    <row r="24932" spans="9:10" x14ac:dyDescent="0.35">
      <c r="I24932" s="63"/>
      <c r="J24932" s="63"/>
    </row>
    <row r="24933" spans="9:10" x14ac:dyDescent="0.35">
      <c r="I24933" s="63"/>
      <c r="J24933" s="63"/>
    </row>
    <row r="24934" spans="9:10" x14ac:dyDescent="0.35">
      <c r="I24934" s="63"/>
      <c r="J24934" s="63"/>
    </row>
    <row r="24935" spans="9:10" x14ac:dyDescent="0.35">
      <c r="I24935" s="63"/>
      <c r="J24935" s="63"/>
    </row>
    <row r="24936" spans="9:10" x14ac:dyDescent="0.35">
      <c r="I24936" s="63"/>
      <c r="J24936" s="63"/>
    </row>
    <row r="24937" spans="9:10" x14ac:dyDescent="0.35">
      <c r="I24937" s="63"/>
      <c r="J24937" s="63"/>
    </row>
    <row r="24938" spans="9:10" x14ac:dyDescent="0.35">
      <c r="I24938" s="63"/>
      <c r="J24938" s="63"/>
    </row>
    <row r="24939" spans="9:10" x14ac:dyDescent="0.35">
      <c r="I24939" s="63"/>
      <c r="J24939" s="63"/>
    </row>
    <row r="24940" spans="9:10" x14ac:dyDescent="0.35">
      <c r="I24940" s="63"/>
      <c r="J24940" s="63"/>
    </row>
    <row r="24941" spans="9:10" x14ac:dyDescent="0.35">
      <c r="I24941" s="63"/>
      <c r="J24941" s="63"/>
    </row>
    <row r="24942" spans="9:10" x14ac:dyDescent="0.35">
      <c r="I24942" s="63"/>
      <c r="J24942" s="63"/>
    </row>
    <row r="24943" spans="9:10" x14ac:dyDescent="0.35">
      <c r="I24943" s="63"/>
      <c r="J24943" s="63"/>
    </row>
    <row r="24944" spans="9:10" x14ac:dyDescent="0.35">
      <c r="I24944" s="63"/>
      <c r="J24944" s="63"/>
    </row>
    <row r="24945" spans="9:10" x14ac:dyDescent="0.35">
      <c r="I24945" s="63"/>
      <c r="J24945" s="63"/>
    </row>
    <row r="24946" spans="9:10" x14ac:dyDescent="0.35">
      <c r="I24946" s="63"/>
      <c r="J24946" s="63"/>
    </row>
    <row r="24947" spans="9:10" x14ac:dyDescent="0.35">
      <c r="I24947" s="63"/>
      <c r="J24947" s="63"/>
    </row>
    <row r="24948" spans="9:10" x14ac:dyDescent="0.35">
      <c r="I24948" s="63"/>
      <c r="J24948" s="63"/>
    </row>
    <row r="24949" spans="9:10" x14ac:dyDescent="0.35">
      <c r="I24949" s="63"/>
      <c r="J24949" s="63"/>
    </row>
    <row r="24950" spans="9:10" x14ac:dyDescent="0.35">
      <c r="I24950" s="63"/>
      <c r="J24950" s="63"/>
    </row>
    <row r="24951" spans="9:10" x14ac:dyDescent="0.35">
      <c r="I24951" s="63"/>
      <c r="J24951" s="63"/>
    </row>
    <row r="24952" spans="9:10" x14ac:dyDescent="0.35">
      <c r="I24952" s="63"/>
      <c r="J24952" s="63"/>
    </row>
    <row r="24953" spans="9:10" x14ac:dyDescent="0.35">
      <c r="I24953" s="63"/>
      <c r="J24953" s="63"/>
    </row>
    <row r="24954" spans="9:10" x14ac:dyDescent="0.35">
      <c r="I24954" s="63"/>
      <c r="J24954" s="63"/>
    </row>
    <row r="24955" spans="9:10" x14ac:dyDescent="0.35">
      <c r="I24955" s="63"/>
      <c r="J24955" s="63"/>
    </row>
    <row r="24956" spans="9:10" x14ac:dyDescent="0.35">
      <c r="I24956" s="63"/>
      <c r="J24956" s="63"/>
    </row>
    <row r="24957" spans="9:10" x14ac:dyDescent="0.35">
      <c r="I24957" s="63"/>
      <c r="J24957" s="63"/>
    </row>
    <row r="24958" spans="9:10" x14ac:dyDescent="0.35">
      <c r="I24958" s="63"/>
      <c r="J24958" s="63"/>
    </row>
    <row r="24959" spans="9:10" x14ac:dyDescent="0.35">
      <c r="I24959" s="63"/>
      <c r="J24959" s="63"/>
    </row>
    <row r="24960" spans="9:10" x14ac:dyDescent="0.35">
      <c r="I24960" s="63"/>
      <c r="J24960" s="63"/>
    </row>
    <row r="24961" spans="9:10" x14ac:dyDescent="0.35">
      <c r="I24961" s="63"/>
      <c r="J24961" s="63"/>
    </row>
    <row r="24962" spans="9:10" x14ac:dyDescent="0.35">
      <c r="I24962" s="63"/>
      <c r="J24962" s="63"/>
    </row>
    <row r="24963" spans="9:10" x14ac:dyDescent="0.35">
      <c r="I24963" s="63"/>
      <c r="J24963" s="63"/>
    </row>
    <row r="24964" spans="9:10" x14ac:dyDescent="0.35">
      <c r="I24964" s="63"/>
      <c r="J24964" s="63"/>
    </row>
    <row r="24965" spans="9:10" x14ac:dyDescent="0.35">
      <c r="I24965" s="63"/>
      <c r="J24965" s="63"/>
    </row>
    <row r="24966" spans="9:10" x14ac:dyDescent="0.35">
      <c r="I24966" s="63"/>
      <c r="J24966" s="63"/>
    </row>
    <row r="24967" spans="9:10" x14ac:dyDescent="0.35">
      <c r="I24967" s="63"/>
      <c r="J24967" s="63"/>
    </row>
    <row r="24968" spans="9:10" x14ac:dyDescent="0.35">
      <c r="I24968" s="63"/>
      <c r="J24968" s="63"/>
    </row>
    <row r="24969" spans="9:10" x14ac:dyDescent="0.35">
      <c r="I24969" s="63"/>
      <c r="J24969" s="63"/>
    </row>
    <row r="24970" spans="9:10" x14ac:dyDescent="0.35">
      <c r="I24970" s="63"/>
      <c r="J24970" s="63"/>
    </row>
    <row r="24971" spans="9:10" x14ac:dyDescent="0.35">
      <c r="I24971" s="63"/>
      <c r="J24971" s="63"/>
    </row>
    <row r="24972" spans="9:10" x14ac:dyDescent="0.35">
      <c r="I24972" s="63"/>
      <c r="J24972" s="63"/>
    </row>
    <row r="24973" spans="9:10" x14ac:dyDescent="0.35">
      <c r="I24973" s="63"/>
      <c r="J24973" s="63"/>
    </row>
    <row r="24974" spans="9:10" x14ac:dyDescent="0.35">
      <c r="I24974" s="63"/>
      <c r="J24974" s="63"/>
    </row>
    <row r="24975" spans="9:10" x14ac:dyDescent="0.35">
      <c r="I24975" s="63"/>
      <c r="J24975" s="63"/>
    </row>
    <row r="24976" spans="9:10" x14ac:dyDescent="0.35">
      <c r="I24976" s="63"/>
      <c r="J24976" s="63"/>
    </row>
    <row r="24977" spans="9:10" x14ac:dyDescent="0.35">
      <c r="I24977" s="63"/>
      <c r="J24977" s="63"/>
    </row>
    <row r="24978" spans="9:10" x14ac:dyDescent="0.35">
      <c r="I24978" s="63"/>
      <c r="J24978" s="63"/>
    </row>
    <row r="24979" spans="9:10" x14ac:dyDescent="0.35">
      <c r="I24979" s="63"/>
      <c r="J24979" s="63"/>
    </row>
    <row r="24980" spans="9:10" x14ac:dyDescent="0.35">
      <c r="I24980" s="63"/>
      <c r="J24980" s="63"/>
    </row>
    <row r="24981" spans="9:10" x14ac:dyDescent="0.35">
      <c r="I24981" s="63"/>
      <c r="J24981" s="63"/>
    </row>
    <row r="24982" spans="9:10" x14ac:dyDescent="0.35">
      <c r="I24982" s="63"/>
      <c r="J24982" s="63"/>
    </row>
    <row r="24983" spans="9:10" x14ac:dyDescent="0.35">
      <c r="I24983" s="63"/>
      <c r="J24983" s="63"/>
    </row>
    <row r="24984" spans="9:10" x14ac:dyDescent="0.35">
      <c r="I24984" s="63"/>
      <c r="J24984" s="63"/>
    </row>
    <row r="24985" spans="9:10" x14ac:dyDescent="0.35">
      <c r="I24985" s="63"/>
      <c r="J24985" s="63"/>
    </row>
    <row r="24986" spans="9:10" x14ac:dyDescent="0.35">
      <c r="I24986" s="63"/>
      <c r="J24986" s="63"/>
    </row>
    <row r="24987" spans="9:10" x14ac:dyDescent="0.35">
      <c r="I24987" s="63"/>
      <c r="J24987" s="63"/>
    </row>
    <row r="24988" spans="9:10" x14ac:dyDescent="0.35">
      <c r="I24988" s="63"/>
      <c r="J24988" s="63"/>
    </row>
    <row r="24989" spans="9:10" x14ac:dyDescent="0.35">
      <c r="I24989" s="63"/>
      <c r="J24989" s="63"/>
    </row>
    <row r="24990" spans="9:10" x14ac:dyDescent="0.35">
      <c r="I24990" s="63"/>
      <c r="J24990" s="63"/>
    </row>
    <row r="24991" spans="9:10" x14ac:dyDescent="0.35">
      <c r="I24991" s="63"/>
      <c r="J24991" s="63"/>
    </row>
    <row r="24992" spans="9:10" x14ac:dyDescent="0.35">
      <c r="I24992" s="63"/>
      <c r="J24992" s="63"/>
    </row>
    <row r="24993" spans="9:10" x14ac:dyDescent="0.35">
      <c r="I24993" s="63"/>
      <c r="J24993" s="63"/>
    </row>
    <row r="24994" spans="9:10" x14ac:dyDescent="0.35">
      <c r="I24994" s="63"/>
      <c r="J24994" s="63"/>
    </row>
    <row r="24995" spans="9:10" x14ac:dyDescent="0.35">
      <c r="I24995" s="63"/>
      <c r="J24995" s="63"/>
    </row>
    <row r="24996" spans="9:10" x14ac:dyDescent="0.35">
      <c r="I24996" s="63"/>
      <c r="J24996" s="63"/>
    </row>
    <row r="24997" spans="9:10" x14ac:dyDescent="0.35">
      <c r="I24997" s="63"/>
      <c r="J24997" s="63"/>
    </row>
    <row r="24998" spans="9:10" x14ac:dyDescent="0.35">
      <c r="I24998" s="63"/>
      <c r="J24998" s="63"/>
    </row>
    <row r="24999" spans="9:10" x14ac:dyDescent="0.35">
      <c r="I24999" s="63"/>
      <c r="J24999" s="63"/>
    </row>
    <row r="25000" spans="9:10" x14ac:dyDescent="0.35">
      <c r="I25000" s="63"/>
      <c r="J25000" s="63"/>
    </row>
    <row r="25001" spans="9:10" x14ac:dyDescent="0.35">
      <c r="I25001" s="63"/>
      <c r="J25001" s="63"/>
    </row>
    <row r="25002" spans="9:10" x14ac:dyDescent="0.35">
      <c r="I25002" s="63"/>
      <c r="J25002" s="63"/>
    </row>
    <row r="25003" spans="9:10" x14ac:dyDescent="0.35">
      <c r="I25003" s="63"/>
      <c r="J25003" s="63"/>
    </row>
    <row r="25004" spans="9:10" x14ac:dyDescent="0.35">
      <c r="I25004" s="63"/>
      <c r="J25004" s="63"/>
    </row>
    <row r="25005" spans="9:10" x14ac:dyDescent="0.35">
      <c r="I25005" s="63"/>
      <c r="J25005" s="63"/>
    </row>
    <row r="25006" spans="9:10" x14ac:dyDescent="0.35">
      <c r="I25006" s="63"/>
      <c r="J25006" s="63"/>
    </row>
    <row r="25007" spans="9:10" x14ac:dyDescent="0.35">
      <c r="I25007" s="63"/>
      <c r="J25007" s="63"/>
    </row>
    <row r="25008" spans="9:10" x14ac:dyDescent="0.35">
      <c r="I25008" s="63"/>
      <c r="J25008" s="63"/>
    </row>
    <row r="25009" spans="9:10" x14ac:dyDescent="0.35">
      <c r="I25009" s="63"/>
      <c r="J25009" s="63"/>
    </row>
    <row r="25010" spans="9:10" x14ac:dyDescent="0.35">
      <c r="I25010" s="63"/>
      <c r="J25010" s="63"/>
    </row>
    <row r="25011" spans="9:10" x14ac:dyDescent="0.35">
      <c r="I25011" s="63"/>
      <c r="J25011" s="63"/>
    </row>
    <row r="25012" spans="9:10" x14ac:dyDescent="0.35">
      <c r="I25012" s="63"/>
      <c r="J25012" s="63"/>
    </row>
    <row r="25013" spans="9:10" x14ac:dyDescent="0.35">
      <c r="I25013" s="63"/>
      <c r="J25013" s="63"/>
    </row>
    <row r="25014" spans="9:10" x14ac:dyDescent="0.35">
      <c r="I25014" s="63"/>
      <c r="J25014" s="63"/>
    </row>
    <row r="25015" spans="9:10" x14ac:dyDescent="0.35">
      <c r="I25015" s="63"/>
      <c r="J25015" s="63"/>
    </row>
    <row r="25016" spans="9:10" x14ac:dyDescent="0.35">
      <c r="I25016" s="63"/>
      <c r="J25016" s="63"/>
    </row>
    <row r="25017" spans="9:10" x14ac:dyDescent="0.35">
      <c r="I25017" s="63"/>
      <c r="J25017" s="63"/>
    </row>
    <row r="25018" spans="9:10" x14ac:dyDescent="0.35">
      <c r="I25018" s="63"/>
      <c r="J25018" s="63"/>
    </row>
    <row r="25019" spans="9:10" x14ac:dyDescent="0.35">
      <c r="I25019" s="63"/>
      <c r="J25019" s="63"/>
    </row>
    <row r="25020" spans="9:10" x14ac:dyDescent="0.35">
      <c r="I25020" s="63"/>
      <c r="J25020" s="63"/>
    </row>
    <row r="25021" spans="9:10" x14ac:dyDescent="0.35">
      <c r="I25021" s="63"/>
      <c r="J25021" s="63"/>
    </row>
    <row r="25022" spans="9:10" x14ac:dyDescent="0.35">
      <c r="I25022" s="63"/>
      <c r="J25022" s="63"/>
    </row>
    <row r="25023" spans="9:10" x14ac:dyDescent="0.35">
      <c r="I25023" s="63"/>
      <c r="J25023" s="63"/>
    </row>
    <row r="25024" spans="9:10" x14ac:dyDescent="0.35">
      <c r="I25024" s="63"/>
      <c r="J25024" s="63"/>
    </row>
    <row r="25025" spans="9:10" x14ac:dyDescent="0.35">
      <c r="I25025" s="63"/>
      <c r="J25025" s="63"/>
    </row>
    <row r="25026" spans="9:10" x14ac:dyDescent="0.35">
      <c r="I25026" s="63"/>
      <c r="J25026" s="63"/>
    </row>
    <row r="25027" spans="9:10" x14ac:dyDescent="0.35">
      <c r="I25027" s="63"/>
      <c r="J25027" s="63"/>
    </row>
    <row r="25028" spans="9:10" x14ac:dyDescent="0.35">
      <c r="I25028" s="63"/>
      <c r="J25028" s="63"/>
    </row>
    <row r="25029" spans="9:10" x14ac:dyDescent="0.35">
      <c r="I25029" s="63"/>
      <c r="J25029" s="63"/>
    </row>
    <row r="25030" spans="9:10" x14ac:dyDescent="0.35">
      <c r="I25030" s="63"/>
      <c r="J25030" s="63"/>
    </row>
    <row r="25031" spans="9:10" x14ac:dyDescent="0.35">
      <c r="I25031" s="63"/>
      <c r="J25031" s="63"/>
    </row>
    <row r="25032" spans="9:10" x14ac:dyDescent="0.35">
      <c r="I25032" s="63"/>
      <c r="J25032" s="63"/>
    </row>
    <row r="25033" spans="9:10" x14ac:dyDescent="0.35">
      <c r="I25033" s="63"/>
      <c r="J25033" s="63"/>
    </row>
    <row r="25034" spans="9:10" x14ac:dyDescent="0.35">
      <c r="I25034" s="63"/>
      <c r="J25034" s="63"/>
    </row>
    <row r="25035" spans="9:10" x14ac:dyDescent="0.35">
      <c r="I25035" s="63"/>
      <c r="J25035" s="63"/>
    </row>
    <row r="25036" spans="9:10" x14ac:dyDescent="0.35">
      <c r="I25036" s="63"/>
      <c r="J25036" s="63"/>
    </row>
    <row r="25037" spans="9:10" x14ac:dyDescent="0.35">
      <c r="I25037" s="63"/>
      <c r="J25037" s="63"/>
    </row>
    <row r="25038" spans="9:10" x14ac:dyDescent="0.35">
      <c r="I25038" s="63"/>
      <c r="J25038" s="63"/>
    </row>
    <row r="25039" spans="9:10" x14ac:dyDescent="0.35">
      <c r="I25039" s="63"/>
      <c r="J25039" s="63"/>
    </row>
    <row r="25040" spans="9:10" x14ac:dyDescent="0.35">
      <c r="I25040" s="63"/>
      <c r="J25040" s="63"/>
    </row>
    <row r="25041" spans="9:10" x14ac:dyDescent="0.35">
      <c r="I25041" s="63"/>
      <c r="J25041" s="63"/>
    </row>
    <row r="25042" spans="9:10" x14ac:dyDescent="0.35">
      <c r="I25042" s="63"/>
      <c r="J25042" s="63"/>
    </row>
    <row r="25043" spans="9:10" x14ac:dyDescent="0.35">
      <c r="I25043" s="63"/>
      <c r="J25043" s="63"/>
    </row>
    <row r="25044" spans="9:10" x14ac:dyDescent="0.35">
      <c r="I25044" s="63"/>
      <c r="J25044" s="63"/>
    </row>
    <row r="25045" spans="9:10" x14ac:dyDescent="0.35">
      <c r="I25045" s="63"/>
      <c r="J25045" s="63"/>
    </row>
    <row r="25046" spans="9:10" x14ac:dyDescent="0.35">
      <c r="I25046" s="63"/>
      <c r="J25046" s="63"/>
    </row>
    <row r="25047" spans="9:10" x14ac:dyDescent="0.35">
      <c r="I25047" s="63"/>
      <c r="J25047" s="63"/>
    </row>
    <row r="25048" spans="9:10" x14ac:dyDescent="0.35">
      <c r="I25048" s="63"/>
      <c r="J25048" s="63"/>
    </row>
    <row r="25049" spans="9:10" x14ac:dyDescent="0.35">
      <c r="I25049" s="63"/>
      <c r="J25049" s="63"/>
    </row>
    <row r="25050" spans="9:10" x14ac:dyDescent="0.35">
      <c r="I25050" s="63"/>
      <c r="J25050" s="63"/>
    </row>
    <row r="25051" spans="9:10" x14ac:dyDescent="0.35">
      <c r="I25051" s="63"/>
      <c r="J25051" s="63"/>
    </row>
    <row r="25052" spans="9:10" x14ac:dyDescent="0.35">
      <c r="I25052" s="63"/>
      <c r="J25052" s="63"/>
    </row>
    <row r="25053" spans="9:10" x14ac:dyDescent="0.35">
      <c r="I25053" s="63"/>
      <c r="J25053" s="63"/>
    </row>
    <row r="25054" spans="9:10" x14ac:dyDescent="0.35">
      <c r="I25054" s="63"/>
      <c r="J25054" s="63"/>
    </row>
    <row r="25055" spans="9:10" x14ac:dyDescent="0.35">
      <c r="I25055" s="63"/>
      <c r="J25055" s="63"/>
    </row>
    <row r="25056" spans="9:10" x14ac:dyDescent="0.35">
      <c r="I25056" s="63"/>
      <c r="J25056" s="63"/>
    </row>
    <row r="25057" spans="9:10" x14ac:dyDescent="0.35">
      <c r="I25057" s="63"/>
      <c r="J25057" s="63"/>
    </row>
    <row r="25058" spans="9:10" x14ac:dyDescent="0.35">
      <c r="I25058" s="63"/>
      <c r="J25058" s="63"/>
    </row>
    <row r="25059" spans="9:10" x14ac:dyDescent="0.35">
      <c r="I25059" s="63"/>
      <c r="J25059" s="63"/>
    </row>
    <row r="25060" spans="9:10" x14ac:dyDescent="0.35">
      <c r="I25060" s="63"/>
      <c r="J25060" s="63"/>
    </row>
    <row r="25061" spans="9:10" x14ac:dyDescent="0.35">
      <c r="I25061" s="63"/>
      <c r="J25061" s="63"/>
    </row>
    <row r="25062" spans="9:10" x14ac:dyDescent="0.35">
      <c r="I25062" s="63"/>
      <c r="J25062" s="63"/>
    </row>
    <row r="25063" spans="9:10" x14ac:dyDescent="0.35">
      <c r="I25063" s="63"/>
      <c r="J25063" s="63"/>
    </row>
    <row r="25064" spans="9:10" x14ac:dyDescent="0.35">
      <c r="I25064" s="63"/>
      <c r="J25064" s="63"/>
    </row>
    <row r="25065" spans="9:10" x14ac:dyDescent="0.35">
      <c r="I25065" s="63"/>
      <c r="J25065" s="63"/>
    </row>
    <row r="25066" spans="9:10" x14ac:dyDescent="0.35">
      <c r="I25066" s="63"/>
      <c r="J25066" s="63"/>
    </row>
    <row r="25067" spans="9:10" x14ac:dyDescent="0.35">
      <c r="I25067" s="63"/>
      <c r="J25067" s="63"/>
    </row>
    <row r="25068" spans="9:10" x14ac:dyDescent="0.35">
      <c r="I25068" s="63"/>
      <c r="J25068" s="63"/>
    </row>
    <row r="25069" spans="9:10" x14ac:dyDescent="0.35">
      <c r="I25069" s="63"/>
      <c r="J25069" s="63"/>
    </row>
    <row r="25070" spans="9:10" x14ac:dyDescent="0.35">
      <c r="I25070" s="63"/>
      <c r="J25070" s="63"/>
    </row>
    <row r="25071" spans="9:10" x14ac:dyDescent="0.35">
      <c r="I25071" s="63"/>
      <c r="J25071" s="63"/>
    </row>
    <row r="25072" spans="9:10" x14ac:dyDescent="0.35">
      <c r="I25072" s="63"/>
      <c r="J25072" s="63"/>
    </row>
    <row r="25073" spans="9:10" x14ac:dyDescent="0.35">
      <c r="I25073" s="63"/>
      <c r="J25073" s="63"/>
    </row>
    <row r="25074" spans="9:10" x14ac:dyDescent="0.35">
      <c r="I25074" s="63"/>
      <c r="J25074" s="63"/>
    </row>
    <row r="25075" spans="9:10" x14ac:dyDescent="0.35">
      <c r="I25075" s="63"/>
      <c r="J25075" s="63"/>
    </row>
    <row r="25076" spans="9:10" x14ac:dyDescent="0.35">
      <c r="I25076" s="63"/>
      <c r="J25076" s="63"/>
    </row>
    <row r="25077" spans="9:10" x14ac:dyDescent="0.35">
      <c r="I25077" s="63"/>
      <c r="J25077" s="63"/>
    </row>
    <row r="25078" spans="9:10" x14ac:dyDescent="0.35">
      <c r="I25078" s="63"/>
      <c r="J25078" s="63"/>
    </row>
    <row r="25079" spans="9:10" x14ac:dyDescent="0.35">
      <c r="I25079" s="63"/>
      <c r="J25079" s="63"/>
    </row>
    <row r="25080" spans="9:10" x14ac:dyDescent="0.35">
      <c r="I25080" s="63"/>
      <c r="J25080" s="63"/>
    </row>
    <row r="25081" spans="9:10" x14ac:dyDescent="0.35">
      <c r="I25081" s="63"/>
      <c r="J25081" s="63"/>
    </row>
    <row r="25082" spans="9:10" x14ac:dyDescent="0.35">
      <c r="I25082" s="63"/>
      <c r="J25082" s="63"/>
    </row>
    <row r="25083" spans="9:10" x14ac:dyDescent="0.35">
      <c r="I25083" s="63"/>
      <c r="J25083" s="63"/>
    </row>
    <row r="25084" spans="9:10" x14ac:dyDescent="0.35">
      <c r="I25084" s="63"/>
      <c r="J25084" s="63"/>
    </row>
    <row r="25085" spans="9:10" x14ac:dyDescent="0.35">
      <c r="I25085" s="63"/>
      <c r="J25085" s="63"/>
    </row>
    <row r="25086" spans="9:10" x14ac:dyDescent="0.35">
      <c r="I25086" s="63"/>
      <c r="J25086" s="63"/>
    </row>
    <row r="25087" spans="9:10" x14ac:dyDescent="0.35">
      <c r="I25087" s="63"/>
      <c r="J25087" s="63"/>
    </row>
    <row r="25088" spans="9:10" x14ac:dyDescent="0.35">
      <c r="I25088" s="63"/>
      <c r="J25088" s="63"/>
    </row>
    <row r="25089" spans="9:10" x14ac:dyDescent="0.35">
      <c r="I25089" s="63"/>
      <c r="J25089" s="63"/>
    </row>
    <row r="25090" spans="9:10" x14ac:dyDescent="0.35">
      <c r="I25090" s="63"/>
      <c r="J25090" s="63"/>
    </row>
    <row r="25091" spans="9:10" x14ac:dyDescent="0.35">
      <c r="I25091" s="63"/>
      <c r="J25091" s="63"/>
    </row>
    <row r="25092" spans="9:10" x14ac:dyDescent="0.35">
      <c r="I25092" s="63"/>
      <c r="J25092" s="63"/>
    </row>
    <row r="25093" spans="9:10" x14ac:dyDescent="0.35">
      <c r="I25093" s="63"/>
      <c r="J25093" s="63"/>
    </row>
    <row r="25094" spans="9:10" x14ac:dyDescent="0.35">
      <c r="I25094" s="63"/>
      <c r="J25094" s="63"/>
    </row>
    <row r="25095" spans="9:10" x14ac:dyDescent="0.35">
      <c r="I25095" s="63"/>
      <c r="J25095" s="63"/>
    </row>
    <row r="25096" spans="9:10" x14ac:dyDescent="0.35">
      <c r="I25096" s="63"/>
      <c r="J25096" s="63"/>
    </row>
    <row r="25097" spans="9:10" x14ac:dyDescent="0.35">
      <c r="I25097" s="63"/>
      <c r="J25097" s="63"/>
    </row>
    <row r="25098" spans="9:10" x14ac:dyDescent="0.35">
      <c r="I25098" s="63"/>
      <c r="J25098" s="63"/>
    </row>
    <row r="25099" spans="9:10" x14ac:dyDescent="0.35">
      <c r="I25099" s="63"/>
      <c r="J25099" s="63"/>
    </row>
    <row r="25100" spans="9:10" x14ac:dyDescent="0.35">
      <c r="I25100" s="63"/>
      <c r="J25100" s="63"/>
    </row>
    <row r="25101" spans="9:10" x14ac:dyDescent="0.35">
      <c r="I25101" s="63"/>
      <c r="J25101" s="63"/>
    </row>
    <row r="25102" spans="9:10" x14ac:dyDescent="0.35">
      <c r="I25102" s="63"/>
      <c r="J25102" s="63"/>
    </row>
    <row r="25103" spans="9:10" x14ac:dyDescent="0.35">
      <c r="I25103" s="63"/>
      <c r="J25103" s="63"/>
    </row>
    <row r="25104" spans="9:10" x14ac:dyDescent="0.35">
      <c r="I25104" s="63"/>
      <c r="J25104" s="63"/>
    </row>
    <row r="25105" spans="9:10" x14ac:dyDescent="0.35">
      <c r="I25105" s="63"/>
      <c r="J25105" s="63"/>
    </row>
    <row r="25106" spans="9:10" x14ac:dyDescent="0.35">
      <c r="I25106" s="63"/>
      <c r="J25106" s="63"/>
    </row>
    <row r="25107" spans="9:10" x14ac:dyDescent="0.35">
      <c r="I25107" s="63"/>
      <c r="J25107" s="63"/>
    </row>
    <row r="25108" spans="9:10" x14ac:dyDescent="0.35">
      <c r="I25108" s="63"/>
      <c r="J25108" s="63"/>
    </row>
    <row r="25109" spans="9:10" x14ac:dyDescent="0.35">
      <c r="I25109" s="63"/>
      <c r="J25109" s="63"/>
    </row>
    <row r="25110" spans="9:10" x14ac:dyDescent="0.35">
      <c r="I25110" s="63"/>
      <c r="J25110" s="63"/>
    </row>
    <row r="25111" spans="9:10" x14ac:dyDescent="0.35">
      <c r="I25111" s="63"/>
      <c r="J25111" s="63"/>
    </row>
    <row r="25112" spans="9:10" x14ac:dyDescent="0.35">
      <c r="I25112" s="63"/>
      <c r="J25112" s="63"/>
    </row>
    <row r="25113" spans="9:10" x14ac:dyDescent="0.35">
      <c r="I25113" s="63"/>
      <c r="J25113" s="63"/>
    </row>
    <row r="25114" spans="9:10" x14ac:dyDescent="0.35">
      <c r="I25114" s="63"/>
      <c r="J25114" s="63"/>
    </row>
    <row r="25115" spans="9:10" x14ac:dyDescent="0.35">
      <c r="I25115" s="63"/>
      <c r="J25115" s="63"/>
    </row>
    <row r="25116" spans="9:10" x14ac:dyDescent="0.35">
      <c r="I25116" s="63"/>
      <c r="J25116" s="63"/>
    </row>
    <row r="25117" spans="9:10" x14ac:dyDescent="0.35">
      <c r="I25117" s="63"/>
      <c r="J25117" s="63"/>
    </row>
    <row r="25118" spans="9:10" x14ac:dyDescent="0.35">
      <c r="I25118" s="63"/>
      <c r="J25118" s="63"/>
    </row>
    <row r="25119" spans="9:10" x14ac:dyDescent="0.35">
      <c r="I25119" s="63"/>
      <c r="J25119" s="63"/>
    </row>
    <row r="25120" spans="9:10" x14ac:dyDescent="0.35">
      <c r="I25120" s="63"/>
      <c r="J25120" s="63"/>
    </row>
    <row r="25121" spans="9:10" x14ac:dyDescent="0.35">
      <c r="I25121" s="63"/>
      <c r="J25121" s="63"/>
    </row>
    <row r="25122" spans="9:10" x14ac:dyDescent="0.35">
      <c r="I25122" s="63"/>
      <c r="J25122" s="63"/>
    </row>
    <row r="25123" spans="9:10" x14ac:dyDescent="0.35">
      <c r="I25123" s="63"/>
      <c r="J25123" s="63"/>
    </row>
    <row r="25124" spans="9:10" x14ac:dyDescent="0.35">
      <c r="I25124" s="63"/>
      <c r="J25124" s="63"/>
    </row>
    <row r="25125" spans="9:10" x14ac:dyDescent="0.35">
      <c r="I25125" s="63"/>
      <c r="J25125" s="63"/>
    </row>
    <row r="25126" spans="9:10" x14ac:dyDescent="0.35">
      <c r="I25126" s="63"/>
      <c r="J25126" s="63"/>
    </row>
    <row r="25127" spans="9:10" x14ac:dyDescent="0.35">
      <c r="I25127" s="63"/>
      <c r="J25127" s="63"/>
    </row>
    <row r="25128" spans="9:10" x14ac:dyDescent="0.35">
      <c r="I25128" s="63"/>
      <c r="J25128" s="63"/>
    </row>
    <row r="25129" spans="9:10" x14ac:dyDescent="0.35">
      <c r="I25129" s="63"/>
      <c r="J25129" s="63"/>
    </row>
    <row r="25130" spans="9:10" x14ac:dyDescent="0.35">
      <c r="I25130" s="63"/>
      <c r="J25130" s="63"/>
    </row>
    <row r="25131" spans="9:10" x14ac:dyDescent="0.35">
      <c r="I25131" s="63"/>
      <c r="J25131" s="63"/>
    </row>
    <row r="25132" spans="9:10" x14ac:dyDescent="0.35">
      <c r="I25132" s="63"/>
      <c r="J25132" s="63"/>
    </row>
    <row r="25133" spans="9:10" x14ac:dyDescent="0.35">
      <c r="I25133" s="63"/>
      <c r="J25133" s="63"/>
    </row>
    <row r="25134" spans="9:10" x14ac:dyDescent="0.35">
      <c r="I25134" s="63"/>
      <c r="J25134" s="63"/>
    </row>
    <row r="25135" spans="9:10" x14ac:dyDescent="0.35">
      <c r="I25135" s="63"/>
      <c r="J25135" s="63"/>
    </row>
    <row r="25136" spans="9:10" x14ac:dyDescent="0.35">
      <c r="I25136" s="63"/>
      <c r="J25136" s="63"/>
    </row>
    <row r="25137" spans="9:10" x14ac:dyDescent="0.35">
      <c r="I25137" s="63"/>
      <c r="J25137" s="63"/>
    </row>
    <row r="25138" spans="9:10" x14ac:dyDescent="0.35">
      <c r="I25138" s="63"/>
      <c r="J25138" s="63"/>
    </row>
    <row r="25139" spans="9:10" x14ac:dyDescent="0.35">
      <c r="I25139" s="63"/>
      <c r="J25139" s="63"/>
    </row>
    <row r="25140" spans="9:10" x14ac:dyDescent="0.35">
      <c r="I25140" s="63"/>
      <c r="J25140" s="63"/>
    </row>
    <row r="25141" spans="9:10" x14ac:dyDescent="0.35">
      <c r="I25141" s="63"/>
      <c r="J25141" s="63"/>
    </row>
    <row r="25142" spans="9:10" x14ac:dyDescent="0.35">
      <c r="I25142" s="63"/>
      <c r="J25142" s="63"/>
    </row>
    <row r="25143" spans="9:10" x14ac:dyDescent="0.35">
      <c r="I25143" s="63"/>
      <c r="J25143" s="63"/>
    </row>
    <row r="25144" spans="9:10" x14ac:dyDescent="0.35">
      <c r="I25144" s="63"/>
      <c r="J25144" s="63"/>
    </row>
    <row r="25145" spans="9:10" x14ac:dyDescent="0.35">
      <c r="I25145" s="63"/>
      <c r="J25145" s="63"/>
    </row>
    <row r="25146" spans="9:10" x14ac:dyDescent="0.35">
      <c r="I25146" s="63"/>
      <c r="J25146" s="63"/>
    </row>
    <row r="25147" spans="9:10" x14ac:dyDescent="0.35">
      <c r="I25147" s="63"/>
      <c r="J25147" s="63"/>
    </row>
    <row r="25148" spans="9:10" x14ac:dyDescent="0.35">
      <c r="I25148" s="63"/>
      <c r="J25148" s="63"/>
    </row>
    <row r="25149" spans="9:10" x14ac:dyDescent="0.35">
      <c r="I25149" s="63"/>
      <c r="J25149" s="63"/>
    </row>
    <row r="25150" spans="9:10" x14ac:dyDescent="0.35">
      <c r="I25150" s="63"/>
      <c r="J25150" s="63"/>
    </row>
    <row r="25151" spans="9:10" x14ac:dyDescent="0.35">
      <c r="I25151" s="63"/>
      <c r="J25151" s="63"/>
    </row>
    <row r="25152" spans="9:10" x14ac:dyDescent="0.35">
      <c r="I25152" s="63"/>
      <c r="J25152" s="63"/>
    </row>
    <row r="25153" spans="9:10" x14ac:dyDescent="0.35">
      <c r="I25153" s="63"/>
      <c r="J25153" s="63"/>
    </row>
    <row r="25154" spans="9:10" x14ac:dyDescent="0.35">
      <c r="I25154" s="63"/>
      <c r="J25154" s="63"/>
    </row>
    <row r="25155" spans="9:10" x14ac:dyDescent="0.35">
      <c r="I25155" s="63"/>
      <c r="J25155" s="63"/>
    </row>
    <row r="25156" spans="9:10" x14ac:dyDescent="0.35">
      <c r="I25156" s="63"/>
      <c r="J25156" s="63"/>
    </row>
    <row r="25157" spans="9:10" x14ac:dyDescent="0.35">
      <c r="I25157" s="63"/>
      <c r="J25157" s="63"/>
    </row>
    <row r="25158" spans="9:10" x14ac:dyDescent="0.35">
      <c r="I25158" s="63"/>
      <c r="J25158" s="63"/>
    </row>
    <row r="25159" spans="9:10" x14ac:dyDescent="0.35">
      <c r="I25159" s="63"/>
      <c r="J25159" s="63"/>
    </row>
    <row r="25160" spans="9:10" x14ac:dyDescent="0.35">
      <c r="I25160" s="63"/>
      <c r="J25160" s="63"/>
    </row>
    <row r="25161" spans="9:10" x14ac:dyDescent="0.35">
      <c r="I25161" s="63"/>
      <c r="J25161" s="63"/>
    </row>
    <row r="25162" spans="9:10" x14ac:dyDescent="0.35">
      <c r="I25162" s="63"/>
      <c r="J25162" s="63"/>
    </row>
    <row r="25163" spans="9:10" x14ac:dyDescent="0.35">
      <c r="I25163" s="63"/>
      <c r="J25163" s="63"/>
    </row>
    <row r="25164" spans="9:10" x14ac:dyDescent="0.35">
      <c r="I25164" s="63"/>
      <c r="J25164" s="63"/>
    </row>
    <row r="25165" spans="9:10" x14ac:dyDescent="0.35">
      <c r="I25165" s="63"/>
      <c r="J25165" s="63"/>
    </row>
    <row r="25166" spans="9:10" x14ac:dyDescent="0.35">
      <c r="I25166" s="63"/>
      <c r="J25166" s="63"/>
    </row>
    <row r="25167" spans="9:10" x14ac:dyDescent="0.35">
      <c r="I25167" s="63"/>
      <c r="J25167" s="63"/>
    </row>
    <row r="25168" spans="9:10" x14ac:dyDescent="0.35">
      <c r="I25168" s="63"/>
      <c r="J25168" s="63"/>
    </row>
    <row r="25169" spans="9:10" x14ac:dyDescent="0.35">
      <c r="I25169" s="63"/>
      <c r="J25169" s="63"/>
    </row>
    <row r="25170" spans="9:10" x14ac:dyDescent="0.35">
      <c r="I25170" s="63"/>
      <c r="J25170" s="63"/>
    </row>
    <row r="25171" spans="9:10" x14ac:dyDescent="0.35">
      <c r="I25171" s="63"/>
      <c r="J25171" s="63"/>
    </row>
    <row r="25172" spans="9:10" x14ac:dyDescent="0.35">
      <c r="I25172" s="63"/>
      <c r="J25172" s="63"/>
    </row>
    <row r="25173" spans="9:10" x14ac:dyDescent="0.35">
      <c r="I25173" s="63"/>
      <c r="J25173" s="63"/>
    </row>
    <row r="25174" spans="9:10" x14ac:dyDescent="0.35">
      <c r="I25174" s="63"/>
      <c r="J25174" s="63"/>
    </row>
    <row r="25175" spans="9:10" x14ac:dyDescent="0.35">
      <c r="I25175" s="63"/>
      <c r="J25175" s="63"/>
    </row>
    <row r="25176" spans="9:10" x14ac:dyDescent="0.35">
      <c r="I25176" s="63"/>
      <c r="J25176" s="63"/>
    </row>
    <row r="25177" spans="9:10" x14ac:dyDescent="0.35">
      <c r="I25177" s="63"/>
      <c r="J25177" s="63"/>
    </row>
    <row r="25178" spans="9:10" x14ac:dyDescent="0.35">
      <c r="I25178" s="63"/>
      <c r="J25178" s="63"/>
    </row>
    <row r="25179" spans="9:10" x14ac:dyDescent="0.35">
      <c r="I25179" s="63"/>
      <c r="J25179" s="63"/>
    </row>
    <row r="25180" spans="9:10" x14ac:dyDescent="0.35">
      <c r="I25180" s="63"/>
      <c r="J25180" s="63"/>
    </row>
    <row r="25181" spans="9:10" x14ac:dyDescent="0.35">
      <c r="I25181" s="63"/>
      <c r="J25181" s="63"/>
    </row>
    <row r="25182" spans="9:10" x14ac:dyDescent="0.35">
      <c r="I25182" s="63"/>
      <c r="J25182" s="63"/>
    </row>
    <row r="25183" spans="9:10" x14ac:dyDescent="0.35">
      <c r="I25183" s="63"/>
      <c r="J25183" s="63"/>
    </row>
    <row r="25184" spans="9:10" x14ac:dyDescent="0.35">
      <c r="I25184" s="63"/>
      <c r="J25184" s="63"/>
    </row>
    <row r="25185" spans="9:10" x14ac:dyDescent="0.35">
      <c r="I25185" s="63"/>
      <c r="J25185" s="63"/>
    </row>
    <row r="25186" spans="9:10" x14ac:dyDescent="0.35">
      <c r="I25186" s="63"/>
      <c r="J25186" s="63"/>
    </row>
    <row r="25187" spans="9:10" x14ac:dyDescent="0.35">
      <c r="I25187" s="63"/>
      <c r="J25187" s="63"/>
    </row>
    <row r="25188" spans="9:10" x14ac:dyDescent="0.35">
      <c r="I25188" s="63"/>
      <c r="J25188" s="63"/>
    </row>
    <row r="25189" spans="9:10" x14ac:dyDescent="0.35">
      <c r="I25189" s="63"/>
      <c r="J25189" s="63"/>
    </row>
    <row r="25190" spans="9:10" x14ac:dyDescent="0.35">
      <c r="I25190" s="63"/>
      <c r="J25190" s="63"/>
    </row>
    <row r="25191" spans="9:10" x14ac:dyDescent="0.35">
      <c r="I25191" s="63"/>
      <c r="J25191" s="63"/>
    </row>
    <row r="25192" spans="9:10" x14ac:dyDescent="0.35">
      <c r="I25192" s="63"/>
      <c r="J25192" s="63"/>
    </row>
    <row r="25193" spans="9:10" x14ac:dyDescent="0.35">
      <c r="I25193" s="63"/>
      <c r="J25193" s="63"/>
    </row>
    <row r="25194" spans="9:10" x14ac:dyDescent="0.35">
      <c r="I25194" s="63"/>
      <c r="J25194" s="63"/>
    </row>
    <row r="25195" spans="9:10" x14ac:dyDescent="0.35">
      <c r="I25195" s="63"/>
      <c r="J25195" s="63"/>
    </row>
    <row r="25196" spans="9:10" x14ac:dyDescent="0.35">
      <c r="I25196" s="63"/>
      <c r="J25196" s="63"/>
    </row>
    <row r="25197" spans="9:10" x14ac:dyDescent="0.35">
      <c r="I25197" s="63"/>
      <c r="J25197" s="63"/>
    </row>
    <row r="25198" spans="9:10" x14ac:dyDescent="0.35">
      <c r="I25198" s="63"/>
      <c r="J25198" s="63"/>
    </row>
    <row r="25199" spans="9:10" x14ac:dyDescent="0.35">
      <c r="I25199" s="63"/>
      <c r="J25199" s="63"/>
    </row>
    <row r="25200" spans="9:10" x14ac:dyDescent="0.35">
      <c r="I25200" s="63"/>
      <c r="J25200" s="63"/>
    </row>
    <row r="25201" spans="9:10" x14ac:dyDescent="0.35">
      <c r="I25201" s="63"/>
      <c r="J25201" s="63"/>
    </row>
    <row r="25202" spans="9:10" x14ac:dyDescent="0.35">
      <c r="I25202" s="63"/>
      <c r="J25202" s="63"/>
    </row>
    <row r="25203" spans="9:10" x14ac:dyDescent="0.35">
      <c r="I25203" s="63"/>
      <c r="J25203" s="63"/>
    </row>
    <row r="25204" spans="9:10" x14ac:dyDescent="0.35">
      <c r="I25204" s="63"/>
      <c r="J25204" s="63"/>
    </row>
    <row r="25205" spans="9:10" x14ac:dyDescent="0.35">
      <c r="I25205" s="63"/>
      <c r="J25205" s="63"/>
    </row>
    <row r="25206" spans="9:10" x14ac:dyDescent="0.35">
      <c r="I25206" s="63"/>
      <c r="J25206" s="63"/>
    </row>
    <row r="25207" spans="9:10" x14ac:dyDescent="0.35">
      <c r="I25207" s="63"/>
      <c r="J25207" s="63"/>
    </row>
    <row r="25208" spans="9:10" x14ac:dyDescent="0.35">
      <c r="I25208" s="63"/>
      <c r="J25208" s="63"/>
    </row>
    <row r="25209" spans="9:10" x14ac:dyDescent="0.35">
      <c r="I25209" s="63"/>
      <c r="J25209" s="63"/>
    </row>
    <row r="25210" spans="9:10" x14ac:dyDescent="0.35">
      <c r="I25210" s="63"/>
      <c r="J25210" s="63"/>
    </row>
    <row r="25211" spans="9:10" x14ac:dyDescent="0.35">
      <c r="I25211" s="63"/>
      <c r="J25211" s="63"/>
    </row>
    <row r="25212" spans="9:10" x14ac:dyDescent="0.35">
      <c r="I25212" s="63"/>
      <c r="J25212" s="63"/>
    </row>
    <row r="25213" spans="9:10" x14ac:dyDescent="0.35">
      <c r="I25213" s="63"/>
      <c r="J25213" s="63"/>
    </row>
    <row r="25214" spans="9:10" x14ac:dyDescent="0.35">
      <c r="I25214" s="63"/>
      <c r="J25214" s="63"/>
    </row>
    <row r="25215" spans="9:10" x14ac:dyDescent="0.35">
      <c r="I25215" s="63"/>
      <c r="J25215" s="63"/>
    </row>
    <row r="25216" spans="9:10" x14ac:dyDescent="0.35">
      <c r="I25216" s="63"/>
      <c r="J25216" s="63"/>
    </row>
    <row r="25217" spans="9:10" x14ac:dyDescent="0.35">
      <c r="I25217" s="63"/>
      <c r="J25217" s="63"/>
    </row>
    <row r="25218" spans="9:10" x14ac:dyDescent="0.35">
      <c r="I25218" s="63"/>
      <c r="J25218" s="63"/>
    </row>
    <row r="25219" spans="9:10" x14ac:dyDescent="0.35">
      <c r="I25219" s="63"/>
      <c r="J25219" s="63"/>
    </row>
    <row r="25220" spans="9:10" x14ac:dyDescent="0.35">
      <c r="I25220" s="63"/>
      <c r="J25220" s="63"/>
    </row>
    <row r="25221" spans="9:10" x14ac:dyDescent="0.35">
      <c r="I25221" s="63"/>
      <c r="J25221" s="63"/>
    </row>
    <row r="25222" spans="9:10" x14ac:dyDescent="0.35">
      <c r="I25222" s="63"/>
      <c r="J25222" s="63"/>
    </row>
    <row r="25223" spans="9:10" x14ac:dyDescent="0.35">
      <c r="I25223" s="63"/>
      <c r="J25223" s="63"/>
    </row>
    <row r="25224" spans="9:10" x14ac:dyDescent="0.35">
      <c r="I25224" s="63"/>
      <c r="J25224" s="63"/>
    </row>
    <row r="25225" spans="9:10" x14ac:dyDescent="0.35">
      <c r="I25225" s="63"/>
      <c r="J25225" s="63"/>
    </row>
    <row r="25226" spans="9:10" x14ac:dyDescent="0.35">
      <c r="I25226" s="63"/>
      <c r="J25226" s="63"/>
    </row>
    <row r="25227" spans="9:10" x14ac:dyDescent="0.35">
      <c r="I25227" s="63"/>
      <c r="J25227" s="63"/>
    </row>
    <row r="25228" spans="9:10" x14ac:dyDescent="0.35">
      <c r="I25228" s="63"/>
      <c r="J25228" s="63"/>
    </row>
    <row r="25229" spans="9:10" x14ac:dyDescent="0.35">
      <c r="I25229" s="63"/>
      <c r="J25229" s="63"/>
    </row>
    <row r="25230" spans="9:10" x14ac:dyDescent="0.35">
      <c r="I25230" s="63"/>
      <c r="J25230" s="63"/>
    </row>
    <row r="25231" spans="9:10" x14ac:dyDescent="0.35">
      <c r="I25231" s="63"/>
      <c r="J25231" s="63"/>
    </row>
    <row r="25232" spans="9:10" x14ac:dyDescent="0.35">
      <c r="I25232" s="63"/>
      <c r="J25232" s="63"/>
    </row>
    <row r="25233" spans="9:10" x14ac:dyDescent="0.35">
      <c r="I25233" s="63"/>
      <c r="J25233" s="63"/>
    </row>
    <row r="25234" spans="9:10" x14ac:dyDescent="0.35">
      <c r="I25234" s="63"/>
      <c r="J25234" s="63"/>
    </row>
    <row r="25235" spans="9:10" x14ac:dyDescent="0.35">
      <c r="I25235" s="63"/>
      <c r="J25235" s="63"/>
    </row>
    <row r="25236" spans="9:10" x14ac:dyDescent="0.35">
      <c r="I25236" s="63"/>
      <c r="J25236" s="63"/>
    </row>
    <row r="25237" spans="9:10" x14ac:dyDescent="0.35">
      <c r="I25237" s="63"/>
      <c r="J25237" s="63"/>
    </row>
    <row r="25238" spans="9:10" x14ac:dyDescent="0.35">
      <c r="I25238" s="63"/>
      <c r="J25238" s="63"/>
    </row>
    <row r="25239" spans="9:10" x14ac:dyDescent="0.35">
      <c r="I25239" s="63"/>
      <c r="J25239" s="63"/>
    </row>
    <row r="25240" spans="9:10" x14ac:dyDescent="0.35">
      <c r="I25240" s="63"/>
      <c r="J25240" s="63"/>
    </row>
    <row r="25241" spans="9:10" x14ac:dyDescent="0.35">
      <c r="I25241" s="63"/>
      <c r="J25241" s="63"/>
    </row>
    <row r="25242" spans="9:10" x14ac:dyDescent="0.35">
      <c r="I25242" s="63"/>
      <c r="J25242" s="63"/>
    </row>
    <row r="25243" spans="9:10" x14ac:dyDescent="0.35">
      <c r="I25243" s="63"/>
      <c r="J25243" s="63"/>
    </row>
    <row r="25244" spans="9:10" x14ac:dyDescent="0.35">
      <c r="I25244" s="63"/>
      <c r="J25244" s="63"/>
    </row>
    <row r="25245" spans="9:10" x14ac:dyDescent="0.35">
      <c r="I25245" s="63"/>
      <c r="J25245" s="63"/>
    </row>
    <row r="25246" spans="9:10" x14ac:dyDescent="0.35">
      <c r="I25246" s="63"/>
      <c r="J25246" s="63"/>
    </row>
    <row r="25247" spans="9:10" x14ac:dyDescent="0.35">
      <c r="I25247" s="63"/>
      <c r="J25247" s="63"/>
    </row>
    <row r="25248" spans="9:10" x14ac:dyDescent="0.35">
      <c r="I25248" s="63"/>
      <c r="J25248" s="63"/>
    </row>
    <row r="25249" spans="9:10" x14ac:dyDescent="0.35">
      <c r="I25249" s="63"/>
      <c r="J25249" s="63"/>
    </row>
    <row r="25250" spans="9:10" x14ac:dyDescent="0.35">
      <c r="I25250" s="63"/>
      <c r="J25250" s="63"/>
    </row>
    <row r="25251" spans="9:10" x14ac:dyDescent="0.35">
      <c r="I25251" s="63"/>
      <c r="J25251" s="63"/>
    </row>
    <row r="25252" spans="9:10" x14ac:dyDescent="0.35">
      <c r="I25252" s="63"/>
      <c r="J25252" s="63"/>
    </row>
    <row r="25253" spans="9:10" x14ac:dyDescent="0.35">
      <c r="I25253" s="63"/>
      <c r="J25253" s="63"/>
    </row>
    <row r="25254" spans="9:10" x14ac:dyDescent="0.35">
      <c r="I25254" s="63"/>
      <c r="J25254" s="63"/>
    </row>
    <row r="25255" spans="9:10" x14ac:dyDescent="0.35">
      <c r="I25255" s="63"/>
      <c r="J25255" s="63"/>
    </row>
    <row r="25256" spans="9:10" x14ac:dyDescent="0.35">
      <c r="I25256" s="63"/>
      <c r="J25256" s="63"/>
    </row>
    <row r="25257" spans="9:10" x14ac:dyDescent="0.35">
      <c r="I25257" s="63"/>
      <c r="J25257" s="63"/>
    </row>
    <row r="25258" spans="9:10" x14ac:dyDescent="0.35">
      <c r="I25258" s="63"/>
      <c r="J25258" s="63"/>
    </row>
    <row r="25259" spans="9:10" x14ac:dyDescent="0.35">
      <c r="I25259" s="63"/>
      <c r="J25259" s="63"/>
    </row>
    <row r="25260" spans="9:10" x14ac:dyDescent="0.35">
      <c r="I25260" s="63"/>
      <c r="J25260" s="63"/>
    </row>
    <row r="25261" spans="9:10" x14ac:dyDescent="0.35">
      <c r="I25261" s="63"/>
      <c r="J25261" s="63"/>
    </row>
    <row r="25262" spans="9:10" x14ac:dyDescent="0.35">
      <c r="I25262" s="63"/>
      <c r="J25262" s="63"/>
    </row>
    <row r="25263" spans="9:10" x14ac:dyDescent="0.35">
      <c r="I25263" s="63"/>
      <c r="J25263" s="63"/>
    </row>
    <row r="25264" spans="9:10" x14ac:dyDescent="0.35">
      <c r="I25264" s="63"/>
      <c r="J25264" s="63"/>
    </row>
    <row r="25265" spans="9:10" x14ac:dyDescent="0.35">
      <c r="I25265" s="63"/>
      <c r="J25265" s="63"/>
    </row>
    <row r="25266" spans="9:10" x14ac:dyDescent="0.35">
      <c r="I25266" s="63"/>
      <c r="J25266" s="63"/>
    </row>
    <row r="25267" spans="9:10" x14ac:dyDescent="0.35">
      <c r="I25267" s="63"/>
      <c r="J25267" s="63"/>
    </row>
    <row r="25268" spans="9:10" x14ac:dyDescent="0.35">
      <c r="I25268" s="63"/>
      <c r="J25268" s="63"/>
    </row>
    <row r="25269" spans="9:10" x14ac:dyDescent="0.35">
      <c r="I25269" s="63"/>
      <c r="J25269" s="63"/>
    </row>
    <row r="25270" spans="9:10" x14ac:dyDescent="0.35">
      <c r="I25270" s="63"/>
      <c r="J25270" s="63"/>
    </row>
    <row r="25271" spans="9:10" x14ac:dyDescent="0.35">
      <c r="I25271" s="63"/>
      <c r="J25271" s="63"/>
    </row>
    <row r="25272" spans="9:10" x14ac:dyDescent="0.35">
      <c r="I25272" s="63"/>
      <c r="J25272" s="63"/>
    </row>
    <row r="25273" spans="9:10" x14ac:dyDescent="0.35">
      <c r="I25273" s="63"/>
      <c r="J25273" s="63"/>
    </row>
    <row r="25274" spans="9:10" x14ac:dyDescent="0.35">
      <c r="I25274" s="63"/>
      <c r="J25274" s="63"/>
    </row>
    <row r="25275" spans="9:10" x14ac:dyDescent="0.35">
      <c r="I25275" s="63"/>
      <c r="J25275" s="63"/>
    </row>
    <row r="25276" spans="9:10" x14ac:dyDescent="0.35">
      <c r="I25276" s="63"/>
      <c r="J25276" s="63"/>
    </row>
    <row r="25277" spans="9:10" x14ac:dyDescent="0.35">
      <c r="I25277" s="63"/>
      <c r="J25277" s="63"/>
    </row>
    <row r="25278" spans="9:10" x14ac:dyDescent="0.35">
      <c r="I25278" s="63"/>
      <c r="J25278" s="63"/>
    </row>
    <row r="25279" spans="9:10" x14ac:dyDescent="0.35">
      <c r="I25279" s="63"/>
      <c r="J25279" s="63"/>
    </row>
    <row r="25280" spans="9:10" x14ac:dyDescent="0.35">
      <c r="I25280" s="63"/>
      <c r="J25280" s="63"/>
    </row>
    <row r="25281" spans="9:10" x14ac:dyDescent="0.35">
      <c r="I25281" s="63"/>
      <c r="J25281" s="63"/>
    </row>
    <row r="25282" spans="9:10" x14ac:dyDescent="0.35">
      <c r="I25282" s="63"/>
      <c r="J25282" s="63"/>
    </row>
    <row r="25283" spans="9:10" x14ac:dyDescent="0.35">
      <c r="I25283" s="63"/>
      <c r="J25283" s="63"/>
    </row>
    <row r="25284" spans="9:10" x14ac:dyDescent="0.35">
      <c r="I25284" s="63"/>
      <c r="J25284" s="63"/>
    </row>
    <row r="25285" spans="9:10" x14ac:dyDescent="0.35">
      <c r="I25285" s="63"/>
      <c r="J25285" s="63"/>
    </row>
    <row r="25286" spans="9:10" x14ac:dyDescent="0.35">
      <c r="I25286" s="63"/>
      <c r="J25286" s="63"/>
    </row>
    <row r="25287" spans="9:10" x14ac:dyDescent="0.35">
      <c r="I25287" s="63"/>
      <c r="J25287" s="63"/>
    </row>
    <row r="25288" spans="9:10" x14ac:dyDescent="0.35">
      <c r="I25288" s="63"/>
      <c r="J25288" s="63"/>
    </row>
    <row r="25289" spans="9:10" x14ac:dyDescent="0.35">
      <c r="I25289" s="63"/>
      <c r="J25289" s="63"/>
    </row>
    <row r="25290" spans="9:10" x14ac:dyDescent="0.35">
      <c r="I25290" s="63"/>
      <c r="J25290" s="63"/>
    </row>
    <row r="25291" spans="9:10" x14ac:dyDescent="0.35">
      <c r="I25291" s="63"/>
      <c r="J25291" s="63"/>
    </row>
    <row r="25292" spans="9:10" x14ac:dyDescent="0.35">
      <c r="I25292" s="63"/>
      <c r="J25292" s="63"/>
    </row>
    <row r="25293" spans="9:10" x14ac:dyDescent="0.35">
      <c r="I25293" s="63"/>
      <c r="J25293" s="63"/>
    </row>
    <row r="25294" spans="9:10" x14ac:dyDescent="0.35">
      <c r="I25294" s="63"/>
      <c r="J25294" s="63"/>
    </row>
    <row r="25295" spans="9:10" x14ac:dyDescent="0.35">
      <c r="I25295" s="63"/>
      <c r="J25295" s="63"/>
    </row>
    <row r="25296" spans="9:10" x14ac:dyDescent="0.35">
      <c r="I25296" s="63"/>
      <c r="J25296" s="63"/>
    </row>
    <row r="25297" spans="9:10" x14ac:dyDescent="0.35">
      <c r="I25297" s="63"/>
      <c r="J25297" s="63"/>
    </row>
    <row r="25298" spans="9:10" x14ac:dyDescent="0.35">
      <c r="I25298" s="63"/>
      <c r="J25298" s="63"/>
    </row>
    <row r="25299" spans="9:10" x14ac:dyDescent="0.35">
      <c r="I25299" s="63"/>
      <c r="J25299" s="63"/>
    </row>
    <row r="25300" spans="9:10" x14ac:dyDescent="0.35">
      <c r="I25300" s="63"/>
      <c r="J25300" s="63"/>
    </row>
    <row r="25301" spans="9:10" x14ac:dyDescent="0.35">
      <c r="I25301" s="63"/>
      <c r="J25301" s="63"/>
    </row>
    <row r="25302" spans="9:10" x14ac:dyDescent="0.35">
      <c r="I25302" s="63"/>
      <c r="J25302" s="63"/>
    </row>
    <row r="25303" spans="9:10" x14ac:dyDescent="0.35">
      <c r="I25303" s="63"/>
      <c r="J25303" s="63"/>
    </row>
    <row r="25304" spans="9:10" x14ac:dyDescent="0.35">
      <c r="I25304" s="63"/>
      <c r="J25304" s="63"/>
    </row>
    <row r="25305" spans="9:10" x14ac:dyDescent="0.35">
      <c r="I25305" s="63"/>
      <c r="J25305" s="63"/>
    </row>
    <row r="25306" spans="9:10" x14ac:dyDescent="0.35">
      <c r="I25306" s="63"/>
      <c r="J25306" s="63"/>
    </row>
    <row r="25307" spans="9:10" x14ac:dyDescent="0.35">
      <c r="I25307" s="63"/>
      <c r="J25307" s="63"/>
    </row>
    <row r="25308" spans="9:10" x14ac:dyDescent="0.35">
      <c r="I25308" s="63"/>
      <c r="J25308" s="63"/>
    </row>
    <row r="25309" spans="9:10" x14ac:dyDescent="0.35">
      <c r="I25309" s="63"/>
      <c r="J25309" s="63"/>
    </row>
    <row r="25310" spans="9:10" x14ac:dyDescent="0.35">
      <c r="I25310" s="63"/>
      <c r="J25310" s="63"/>
    </row>
    <row r="25311" spans="9:10" x14ac:dyDescent="0.35">
      <c r="I25311" s="63"/>
      <c r="J25311" s="63"/>
    </row>
    <row r="25312" spans="9:10" x14ac:dyDescent="0.35">
      <c r="I25312" s="63"/>
      <c r="J25312" s="63"/>
    </row>
    <row r="25313" spans="9:10" x14ac:dyDescent="0.35">
      <c r="I25313" s="63"/>
      <c r="J25313" s="63"/>
    </row>
    <row r="25314" spans="9:10" x14ac:dyDescent="0.35">
      <c r="I25314" s="63"/>
      <c r="J25314" s="63"/>
    </row>
    <row r="25315" spans="9:10" x14ac:dyDescent="0.35">
      <c r="I25315" s="63"/>
      <c r="J25315" s="63"/>
    </row>
    <row r="25316" spans="9:10" x14ac:dyDescent="0.35">
      <c r="I25316" s="63"/>
      <c r="J25316" s="63"/>
    </row>
    <row r="25317" spans="9:10" x14ac:dyDescent="0.35">
      <c r="I25317" s="63"/>
      <c r="J25317" s="63"/>
    </row>
    <row r="25318" spans="9:10" x14ac:dyDescent="0.35">
      <c r="I25318" s="63"/>
      <c r="J25318" s="63"/>
    </row>
    <row r="25319" spans="9:10" x14ac:dyDescent="0.35">
      <c r="I25319" s="63"/>
      <c r="J25319" s="63"/>
    </row>
    <row r="25320" spans="9:10" x14ac:dyDescent="0.35">
      <c r="I25320" s="63"/>
      <c r="J25320" s="63"/>
    </row>
    <row r="25321" spans="9:10" x14ac:dyDescent="0.35">
      <c r="I25321" s="63"/>
      <c r="J25321" s="63"/>
    </row>
    <row r="25322" spans="9:10" x14ac:dyDescent="0.35">
      <c r="I25322" s="63"/>
      <c r="J25322" s="63"/>
    </row>
    <row r="25323" spans="9:10" x14ac:dyDescent="0.35">
      <c r="I25323" s="63"/>
      <c r="J25323" s="63"/>
    </row>
    <row r="25324" spans="9:10" x14ac:dyDescent="0.35">
      <c r="I25324" s="63"/>
      <c r="J25324" s="63"/>
    </row>
    <row r="25325" spans="9:10" x14ac:dyDescent="0.35">
      <c r="I25325" s="63"/>
      <c r="J25325" s="63"/>
    </row>
    <row r="25326" spans="9:10" x14ac:dyDescent="0.35">
      <c r="I25326" s="63"/>
      <c r="J25326" s="63"/>
    </row>
    <row r="25327" spans="9:10" x14ac:dyDescent="0.35">
      <c r="I25327" s="63"/>
      <c r="J25327" s="63"/>
    </row>
    <row r="25328" spans="9:10" x14ac:dyDescent="0.35">
      <c r="I25328" s="63"/>
      <c r="J25328" s="63"/>
    </row>
    <row r="25329" spans="9:10" x14ac:dyDescent="0.35">
      <c r="I25329" s="63"/>
      <c r="J25329" s="63"/>
    </row>
    <row r="25330" spans="9:10" x14ac:dyDescent="0.35">
      <c r="I25330" s="63"/>
      <c r="J25330" s="63"/>
    </row>
    <row r="25331" spans="9:10" x14ac:dyDescent="0.35">
      <c r="I25331" s="63"/>
      <c r="J25331" s="63"/>
    </row>
    <row r="25332" spans="9:10" x14ac:dyDescent="0.35">
      <c r="I25332" s="63"/>
      <c r="J25332" s="63"/>
    </row>
    <row r="25333" spans="9:10" x14ac:dyDescent="0.35">
      <c r="I25333" s="63"/>
      <c r="J25333" s="63"/>
    </row>
    <row r="25334" spans="9:10" x14ac:dyDescent="0.35">
      <c r="I25334" s="63"/>
      <c r="J25334" s="63"/>
    </row>
    <row r="25335" spans="9:10" x14ac:dyDescent="0.35">
      <c r="I25335" s="63"/>
      <c r="J25335" s="63"/>
    </row>
    <row r="25336" spans="9:10" x14ac:dyDescent="0.35">
      <c r="I25336" s="63"/>
      <c r="J25336" s="63"/>
    </row>
    <row r="25337" spans="9:10" x14ac:dyDescent="0.35">
      <c r="I25337" s="63"/>
      <c r="J25337" s="63"/>
    </row>
    <row r="25338" spans="9:10" x14ac:dyDescent="0.35">
      <c r="I25338" s="63"/>
      <c r="J25338" s="63"/>
    </row>
    <row r="25339" spans="9:10" x14ac:dyDescent="0.35">
      <c r="I25339" s="63"/>
      <c r="J25339" s="63"/>
    </row>
    <row r="25340" spans="9:10" x14ac:dyDescent="0.35">
      <c r="I25340" s="63"/>
      <c r="J25340" s="63"/>
    </row>
    <row r="25341" spans="9:10" x14ac:dyDescent="0.35">
      <c r="I25341" s="63"/>
      <c r="J25341" s="63"/>
    </row>
    <row r="25342" spans="9:10" x14ac:dyDescent="0.35">
      <c r="I25342" s="63"/>
      <c r="J25342" s="63"/>
    </row>
    <row r="25343" spans="9:10" x14ac:dyDescent="0.35">
      <c r="I25343" s="63"/>
      <c r="J25343" s="63"/>
    </row>
    <row r="25344" spans="9:10" x14ac:dyDescent="0.35">
      <c r="I25344" s="63"/>
      <c r="J25344" s="63"/>
    </row>
    <row r="25345" spans="9:10" x14ac:dyDescent="0.35">
      <c r="I25345" s="63"/>
      <c r="J25345" s="63"/>
    </row>
    <row r="25346" spans="9:10" x14ac:dyDescent="0.35">
      <c r="I25346" s="63"/>
      <c r="J25346" s="63"/>
    </row>
    <row r="25347" spans="9:10" x14ac:dyDescent="0.35">
      <c r="I25347" s="63"/>
      <c r="J25347" s="63"/>
    </row>
    <row r="25348" spans="9:10" x14ac:dyDescent="0.35">
      <c r="I25348" s="63"/>
      <c r="J25348" s="63"/>
    </row>
    <row r="25349" spans="9:10" x14ac:dyDescent="0.35">
      <c r="I25349" s="63"/>
      <c r="J25349" s="63"/>
    </row>
    <row r="25350" spans="9:10" x14ac:dyDescent="0.35">
      <c r="I25350" s="63"/>
      <c r="J25350" s="63"/>
    </row>
    <row r="25351" spans="9:10" x14ac:dyDescent="0.35">
      <c r="I25351" s="63"/>
      <c r="J25351" s="63"/>
    </row>
    <row r="25352" spans="9:10" x14ac:dyDescent="0.35">
      <c r="I25352" s="63"/>
      <c r="J25352" s="63"/>
    </row>
    <row r="25353" spans="9:10" x14ac:dyDescent="0.35">
      <c r="I25353" s="63"/>
      <c r="J25353" s="63"/>
    </row>
    <row r="25354" spans="9:10" x14ac:dyDescent="0.35">
      <c r="I25354" s="63"/>
      <c r="J25354" s="63"/>
    </row>
    <row r="25355" spans="9:10" x14ac:dyDescent="0.35">
      <c r="I25355" s="63"/>
      <c r="J25355" s="63"/>
    </row>
    <row r="25356" spans="9:10" x14ac:dyDescent="0.35">
      <c r="I25356" s="63"/>
      <c r="J25356" s="63"/>
    </row>
    <row r="25357" spans="9:10" x14ac:dyDescent="0.35">
      <c r="I25357" s="63"/>
      <c r="J25357" s="63"/>
    </row>
    <row r="25358" spans="9:10" x14ac:dyDescent="0.35">
      <c r="I25358" s="63"/>
      <c r="J25358" s="63"/>
    </row>
    <row r="25359" spans="9:10" x14ac:dyDescent="0.35">
      <c r="I25359" s="63"/>
      <c r="J25359" s="63"/>
    </row>
    <row r="25360" spans="9:10" x14ac:dyDescent="0.35">
      <c r="I25360" s="63"/>
      <c r="J25360" s="63"/>
    </row>
    <row r="25361" spans="9:10" x14ac:dyDescent="0.35">
      <c r="I25361" s="63"/>
      <c r="J25361" s="63"/>
    </row>
    <row r="25362" spans="9:10" x14ac:dyDescent="0.35">
      <c r="I25362" s="63"/>
      <c r="J25362" s="63"/>
    </row>
    <row r="25363" spans="9:10" x14ac:dyDescent="0.35">
      <c r="I25363" s="63"/>
      <c r="J25363" s="63"/>
    </row>
    <row r="25364" spans="9:10" x14ac:dyDescent="0.35">
      <c r="I25364" s="63"/>
      <c r="J25364" s="63"/>
    </row>
    <row r="25365" spans="9:10" x14ac:dyDescent="0.35">
      <c r="I25365" s="63"/>
      <c r="J25365" s="63"/>
    </row>
    <row r="25366" spans="9:10" x14ac:dyDescent="0.35">
      <c r="I25366" s="63"/>
      <c r="J25366" s="63"/>
    </row>
    <row r="25367" spans="9:10" x14ac:dyDescent="0.35">
      <c r="I25367" s="63"/>
      <c r="J25367" s="63"/>
    </row>
    <row r="25368" spans="9:10" x14ac:dyDescent="0.35">
      <c r="I25368" s="63"/>
      <c r="J25368" s="63"/>
    </row>
    <row r="25369" spans="9:10" x14ac:dyDescent="0.35">
      <c r="I25369" s="63"/>
      <c r="J25369" s="63"/>
    </row>
    <row r="25370" spans="9:10" x14ac:dyDescent="0.35">
      <c r="I25370" s="63"/>
      <c r="J25370" s="63"/>
    </row>
    <row r="25371" spans="9:10" x14ac:dyDescent="0.35">
      <c r="I25371" s="63"/>
      <c r="J25371" s="63"/>
    </row>
    <row r="25372" spans="9:10" x14ac:dyDescent="0.35">
      <c r="I25372" s="63"/>
      <c r="J25372" s="63"/>
    </row>
    <row r="25373" spans="9:10" x14ac:dyDescent="0.35">
      <c r="I25373" s="63"/>
      <c r="J25373" s="63"/>
    </row>
    <row r="25374" spans="9:10" x14ac:dyDescent="0.35">
      <c r="I25374" s="63"/>
      <c r="J25374" s="63"/>
    </row>
    <row r="25375" spans="9:10" x14ac:dyDescent="0.35">
      <c r="I25375" s="63"/>
      <c r="J25375" s="63"/>
    </row>
    <row r="25376" spans="9:10" x14ac:dyDescent="0.35">
      <c r="I25376" s="63"/>
      <c r="J25376" s="63"/>
    </row>
    <row r="25377" spans="9:10" x14ac:dyDescent="0.35">
      <c r="I25377" s="63"/>
      <c r="J25377" s="63"/>
    </row>
    <row r="25378" spans="9:10" x14ac:dyDescent="0.35">
      <c r="I25378" s="63"/>
      <c r="J25378" s="63"/>
    </row>
    <row r="25379" spans="9:10" x14ac:dyDescent="0.35">
      <c r="I25379" s="63"/>
      <c r="J25379" s="63"/>
    </row>
    <row r="25380" spans="9:10" x14ac:dyDescent="0.35">
      <c r="I25380" s="63"/>
      <c r="J25380" s="63"/>
    </row>
    <row r="25381" spans="9:10" x14ac:dyDescent="0.35">
      <c r="I25381" s="63"/>
      <c r="J25381" s="63"/>
    </row>
    <row r="25382" spans="9:10" x14ac:dyDescent="0.35">
      <c r="I25382" s="63"/>
      <c r="J25382" s="63"/>
    </row>
    <row r="25383" spans="9:10" x14ac:dyDescent="0.35">
      <c r="I25383" s="63"/>
      <c r="J25383" s="63"/>
    </row>
    <row r="25384" spans="9:10" x14ac:dyDescent="0.35">
      <c r="I25384" s="63"/>
      <c r="J25384" s="63"/>
    </row>
    <row r="25385" spans="9:10" x14ac:dyDescent="0.35">
      <c r="I25385" s="63"/>
      <c r="J25385" s="63"/>
    </row>
    <row r="25386" spans="9:10" x14ac:dyDescent="0.35">
      <c r="I25386" s="63"/>
      <c r="J25386" s="63"/>
    </row>
    <row r="25387" spans="9:10" x14ac:dyDescent="0.35">
      <c r="I25387" s="63"/>
      <c r="J25387" s="63"/>
    </row>
    <row r="25388" spans="9:10" x14ac:dyDescent="0.35">
      <c r="I25388" s="63"/>
      <c r="J25388" s="63"/>
    </row>
    <row r="25389" spans="9:10" x14ac:dyDescent="0.35">
      <c r="I25389" s="63"/>
      <c r="J25389" s="63"/>
    </row>
    <row r="25390" spans="9:10" x14ac:dyDescent="0.35">
      <c r="I25390" s="63"/>
      <c r="J25390" s="63"/>
    </row>
    <row r="25391" spans="9:10" x14ac:dyDescent="0.35">
      <c r="I25391" s="63"/>
      <c r="J25391" s="63"/>
    </row>
    <row r="25392" spans="9:10" x14ac:dyDescent="0.35">
      <c r="I25392" s="63"/>
      <c r="J25392" s="63"/>
    </row>
    <row r="25393" spans="9:10" x14ac:dyDescent="0.35">
      <c r="I25393" s="63"/>
      <c r="J25393" s="63"/>
    </row>
    <row r="25394" spans="9:10" x14ac:dyDescent="0.35">
      <c r="I25394" s="63"/>
      <c r="J25394" s="63"/>
    </row>
    <row r="25395" spans="9:10" x14ac:dyDescent="0.35">
      <c r="I25395" s="63"/>
      <c r="J25395" s="63"/>
    </row>
    <row r="25396" spans="9:10" x14ac:dyDescent="0.35">
      <c r="I25396" s="63"/>
      <c r="J25396" s="63"/>
    </row>
    <row r="25397" spans="9:10" x14ac:dyDescent="0.35">
      <c r="I25397" s="63"/>
      <c r="J25397" s="63"/>
    </row>
    <row r="25398" spans="9:10" x14ac:dyDescent="0.35">
      <c r="I25398" s="63"/>
      <c r="J25398" s="63"/>
    </row>
    <row r="25399" spans="9:10" x14ac:dyDescent="0.35">
      <c r="I25399" s="63"/>
      <c r="J25399" s="63"/>
    </row>
    <row r="25400" spans="9:10" x14ac:dyDescent="0.35">
      <c r="I25400" s="63"/>
      <c r="J25400" s="63"/>
    </row>
    <row r="25401" spans="9:10" x14ac:dyDescent="0.35">
      <c r="I25401" s="63"/>
      <c r="J25401" s="63"/>
    </row>
    <row r="25402" spans="9:10" x14ac:dyDescent="0.35">
      <c r="I25402" s="63"/>
      <c r="J25402" s="63"/>
    </row>
    <row r="25403" spans="9:10" x14ac:dyDescent="0.35">
      <c r="I25403" s="63"/>
      <c r="J25403" s="63"/>
    </row>
    <row r="25404" spans="9:10" x14ac:dyDescent="0.35">
      <c r="I25404" s="63"/>
      <c r="J25404" s="63"/>
    </row>
    <row r="25405" spans="9:10" x14ac:dyDescent="0.35">
      <c r="I25405" s="63"/>
      <c r="J25405" s="63"/>
    </row>
    <row r="25406" spans="9:10" x14ac:dyDescent="0.35">
      <c r="I25406" s="63"/>
      <c r="J25406" s="63"/>
    </row>
    <row r="25407" spans="9:10" x14ac:dyDescent="0.35">
      <c r="I25407" s="63"/>
      <c r="J25407" s="63"/>
    </row>
    <row r="25408" spans="9:10" x14ac:dyDescent="0.35">
      <c r="I25408" s="63"/>
      <c r="J25408" s="63"/>
    </row>
    <row r="25409" spans="9:10" x14ac:dyDescent="0.35">
      <c r="I25409" s="63"/>
      <c r="J25409" s="63"/>
    </row>
    <row r="25410" spans="9:10" x14ac:dyDescent="0.35">
      <c r="I25410" s="63"/>
      <c r="J25410" s="63"/>
    </row>
    <row r="25411" spans="9:10" x14ac:dyDescent="0.35">
      <c r="I25411" s="63"/>
      <c r="J25411" s="63"/>
    </row>
    <row r="25412" spans="9:10" x14ac:dyDescent="0.35">
      <c r="I25412" s="63"/>
      <c r="J25412" s="63"/>
    </row>
    <row r="25413" spans="9:10" x14ac:dyDescent="0.35">
      <c r="I25413" s="63"/>
      <c r="J25413" s="63"/>
    </row>
    <row r="25414" spans="9:10" x14ac:dyDescent="0.35">
      <c r="I25414" s="63"/>
      <c r="J25414" s="63"/>
    </row>
    <row r="25415" spans="9:10" x14ac:dyDescent="0.35">
      <c r="I25415" s="63"/>
      <c r="J25415" s="63"/>
    </row>
    <row r="25416" spans="9:10" x14ac:dyDescent="0.35">
      <c r="I25416" s="63"/>
      <c r="J25416" s="63"/>
    </row>
    <row r="25417" spans="9:10" x14ac:dyDescent="0.35">
      <c r="I25417" s="63"/>
      <c r="J25417" s="63"/>
    </row>
    <row r="25418" spans="9:10" x14ac:dyDescent="0.35">
      <c r="I25418" s="63"/>
      <c r="J25418" s="63"/>
    </row>
    <row r="25419" spans="9:10" x14ac:dyDescent="0.35">
      <c r="I25419" s="63"/>
      <c r="J25419" s="63"/>
    </row>
    <row r="25420" spans="9:10" x14ac:dyDescent="0.35">
      <c r="I25420" s="63"/>
      <c r="J25420" s="63"/>
    </row>
    <row r="25421" spans="9:10" x14ac:dyDescent="0.35">
      <c r="I25421" s="63"/>
      <c r="J25421" s="63"/>
    </row>
    <row r="25422" spans="9:10" x14ac:dyDescent="0.35">
      <c r="I25422" s="63"/>
      <c r="J25422" s="63"/>
    </row>
    <row r="25423" spans="9:10" x14ac:dyDescent="0.35">
      <c r="I25423" s="63"/>
      <c r="J25423" s="63"/>
    </row>
    <row r="25424" spans="9:10" x14ac:dyDescent="0.35">
      <c r="I25424" s="63"/>
      <c r="J25424" s="63"/>
    </row>
    <row r="25425" spans="9:10" x14ac:dyDescent="0.35">
      <c r="I25425" s="63"/>
      <c r="J25425" s="63"/>
    </row>
    <row r="25426" spans="9:10" x14ac:dyDescent="0.35">
      <c r="I25426" s="63"/>
      <c r="J25426" s="63"/>
    </row>
    <row r="25427" spans="9:10" x14ac:dyDescent="0.35">
      <c r="I25427" s="63"/>
      <c r="J25427" s="63"/>
    </row>
    <row r="25428" spans="9:10" x14ac:dyDescent="0.35">
      <c r="I25428" s="63"/>
      <c r="J25428" s="63"/>
    </row>
    <row r="25429" spans="9:10" x14ac:dyDescent="0.35">
      <c r="I25429" s="63"/>
      <c r="J25429" s="63"/>
    </row>
    <row r="25430" spans="9:10" x14ac:dyDescent="0.35">
      <c r="I25430" s="63"/>
      <c r="J25430" s="63"/>
    </row>
    <row r="25431" spans="9:10" x14ac:dyDescent="0.35">
      <c r="I25431" s="63"/>
      <c r="J25431" s="63"/>
    </row>
    <row r="25432" spans="9:10" x14ac:dyDescent="0.35">
      <c r="I25432" s="63"/>
      <c r="J25432" s="63"/>
    </row>
    <row r="25433" spans="9:10" x14ac:dyDescent="0.35">
      <c r="I25433" s="63"/>
      <c r="J25433" s="63"/>
    </row>
    <row r="25434" spans="9:10" x14ac:dyDescent="0.35">
      <c r="I25434" s="63"/>
      <c r="J25434" s="63"/>
    </row>
    <row r="25435" spans="9:10" x14ac:dyDescent="0.35">
      <c r="I25435" s="63"/>
      <c r="J25435" s="63"/>
    </row>
    <row r="25436" spans="9:10" x14ac:dyDescent="0.35">
      <c r="I25436" s="63"/>
      <c r="J25436" s="63"/>
    </row>
    <row r="25437" spans="9:10" x14ac:dyDescent="0.35">
      <c r="I25437" s="63"/>
      <c r="J25437" s="63"/>
    </row>
    <row r="25438" spans="9:10" x14ac:dyDescent="0.35">
      <c r="I25438" s="63"/>
      <c r="J25438" s="63"/>
    </row>
    <row r="25439" spans="9:10" x14ac:dyDescent="0.35">
      <c r="I25439" s="63"/>
      <c r="J25439" s="63"/>
    </row>
    <row r="25440" spans="9:10" x14ac:dyDescent="0.35">
      <c r="I25440" s="63"/>
      <c r="J25440" s="63"/>
    </row>
    <row r="25441" spans="9:10" x14ac:dyDescent="0.35">
      <c r="I25441" s="63"/>
      <c r="J25441" s="63"/>
    </row>
    <row r="25442" spans="9:10" x14ac:dyDescent="0.35">
      <c r="I25442" s="63"/>
      <c r="J25442" s="63"/>
    </row>
    <row r="25443" spans="9:10" x14ac:dyDescent="0.35">
      <c r="I25443" s="63"/>
      <c r="J25443" s="63"/>
    </row>
    <row r="25444" spans="9:10" x14ac:dyDescent="0.35">
      <c r="I25444" s="63"/>
      <c r="J25444" s="63"/>
    </row>
    <row r="25445" spans="9:10" x14ac:dyDescent="0.35">
      <c r="I25445" s="63"/>
      <c r="J25445" s="63"/>
    </row>
    <row r="25446" spans="9:10" x14ac:dyDescent="0.35">
      <c r="I25446" s="63"/>
      <c r="J25446" s="63"/>
    </row>
    <row r="25447" spans="9:10" x14ac:dyDescent="0.35">
      <c r="I25447" s="63"/>
      <c r="J25447" s="63"/>
    </row>
    <row r="25448" spans="9:10" x14ac:dyDescent="0.35">
      <c r="I25448" s="63"/>
      <c r="J25448" s="63"/>
    </row>
    <row r="25449" spans="9:10" x14ac:dyDescent="0.35">
      <c r="I25449" s="63"/>
      <c r="J25449" s="63"/>
    </row>
    <row r="25450" spans="9:10" x14ac:dyDescent="0.35">
      <c r="I25450" s="63"/>
      <c r="J25450" s="63"/>
    </row>
    <row r="25451" spans="9:10" x14ac:dyDescent="0.35">
      <c r="I25451" s="63"/>
      <c r="J25451" s="63"/>
    </row>
    <row r="25452" spans="9:10" x14ac:dyDescent="0.35">
      <c r="I25452" s="63"/>
      <c r="J25452" s="63"/>
    </row>
    <row r="25453" spans="9:10" x14ac:dyDescent="0.35">
      <c r="I25453" s="63"/>
      <c r="J25453" s="63"/>
    </row>
    <row r="25454" spans="9:10" x14ac:dyDescent="0.35">
      <c r="I25454" s="63"/>
      <c r="J25454" s="63"/>
    </row>
    <row r="25455" spans="9:10" x14ac:dyDescent="0.35">
      <c r="I25455" s="63"/>
      <c r="J25455" s="63"/>
    </row>
    <row r="25456" spans="9:10" x14ac:dyDescent="0.35">
      <c r="I25456" s="63"/>
      <c r="J25456" s="63"/>
    </row>
    <row r="25457" spans="9:10" x14ac:dyDescent="0.35">
      <c r="I25457" s="63"/>
      <c r="J25457" s="63"/>
    </row>
    <row r="25458" spans="9:10" x14ac:dyDescent="0.35">
      <c r="I25458" s="63"/>
      <c r="J25458" s="63"/>
    </row>
    <row r="25459" spans="9:10" x14ac:dyDescent="0.35">
      <c r="I25459" s="63"/>
      <c r="J25459" s="63"/>
    </row>
    <row r="25460" spans="9:10" x14ac:dyDescent="0.35">
      <c r="I25460" s="63"/>
      <c r="J25460" s="63"/>
    </row>
    <row r="25461" spans="9:10" x14ac:dyDescent="0.35">
      <c r="I25461" s="63"/>
      <c r="J25461" s="63"/>
    </row>
    <row r="25462" spans="9:10" x14ac:dyDescent="0.35">
      <c r="I25462" s="63"/>
      <c r="J25462" s="63"/>
    </row>
    <row r="25463" spans="9:10" x14ac:dyDescent="0.35">
      <c r="I25463" s="63"/>
      <c r="J25463" s="63"/>
    </row>
    <row r="25464" spans="9:10" x14ac:dyDescent="0.35">
      <c r="I25464" s="63"/>
      <c r="J25464" s="63"/>
    </row>
    <row r="25465" spans="9:10" x14ac:dyDescent="0.35">
      <c r="I25465" s="63"/>
      <c r="J25465" s="63"/>
    </row>
    <row r="25466" spans="9:10" x14ac:dyDescent="0.35">
      <c r="I25466" s="63"/>
      <c r="J25466" s="63"/>
    </row>
    <row r="25467" spans="9:10" x14ac:dyDescent="0.35">
      <c r="I25467" s="63"/>
      <c r="J25467" s="63"/>
    </row>
    <row r="25468" spans="9:10" x14ac:dyDescent="0.35">
      <c r="I25468" s="63"/>
      <c r="J25468" s="63"/>
    </row>
    <row r="25469" spans="9:10" x14ac:dyDescent="0.35">
      <c r="I25469" s="63"/>
      <c r="J25469" s="63"/>
    </row>
    <row r="25470" spans="9:10" x14ac:dyDescent="0.35">
      <c r="I25470" s="63"/>
      <c r="J25470" s="63"/>
    </row>
    <row r="25471" spans="9:10" x14ac:dyDescent="0.35">
      <c r="I25471" s="63"/>
      <c r="J25471" s="63"/>
    </row>
    <row r="25472" spans="9:10" x14ac:dyDescent="0.35">
      <c r="I25472" s="63"/>
      <c r="J25472" s="63"/>
    </row>
    <row r="25473" spans="9:10" x14ac:dyDescent="0.35">
      <c r="I25473" s="63"/>
      <c r="J25473" s="63"/>
    </row>
    <row r="25474" spans="9:10" x14ac:dyDescent="0.35">
      <c r="I25474" s="63"/>
      <c r="J25474" s="63"/>
    </row>
    <row r="25475" spans="9:10" x14ac:dyDescent="0.35">
      <c r="I25475" s="63"/>
      <c r="J25475" s="63"/>
    </row>
    <row r="25476" spans="9:10" x14ac:dyDescent="0.35">
      <c r="I25476" s="63"/>
      <c r="J25476" s="63"/>
    </row>
    <row r="25477" spans="9:10" x14ac:dyDescent="0.35">
      <c r="I25477" s="63"/>
      <c r="J25477" s="63"/>
    </row>
    <row r="25478" spans="9:10" x14ac:dyDescent="0.35">
      <c r="I25478" s="63"/>
      <c r="J25478" s="63"/>
    </row>
    <row r="25479" spans="9:10" x14ac:dyDescent="0.35">
      <c r="I25479" s="63"/>
      <c r="J25479" s="63"/>
    </row>
    <row r="25480" spans="9:10" x14ac:dyDescent="0.35">
      <c r="I25480" s="63"/>
      <c r="J25480" s="63"/>
    </row>
    <row r="25481" spans="9:10" x14ac:dyDescent="0.35">
      <c r="I25481" s="63"/>
      <c r="J25481" s="63"/>
    </row>
    <row r="25482" spans="9:10" x14ac:dyDescent="0.35">
      <c r="I25482" s="63"/>
      <c r="J25482" s="63"/>
    </row>
    <row r="25483" spans="9:10" x14ac:dyDescent="0.35">
      <c r="I25483" s="63"/>
      <c r="J25483" s="63"/>
    </row>
    <row r="25484" spans="9:10" x14ac:dyDescent="0.35">
      <c r="I25484" s="63"/>
      <c r="J25484" s="63"/>
    </row>
    <row r="25485" spans="9:10" x14ac:dyDescent="0.35">
      <c r="I25485" s="63"/>
      <c r="J25485" s="63"/>
    </row>
    <row r="25486" spans="9:10" x14ac:dyDescent="0.35">
      <c r="I25486" s="63"/>
      <c r="J25486" s="63"/>
    </row>
    <row r="25487" spans="9:10" x14ac:dyDescent="0.35">
      <c r="I25487" s="63"/>
      <c r="J25487" s="63"/>
    </row>
    <row r="25488" spans="9:10" x14ac:dyDescent="0.35">
      <c r="I25488" s="63"/>
      <c r="J25488" s="63"/>
    </row>
    <row r="25489" spans="9:10" x14ac:dyDescent="0.35">
      <c r="I25489" s="63"/>
      <c r="J25489" s="63"/>
    </row>
    <row r="25490" spans="9:10" x14ac:dyDescent="0.35">
      <c r="I25490" s="63"/>
      <c r="J25490" s="63"/>
    </row>
    <row r="25491" spans="9:10" x14ac:dyDescent="0.35">
      <c r="I25491" s="63"/>
      <c r="J25491" s="63"/>
    </row>
    <row r="25492" spans="9:10" x14ac:dyDescent="0.35">
      <c r="I25492" s="63"/>
      <c r="J25492" s="63"/>
    </row>
    <row r="25493" spans="9:10" x14ac:dyDescent="0.35">
      <c r="I25493" s="63"/>
      <c r="J25493" s="63"/>
    </row>
    <row r="25494" spans="9:10" x14ac:dyDescent="0.35">
      <c r="I25494" s="63"/>
      <c r="J25494" s="63"/>
    </row>
    <row r="25495" spans="9:10" x14ac:dyDescent="0.35">
      <c r="I25495" s="63"/>
      <c r="J25495" s="63"/>
    </row>
    <row r="25496" spans="9:10" x14ac:dyDescent="0.35">
      <c r="I25496" s="63"/>
      <c r="J25496" s="63"/>
    </row>
    <row r="25497" spans="9:10" x14ac:dyDescent="0.35">
      <c r="I25497" s="63"/>
      <c r="J25497" s="63"/>
    </row>
    <row r="25498" spans="9:10" x14ac:dyDescent="0.35">
      <c r="I25498" s="63"/>
      <c r="J25498" s="63"/>
    </row>
    <row r="25499" spans="9:10" x14ac:dyDescent="0.35">
      <c r="I25499" s="63"/>
      <c r="J25499" s="63"/>
    </row>
    <row r="25500" spans="9:10" x14ac:dyDescent="0.35">
      <c r="I25500" s="63"/>
      <c r="J25500" s="63"/>
    </row>
    <row r="25501" spans="9:10" x14ac:dyDescent="0.35">
      <c r="I25501" s="63"/>
      <c r="J25501" s="63"/>
    </row>
    <row r="25502" spans="9:10" x14ac:dyDescent="0.35">
      <c r="I25502" s="63"/>
      <c r="J25502" s="63"/>
    </row>
    <row r="25503" spans="9:10" x14ac:dyDescent="0.35">
      <c r="I25503" s="63"/>
      <c r="J25503" s="63"/>
    </row>
    <row r="25504" spans="9:10" x14ac:dyDescent="0.35">
      <c r="I25504" s="63"/>
      <c r="J25504" s="63"/>
    </row>
    <row r="25505" spans="9:10" x14ac:dyDescent="0.35">
      <c r="I25505" s="63"/>
      <c r="J25505" s="63"/>
    </row>
    <row r="25506" spans="9:10" x14ac:dyDescent="0.35">
      <c r="I25506" s="63"/>
      <c r="J25506" s="63"/>
    </row>
    <row r="25507" spans="9:10" x14ac:dyDescent="0.35">
      <c r="I25507" s="63"/>
      <c r="J25507" s="63"/>
    </row>
    <row r="25508" spans="9:10" x14ac:dyDescent="0.35">
      <c r="I25508" s="63"/>
      <c r="J25508" s="63"/>
    </row>
    <row r="25509" spans="9:10" x14ac:dyDescent="0.35">
      <c r="I25509" s="63"/>
      <c r="J25509" s="63"/>
    </row>
    <row r="25510" spans="9:10" x14ac:dyDescent="0.35">
      <c r="I25510" s="63"/>
      <c r="J25510" s="63"/>
    </row>
    <row r="25511" spans="9:10" x14ac:dyDescent="0.35">
      <c r="I25511" s="63"/>
      <c r="J25511" s="63"/>
    </row>
    <row r="25512" spans="9:10" x14ac:dyDescent="0.35">
      <c r="I25512" s="63"/>
      <c r="J25512" s="63"/>
    </row>
    <row r="25513" spans="9:10" x14ac:dyDescent="0.35">
      <c r="I25513" s="63"/>
      <c r="J25513" s="63"/>
    </row>
    <row r="25514" spans="9:10" x14ac:dyDescent="0.35">
      <c r="I25514" s="63"/>
      <c r="J25514" s="63"/>
    </row>
    <row r="25515" spans="9:10" x14ac:dyDescent="0.35">
      <c r="I25515" s="63"/>
      <c r="J25515" s="63"/>
    </row>
    <row r="25516" spans="9:10" x14ac:dyDescent="0.35">
      <c r="I25516" s="63"/>
      <c r="J25516" s="63"/>
    </row>
    <row r="25517" spans="9:10" x14ac:dyDescent="0.35">
      <c r="I25517" s="63"/>
      <c r="J25517" s="63"/>
    </row>
    <row r="25518" spans="9:10" x14ac:dyDescent="0.35">
      <c r="I25518" s="63"/>
      <c r="J25518" s="63"/>
    </row>
    <row r="25519" spans="9:10" x14ac:dyDescent="0.35">
      <c r="I25519" s="63"/>
      <c r="J25519" s="63"/>
    </row>
    <row r="25520" spans="9:10" x14ac:dyDescent="0.35">
      <c r="I25520" s="63"/>
      <c r="J25520" s="63"/>
    </row>
    <row r="25521" spans="9:10" x14ac:dyDescent="0.35">
      <c r="I25521" s="63"/>
      <c r="J25521" s="63"/>
    </row>
    <row r="25522" spans="9:10" x14ac:dyDescent="0.35">
      <c r="I25522" s="63"/>
      <c r="J25522" s="63"/>
    </row>
    <row r="25523" spans="9:10" x14ac:dyDescent="0.35">
      <c r="I25523" s="63"/>
      <c r="J25523" s="63"/>
    </row>
    <row r="25524" spans="9:10" x14ac:dyDescent="0.35">
      <c r="I25524" s="63"/>
      <c r="J25524" s="63"/>
    </row>
    <row r="25525" spans="9:10" x14ac:dyDescent="0.35">
      <c r="I25525" s="63"/>
      <c r="J25525" s="63"/>
    </row>
    <row r="25526" spans="9:10" x14ac:dyDescent="0.35">
      <c r="I25526" s="63"/>
      <c r="J25526" s="63"/>
    </row>
    <row r="25527" spans="9:10" x14ac:dyDescent="0.35">
      <c r="I25527" s="63"/>
      <c r="J25527" s="63"/>
    </row>
    <row r="25528" spans="9:10" x14ac:dyDescent="0.35">
      <c r="I25528" s="63"/>
      <c r="J25528" s="63"/>
    </row>
    <row r="25529" spans="9:10" x14ac:dyDescent="0.35">
      <c r="I25529" s="63"/>
      <c r="J25529" s="63"/>
    </row>
    <row r="25530" spans="9:10" x14ac:dyDescent="0.35">
      <c r="I25530" s="63"/>
      <c r="J25530" s="63"/>
    </row>
    <row r="25531" spans="9:10" x14ac:dyDescent="0.35">
      <c r="I25531" s="63"/>
      <c r="J25531" s="63"/>
    </row>
    <row r="25532" spans="9:10" x14ac:dyDescent="0.35">
      <c r="I25532" s="63"/>
      <c r="J25532" s="63"/>
    </row>
    <row r="25533" spans="9:10" x14ac:dyDescent="0.35">
      <c r="I25533" s="63"/>
      <c r="J25533" s="63"/>
    </row>
    <row r="25534" spans="9:10" x14ac:dyDescent="0.35">
      <c r="I25534" s="63"/>
      <c r="J25534" s="63"/>
    </row>
    <row r="25535" spans="9:10" x14ac:dyDescent="0.35">
      <c r="I25535" s="63"/>
      <c r="J25535" s="63"/>
    </row>
    <row r="25536" spans="9:10" x14ac:dyDescent="0.35">
      <c r="I25536" s="63"/>
      <c r="J25536" s="63"/>
    </row>
    <row r="25537" spans="9:10" x14ac:dyDescent="0.35">
      <c r="I25537" s="63"/>
      <c r="J25537" s="63"/>
    </row>
    <row r="25538" spans="9:10" x14ac:dyDescent="0.35">
      <c r="I25538" s="63"/>
      <c r="J25538" s="63"/>
    </row>
    <row r="25539" spans="9:10" x14ac:dyDescent="0.35">
      <c r="I25539" s="63"/>
      <c r="J25539" s="63"/>
    </row>
    <row r="25540" spans="9:10" x14ac:dyDescent="0.35">
      <c r="I25540" s="63"/>
      <c r="J25540" s="63"/>
    </row>
    <row r="25541" spans="9:10" x14ac:dyDescent="0.35">
      <c r="I25541" s="63"/>
      <c r="J25541" s="63"/>
    </row>
    <row r="25542" spans="9:10" x14ac:dyDescent="0.35">
      <c r="I25542" s="63"/>
      <c r="J25542" s="63"/>
    </row>
    <row r="25543" spans="9:10" x14ac:dyDescent="0.35">
      <c r="I25543" s="63"/>
      <c r="J25543" s="63"/>
    </row>
    <row r="25544" spans="9:10" x14ac:dyDescent="0.35">
      <c r="I25544" s="63"/>
      <c r="J25544" s="63"/>
    </row>
    <row r="25545" spans="9:10" x14ac:dyDescent="0.35">
      <c r="I25545" s="63"/>
      <c r="J25545" s="63"/>
    </row>
    <row r="25546" spans="9:10" x14ac:dyDescent="0.35">
      <c r="I25546" s="63"/>
      <c r="J25546" s="63"/>
    </row>
    <row r="25547" spans="9:10" x14ac:dyDescent="0.35">
      <c r="I25547" s="63"/>
      <c r="J25547" s="63"/>
    </row>
    <row r="25548" spans="9:10" x14ac:dyDescent="0.35">
      <c r="I25548" s="63"/>
      <c r="J25548" s="63"/>
    </row>
    <row r="25549" spans="9:10" x14ac:dyDescent="0.35">
      <c r="I25549" s="63"/>
      <c r="J25549" s="63"/>
    </row>
    <row r="25550" spans="9:10" x14ac:dyDescent="0.35">
      <c r="I25550" s="63"/>
      <c r="J25550" s="63"/>
    </row>
    <row r="25551" spans="9:10" x14ac:dyDescent="0.35">
      <c r="I25551" s="63"/>
      <c r="J25551" s="63"/>
    </row>
    <row r="25552" spans="9:10" x14ac:dyDescent="0.35">
      <c r="I25552" s="63"/>
      <c r="J25552" s="63"/>
    </row>
    <row r="25553" spans="9:10" x14ac:dyDescent="0.35">
      <c r="I25553" s="63"/>
      <c r="J25553" s="63"/>
    </row>
    <row r="25554" spans="9:10" x14ac:dyDescent="0.35">
      <c r="I25554" s="63"/>
      <c r="J25554" s="63"/>
    </row>
    <row r="25555" spans="9:10" x14ac:dyDescent="0.35">
      <c r="I25555" s="63"/>
      <c r="J25555" s="63"/>
    </row>
    <row r="25556" spans="9:10" x14ac:dyDescent="0.35">
      <c r="I25556" s="63"/>
      <c r="J25556" s="63"/>
    </row>
    <row r="25557" spans="9:10" x14ac:dyDescent="0.35">
      <c r="I25557" s="63"/>
      <c r="J25557" s="63"/>
    </row>
    <row r="25558" spans="9:10" x14ac:dyDescent="0.35">
      <c r="I25558" s="63"/>
      <c r="J25558" s="63"/>
    </row>
    <row r="25559" spans="9:10" x14ac:dyDescent="0.35">
      <c r="I25559" s="63"/>
      <c r="J25559" s="63"/>
    </row>
    <row r="25560" spans="9:10" x14ac:dyDescent="0.35">
      <c r="I25560" s="63"/>
      <c r="J25560" s="63"/>
    </row>
    <row r="25561" spans="9:10" x14ac:dyDescent="0.35">
      <c r="I25561" s="63"/>
      <c r="J25561" s="63"/>
    </row>
    <row r="25562" spans="9:10" x14ac:dyDescent="0.35">
      <c r="I25562" s="63"/>
      <c r="J25562" s="63"/>
    </row>
    <row r="25563" spans="9:10" x14ac:dyDescent="0.35">
      <c r="I25563" s="63"/>
      <c r="J25563" s="63"/>
    </row>
    <row r="25564" spans="9:10" x14ac:dyDescent="0.35">
      <c r="I25564" s="63"/>
      <c r="J25564" s="63"/>
    </row>
    <row r="25565" spans="9:10" x14ac:dyDescent="0.35">
      <c r="I25565" s="63"/>
      <c r="J25565" s="63"/>
    </row>
    <row r="25566" spans="9:10" x14ac:dyDescent="0.35">
      <c r="I25566" s="63"/>
      <c r="J25566" s="63"/>
    </row>
    <row r="25567" spans="9:10" x14ac:dyDescent="0.35">
      <c r="I25567" s="63"/>
      <c r="J25567" s="63"/>
    </row>
    <row r="25568" spans="9:10" x14ac:dyDescent="0.35">
      <c r="I25568" s="63"/>
      <c r="J25568" s="63"/>
    </row>
    <row r="25569" spans="9:10" x14ac:dyDescent="0.35">
      <c r="I25569" s="63"/>
      <c r="J25569" s="63"/>
    </row>
    <row r="25570" spans="9:10" x14ac:dyDescent="0.35">
      <c r="I25570" s="63"/>
      <c r="J25570" s="63"/>
    </row>
    <row r="25571" spans="9:10" x14ac:dyDescent="0.35">
      <c r="I25571" s="63"/>
      <c r="J25571" s="63"/>
    </row>
    <row r="25572" spans="9:10" x14ac:dyDescent="0.35">
      <c r="I25572" s="63"/>
      <c r="J25572" s="63"/>
    </row>
    <row r="25573" spans="9:10" x14ac:dyDescent="0.35">
      <c r="I25573" s="63"/>
      <c r="J25573" s="63"/>
    </row>
    <row r="25574" spans="9:10" x14ac:dyDescent="0.35">
      <c r="I25574" s="63"/>
      <c r="J25574" s="63"/>
    </row>
    <row r="25575" spans="9:10" x14ac:dyDescent="0.35">
      <c r="I25575" s="63"/>
      <c r="J25575" s="63"/>
    </row>
    <row r="25576" spans="9:10" x14ac:dyDescent="0.35">
      <c r="I25576" s="63"/>
      <c r="J25576" s="63"/>
    </row>
    <row r="25577" spans="9:10" x14ac:dyDescent="0.35">
      <c r="I25577" s="63"/>
      <c r="J25577" s="63"/>
    </row>
    <row r="25578" spans="9:10" x14ac:dyDescent="0.35">
      <c r="I25578" s="63"/>
      <c r="J25578" s="63"/>
    </row>
    <row r="25579" spans="9:10" x14ac:dyDescent="0.35">
      <c r="I25579" s="63"/>
      <c r="J25579" s="63"/>
    </row>
    <row r="25580" spans="9:10" x14ac:dyDescent="0.35">
      <c r="I25580" s="63"/>
      <c r="J25580" s="63"/>
    </row>
    <row r="25581" spans="9:10" x14ac:dyDescent="0.35">
      <c r="I25581" s="63"/>
      <c r="J25581" s="63"/>
    </row>
    <row r="25582" spans="9:10" x14ac:dyDescent="0.35">
      <c r="I25582" s="63"/>
      <c r="J25582" s="63"/>
    </row>
    <row r="25583" spans="9:10" x14ac:dyDescent="0.35">
      <c r="I25583" s="63"/>
      <c r="J25583" s="63"/>
    </row>
    <row r="25584" spans="9:10" x14ac:dyDescent="0.35">
      <c r="I25584" s="63"/>
      <c r="J25584" s="63"/>
    </row>
    <row r="25585" spans="9:10" x14ac:dyDescent="0.35">
      <c r="I25585" s="63"/>
      <c r="J25585" s="63"/>
    </row>
    <row r="25586" spans="9:10" x14ac:dyDescent="0.35">
      <c r="I25586" s="63"/>
      <c r="J25586" s="63"/>
    </row>
    <row r="25587" spans="9:10" x14ac:dyDescent="0.35">
      <c r="I25587" s="63"/>
      <c r="J25587" s="63"/>
    </row>
    <row r="25588" spans="9:10" x14ac:dyDescent="0.35">
      <c r="I25588" s="63"/>
      <c r="J25588" s="63"/>
    </row>
    <row r="25589" spans="9:10" x14ac:dyDescent="0.35">
      <c r="I25589" s="63"/>
      <c r="J25589" s="63"/>
    </row>
    <row r="25590" spans="9:10" x14ac:dyDescent="0.35">
      <c r="I25590" s="63"/>
      <c r="J25590" s="63"/>
    </row>
    <row r="25591" spans="9:10" x14ac:dyDescent="0.35">
      <c r="I25591" s="63"/>
      <c r="J25591" s="63"/>
    </row>
    <row r="25592" spans="9:10" x14ac:dyDescent="0.35">
      <c r="I25592" s="63"/>
      <c r="J25592" s="63"/>
    </row>
    <row r="25593" spans="9:10" x14ac:dyDescent="0.35">
      <c r="I25593" s="63"/>
      <c r="J25593" s="63"/>
    </row>
    <row r="25594" spans="9:10" x14ac:dyDescent="0.35">
      <c r="I25594" s="63"/>
      <c r="J25594" s="63"/>
    </row>
    <row r="25595" spans="9:10" x14ac:dyDescent="0.35">
      <c r="I25595" s="63"/>
      <c r="J25595" s="63"/>
    </row>
    <row r="25596" spans="9:10" x14ac:dyDescent="0.35">
      <c r="I25596" s="63"/>
      <c r="J25596" s="63"/>
    </row>
    <row r="25597" spans="9:10" x14ac:dyDescent="0.35">
      <c r="I25597" s="63"/>
      <c r="J25597" s="63"/>
    </row>
    <row r="25598" spans="9:10" x14ac:dyDescent="0.35">
      <c r="I25598" s="63"/>
      <c r="J25598" s="63"/>
    </row>
    <row r="25599" spans="9:10" x14ac:dyDescent="0.35">
      <c r="I25599" s="63"/>
      <c r="J25599" s="63"/>
    </row>
    <row r="25600" spans="9:10" x14ac:dyDescent="0.35">
      <c r="I25600" s="63"/>
      <c r="J25600" s="63"/>
    </row>
    <row r="25601" spans="9:10" x14ac:dyDescent="0.35">
      <c r="I25601" s="63"/>
      <c r="J25601" s="63"/>
    </row>
    <row r="25602" spans="9:10" x14ac:dyDescent="0.35">
      <c r="I25602" s="63"/>
      <c r="J25602" s="63"/>
    </row>
    <row r="25603" spans="9:10" x14ac:dyDescent="0.35">
      <c r="I25603" s="63"/>
      <c r="J25603" s="63"/>
    </row>
    <row r="25604" spans="9:10" x14ac:dyDescent="0.35">
      <c r="I25604" s="63"/>
      <c r="J25604" s="63"/>
    </row>
    <row r="25605" spans="9:10" x14ac:dyDescent="0.35">
      <c r="I25605" s="63"/>
      <c r="J25605" s="63"/>
    </row>
    <row r="25606" spans="9:10" x14ac:dyDescent="0.35">
      <c r="I25606" s="63"/>
      <c r="J25606" s="63"/>
    </row>
    <row r="25607" spans="9:10" x14ac:dyDescent="0.35">
      <c r="I25607" s="63"/>
      <c r="J25607" s="63"/>
    </row>
    <row r="25608" spans="9:10" x14ac:dyDescent="0.35">
      <c r="I25608" s="63"/>
      <c r="J25608" s="63"/>
    </row>
    <row r="25609" spans="9:10" x14ac:dyDescent="0.35">
      <c r="I25609" s="63"/>
      <c r="J25609" s="63"/>
    </row>
    <row r="25610" spans="9:10" x14ac:dyDescent="0.35">
      <c r="I25610" s="63"/>
      <c r="J25610" s="63"/>
    </row>
    <row r="25611" spans="9:10" x14ac:dyDescent="0.35">
      <c r="I25611" s="63"/>
      <c r="J25611" s="63"/>
    </row>
    <row r="25612" spans="9:10" x14ac:dyDescent="0.35">
      <c r="I25612" s="63"/>
      <c r="J25612" s="63"/>
    </row>
    <row r="25613" spans="9:10" x14ac:dyDescent="0.35">
      <c r="I25613" s="63"/>
      <c r="J25613" s="63"/>
    </row>
    <row r="25614" spans="9:10" x14ac:dyDescent="0.35">
      <c r="I25614" s="63"/>
      <c r="J25614" s="63"/>
    </row>
    <row r="25615" spans="9:10" x14ac:dyDescent="0.35">
      <c r="I25615" s="63"/>
      <c r="J25615" s="63"/>
    </row>
    <row r="25616" spans="9:10" x14ac:dyDescent="0.35">
      <c r="I25616" s="63"/>
      <c r="J25616" s="63"/>
    </row>
    <row r="25617" spans="9:10" x14ac:dyDescent="0.35">
      <c r="I25617" s="63"/>
      <c r="J25617" s="63"/>
    </row>
    <row r="25618" spans="9:10" x14ac:dyDescent="0.35">
      <c r="I25618" s="63"/>
      <c r="J25618" s="63"/>
    </row>
    <row r="25619" spans="9:10" x14ac:dyDescent="0.35">
      <c r="I25619" s="63"/>
      <c r="J25619" s="63"/>
    </row>
    <row r="25620" spans="9:10" x14ac:dyDescent="0.35">
      <c r="I25620" s="63"/>
      <c r="J25620" s="63"/>
    </row>
    <row r="25621" spans="9:10" x14ac:dyDescent="0.35">
      <c r="I25621" s="63"/>
      <c r="J25621" s="63"/>
    </row>
    <row r="25622" spans="9:10" x14ac:dyDescent="0.35">
      <c r="I25622" s="63"/>
      <c r="J25622" s="63"/>
    </row>
    <row r="25623" spans="9:10" x14ac:dyDescent="0.35">
      <c r="I25623" s="63"/>
      <c r="J25623" s="63"/>
    </row>
    <row r="25624" spans="9:10" x14ac:dyDescent="0.35">
      <c r="I25624" s="63"/>
      <c r="J25624" s="63"/>
    </row>
    <row r="25625" spans="9:10" x14ac:dyDescent="0.35">
      <c r="I25625" s="63"/>
      <c r="J25625" s="63"/>
    </row>
    <row r="25626" spans="9:10" x14ac:dyDescent="0.35">
      <c r="I25626" s="63"/>
      <c r="J25626" s="63"/>
    </row>
    <row r="25627" spans="9:10" x14ac:dyDescent="0.35">
      <c r="I25627" s="63"/>
      <c r="J25627" s="63"/>
    </row>
    <row r="25628" spans="9:10" x14ac:dyDescent="0.35">
      <c r="I25628" s="63"/>
      <c r="J25628" s="63"/>
    </row>
    <row r="25629" spans="9:10" x14ac:dyDescent="0.35">
      <c r="I25629" s="63"/>
      <c r="J25629" s="63"/>
    </row>
    <row r="25630" spans="9:10" x14ac:dyDescent="0.35">
      <c r="I25630" s="63"/>
      <c r="J25630" s="63"/>
    </row>
    <row r="25631" spans="9:10" x14ac:dyDescent="0.35">
      <c r="I25631" s="63"/>
      <c r="J25631" s="63"/>
    </row>
    <row r="25632" spans="9:10" x14ac:dyDescent="0.35">
      <c r="I25632" s="63"/>
      <c r="J25632" s="63"/>
    </row>
    <row r="25633" spans="9:10" x14ac:dyDescent="0.35">
      <c r="I25633" s="63"/>
      <c r="J25633" s="63"/>
    </row>
    <row r="25634" spans="9:10" x14ac:dyDescent="0.35">
      <c r="I25634" s="63"/>
      <c r="J25634" s="63"/>
    </row>
    <row r="25635" spans="9:10" x14ac:dyDescent="0.35">
      <c r="I25635" s="63"/>
      <c r="J25635" s="63"/>
    </row>
    <row r="25636" spans="9:10" x14ac:dyDescent="0.35">
      <c r="I25636" s="63"/>
      <c r="J25636" s="63"/>
    </row>
    <row r="25637" spans="9:10" x14ac:dyDescent="0.35">
      <c r="I25637" s="63"/>
      <c r="J25637" s="63"/>
    </row>
    <row r="25638" spans="9:10" x14ac:dyDescent="0.35">
      <c r="I25638" s="63"/>
      <c r="J25638" s="63"/>
    </row>
    <row r="25639" spans="9:10" x14ac:dyDescent="0.35">
      <c r="I25639" s="63"/>
      <c r="J25639" s="63"/>
    </row>
    <row r="25640" spans="9:10" x14ac:dyDescent="0.35">
      <c r="I25640" s="63"/>
      <c r="J25640" s="63"/>
    </row>
    <row r="25641" spans="9:10" x14ac:dyDescent="0.35">
      <c r="I25641" s="63"/>
      <c r="J25641" s="63"/>
    </row>
    <row r="25642" spans="9:10" x14ac:dyDescent="0.35">
      <c r="I25642" s="63"/>
      <c r="J25642" s="63"/>
    </row>
    <row r="25643" spans="9:10" x14ac:dyDescent="0.35">
      <c r="I25643" s="63"/>
      <c r="J25643" s="63"/>
    </row>
    <row r="25644" spans="9:10" x14ac:dyDescent="0.35">
      <c r="I25644" s="63"/>
      <c r="J25644" s="63"/>
    </row>
    <row r="25645" spans="9:10" x14ac:dyDescent="0.35">
      <c r="I25645" s="63"/>
      <c r="J25645" s="63"/>
    </row>
    <row r="25646" spans="9:10" x14ac:dyDescent="0.35">
      <c r="I25646" s="63"/>
      <c r="J25646" s="63"/>
    </row>
    <row r="25647" spans="9:10" x14ac:dyDescent="0.35">
      <c r="I25647" s="63"/>
      <c r="J25647" s="63"/>
    </row>
    <row r="25648" spans="9:10" x14ac:dyDescent="0.35">
      <c r="I25648" s="63"/>
      <c r="J25648" s="63"/>
    </row>
    <row r="25649" spans="9:10" x14ac:dyDescent="0.35">
      <c r="I25649" s="63"/>
      <c r="J25649" s="63"/>
    </row>
    <row r="25650" spans="9:10" x14ac:dyDescent="0.35">
      <c r="I25650" s="63"/>
      <c r="J25650" s="63"/>
    </row>
    <row r="25651" spans="9:10" x14ac:dyDescent="0.35">
      <c r="I25651" s="63"/>
      <c r="J25651" s="63"/>
    </row>
    <row r="25652" spans="9:10" x14ac:dyDescent="0.35">
      <c r="I25652" s="63"/>
      <c r="J25652" s="63"/>
    </row>
    <row r="25653" spans="9:10" x14ac:dyDescent="0.35">
      <c r="I25653" s="63"/>
      <c r="J25653" s="63"/>
    </row>
    <row r="25654" spans="9:10" x14ac:dyDescent="0.35">
      <c r="I25654" s="63"/>
      <c r="J25654" s="63"/>
    </row>
    <row r="25655" spans="9:10" x14ac:dyDescent="0.35">
      <c r="I25655" s="63"/>
      <c r="J25655" s="63"/>
    </row>
    <row r="25656" spans="9:10" x14ac:dyDescent="0.35">
      <c r="I25656" s="63"/>
      <c r="J25656" s="63"/>
    </row>
    <row r="25657" spans="9:10" x14ac:dyDescent="0.35">
      <c r="I25657" s="63"/>
      <c r="J25657" s="63"/>
    </row>
    <row r="25658" spans="9:10" x14ac:dyDescent="0.35">
      <c r="I25658" s="63"/>
      <c r="J25658" s="63"/>
    </row>
    <row r="25659" spans="9:10" x14ac:dyDescent="0.35">
      <c r="I25659" s="63"/>
      <c r="J25659" s="63"/>
    </row>
    <row r="25660" spans="9:10" x14ac:dyDescent="0.35">
      <c r="I25660" s="63"/>
      <c r="J25660" s="63"/>
    </row>
    <row r="25661" spans="9:10" x14ac:dyDescent="0.35">
      <c r="I25661" s="63"/>
      <c r="J25661" s="63"/>
    </row>
    <row r="25662" spans="9:10" x14ac:dyDescent="0.35">
      <c r="I25662" s="63"/>
      <c r="J25662" s="63"/>
    </row>
    <row r="25663" spans="9:10" x14ac:dyDescent="0.35">
      <c r="I25663" s="63"/>
      <c r="J25663" s="63"/>
    </row>
    <row r="25664" spans="9:10" x14ac:dyDescent="0.35">
      <c r="I25664" s="63"/>
      <c r="J25664" s="63"/>
    </row>
    <row r="25665" spans="9:10" x14ac:dyDescent="0.35">
      <c r="I25665" s="63"/>
      <c r="J25665" s="63"/>
    </row>
    <row r="25666" spans="9:10" x14ac:dyDescent="0.35">
      <c r="I25666" s="63"/>
      <c r="J25666" s="63"/>
    </row>
    <row r="25667" spans="9:10" x14ac:dyDescent="0.35">
      <c r="I25667" s="63"/>
      <c r="J25667" s="63"/>
    </row>
    <row r="25668" spans="9:10" x14ac:dyDescent="0.35">
      <c r="I25668" s="63"/>
      <c r="J25668" s="63"/>
    </row>
    <row r="25669" spans="9:10" x14ac:dyDescent="0.35">
      <c r="I25669" s="63"/>
      <c r="J25669" s="63"/>
    </row>
    <row r="25670" spans="9:10" x14ac:dyDescent="0.35">
      <c r="I25670" s="63"/>
      <c r="J25670" s="63"/>
    </row>
    <row r="25671" spans="9:10" x14ac:dyDescent="0.35">
      <c r="I25671" s="63"/>
      <c r="J25671" s="63"/>
    </row>
    <row r="25672" spans="9:10" x14ac:dyDescent="0.35">
      <c r="I25672" s="63"/>
      <c r="J25672" s="63"/>
    </row>
    <row r="25673" spans="9:10" x14ac:dyDescent="0.35">
      <c r="I25673" s="63"/>
      <c r="J25673" s="63"/>
    </row>
    <row r="25674" spans="9:10" x14ac:dyDescent="0.35">
      <c r="I25674" s="63"/>
      <c r="J25674" s="63"/>
    </row>
    <row r="25675" spans="9:10" x14ac:dyDescent="0.35">
      <c r="I25675" s="63"/>
      <c r="J25675" s="63"/>
    </row>
    <row r="25676" spans="9:10" x14ac:dyDescent="0.35">
      <c r="I25676" s="63"/>
      <c r="J25676" s="63"/>
    </row>
    <row r="25677" spans="9:10" x14ac:dyDescent="0.35">
      <c r="I25677" s="63"/>
      <c r="J25677" s="63"/>
    </row>
    <row r="25678" spans="9:10" x14ac:dyDescent="0.35">
      <c r="I25678" s="63"/>
      <c r="J25678" s="63"/>
    </row>
    <row r="25679" spans="9:10" x14ac:dyDescent="0.35">
      <c r="I25679" s="63"/>
      <c r="J25679" s="63"/>
    </row>
    <row r="25680" spans="9:10" x14ac:dyDescent="0.35">
      <c r="I25680" s="63"/>
      <c r="J25680" s="63"/>
    </row>
    <row r="25681" spans="9:10" x14ac:dyDescent="0.35">
      <c r="I25681" s="63"/>
      <c r="J25681" s="63"/>
    </row>
    <row r="25682" spans="9:10" x14ac:dyDescent="0.35">
      <c r="I25682" s="63"/>
      <c r="J25682" s="63"/>
    </row>
    <row r="25683" spans="9:10" x14ac:dyDescent="0.35">
      <c r="I25683" s="63"/>
      <c r="J25683" s="63"/>
    </row>
    <row r="25684" spans="9:10" x14ac:dyDescent="0.35">
      <c r="I25684" s="63"/>
      <c r="J25684" s="63"/>
    </row>
    <row r="25685" spans="9:10" x14ac:dyDescent="0.35">
      <c r="I25685" s="63"/>
      <c r="J25685" s="63"/>
    </row>
    <row r="25686" spans="9:10" x14ac:dyDescent="0.35">
      <c r="I25686" s="63"/>
      <c r="J25686" s="63"/>
    </row>
    <row r="25687" spans="9:10" x14ac:dyDescent="0.35">
      <c r="I25687" s="63"/>
      <c r="J25687" s="63"/>
    </row>
    <row r="25688" spans="9:10" x14ac:dyDescent="0.35">
      <c r="I25688" s="63"/>
      <c r="J25688" s="63"/>
    </row>
    <row r="25689" spans="9:10" x14ac:dyDescent="0.35">
      <c r="I25689" s="63"/>
      <c r="J25689" s="63"/>
    </row>
    <row r="25690" spans="9:10" x14ac:dyDescent="0.35">
      <c r="I25690" s="63"/>
      <c r="J25690" s="63"/>
    </row>
    <row r="25691" spans="9:10" x14ac:dyDescent="0.35">
      <c r="I25691" s="63"/>
      <c r="J25691" s="63"/>
    </row>
    <row r="25692" spans="9:10" x14ac:dyDescent="0.35">
      <c r="I25692" s="63"/>
      <c r="J25692" s="63"/>
    </row>
    <row r="25693" spans="9:10" x14ac:dyDescent="0.35">
      <c r="I25693" s="63"/>
      <c r="J25693" s="63"/>
    </row>
    <row r="25694" spans="9:10" x14ac:dyDescent="0.35">
      <c r="I25694" s="63"/>
      <c r="J25694" s="63"/>
    </row>
    <row r="25695" spans="9:10" x14ac:dyDescent="0.35">
      <c r="I25695" s="63"/>
      <c r="J25695" s="63"/>
    </row>
    <row r="25696" spans="9:10" x14ac:dyDescent="0.35">
      <c r="I25696" s="63"/>
      <c r="J25696" s="63"/>
    </row>
    <row r="25697" spans="9:10" x14ac:dyDescent="0.35">
      <c r="I25697" s="63"/>
      <c r="J25697" s="63"/>
    </row>
    <row r="25698" spans="9:10" x14ac:dyDescent="0.35">
      <c r="I25698" s="63"/>
      <c r="J25698" s="63"/>
    </row>
    <row r="25699" spans="9:10" x14ac:dyDescent="0.35">
      <c r="I25699" s="63"/>
      <c r="J25699" s="63"/>
    </row>
    <row r="25700" spans="9:10" x14ac:dyDescent="0.35">
      <c r="I25700" s="63"/>
      <c r="J25700" s="63"/>
    </row>
    <row r="25701" spans="9:10" x14ac:dyDescent="0.35">
      <c r="I25701" s="63"/>
      <c r="J25701" s="63"/>
    </row>
    <row r="25702" spans="9:10" x14ac:dyDescent="0.35">
      <c r="I25702" s="63"/>
      <c r="J25702" s="63"/>
    </row>
    <row r="25703" spans="9:10" x14ac:dyDescent="0.35">
      <c r="I25703" s="63"/>
      <c r="J25703" s="63"/>
    </row>
    <row r="25704" spans="9:10" x14ac:dyDescent="0.35">
      <c r="I25704" s="63"/>
      <c r="J25704" s="63"/>
    </row>
    <row r="25705" spans="9:10" x14ac:dyDescent="0.35">
      <c r="I25705" s="63"/>
      <c r="J25705" s="63"/>
    </row>
    <row r="25706" spans="9:10" x14ac:dyDescent="0.35">
      <c r="I25706" s="63"/>
      <c r="J25706" s="63"/>
    </row>
    <row r="25707" spans="9:10" x14ac:dyDescent="0.35">
      <c r="I25707" s="63"/>
      <c r="J25707" s="63"/>
    </row>
    <row r="25708" spans="9:10" x14ac:dyDescent="0.35">
      <c r="I25708" s="63"/>
      <c r="J25708" s="63"/>
    </row>
    <row r="25709" spans="9:10" x14ac:dyDescent="0.35">
      <c r="I25709" s="63"/>
      <c r="J25709" s="63"/>
    </row>
    <row r="25710" spans="9:10" x14ac:dyDescent="0.35">
      <c r="I25710" s="63"/>
      <c r="J25710" s="63"/>
    </row>
    <row r="25711" spans="9:10" x14ac:dyDescent="0.35">
      <c r="I25711" s="63"/>
      <c r="J25711" s="63"/>
    </row>
    <row r="25712" spans="9:10" x14ac:dyDescent="0.35">
      <c r="I25712" s="63"/>
      <c r="J25712" s="63"/>
    </row>
    <row r="25713" spans="9:10" x14ac:dyDescent="0.35">
      <c r="I25713" s="63"/>
      <c r="J25713" s="63"/>
    </row>
    <row r="25714" spans="9:10" x14ac:dyDescent="0.35">
      <c r="I25714" s="63"/>
      <c r="J25714" s="63"/>
    </row>
    <row r="25715" spans="9:10" x14ac:dyDescent="0.35">
      <c r="I25715" s="63"/>
      <c r="J25715" s="63"/>
    </row>
    <row r="25716" spans="9:10" x14ac:dyDescent="0.35">
      <c r="I25716" s="63"/>
      <c r="J25716" s="63"/>
    </row>
    <row r="25717" spans="9:10" x14ac:dyDescent="0.35">
      <c r="I25717" s="63"/>
      <c r="J25717" s="63"/>
    </row>
    <row r="25718" spans="9:10" x14ac:dyDescent="0.35">
      <c r="I25718" s="63"/>
      <c r="J25718" s="63"/>
    </row>
    <row r="25719" spans="9:10" x14ac:dyDescent="0.35">
      <c r="I25719" s="63"/>
      <c r="J25719" s="63"/>
    </row>
    <row r="25720" spans="9:10" x14ac:dyDescent="0.35">
      <c r="I25720" s="63"/>
      <c r="J25720" s="63"/>
    </row>
    <row r="25721" spans="9:10" x14ac:dyDescent="0.35">
      <c r="I25721" s="63"/>
      <c r="J25721" s="63"/>
    </row>
    <row r="25722" spans="9:10" x14ac:dyDescent="0.35">
      <c r="I25722" s="63"/>
      <c r="J25722" s="63"/>
    </row>
    <row r="25723" spans="9:10" x14ac:dyDescent="0.35">
      <c r="I25723" s="63"/>
      <c r="J25723" s="63"/>
    </row>
    <row r="25724" spans="9:10" x14ac:dyDescent="0.35">
      <c r="I25724" s="63"/>
      <c r="J25724" s="63"/>
    </row>
    <row r="25725" spans="9:10" x14ac:dyDescent="0.35">
      <c r="I25725" s="63"/>
      <c r="J25725" s="63"/>
    </row>
    <row r="25726" spans="9:10" x14ac:dyDescent="0.35">
      <c r="I25726" s="63"/>
      <c r="J25726" s="63"/>
    </row>
    <row r="25727" spans="9:10" x14ac:dyDescent="0.35">
      <c r="I25727" s="63"/>
      <c r="J25727" s="63"/>
    </row>
    <row r="25728" spans="9:10" x14ac:dyDescent="0.35">
      <c r="I25728" s="63"/>
      <c r="J25728" s="63"/>
    </row>
    <row r="25729" spans="9:10" x14ac:dyDescent="0.35">
      <c r="I25729" s="63"/>
      <c r="J25729" s="63"/>
    </row>
    <row r="25730" spans="9:10" x14ac:dyDescent="0.35">
      <c r="I25730" s="63"/>
      <c r="J25730" s="63"/>
    </row>
    <row r="25731" spans="9:10" x14ac:dyDescent="0.35">
      <c r="I25731" s="63"/>
      <c r="J25731" s="63"/>
    </row>
    <row r="25732" spans="9:10" x14ac:dyDescent="0.35">
      <c r="I25732" s="63"/>
      <c r="J25732" s="63"/>
    </row>
    <row r="25733" spans="9:10" x14ac:dyDescent="0.35">
      <c r="I25733" s="63"/>
      <c r="J25733" s="63"/>
    </row>
    <row r="25734" spans="9:10" x14ac:dyDescent="0.35">
      <c r="I25734" s="63"/>
      <c r="J25734" s="63"/>
    </row>
    <row r="25735" spans="9:10" x14ac:dyDescent="0.35">
      <c r="I25735" s="63"/>
      <c r="J25735" s="63"/>
    </row>
    <row r="25736" spans="9:10" x14ac:dyDescent="0.35">
      <c r="I25736" s="63"/>
      <c r="J25736" s="63"/>
    </row>
    <row r="25737" spans="9:10" x14ac:dyDescent="0.35">
      <c r="I25737" s="63"/>
      <c r="J25737" s="63"/>
    </row>
    <row r="25738" spans="9:10" x14ac:dyDescent="0.35">
      <c r="I25738" s="63"/>
      <c r="J25738" s="63"/>
    </row>
    <row r="25739" spans="9:10" x14ac:dyDescent="0.35">
      <c r="I25739" s="63"/>
      <c r="J25739" s="63"/>
    </row>
    <row r="25740" spans="9:10" x14ac:dyDescent="0.35">
      <c r="I25740" s="63"/>
      <c r="J25740" s="63"/>
    </row>
    <row r="25741" spans="9:10" x14ac:dyDescent="0.35">
      <c r="I25741" s="63"/>
      <c r="J25741" s="63"/>
    </row>
    <row r="25742" spans="9:10" x14ac:dyDescent="0.35">
      <c r="I25742" s="63"/>
      <c r="J25742" s="63"/>
    </row>
    <row r="25743" spans="9:10" x14ac:dyDescent="0.35">
      <c r="I25743" s="63"/>
      <c r="J25743" s="63"/>
    </row>
    <row r="25744" spans="9:10" x14ac:dyDescent="0.35">
      <c r="I25744" s="63"/>
      <c r="J25744" s="63"/>
    </row>
    <row r="25745" spans="9:10" x14ac:dyDescent="0.35">
      <c r="I25745" s="63"/>
      <c r="J25745" s="63"/>
    </row>
    <row r="25746" spans="9:10" x14ac:dyDescent="0.35">
      <c r="I25746" s="63"/>
      <c r="J25746" s="63"/>
    </row>
    <row r="25747" spans="9:10" x14ac:dyDescent="0.35">
      <c r="I25747" s="63"/>
      <c r="J25747" s="63"/>
    </row>
    <row r="25748" spans="9:10" x14ac:dyDescent="0.35">
      <c r="I25748" s="63"/>
      <c r="J25748" s="63"/>
    </row>
    <row r="25749" spans="9:10" x14ac:dyDescent="0.35">
      <c r="I25749" s="63"/>
      <c r="J25749" s="63"/>
    </row>
    <row r="25750" spans="9:10" x14ac:dyDescent="0.35">
      <c r="I25750" s="63"/>
      <c r="J25750" s="63"/>
    </row>
    <row r="25751" spans="9:10" x14ac:dyDescent="0.35">
      <c r="I25751" s="63"/>
      <c r="J25751" s="63"/>
    </row>
    <row r="25752" spans="9:10" x14ac:dyDescent="0.35">
      <c r="I25752" s="63"/>
      <c r="J25752" s="63"/>
    </row>
    <row r="25753" spans="9:10" x14ac:dyDescent="0.35">
      <c r="I25753" s="63"/>
      <c r="J25753" s="63"/>
    </row>
    <row r="25754" spans="9:10" x14ac:dyDescent="0.35">
      <c r="I25754" s="63"/>
      <c r="J25754" s="63"/>
    </row>
    <row r="25755" spans="9:10" x14ac:dyDescent="0.35">
      <c r="I25755" s="63"/>
      <c r="J25755" s="63"/>
    </row>
    <row r="25756" spans="9:10" x14ac:dyDescent="0.35">
      <c r="I25756" s="63"/>
      <c r="J25756" s="63"/>
    </row>
    <row r="25757" spans="9:10" x14ac:dyDescent="0.35">
      <c r="I25757" s="63"/>
      <c r="J25757" s="63"/>
    </row>
    <row r="25758" spans="9:10" x14ac:dyDescent="0.35">
      <c r="I25758" s="63"/>
      <c r="J25758" s="63"/>
    </row>
    <row r="25759" spans="9:10" x14ac:dyDescent="0.35">
      <c r="I25759" s="63"/>
      <c r="J25759" s="63"/>
    </row>
    <row r="25760" spans="9:10" x14ac:dyDescent="0.35">
      <c r="I25760" s="63"/>
      <c r="J25760" s="63"/>
    </row>
    <row r="25761" spans="9:10" x14ac:dyDescent="0.35">
      <c r="I25761" s="63"/>
      <c r="J25761" s="63"/>
    </row>
    <row r="25762" spans="9:10" x14ac:dyDescent="0.35">
      <c r="I25762" s="63"/>
      <c r="J25762" s="63"/>
    </row>
    <row r="25763" spans="9:10" x14ac:dyDescent="0.35">
      <c r="I25763" s="63"/>
      <c r="J25763" s="63"/>
    </row>
    <row r="25764" spans="9:10" x14ac:dyDescent="0.35">
      <c r="I25764" s="63"/>
      <c r="J25764" s="63"/>
    </row>
    <row r="25765" spans="9:10" x14ac:dyDescent="0.35">
      <c r="I25765" s="63"/>
      <c r="J25765" s="63"/>
    </row>
    <row r="25766" spans="9:10" x14ac:dyDescent="0.35">
      <c r="I25766" s="63"/>
      <c r="J25766" s="63"/>
    </row>
    <row r="25767" spans="9:10" x14ac:dyDescent="0.35">
      <c r="I25767" s="63"/>
      <c r="J25767" s="63"/>
    </row>
    <row r="25768" spans="9:10" x14ac:dyDescent="0.35">
      <c r="I25768" s="63"/>
      <c r="J25768" s="63"/>
    </row>
    <row r="25769" spans="9:10" x14ac:dyDescent="0.35">
      <c r="I25769" s="63"/>
      <c r="J25769" s="63"/>
    </row>
    <row r="25770" spans="9:10" x14ac:dyDescent="0.35">
      <c r="I25770" s="63"/>
      <c r="J25770" s="63"/>
    </row>
    <row r="25771" spans="9:10" x14ac:dyDescent="0.35">
      <c r="I25771" s="63"/>
      <c r="J25771" s="63"/>
    </row>
    <row r="25772" spans="9:10" x14ac:dyDescent="0.35">
      <c r="I25772" s="63"/>
      <c r="J25772" s="63"/>
    </row>
    <row r="25773" spans="9:10" x14ac:dyDescent="0.35">
      <c r="I25773" s="63"/>
      <c r="J25773" s="63"/>
    </row>
    <row r="25774" spans="9:10" x14ac:dyDescent="0.35">
      <c r="I25774" s="63"/>
      <c r="J25774" s="63"/>
    </row>
    <row r="25775" spans="9:10" x14ac:dyDescent="0.35">
      <c r="I25775" s="63"/>
      <c r="J25775" s="63"/>
    </row>
    <row r="25776" spans="9:10" x14ac:dyDescent="0.35">
      <c r="I25776" s="63"/>
      <c r="J25776" s="63"/>
    </row>
    <row r="25777" spans="9:10" x14ac:dyDescent="0.35">
      <c r="I25777" s="63"/>
      <c r="J25777" s="63"/>
    </row>
    <row r="25778" spans="9:10" x14ac:dyDescent="0.35">
      <c r="I25778" s="63"/>
      <c r="J25778" s="63"/>
    </row>
    <row r="25779" spans="9:10" x14ac:dyDescent="0.35">
      <c r="I25779" s="63"/>
      <c r="J25779" s="63"/>
    </row>
    <row r="25780" spans="9:10" x14ac:dyDescent="0.35">
      <c r="I25780" s="63"/>
      <c r="J25780" s="63"/>
    </row>
    <row r="25781" spans="9:10" x14ac:dyDescent="0.35">
      <c r="I25781" s="63"/>
      <c r="J25781" s="63"/>
    </row>
    <row r="25782" spans="9:10" x14ac:dyDescent="0.35">
      <c r="I25782" s="63"/>
      <c r="J25782" s="63"/>
    </row>
    <row r="25783" spans="9:10" x14ac:dyDescent="0.35">
      <c r="I25783" s="63"/>
      <c r="J25783" s="63"/>
    </row>
    <row r="25784" spans="9:10" x14ac:dyDescent="0.35">
      <c r="I25784" s="63"/>
      <c r="J25784" s="63"/>
    </row>
    <row r="25785" spans="9:10" x14ac:dyDescent="0.35">
      <c r="I25785" s="63"/>
      <c r="J25785" s="63"/>
    </row>
    <row r="25786" spans="9:10" x14ac:dyDescent="0.35">
      <c r="I25786" s="63"/>
      <c r="J25786" s="63"/>
    </row>
    <row r="25787" spans="9:10" x14ac:dyDescent="0.35">
      <c r="I25787" s="63"/>
      <c r="J25787" s="63"/>
    </row>
    <row r="25788" spans="9:10" x14ac:dyDescent="0.35">
      <c r="I25788" s="63"/>
      <c r="J25788" s="63"/>
    </row>
    <row r="25789" spans="9:10" x14ac:dyDescent="0.35">
      <c r="I25789" s="63"/>
      <c r="J25789" s="63"/>
    </row>
    <row r="25790" spans="9:10" x14ac:dyDescent="0.35">
      <c r="I25790" s="63"/>
      <c r="J25790" s="63"/>
    </row>
    <row r="25791" spans="9:10" x14ac:dyDescent="0.35">
      <c r="I25791" s="63"/>
      <c r="J25791" s="63"/>
    </row>
    <row r="25792" spans="9:10" x14ac:dyDescent="0.35">
      <c r="I25792" s="63"/>
      <c r="J25792" s="63"/>
    </row>
    <row r="25793" spans="9:10" x14ac:dyDescent="0.35">
      <c r="I25793" s="63"/>
      <c r="J25793" s="63"/>
    </row>
    <row r="25794" spans="9:10" x14ac:dyDescent="0.35">
      <c r="I25794" s="63"/>
      <c r="J25794" s="63"/>
    </row>
    <row r="25795" spans="9:10" x14ac:dyDescent="0.35">
      <c r="I25795" s="63"/>
      <c r="J25795" s="63"/>
    </row>
    <row r="25796" spans="9:10" x14ac:dyDescent="0.35">
      <c r="I25796" s="63"/>
      <c r="J25796" s="63"/>
    </row>
    <row r="25797" spans="9:10" x14ac:dyDescent="0.35">
      <c r="I25797" s="63"/>
      <c r="J25797" s="63"/>
    </row>
    <row r="25798" spans="9:10" x14ac:dyDescent="0.35">
      <c r="I25798" s="63"/>
      <c r="J25798" s="63"/>
    </row>
    <row r="25799" spans="9:10" x14ac:dyDescent="0.35">
      <c r="I25799" s="63"/>
      <c r="J25799" s="63"/>
    </row>
    <row r="25800" spans="9:10" x14ac:dyDescent="0.35">
      <c r="I25800" s="63"/>
      <c r="J25800" s="63"/>
    </row>
    <row r="25801" spans="9:10" x14ac:dyDescent="0.35">
      <c r="I25801" s="63"/>
      <c r="J25801" s="63"/>
    </row>
    <row r="25802" spans="9:10" x14ac:dyDescent="0.35">
      <c r="I25802" s="63"/>
      <c r="J25802" s="63"/>
    </row>
    <row r="25803" spans="9:10" x14ac:dyDescent="0.35">
      <c r="I25803" s="63"/>
      <c r="J25803" s="63"/>
    </row>
    <row r="25804" spans="9:10" x14ac:dyDescent="0.35">
      <c r="I25804" s="63"/>
      <c r="J25804" s="63"/>
    </row>
    <row r="25805" spans="9:10" x14ac:dyDescent="0.35">
      <c r="I25805" s="63"/>
      <c r="J25805" s="63"/>
    </row>
    <row r="25806" spans="9:10" x14ac:dyDescent="0.35">
      <c r="I25806" s="63"/>
      <c r="J25806" s="63"/>
    </row>
    <row r="25807" spans="9:10" x14ac:dyDescent="0.35">
      <c r="I25807" s="63"/>
      <c r="J25807" s="63"/>
    </row>
    <row r="25808" spans="9:10" x14ac:dyDescent="0.35">
      <c r="I25808" s="63"/>
      <c r="J25808" s="63"/>
    </row>
    <row r="25809" spans="9:10" x14ac:dyDescent="0.35">
      <c r="I25809" s="63"/>
      <c r="J25809" s="63"/>
    </row>
    <row r="25810" spans="9:10" x14ac:dyDescent="0.35">
      <c r="I25810" s="63"/>
      <c r="J25810" s="63"/>
    </row>
    <row r="25811" spans="9:10" x14ac:dyDescent="0.35">
      <c r="I25811" s="63"/>
      <c r="J25811" s="63"/>
    </row>
    <row r="25812" spans="9:10" x14ac:dyDescent="0.35">
      <c r="I25812" s="63"/>
      <c r="J25812" s="63"/>
    </row>
    <row r="25813" spans="9:10" x14ac:dyDescent="0.35">
      <c r="I25813" s="63"/>
      <c r="J25813" s="63"/>
    </row>
    <row r="25814" spans="9:10" x14ac:dyDescent="0.35">
      <c r="I25814" s="63"/>
      <c r="J25814" s="63"/>
    </row>
    <row r="25815" spans="9:10" x14ac:dyDescent="0.35">
      <c r="I25815" s="63"/>
      <c r="J25815" s="63"/>
    </row>
    <row r="25816" spans="9:10" x14ac:dyDescent="0.35">
      <c r="I25816" s="63"/>
      <c r="J25816" s="63"/>
    </row>
    <row r="25817" spans="9:10" x14ac:dyDescent="0.35">
      <c r="I25817" s="63"/>
      <c r="J25817" s="63"/>
    </row>
    <row r="25818" spans="9:10" x14ac:dyDescent="0.35">
      <c r="I25818" s="63"/>
      <c r="J25818" s="63"/>
    </row>
    <row r="25819" spans="9:10" x14ac:dyDescent="0.35">
      <c r="I25819" s="63"/>
      <c r="J25819" s="63"/>
    </row>
    <row r="25820" spans="9:10" x14ac:dyDescent="0.35">
      <c r="I25820" s="63"/>
      <c r="J25820" s="63"/>
    </row>
    <row r="25821" spans="9:10" x14ac:dyDescent="0.35">
      <c r="I25821" s="63"/>
      <c r="J25821" s="63"/>
    </row>
    <row r="25822" spans="9:10" x14ac:dyDescent="0.35">
      <c r="I25822" s="63"/>
      <c r="J25822" s="63"/>
    </row>
    <row r="25823" spans="9:10" x14ac:dyDescent="0.35">
      <c r="I25823" s="63"/>
      <c r="J25823" s="63"/>
    </row>
    <row r="25824" spans="9:10" x14ac:dyDescent="0.35">
      <c r="I25824" s="63"/>
      <c r="J25824" s="63"/>
    </row>
    <row r="25825" spans="9:10" x14ac:dyDescent="0.35">
      <c r="I25825" s="63"/>
      <c r="J25825" s="63"/>
    </row>
    <row r="25826" spans="9:10" x14ac:dyDescent="0.35">
      <c r="I25826" s="63"/>
      <c r="J25826" s="63"/>
    </row>
    <row r="25827" spans="9:10" x14ac:dyDescent="0.35">
      <c r="I25827" s="63"/>
      <c r="J25827" s="63"/>
    </row>
    <row r="25828" spans="9:10" x14ac:dyDescent="0.35">
      <c r="I25828" s="63"/>
      <c r="J25828" s="63"/>
    </row>
    <row r="25829" spans="9:10" x14ac:dyDescent="0.35">
      <c r="I25829" s="63"/>
      <c r="J25829" s="63"/>
    </row>
    <row r="25830" spans="9:10" x14ac:dyDescent="0.35">
      <c r="I25830" s="63"/>
      <c r="J25830" s="63"/>
    </row>
    <row r="25831" spans="9:10" x14ac:dyDescent="0.35">
      <c r="I25831" s="63"/>
      <c r="J25831" s="63"/>
    </row>
    <row r="25832" spans="9:10" x14ac:dyDescent="0.35">
      <c r="I25832" s="63"/>
      <c r="J25832" s="63"/>
    </row>
    <row r="25833" spans="9:10" x14ac:dyDescent="0.35">
      <c r="I25833" s="63"/>
      <c r="J25833" s="63"/>
    </row>
    <row r="25834" spans="9:10" x14ac:dyDescent="0.35">
      <c r="I25834" s="63"/>
      <c r="J25834" s="63"/>
    </row>
    <row r="25835" spans="9:10" x14ac:dyDescent="0.35">
      <c r="I25835" s="63"/>
      <c r="J25835" s="63"/>
    </row>
    <row r="25836" spans="9:10" x14ac:dyDescent="0.35">
      <c r="I25836" s="63"/>
      <c r="J25836" s="63"/>
    </row>
    <row r="25837" spans="9:10" x14ac:dyDescent="0.35">
      <c r="I25837" s="63"/>
      <c r="J25837" s="63"/>
    </row>
    <row r="25838" spans="9:10" x14ac:dyDescent="0.35">
      <c r="I25838" s="63"/>
      <c r="J25838" s="63"/>
    </row>
    <row r="25839" spans="9:10" x14ac:dyDescent="0.35">
      <c r="I25839" s="63"/>
      <c r="J25839" s="63"/>
    </row>
    <row r="25840" spans="9:10" x14ac:dyDescent="0.35">
      <c r="I25840" s="63"/>
      <c r="J25840" s="63"/>
    </row>
    <row r="25841" spans="9:10" x14ac:dyDescent="0.35">
      <c r="I25841" s="63"/>
      <c r="J25841" s="63"/>
    </row>
    <row r="25842" spans="9:10" x14ac:dyDescent="0.35">
      <c r="I25842" s="63"/>
      <c r="J25842" s="63"/>
    </row>
    <row r="25843" spans="9:10" x14ac:dyDescent="0.35">
      <c r="I25843" s="63"/>
      <c r="J25843" s="63"/>
    </row>
    <row r="25844" spans="9:10" x14ac:dyDescent="0.35">
      <c r="I25844" s="63"/>
      <c r="J25844" s="63"/>
    </row>
    <row r="25845" spans="9:10" x14ac:dyDescent="0.35">
      <c r="I25845" s="63"/>
      <c r="J25845" s="63"/>
    </row>
    <row r="25846" spans="9:10" x14ac:dyDescent="0.35">
      <c r="I25846" s="63"/>
      <c r="J25846" s="63"/>
    </row>
    <row r="25847" spans="9:10" x14ac:dyDescent="0.35">
      <c r="I25847" s="63"/>
      <c r="J25847" s="63"/>
    </row>
    <row r="25848" spans="9:10" x14ac:dyDescent="0.35">
      <c r="I25848" s="63"/>
      <c r="J25848" s="63"/>
    </row>
    <row r="25849" spans="9:10" x14ac:dyDescent="0.35">
      <c r="I25849" s="63"/>
      <c r="J25849" s="63"/>
    </row>
    <row r="25850" spans="9:10" x14ac:dyDescent="0.35">
      <c r="I25850" s="63"/>
      <c r="J25850" s="63"/>
    </row>
    <row r="25851" spans="9:10" x14ac:dyDescent="0.35">
      <c r="I25851" s="63"/>
      <c r="J25851" s="63"/>
    </row>
    <row r="25852" spans="9:10" x14ac:dyDescent="0.35">
      <c r="I25852" s="63"/>
      <c r="J25852" s="63"/>
    </row>
    <row r="25853" spans="9:10" x14ac:dyDescent="0.35">
      <c r="I25853" s="63"/>
      <c r="J25853" s="63"/>
    </row>
    <row r="25854" spans="9:10" x14ac:dyDescent="0.35">
      <c r="I25854" s="63"/>
      <c r="J25854" s="63"/>
    </row>
    <row r="25855" spans="9:10" x14ac:dyDescent="0.35">
      <c r="I25855" s="63"/>
      <c r="J25855" s="63"/>
    </row>
    <row r="25856" spans="9:10" x14ac:dyDescent="0.35">
      <c r="I25856" s="63"/>
      <c r="J25856" s="63"/>
    </row>
    <row r="25857" spans="9:10" x14ac:dyDescent="0.35">
      <c r="I25857" s="63"/>
      <c r="J25857" s="63"/>
    </row>
    <row r="25858" spans="9:10" x14ac:dyDescent="0.35">
      <c r="I25858" s="63"/>
      <c r="J25858" s="63"/>
    </row>
    <row r="25859" spans="9:10" x14ac:dyDescent="0.35">
      <c r="I25859" s="63"/>
      <c r="J25859" s="63"/>
    </row>
    <row r="25860" spans="9:10" x14ac:dyDescent="0.35">
      <c r="I25860" s="63"/>
      <c r="J25860" s="63"/>
    </row>
    <row r="25861" spans="9:10" x14ac:dyDescent="0.35">
      <c r="I25861" s="63"/>
      <c r="J25861" s="63"/>
    </row>
    <row r="25862" spans="9:10" x14ac:dyDescent="0.35">
      <c r="I25862" s="63"/>
      <c r="J25862" s="63"/>
    </row>
    <row r="25863" spans="9:10" x14ac:dyDescent="0.35">
      <c r="I25863" s="63"/>
      <c r="J25863" s="63"/>
    </row>
    <row r="25864" spans="9:10" x14ac:dyDescent="0.35">
      <c r="I25864" s="63"/>
      <c r="J25864" s="63"/>
    </row>
    <row r="25865" spans="9:10" x14ac:dyDescent="0.35">
      <c r="I25865" s="63"/>
      <c r="J25865" s="63"/>
    </row>
    <row r="25866" spans="9:10" x14ac:dyDescent="0.35">
      <c r="I25866" s="63"/>
      <c r="J25866" s="63"/>
    </row>
    <row r="25867" spans="9:10" x14ac:dyDescent="0.35">
      <c r="I25867" s="63"/>
      <c r="J25867" s="63"/>
    </row>
    <row r="25868" spans="9:10" x14ac:dyDescent="0.35">
      <c r="I25868" s="63"/>
      <c r="J25868" s="63"/>
    </row>
    <row r="25869" spans="9:10" x14ac:dyDescent="0.35">
      <c r="I25869" s="63"/>
      <c r="J25869" s="63"/>
    </row>
    <row r="25870" spans="9:10" x14ac:dyDescent="0.35">
      <c r="I25870" s="63"/>
      <c r="J25870" s="63"/>
    </row>
    <row r="25871" spans="9:10" x14ac:dyDescent="0.35">
      <c r="I25871" s="63"/>
      <c r="J25871" s="63"/>
    </row>
    <row r="25872" spans="9:10" x14ac:dyDescent="0.35">
      <c r="I25872" s="63"/>
      <c r="J25872" s="63"/>
    </row>
    <row r="25873" spans="9:10" x14ac:dyDescent="0.35">
      <c r="I25873" s="63"/>
      <c r="J25873" s="63"/>
    </row>
    <row r="25874" spans="9:10" x14ac:dyDescent="0.35">
      <c r="I25874" s="63"/>
      <c r="J25874" s="63"/>
    </row>
    <row r="25875" spans="9:10" x14ac:dyDescent="0.35">
      <c r="I25875" s="63"/>
      <c r="J25875" s="63"/>
    </row>
    <row r="25876" spans="9:10" x14ac:dyDescent="0.35">
      <c r="I25876" s="63"/>
      <c r="J25876" s="63"/>
    </row>
    <row r="25877" spans="9:10" x14ac:dyDescent="0.35">
      <c r="I25877" s="63"/>
      <c r="J25877" s="63"/>
    </row>
    <row r="25878" spans="9:10" x14ac:dyDescent="0.35">
      <c r="I25878" s="63"/>
      <c r="J25878" s="63"/>
    </row>
    <row r="25879" spans="9:10" x14ac:dyDescent="0.35">
      <c r="I25879" s="63"/>
      <c r="J25879" s="63"/>
    </row>
    <row r="25880" spans="9:10" x14ac:dyDescent="0.35">
      <c r="I25880" s="63"/>
      <c r="J25880" s="63"/>
    </row>
    <row r="25881" spans="9:10" x14ac:dyDescent="0.35">
      <c r="I25881" s="63"/>
      <c r="J25881" s="63"/>
    </row>
    <row r="25882" spans="9:10" x14ac:dyDescent="0.35">
      <c r="I25882" s="63"/>
      <c r="J25882" s="63"/>
    </row>
    <row r="25883" spans="9:10" x14ac:dyDescent="0.35">
      <c r="I25883" s="63"/>
      <c r="J25883" s="63"/>
    </row>
    <row r="25884" spans="9:10" x14ac:dyDescent="0.35">
      <c r="I25884" s="63"/>
      <c r="J25884" s="63"/>
    </row>
    <row r="25885" spans="9:10" x14ac:dyDescent="0.35">
      <c r="I25885" s="63"/>
      <c r="J25885" s="63"/>
    </row>
    <row r="25886" spans="9:10" x14ac:dyDescent="0.35">
      <c r="I25886" s="63"/>
      <c r="J25886" s="63"/>
    </row>
    <row r="25887" spans="9:10" x14ac:dyDescent="0.35">
      <c r="I25887" s="63"/>
      <c r="J25887" s="63"/>
    </row>
    <row r="25888" spans="9:10" x14ac:dyDescent="0.35">
      <c r="I25888" s="63"/>
      <c r="J25888" s="63"/>
    </row>
    <row r="25889" spans="9:10" x14ac:dyDescent="0.35">
      <c r="I25889" s="63"/>
      <c r="J25889" s="63"/>
    </row>
    <row r="25890" spans="9:10" x14ac:dyDescent="0.35">
      <c r="I25890" s="63"/>
      <c r="J25890" s="63"/>
    </row>
    <row r="25891" spans="9:10" x14ac:dyDescent="0.35">
      <c r="I25891" s="63"/>
      <c r="J25891" s="63"/>
    </row>
    <row r="25892" spans="9:10" x14ac:dyDescent="0.35">
      <c r="I25892" s="63"/>
      <c r="J25892" s="63"/>
    </row>
    <row r="25893" spans="9:10" x14ac:dyDescent="0.35">
      <c r="I25893" s="63"/>
      <c r="J25893" s="63"/>
    </row>
    <row r="25894" spans="9:10" x14ac:dyDescent="0.35">
      <c r="I25894" s="63"/>
      <c r="J25894" s="63"/>
    </row>
    <row r="25895" spans="9:10" x14ac:dyDescent="0.35">
      <c r="I25895" s="63"/>
      <c r="J25895" s="63"/>
    </row>
    <row r="25896" spans="9:10" x14ac:dyDescent="0.35">
      <c r="I25896" s="63"/>
      <c r="J25896" s="63"/>
    </row>
    <row r="25897" spans="9:10" x14ac:dyDescent="0.35">
      <c r="I25897" s="63"/>
      <c r="J25897" s="63"/>
    </row>
    <row r="25898" spans="9:10" x14ac:dyDescent="0.35">
      <c r="I25898" s="63"/>
      <c r="J25898" s="63"/>
    </row>
    <row r="25899" spans="9:10" x14ac:dyDescent="0.35">
      <c r="I25899" s="63"/>
      <c r="J25899" s="63"/>
    </row>
    <row r="25900" spans="9:10" x14ac:dyDescent="0.35">
      <c r="I25900" s="63"/>
      <c r="J25900" s="63"/>
    </row>
    <row r="25901" spans="9:10" x14ac:dyDescent="0.35">
      <c r="I25901" s="63"/>
      <c r="J25901" s="63"/>
    </row>
    <row r="25902" spans="9:10" x14ac:dyDescent="0.35">
      <c r="I25902" s="63"/>
      <c r="J25902" s="63"/>
    </row>
    <row r="25903" spans="9:10" x14ac:dyDescent="0.35">
      <c r="I25903" s="63"/>
      <c r="J25903" s="63"/>
    </row>
    <row r="25904" spans="9:10" x14ac:dyDescent="0.35">
      <c r="I25904" s="63"/>
      <c r="J25904" s="63"/>
    </row>
    <row r="25905" spans="9:10" x14ac:dyDescent="0.35">
      <c r="I25905" s="63"/>
      <c r="J25905" s="63"/>
    </row>
    <row r="25906" spans="9:10" x14ac:dyDescent="0.35">
      <c r="I25906" s="63"/>
      <c r="J25906" s="63"/>
    </row>
    <row r="25907" spans="9:10" x14ac:dyDescent="0.35">
      <c r="I25907" s="63"/>
      <c r="J25907" s="63"/>
    </row>
    <row r="25908" spans="9:10" x14ac:dyDescent="0.35">
      <c r="I25908" s="63"/>
      <c r="J25908" s="63"/>
    </row>
    <row r="25909" spans="9:10" x14ac:dyDescent="0.35">
      <c r="I25909" s="63"/>
      <c r="J25909" s="63"/>
    </row>
    <row r="25910" spans="9:10" x14ac:dyDescent="0.35">
      <c r="I25910" s="63"/>
      <c r="J25910" s="63"/>
    </row>
    <row r="25911" spans="9:10" x14ac:dyDescent="0.35">
      <c r="I25911" s="63"/>
      <c r="J25911" s="63"/>
    </row>
    <row r="25912" spans="9:10" x14ac:dyDescent="0.35">
      <c r="I25912" s="63"/>
      <c r="J25912" s="63"/>
    </row>
    <row r="25913" spans="9:10" x14ac:dyDescent="0.35">
      <c r="I25913" s="63"/>
      <c r="J25913" s="63"/>
    </row>
    <row r="25914" spans="9:10" x14ac:dyDescent="0.35">
      <c r="I25914" s="63"/>
      <c r="J25914" s="63"/>
    </row>
    <row r="25915" spans="9:10" x14ac:dyDescent="0.35">
      <c r="I25915" s="63"/>
      <c r="J25915" s="63"/>
    </row>
    <row r="25916" spans="9:10" x14ac:dyDescent="0.35">
      <c r="I25916" s="63"/>
      <c r="J25916" s="63"/>
    </row>
    <row r="25917" spans="9:10" x14ac:dyDescent="0.35">
      <c r="I25917" s="63"/>
      <c r="J25917" s="63"/>
    </row>
    <row r="25918" spans="9:10" x14ac:dyDescent="0.35">
      <c r="I25918" s="63"/>
      <c r="J25918" s="63"/>
    </row>
    <row r="25919" spans="9:10" x14ac:dyDescent="0.35">
      <c r="I25919" s="63"/>
      <c r="J25919" s="63"/>
    </row>
    <row r="25920" spans="9:10" x14ac:dyDescent="0.35">
      <c r="I25920" s="63"/>
      <c r="J25920" s="63"/>
    </row>
    <row r="25921" spans="9:10" x14ac:dyDescent="0.35">
      <c r="I25921" s="63"/>
      <c r="J25921" s="63"/>
    </row>
    <row r="25922" spans="9:10" x14ac:dyDescent="0.35">
      <c r="I25922" s="63"/>
      <c r="J25922" s="63"/>
    </row>
    <row r="25923" spans="9:10" x14ac:dyDescent="0.35">
      <c r="I25923" s="63"/>
      <c r="J25923" s="63"/>
    </row>
    <row r="25924" spans="9:10" x14ac:dyDescent="0.35">
      <c r="I25924" s="63"/>
      <c r="J25924" s="63"/>
    </row>
    <row r="25925" spans="9:10" x14ac:dyDescent="0.35">
      <c r="I25925" s="63"/>
      <c r="J25925" s="63"/>
    </row>
    <row r="25926" spans="9:10" x14ac:dyDescent="0.35">
      <c r="I25926" s="63"/>
      <c r="J25926" s="63"/>
    </row>
    <row r="25927" spans="9:10" x14ac:dyDescent="0.35">
      <c r="I25927" s="63"/>
      <c r="J25927" s="63"/>
    </row>
    <row r="25928" spans="9:10" x14ac:dyDescent="0.35">
      <c r="I25928" s="63"/>
      <c r="J25928" s="63"/>
    </row>
    <row r="25929" spans="9:10" x14ac:dyDescent="0.35">
      <c r="I25929" s="63"/>
      <c r="J25929" s="63"/>
    </row>
    <row r="25930" spans="9:10" x14ac:dyDescent="0.35">
      <c r="I25930" s="63"/>
      <c r="J25930" s="63"/>
    </row>
    <row r="25931" spans="9:10" x14ac:dyDescent="0.35">
      <c r="I25931" s="63"/>
      <c r="J25931" s="63"/>
    </row>
    <row r="25932" spans="9:10" x14ac:dyDescent="0.35">
      <c r="I25932" s="63"/>
      <c r="J25932" s="63"/>
    </row>
    <row r="25933" spans="9:10" x14ac:dyDescent="0.35">
      <c r="I25933" s="63"/>
      <c r="J25933" s="63"/>
    </row>
    <row r="25934" spans="9:10" x14ac:dyDescent="0.35">
      <c r="I25934" s="63"/>
      <c r="J25934" s="63"/>
    </row>
    <row r="25935" spans="9:10" x14ac:dyDescent="0.35">
      <c r="I25935" s="63"/>
      <c r="J25935" s="63"/>
    </row>
    <row r="25936" spans="9:10" x14ac:dyDescent="0.35">
      <c r="I25936" s="63"/>
      <c r="J25936" s="63"/>
    </row>
    <row r="25937" spans="9:10" x14ac:dyDescent="0.35">
      <c r="I25937" s="63"/>
      <c r="J25937" s="63"/>
    </row>
    <row r="25938" spans="9:10" x14ac:dyDescent="0.35">
      <c r="I25938" s="63"/>
      <c r="J25938" s="63"/>
    </row>
    <row r="25939" spans="9:10" x14ac:dyDescent="0.35">
      <c r="I25939" s="63"/>
      <c r="J25939" s="63"/>
    </row>
    <row r="25940" spans="9:10" x14ac:dyDescent="0.35">
      <c r="I25940" s="63"/>
      <c r="J25940" s="63"/>
    </row>
    <row r="25941" spans="9:10" x14ac:dyDescent="0.35">
      <c r="I25941" s="63"/>
      <c r="J25941" s="63"/>
    </row>
    <row r="25942" spans="9:10" x14ac:dyDescent="0.35">
      <c r="I25942" s="63"/>
      <c r="J25942" s="63"/>
    </row>
    <row r="25943" spans="9:10" x14ac:dyDescent="0.35">
      <c r="I25943" s="63"/>
      <c r="J25943" s="63"/>
    </row>
    <row r="25944" spans="9:10" x14ac:dyDescent="0.35">
      <c r="I25944" s="63"/>
      <c r="J25944" s="63"/>
    </row>
    <row r="25945" spans="9:10" x14ac:dyDescent="0.35">
      <c r="I25945" s="63"/>
      <c r="J25945" s="63"/>
    </row>
    <row r="25946" spans="9:10" x14ac:dyDescent="0.35">
      <c r="I25946" s="63"/>
      <c r="J25946" s="63"/>
    </row>
    <row r="25947" spans="9:10" x14ac:dyDescent="0.35">
      <c r="I25947" s="63"/>
      <c r="J25947" s="63"/>
    </row>
    <row r="25948" spans="9:10" x14ac:dyDescent="0.35">
      <c r="I25948" s="63"/>
      <c r="J25948" s="63"/>
    </row>
    <row r="25949" spans="9:10" x14ac:dyDescent="0.35">
      <c r="I25949" s="63"/>
      <c r="J25949" s="63"/>
    </row>
    <row r="25950" spans="9:10" x14ac:dyDescent="0.35">
      <c r="I25950" s="63"/>
      <c r="J25950" s="63"/>
    </row>
    <row r="25951" spans="9:10" x14ac:dyDescent="0.35">
      <c r="I25951" s="63"/>
      <c r="J25951" s="63"/>
    </row>
    <row r="25952" spans="9:10" x14ac:dyDescent="0.35">
      <c r="I25952" s="63"/>
      <c r="J25952" s="63"/>
    </row>
    <row r="25953" spans="9:10" x14ac:dyDescent="0.35">
      <c r="I25953" s="63"/>
      <c r="J25953" s="63"/>
    </row>
    <row r="25954" spans="9:10" x14ac:dyDescent="0.35">
      <c r="I25954" s="63"/>
      <c r="J25954" s="63"/>
    </row>
    <row r="25955" spans="9:10" x14ac:dyDescent="0.35">
      <c r="I25955" s="63"/>
      <c r="J25955" s="63"/>
    </row>
    <row r="25956" spans="9:10" x14ac:dyDescent="0.35">
      <c r="I25956" s="63"/>
      <c r="J25956" s="63"/>
    </row>
    <row r="25957" spans="9:10" x14ac:dyDescent="0.35">
      <c r="I25957" s="63"/>
      <c r="J25957" s="63"/>
    </row>
    <row r="25958" spans="9:10" x14ac:dyDescent="0.35">
      <c r="I25958" s="63"/>
      <c r="J25958" s="63"/>
    </row>
    <row r="25959" spans="9:10" x14ac:dyDescent="0.35">
      <c r="I25959" s="63"/>
      <c r="J25959" s="63"/>
    </row>
    <row r="25960" spans="9:10" x14ac:dyDescent="0.35">
      <c r="I25960" s="63"/>
      <c r="J25960" s="63"/>
    </row>
    <row r="25961" spans="9:10" x14ac:dyDescent="0.35">
      <c r="I25961" s="63"/>
      <c r="J25961" s="63"/>
    </row>
    <row r="25962" spans="9:10" x14ac:dyDescent="0.35">
      <c r="I25962" s="63"/>
      <c r="J25962" s="63"/>
    </row>
    <row r="25963" spans="9:10" x14ac:dyDescent="0.35">
      <c r="I25963" s="63"/>
      <c r="J25963" s="63"/>
    </row>
    <row r="25964" spans="9:10" x14ac:dyDescent="0.35">
      <c r="I25964" s="63"/>
      <c r="J25964" s="63"/>
    </row>
    <row r="25965" spans="9:10" x14ac:dyDescent="0.35">
      <c r="I25965" s="63"/>
      <c r="J25965" s="63"/>
    </row>
    <row r="25966" spans="9:10" x14ac:dyDescent="0.35">
      <c r="I25966" s="63"/>
      <c r="J25966" s="63"/>
    </row>
    <row r="25967" spans="9:10" x14ac:dyDescent="0.35">
      <c r="I25967" s="63"/>
      <c r="J25967" s="63"/>
    </row>
    <row r="25968" spans="9:10" x14ac:dyDescent="0.35">
      <c r="I25968" s="63"/>
      <c r="J25968" s="63"/>
    </row>
    <row r="25969" spans="9:10" x14ac:dyDescent="0.35">
      <c r="I25969" s="63"/>
      <c r="J25969" s="63"/>
    </row>
    <row r="25970" spans="9:10" x14ac:dyDescent="0.35">
      <c r="I25970" s="63"/>
      <c r="J25970" s="63"/>
    </row>
    <row r="25971" spans="9:10" x14ac:dyDescent="0.35">
      <c r="I25971" s="63"/>
      <c r="J25971" s="63"/>
    </row>
    <row r="25972" spans="9:10" x14ac:dyDescent="0.35">
      <c r="I25972" s="63"/>
      <c r="J25972" s="63"/>
    </row>
    <row r="25973" spans="9:10" x14ac:dyDescent="0.35">
      <c r="I25973" s="63"/>
      <c r="J25973" s="63"/>
    </row>
    <row r="25974" spans="9:10" x14ac:dyDescent="0.35">
      <c r="I25974" s="63"/>
      <c r="J25974" s="63"/>
    </row>
    <row r="25975" spans="9:10" x14ac:dyDescent="0.35">
      <c r="I25975" s="63"/>
      <c r="J25975" s="63"/>
    </row>
    <row r="25976" spans="9:10" x14ac:dyDescent="0.35">
      <c r="I25976" s="63"/>
      <c r="J25976" s="63"/>
    </row>
    <row r="25977" spans="9:10" x14ac:dyDescent="0.35">
      <c r="I25977" s="63"/>
      <c r="J25977" s="63"/>
    </row>
    <row r="25978" spans="9:10" x14ac:dyDescent="0.35">
      <c r="I25978" s="63"/>
      <c r="J25978" s="63"/>
    </row>
    <row r="25979" spans="9:10" x14ac:dyDescent="0.35">
      <c r="I25979" s="63"/>
      <c r="J25979" s="63"/>
    </row>
    <row r="25980" spans="9:10" x14ac:dyDescent="0.35">
      <c r="I25980" s="63"/>
      <c r="J25980" s="63"/>
    </row>
    <row r="25981" spans="9:10" x14ac:dyDescent="0.35">
      <c r="I25981" s="63"/>
      <c r="J25981" s="63"/>
    </row>
    <row r="25982" spans="9:10" x14ac:dyDescent="0.35">
      <c r="I25982" s="63"/>
      <c r="J25982" s="63"/>
    </row>
    <row r="25983" spans="9:10" x14ac:dyDescent="0.35">
      <c r="I25983" s="63"/>
      <c r="J25983" s="63"/>
    </row>
    <row r="25984" spans="9:10" x14ac:dyDescent="0.35">
      <c r="I25984" s="63"/>
      <c r="J25984" s="63"/>
    </row>
    <row r="25985" spans="9:10" x14ac:dyDescent="0.35">
      <c r="I25985" s="63"/>
      <c r="J25985" s="63"/>
    </row>
    <row r="25986" spans="9:10" x14ac:dyDescent="0.35">
      <c r="I25986" s="63"/>
      <c r="J25986" s="63"/>
    </row>
    <row r="25987" spans="9:10" x14ac:dyDescent="0.35">
      <c r="I25987" s="63"/>
      <c r="J25987" s="63"/>
    </row>
    <row r="25988" spans="9:10" x14ac:dyDescent="0.35">
      <c r="I25988" s="63"/>
      <c r="J25988" s="63"/>
    </row>
    <row r="25989" spans="9:10" x14ac:dyDescent="0.35">
      <c r="I25989" s="63"/>
      <c r="J25989" s="63"/>
    </row>
    <row r="25990" spans="9:10" x14ac:dyDescent="0.35">
      <c r="I25990" s="63"/>
      <c r="J25990" s="63"/>
    </row>
    <row r="25991" spans="9:10" x14ac:dyDescent="0.35">
      <c r="I25991" s="63"/>
      <c r="J25991" s="63"/>
    </row>
    <row r="25992" spans="9:10" x14ac:dyDescent="0.35">
      <c r="I25992" s="63"/>
      <c r="J25992" s="63"/>
    </row>
    <row r="25993" spans="9:10" x14ac:dyDescent="0.35">
      <c r="I25993" s="63"/>
      <c r="J25993" s="63"/>
    </row>
    <row r="25994" spans="9:10" x14ac:dyDescent="0.35">
      <c r="I25994" s="63"/>
      <c r="J25994" s="63"/>
    </row>
    <row r="25995" spans="9:10" x14ac:dyDescent="0.35">
      <c r="I25995" s="63"/>
      <c r="J25995" s="63"/>
    </row>
    <row r="25996" spans="9:10" x14ac:dyDescent="0.35">
      <c r="I25996" s="63"/>
      <c r="J25996" s="63"/>
    </row>
    <row r="25997" spans="9:10" x14ac:dyDescent="0.35">
      <c r="I25997" s="63"/>
      <c r="J25997" s="63"/>
    </row>
    <row r="25998" spans="9:10" x14ac:dyDescent="0.35">
      <c r="I25998" s="63"/>
      <c r="J25998" s="63"/>
    </row>
    <row r="25999" spans="9:10" x14ac:dyDescent="0.35">
      <c r="I25999" s="63"/>
      <c r="J25999" s="63"/>
    </row>
    <row r="26000" spans="9:10" x14ac:dyDescent="0.35">
      <c r="I26000" s="63"/>
      <c r="J26000" s="63"/>
    </row>
    <row r="26001" spans="9:10" x14ac:dyDescent="0.35">
      <c r="I26001" s="63"/>
      <c r="J26001" s="63"/>
    </row>
    <row r="26002" spans="9:10" x14ac:dyDescent="0.35">
      <c r="I26002" s="63"/>
      <c r="J26002" s="63"/>
    </row>
    <row r="26003" spans="9:10" x14ac:dyDescent="0.35">
      <c r="I26003" s="63"/>
      <c r="J26003" s="63"/>
    </row>
    <row r="26004" spans="9:10" x14ac:dyDescent="0.35">
      <c r="I26004" s="63"/>
      <c r="J26004" s="63"/>
    </row>
    <row r="26005" spans="9:10" x14ac:dyDescent="0.35">
      <c r="I26005" s="63"/>
      <c r="J26005" s="63"/>
    </row>
    <row r="26006" spans="9:10" x14ac:dyDescent="0.35">
      <c r="I26006" s="63"/>
      <c r="J26006" s="63"/>
    </row>
    <row r="26007" spans="9:10" x14ac:dyDescent="0.35">
      <c r="I26007" s="63"/>
      <c r="J26007" s="63"/>
    </row>
    <row r="26008" spans="9:10" x14ac:dyDescent="0.35">
      <c r="I26008" s="63"/>
      <c r="J26008" s="63"/>
    </row>
    <row r="26009" spans="9:10" x14ac:dyDescent="0.35">
      <c r="I26009" s="63"/>
      <c r="J26009" s="63"/>
    </row>
    <row r="26010" spans="9:10" x14ac:dyDescent="0.35">
      <c r="I26010" s="63"/>
      <c r="J26010" s="63"/>
    </row>
    <row r="26011" spans="9:10" x14ac:dyDescent="0.35">
      <c r="I26011" s="63"/>
      <c r="J26011" s="63"/>
    </row>
    <row r="26012" spans="9:10" x14ac:dyDescent="0.35">
      <c r="I26012" s="63"/>
      <c r="J26012" s="63"/>
    </row>
    <row r="26013" spans="9:10" x14ac:dyDescent="0.35">
      <c r="I26013" s="63"/>
      <c r="J26013" s="63"/>
    </row>
    <row r="26014" spans="9:10" x14ac:dyDescent="0.35">
      <c r="I26014" s="63"/>
      <c r="J26014" s="63"/>
    </row>
    <row r="26015" spans="9:10" x14ac:dyDescent="0.35">
      <c r="I26015" s="63"/>
      <c r="J26015" s="63"/>
    </row>
    <row r="26016" spans="9:10" x14ac:dyDescent="0.35">
      <c r="I26016" s="63"/>
      <c r="J26016" s="63"/>
    </row>
    <row r="26017" spans="9:10" x14ac:dyDescent="0.35">
      <c r="I26017" s="63"/>
      <c r="J26017" s="63"/>
    </row>
    <row r="26018" spans="9:10" x14ac:dyDescent="0.35">
      <c r="I26018" s="63"/>
      <c r="J26018" s="63"/>
    </row>
    <row r="26019" spans="9:10" x14ac:dyDescent="0.35">
      <c r="I26019" s="63"/>
      <c r="J26019" s="63"/>
    </row>
    <row r="26020" spans="9:10" x14ac:dyDescent="0.35">
      <c r="I26020" s="63"/>
      <c r="J26020" s="63"/>
    </row>
    <row r="26021" spans="9:10" x14ac:dyDescent="0.35">
      <c r="I26021" s="63"/>
      <c r="J26021" s="63"/>
    </row>
    <row r="26022" spans="9:10" x14ac:dyDescent="0.35">
      <c r="I26022" s="63"/>
      <c r="J26022" s="63"/>
    </row>
    <row r="26023" spans="9:10" x14ac:dyDescent="0.35">
      <c r="I26023" s="63"/>
      <c r="J26023" s="63"/>
    </row>
    <row r="26024" spans="9:10" x14ac:dyDescent="0.35">
      <c r="I26024" s="63"/>
      <c r="J26024" s="63"/>
    </row>
    <row r="26025" spans="9:10" x14ac:dyDescent="0.35">
      <c r="I26025" s="63"/>
      <c r="J26025" s="63"/>
    </row>
    <row r="26026" spans="9:10" x14ac:dyDescent="0.35">
      <c r="I26026" s="63"/>
      <c r="J26026" s="63"/>
    </row>
    <row r="26027" spans="9:10" x14ac:dyDescent="0.35">
      <c r="I26027" s="63"/>
      <c r="J26027" s="63"/>
    </row>
    <row r="26028" spans="9:10" x14ac:dyDescent="0.35">
      <c r="I26028" s="63"/>
      <c r="J26028" s="63"/>
    </row>
    <row r="26029" spans="9:10" x14ac:dyDescent="0.35">
      <c r="I26029" s="63"/>
      <c r="J26029" s="63"/>
    </row>
    <row r="26030" spans="9:10" x14ac:dyDescent="0.35">
      <c r="I26030" s="63"/>
      <c r="J26030" s="63"/>
    </row>
    <row r="26031" spans="9:10" x14ac:dyDescent="0.35">
      <c r="I26031" s="63"/>
      <c r="J26031" s="63"/>
    </row>
    <row r="26032" spans="9:10" x14ac:dyDescent="0.35">
      <c r="I26032" s="63"/>
      <c r="J26032" s="63"/>
    </row>
    <row r="26033" spans="9:10" x14ac:dyDescent="0.35">
      <c r="I26033" s="63"/>
      <c r="J26033" s="63"/>
    </row>
    <row r="26034" spans="9:10" x14ac:dyDescent="0.35">
      <c r="I26034" s="63"/>
      <c r="J26034" s="63"/>
    </row>
    <row r="26035" spans="9:10" x14ac:dyDescent="0.35">
      <c r="I26035" s="63"/>
      <c r="J26035" s="63"/>
    </row>
    <row r="26036" spans="9:10" x14ac:dyDescent="0.35">
      <c r="I26036" s="63"/>
      <c r="J26036" s="63"/>
    </row>
    <row r="26037" spans="9:10" x14ac:dyDescent="0.35">
      <c r="I26037" s="63"/>
      <c r="J26037" s="63"/>
    </row>
    <row r="26038" spans="9:10" x14ac:dyDescent="0.35">
      <c r="I26038" s="63"/>
      <c r="J26038" s="63"/>
    </row>
    <row r="26039" spans="9:10" x14ac:dyDescent="0.35">
      <c r="I26039" s="63"/>
      <c r="J26039" s="63"/>
    </row>
    <row r="26040" spans="9:10" x14ac:dyDescent="0.35">
      <c r="I26040" s="63"/>
      <c r="J26040" s="63"/>
    </row>
    <row r="26041" spans="9:10" x14ac:dyDescent="0.35">
      <c r="I26041" s="63"/>
      <c r="J26041" s="63"/>
    </row>
    <row r="26042" spans="9:10" x14ac:dyDescent="0.35">
      <c r="I26042" s="63"/>
      <c r="J26042" s="63"/>
    </row>
    <row r="26043" spans="9:10" x14ac:dyDescent="0.35">
      <c r="I26043" s="63"/>
      <c r="J26043" s="63"/>
    </row>
    <row r="26044" spans="9:10" x14ac:dyDescent="0.35">
      <c r="I26044" s="63"/>
      <c r="J26044" s="63"/>
    </row>
    <row r="26045" spans="9:10" x14ac:dyDescent="0.35">
      <c r="I26045" s="63"/>
      <c r="J26045" s="63"/>
    </row>
    <row r="26046" spans="9:10" x14ac:dyDescent="0.35">
      <c r="I26046" s="63"/>
      <c r="J26046" s="63"/>
    </row>
    <row r="26047" spans="9:10" x14ac:dyDescent="0.35">
      <c r="I26047" s="63"/>
      <c r="J26047" s="63"/>
    </row>
    <row r="26048" spans="9:10" x14ac:dyDescent="0.35">
      <c r="I26048" s="63"/>
      <c r="J26048" s="63"/>
    </row>
    <row r="26049" spans="9:10" x14ac:dyDescent="0.35">
      <c r="I26049" s="63"/>
      <c r="J26049" s="63"/>
    </row>
    <row r="26050" spans="9:10" x14ac:dyDescent="0.35">
      <c r="I26050" s="63"/>
      <c r="J26050" s="63"/>
    </row>
    <row r="26051" spans="9:10" x14ac:dyDescent="0.35">
      <c r="I26051" s="63"/>
      <c r="J26051" s="63"/>
    </row>
    <row r="26052" spans="9:10" x14ac:dyDescent="0.35">
      <c r="I26052" s="63"/>
      <c r="J26052" s="63"/>
    </row>
    <row r="26053" spans="9:10" x14ac:dyDescent="0.35">
      <c r="I26053" s="63"/>
      <c r="J26053" s="63"/>
    </row>
    <row r="26054" spans="9:10" x14ac:dyDescent="0.35">
      <c r="I26054" s="63"/>
      <c r="J26054" s="63"/>
    </row>
    <row r="26055" spans="9:10" x14ac:dyDescent="0.35">
      <c r="I26055" s="63"/>
      <c r="J26055" s="63"/>
    </row>
    <row r="26056" spans="9:10" x14ac:dyDescent="0.35">
      <c r="I26056" s="63"/>
      <c r="J26056" s="63"/>
    </row>
    <row r="26057" spans="9:10" x14ac:dyDescent="0.35">
      <c r="I26057" s="63"/>
      <c r="J26057" s="63"/>
    </row>
    <row r="26058" spans="9:10" x14ac:dyDescent="0.35">
      <c r="I26058" s="63"/>
      <c r="J26058" s="63"/>
    </row>
    <row r="26059" spans="9:10" x14ac:dyDescent="0.35">
      <c r="I26059" s="63"/>
      <c r="J26059" s="63"/>
    </row>
    <row r="26060" spans="9:10" x14ac:dyDescent="0.35">
      <c r="I26060" s="63"/>
      <c r="J26060" s="63"/>
    </row>
    <row r="26061" spans="9:10" x14ac:dyDescent="0.35">
      <c r="I26061" s="63"/>
      <c r="J26061" s="63"/>
    </row>
    <row r="26062" spans="9:10" x14ac:dyDescent="0.35">
      <c r="I26062" s="63"/>
      <c r="J26062" s="63"/>
    </row>
    <row r="26063" spans="9:10" x14ac:dyDescent="0.35">
      <c r="I26063" s="63"/>
      <c r="J26063" s="63"/>
    </row>
    <row r="26064" spans="9:10" x14ac:dyDescent="0.35">
      <c r="I26064" s="63"/>
      <c r="J26064" s="63"/>
    </row>
    <row r="26065" spans="9:10" x14ac:dyDescent="0.35">
      <c r="I26065" s="63"/>
      <c r="J26065" s="63"/>
    </row>
    <row r="26066" spans="9:10" x14ac:dyDescent="0.35">
      <c r="I26066" s="63"/>
      <c r="J26066" s="63"/>
    </row>
    <row r="26067" spans="9:10" x14ac:dyDescent="0.35">
      <c r="I26067" s="63"/>
      <c r="J26067" s="63"/>
    </row>
    <row r="26068" spans="9:10" x14ac:dyDescent="0.35">
      <c r="I26068" s="63"/>
      <c r="J26068" s="63"/>
    </row>
    <row r="26069" spans="9:10" x14ac:dyDescent="0.35">
      <c r="I26069" s="63"/>
      <c r="J26069" s="63"/>
    </row>
    <row r="26070" spans="9:10" x14ac:dyDescent="0.35">
      <c r="I26070" s="63"/>
      <c r="J26070" s="63"/>
    </row>
    <row r="26071" spans="9:10" x14ac:dyDescent="0.35">
      <c r="I26071" s="63"/>
      <c r="J26071" s="63"/>
    </row>
    <row r="26072" spans="9:10" x14ac:dyDescent="0.35">
      <c r="I26072" s="63"/>
      <c r="J26072" s="63"/>
    </row>
    <row r="26073" spans="9:10" x14ac:dyDescent="0.35">
      <c r="I26073" s="63"/>
      <c r="J26073" s="63"/>
    </row>
    <row r="26074" spans="9:10" x14ac:dyDescent="0.35">
      <c r="I26074" s="63"/>
      <c r="J26074" s="63"/>
    </row>
    <row r="26075" spans="9:10" x14ac:dyDescent="0.35">
      <c r="I26075" s="63"/>
      <c r="J26075" s="63"/>
    </row>
    <row r="26076" spans="9:10" x14ac:dyDescent="0.35">
      <c r="I26076" s="63"/>
      <c r="J26076" s="63"/>
    </row>
    <row r="26077" spans="9:10" x14ac:dyDescent="0.35">
      <c r="I26077" s="63"/>
      <c r="J26077" s="63"/>
    </row>
    <row r="26078" spans="9:10" x14ac:dyDescent="0.35">
      <c r="I26078" s="63"/>
      <c r="J26078" s="63"/>
    </row>
    <row r="26079" spans="9:10" x14ac:dyDescent="0.35">
      <c r="I26079" s="63"/>
      <c r="J26079" s="63"/>
    </row>
    <row r="26080" spans="9:10" x14ac:dyDescent="0.35">
      <c r="I26080" s="63"/>
      <c r="J26080" s="63"/>
    </row>
    <row r="26081" spans="9:10" x14ac:dyDescent="0.35">
      <c r="I26081" s="63"/>
      <c r="J26081" s="63"/>
    </row>
    <row r="26082" spans="9:10" x14ac:dyDescent="0.35">
      <c r="I26082" s="63"/>
      <c r="J26082" s="63"/>
    </row>
    <row r="26083" spans="9:10" x14ac:dyDescent="0.35">
      <c r="I26083" s="63"/>
      <c r="J26083" s="63"/>
    </row>
    <row r="26084" spans="9:10" x14ac:dyDescent="0.35">
      <c r="I26084" s="63"/>
      <c r="J26084" s="63"/>
    </row>
    <row r="26085" spans="9:10" x14ac:dyDescent="0.35">
      <c r="I26085" s="63"/>
      <c r="J26085" s="63"/>
    </row>
    <row r="26086" spans="9:10" x14ac:dyDescent="0.35">
      <c r="I26086" s="63"/>
      <c r="J26086" s="63"/>
    </row>
    <row r="26087" spans="9:10" x14ac:dyDescent="0.35">
      <c r="I26087" s="63"/>
      <c r="J26087" s="63"/>
    </row>
    <row r="26088" spans="9:10" x14ac:dyDescent="0.35">
      <c r="I26088" s="63"/>
      <c r="J26088" s="63"/>
    </row>
    <row r="26089" spans="9:10" x14ac:dyDescent="0.35">
      <c r="I26089" s="63"/>
      <c r="J26089" s="63"/>
    </row>
    <row r="26090" spans="9:10" x14ac:dyDescent="0.35">
      <c r="I26090" s="63"/>
      <c r="J26090" s="63"/>
    </row>
    <row r="26091" spans="9:10" x14ac:dyDescent="0.35">
      <c r="I26091" s="63"/>
      <c r="J26091" s="63"/>
    </row>
    <row r="26092" spans="9:10" x14ac:dyDescent="0.35">
      <c r="I26092" s="63"/>
      <c r="J26092" s="63"/>
    </row>
    <row r="26093" spans="9:10" x14ac:dyDescent="0.35">
      <c r="I26093" s="63"/>
      <c r="J26093" s="63"/>
    </row>
    <row r="26094" spans="9:10" x14ac:dyDescent="0.35">
      <c r="I26094" s="63"/>
      <c r="J26094" s="63"/>
    </row>
    <row r="26095" spans="9:10" x14ac:dyDescent="0.35">
      <c r="I26095" s="63"/>
      <c r="J26095" s="63"/>
    </row>
    <row r="26096" spans="9:10" x14ac:dyDescent="0.35">
      <c r="I26096" s="63"/>
      <c r="J26096" s="63"/>
    </row>
    <row r="26097" spans="9:10" x14ac:dyDescent="0.35">
      <c r="I26097" s="63"/>
      <c r="J26097" s="63"/>
    </row>
    <row r="26098" spans="9:10" x14ac:dyDescent="0.35">
      <c r="I26098" s="63"/>
      <c r="J26098" s="63"/>
    </row>
    <row r="26099" spans="9:10" x14ac:dyDescent="0.35">
      <c r="I26099" s="63"/>
      <c r="J26099" s="63"/>
    </row>
    <row r="26100" spans="9:10" x14ac:dyDescent="0.35">
      <c r="I26100" s="63"/>
      <c r="J26100" s="63"/>
    </row>
    <row r="26101" spans="9:10" x14ac:dyDescent="0.35">
      <c r="I26101" s="63"/>
      <c r="J26101" s="63"/>
    </row>
    <row r="26102" spans="9:10" x14ac:dyDescent="0.35">
      <c r="I26102" s="63"/>
      <c r="J26102" s="63"/>
    </row>
    <row r="26103" spans="9:10" x14ac:dyDescent="0.35">
      <c r="I26103" s="63"/>
      <c r="J26103" s="63"/>
    </row>
    <row r="26104" spans="9:10" x14ac:dyDescent="0.35">
      <c r="I26104" s="63"/>
      <c r="J26104" s="63"/>
    </row>
    <row r="26105" spans="9:10" x14ac:dyDescent="0.35">
      <c r="I26105" s="63"/>
      <c r="J26105" s="63"/>
    </row>
    <row r="26106" spans="9:10" x14ac:dyDescent="0.35">
      <c r="I26106" s="63"/>
      <c r="J26106" s="63"/>
    </row>
    <row r="26107" spans="9:10" x14ac:dyDescent="0.35">
      <c r="I26107" s="63"/>
      <c r="J26107" s="63"/>
    </row>
    <row r="26108" spans="9:10" x14ac:dyDescent="0.35">
      <c r="I26108" s="63"/>
      <c r="J26108" s="63"/>
    </row>
    <row r="26109" spans="9:10" x14ac:dyDescent="0.35">
      <c r="I26109" s="63"/>
      <c r="J26109" s="63"/>
    </row>
    <row r="26110" spans="9:10" x14ac:dyDescent="0.35">
      <c r="I26110" s="63"/>
      <c r="J26110" s="63"/>
    </row>
    <row r="26111" spans="9:10" x14ac:dyDescent="0.35">
      <c r="I26111" s="63"/>
      <c r="J26111" s="63"/>
    </row>
    <row r="26112" spans="9:10" x14ac:dyDescent="0.35">
      <c r="I26112" s="63"/>
      <c r="J26112" s="63"/>
    </row>
    <row r="26113" spans="9:10" x14ac:dyDescent="0.35">
      <c r="I26113" s="63"/>
      <c r="J26113" s="63"/>
    </row>
    <row r="26114" spans="9:10" x14ac:dyDescent="0.35">
      <c r="I26114" s="63"/>
      <c r="J26114" s="63"/>
    </row>
    <row r="26115" spans="9:10" x14ac:dyDescent="0.35">
      <c r="I26115" s="63"/>
      <c r="J26115" s="63"/>
    </row>
    <row r="26116" spans="9:10" x14ac:dyDescent="0.35">
      <c r="I26116" s="63"/>
      <c r="J26116" s="63"/>
    </row>
    <row r="26117" spans="9:10" x14ac:dyDescent="0.35">
      <c r="I26117" s="63"/>
      <c r="J26117" s="63"/>
    </row>
    <row r="26118" spans="9:10" x14ac:dyDescent="0.35">
      <c r="I26118" s="63"/>
      <c r="J26118" s="63"/>
    </row>
    <row r="26119" spans="9:10" x14ac:dyDescent="0.35">
      <c r="I26119" s="63"/>
      <c r="J26119" s="63"/>
    </row>
    <row r="26120" spans="9:10" x14ac:dyDescent="0.35">
      <c r="I26120" s="63"/>
      <c r="J26120" s="63"/>
    </row>
    <row r="26121" spans="9:10" x14ac:dyDescent="0.35">
      <c r="I26121" s="63"/>
      <c r="J26121" s="63"/>
    </row>
    <row r="26122" spans="9:10" x14ac:dyDescent="0.35">
      <c r="I26122" s="63"/>
      <c r="J26122" s="63"/>
    </row>
    <row r="26123" spans="9:10" x14ac:dyDescent="0.35">
      <c r="I26123" s="63"/>
      <c r="J26123" s="63"/>
    </row>
    <row r="26124" spans="9:10" x14ac:dyDescent="0.35">
      <c r="I26124" s="63"/>
      <c r="J26124" s="63"/>
    </row>
    <row r="26125" spans="9:10" x14ac:dyDescent="0.35">
      <c r="I26125" s="63"/>
      <c r="J26125" s="63"/>
    </row>
    <row r="26126" spans="9:10" x14ac:dyDescent="0.35">
      <c r="I26126" s="63"/>
      <c r="J26126" s="63"/>
    </row>
    <row r="26127" spans="9:10" x14ac:dyDescent="0.35">
      <c r="I26127" s="63"/>
      <c r="J26127" s="63"/>
    </row>
    <row r="26128" spans="9:10" x14ac:dyDescent="0.35">
      <c r="I26128" s="63"/>
      <c r="J26128" s="63"/>
    </row>
    <row r="26129" spans="9:10" x14ac:dyDescent="0.35">
      <c r="I26129" s="63"/>
      <c r="J26129" s="63"/>
    </row>
    <row r="26130" spans="9:10" x14ac:dyDescent="0.35">
      <c r="I26130" s="63"/>
      <c r="J26130" s="63"/>
    </row>
    <row r="26131" spans="9:10" x14ac:dyDescent="0.35">
      <c r="I26131" s="63"/>
      <c r="J26131" s="63"/>
    </row>
    <row r="26132" spans="9:10" x14ac:dyDescent="0.35">
      <c r="I26132" s="63"/>
      <c r="J26132" s="63"/>
    </row>
    <row r="26133" spans="9:10" x14ac:dyDescent="0.35">
      <c r="I26133" s="63"/>
      <c r="J26133" s="63"/>
    </row>
    <row r="26134" spans="9:10" x14ac:dyDescent="0.35">
      <c r="I26134" s="63"/>
      <c r="J26134" s="63"/>
    </row>
    <row r="26135" spans="9:10" x14ac:dyDescent="0.35">
      <c r="I26135" s="63"/>
      <c r="J26135" s="63"/>
    </row>
    <row r="26136" spans="9:10" x14ac:dyDescent="0.35">
      <c r="I26136" s="63"/>
      <c r="J26136" s="63"/>
    </row>
    <row r="26137" spans="9:10" x14ac:dyDescent="0.35">
      <c r="I26137" s="63"/>
      <c r="J26137" s="63"/>
    </row>
    <row r="26138" spans="9:10" x14ac:dyDescent="0.35">
      <c r="I26138" s="63"/>
      <c r="J26138" s="63"/>
    </row>
    <row r="26139" spans="9:10" x14ac:dyDescent="0.35">
      <c r="I26139" s="63"/>
      <c r="J26139" s="63"/>
    </row>
    <row r="26140" spans="9:10" x14ac:dyDescent="0.35">
      <c r="I26140" s="63"/>
      <c r="J26140" s="63"/>
    </row>
    <row r="26141" spans="9:10" x14ac:dyDescent="0.35">
      <c r="I26141" s="63"/>
      <c r="J26141" s="63"/>
    </row>
    <row r="26142" spans="9:10" x14ac:dyDescent="0.35">
      <c r="I26142" s="63"/>
      <c r="J26142" s="63"/>
    </row>
    <row r="26143" spans="9:10" x14ac:dyDescent="0.35">
      <c r="I26143" s="63"/>
      <c r="J26143" s="63"/>
    </row>
    <row r="26144" spans="9:10" x14ac:dyDescent="0.35">
      <c r="I26144" s="63"/>
      <c r="J26144" s="63"/>
    </row>
    <row r="26145" spans="9:10" x14ac:dyDescent="0.35">
      <c r="I26145" s="63"/>
      <c r="J26145" s="63"/>
    </row>
    <row r="26146" spans="9:10" x14ac:dyDescent="0.35">
      <c r="I26146" s="63"/>
      <c r="J26146" s="63"/>
    </row>
    <row r="26147" spans="9:10" x14ac:dyDescent="0.35">
      <c r="I26147" s="63"/>
      <c r="J26147" s="63"/>
    </row>
    <row r="26148" spans="9:10" x14ac:dyDescent="0.35">
      <c r="I26148" s="63"/>
      <c r="J26148" s="63"/>
    </row>
    <row r="26149" spans="9:10" x14ac:dyDescent="0.35">
      <c r="I26149" s="63"/>
      <c r="J26149" s="63"/>
    </row>
    <row r="26150" spans="9:10" x14ac:dyDescent="0.35">
      <c r="I26150" s="63"/>
      <c r="J26150" s="63"/>
    </row>
    <row r="26151" spans="9:10" x14ac:dyDescent="0.35">
      <c r="I26151" s="63"/>
      <c r="J26151" s="63"/>
    </row>
    <row r="26152" spans="9:10" x14ac:dyDescent="0.35">
      <c r="I26152" s="63"/>
      <c r="J26152" s="63"/>
    </row>
    <row r="26153" spans="9:10" x14ac:dyDescent="0.35">
      <c r="I26153" s="63"/>
      <c r="J26153" s="63"/>
    </row>
    <row r="26154" spans="9:10" x14ac:dyDescent="0.35">
      <c r="I26154" s="63"/>
      <c r="J26154" s="63"/>
    </row>
    <row r="26155" spans="9:10" x14ac:dyDescent="0.35">
      <c r="I26155" s="63"/>
      <c r="J26155" s="63"/>
    </row>
    <row r="26156" spans="9:10" x14ac:dyDescent="0.35">
      <c r="I26156" s="63"/>
      <c r="J26156" s="63"/>
    </row>
    <row r="26157" spans="9:10" x14ac:dyDescent="0.35">
      <c r="I26157" s="63"/>
      <c r="J26157" s="63"/>
    </row>
    <row r="26158" spans="9:10" x14ac:dyDescent="0.35">
      <c r="I26158" s="63"/>
      <c r="J26158" s="63"/>
    </row>
    <row r="26159" spans="9:10" x14ac:dyDescent="0.35">
      <c r="I26159" s="63"/>
      <c r="J26159" s="63"/>
    </row>
    <row r="26160" spans="9:10" x14ac:dyDescent="0.35">
      <c r="I26160" s="63"/>
      <c r="J26160" s="63"/>
    </row>
    <row r="26161" spans="9:10" x14ac:dyDescent="0.35">
      <c r="I26161" s="63"/>
      <c r="J26161" s="63"/>
    </row>
    <row r="26162" spans="9:10" x14ac:dyDescent="0.35">
      <c r="I26162" s="63"/>
      <c r="J26162" s="63"/>
    </row>
    <row r="26163" spans="9:10" x14ac:dyDescent="0.35">
      <c r="I26163" s="63"/>
      <c r="J26163" s="63"/>
    </row>
    <row r="26164" spans="9:10" x14ac:dyDescent="0.35">
      <c r="I26164" s="63"/>
      <c r="J26164" s="63"/>
    </row>
    <row r="26165" spans="9:10" x14ac:dyDescent="0.35">
      <c r="I26165" s="63"/>
      <c r="J26165" s="63"/>
    </row>
    <row r="26166" spans="9:10" x14ac:dyDescent="0.35">
      <c r="I26166" s="63"/>
      <c r="J26166" s="63"/>
    </row>
    <row r="26167" spans="9:10" x14ac:dyDescent="0.35">
      <c r="I26167" s="63"/>
      <c r="J26167" s="63"/>
    </row>
    <row r="26168" spans="9:10" x14ac:dyDescent="0.35">
      <c r="I26168" s="63"/>
      <c r="J26168" s="63"/>
    </row>
    <row r="26169" spans="9:10" x14ac:dyDescent="0.35">
      <c r="I26169" s="63"/>
      <c r="J26169" s="63"/>
    </row>
    <row r="26170" spans="9:10" x14ac:dyDescent="0.35">
      <c r="I26170" s="63"/>
      <c r="J26170" s="63"/>
    </row>
    <row r="26171" spans="9:10" x14ac:dyDescent="0.35">
      <c r="I26171" s="63"/>
      <c r="J26171" s="63"/>
    </row>
    <row r="26172" spans="9:10" x14ac:dyDescent="0.35">
      <c r="I26172" s="63"/>
      <c r="J26172" s="63"/>
    </row>
    <row r="26173" spans="9:10" x14ac:dyDescent="0.35">
      <c r="I26173" s="63"/>
      <c r="J26173" s="63"/>
    </row>
    <row r="26174" spans="9:10" x14ac:dyDescent="0.35">
      <c r="I26174" s="63"/>
      <c r="J26174" s="63"/>
    </row>
    <row r="26175" spans="9:10" x14ac:dyDescent="0.35">
      <c r="I26175" s="63"/>
      <c r="J26175" s="63"/>
    </row>
    <row r="26176" spans="9:10" x14ac:dyDescent="0.35">
      <c r="I26176" s="63"/>
      <c r="J26176" s="63"/>
    </row>
    <row r="26177" spans="9:10" x14ac:dyDescent="0.35">
      <c r="I26177" s="63"/>
      <c r="J26177" s="63"/>
    </row>
    <row r="26178" spans="9:10" x14ac:dyDescent="0.35">
      <c r="I26178" s="63"/>
      <c r="J26178" s="63"/>
    </row>
    <row r="26179" spans="9:10" x14ac:dyDescent="0.35">
      <c r="I26179" s="63"/>
      <c r="J26179" s="63"/>
    </row>
    <row r="26180" spans="9:10" x14ac:dyDescent="0.35">
      <c r="I26180" s="63"/>
      <c r="J26180" s="63"/>
    </row>
    <row r="26181" spans="9:10" x14ac:dyDescent="0.35">
      <c r="I26181" s="63"/>
      <c r="J26181" s="63"/>
    </row>
    <row r="26182" spans="9:10" x14ac:dyDescent="0.35">
      <c r="I26182" s="63"/>
      <c r="J26182" s="63"/>
    </row>
    <row r="26183" spans="9:10" x14ac:dyDescent="0.35">
      <c r="I26183" s="63"/>
      <c r="J26183" s="63"/>
    </row>
    <row r="26184" spans="9:10" x14ac:dyDescent="0.35">
      <c r="I26184" s="63"/>
      <c r="J26184" s="63"/>
    </row>
    <row r="26185" spans="9:10" x14ac:dyDescent="0.35">
      <c r="I26185" s="63"/>
      <c r="J26185" s="63"/>
    </row>
    <row r="26186" spans="9:10" x14ac:dyDescent="0.35">
      <c r="I26186" s="63"/>
      <c r="J26186" s="63"/>
    </row>
    <row r="26187" spans="9:10" x14ac:dyDescent="0.35">
      <c r="I26187" s="63"/>
      <c r="J26187" s="63"/>
    </row>
    <row r="26188" spans="9:10" x14ac:dyDescent="0.35">
      <c r="I26188" s="63"/>
      <c r="J26188" s="63"/>
    </row>
    <row r="26189" spans="9:10" x14ac:dyDescent="0.35">
      <c r="I26189" s="63"/>
      <c r="J26189" s="63"/>
    </row>
    <row r="26190" spans="9:10" x14ac:dyDescent="0.35">
      <c r="I26190" s="63"/>
      <c r="J26190" s="63"/>
    </row>
    <row r="26191" spans="9:10" x14ac:dyDescent="0.35">
      <c r="I26191" s="63"/>
      <c r="J26191" s="63"/>
    </row>
    <row r="26192" spans="9:10" x14ac:dyDescent="0.35">
      <c r="I26192" s="63"/>
      <c r="J26192" s="63"/>
    </row>
    <row r="26193" spans="9:10" x14ac:dyDescent="0.35">
      <c r="I26193" s="63"/>
      <c r="J26193" s="63"/>
    </row>
    <row r="26194" spans="9:10" x14ac:dyDescent="0.35">
      <c r="I26194" s="63"/>
      <c r="J26194" s="63"/>
    </row>
    <row r="26195" spans="9:10" x14ac:dyDescent="0.35">
      <c r="I26195" s="63"/>
      <c r="J26195" s="63"/>
    </row>
    <row r="26196" spans="9:10" x14ac:dyDescent="0.35">
      <c r="I26196" s="63"/>
      <c r="J26196" s="63"/>
    </row>
    <row r="26197" spans="9:10" x14ac:dyDescent="0.35">
      <c r="I26197" s="63"/>
      <c r="J26197" s="63"/>
    </row>
    <row r="26198" spans="9:10" x14ac:dyDescent="0.35">
      <c r="I26198" s="63"/>
      <c r="J26198" s="63"/>
    </row>
    <row r="26199" spans="9:10" x14ac:dyDescent="0.35">
      <c r="I26199" s="63"/>
      <c r="J26199" s="63"/>
    </row>
    <row r="26200" spans="9:10" x14ac:dyDescent="0.35">
      <c r="I26200" s="63"/>
      <c r="J26200" s="63"/>
    </row>
    <row r="26201" spans="9:10" x14ac:dyDescent="0.35">
      <c r="I26201" s="63"/>
      <c r="J26201" s="63"/>
    </row>
    <row r="26202" spans="9:10" x14ac:dyDescent="0.35">
      <c r="I26202" s="63"/>
      <c r="J26202" s="63"/>
    </row>
    <row r="26203" spans="9:10" x14ac:dyDescent="0.35">
      <c r="I26203" s="63"/>
      <c r="J26203" s="63"/>
    </row>
    <row r="26204" spans="9:10" x14ac:dyDescent="0.35">
      <c r="I26204" s="63"/>
      <c r="J26204" s="63"/>
    </row>
    <row r="26205" spans="9:10" x14ac:dyDescent="0.35">
      <c r="I26205" s="63"/>
      <c r="J26205" s="63"/>
    </row>
    <row r="26206" spans="9:10" x14ac:dyDescent="0.35">
      <c r="I26206" s="63"/>
      <c r="J26206" s="63"/>
    </row>
    <row r="26207" spans="9:10" x14ac:dyDescent="0.35">
      <c r="I26207" s="63"/>
      <c r="J26207" s="63"/>
    </row>
    <row r="26208" spans="9:10" x14ac:dyDescent="0.35">
      <c r="I26208" s="63"/>
      <c r="J26208" s="63"/>
    </row>
    <row r="26209" spans="9:10" x14ac:dyDescent="0.35">
      <c r="I26209" s="63"/>
      <c r="J26209" s="63"/>
    </row>
    <row r="26210" spans="9:10" x14ac:dyDescent="0.35">
      <c r="I26210" s="63"/>
      <c r="J26210" s="63"/>
    </row>
    <row r="26211" spans="9:10" x14ac:dyDescent="0.35">
      <c r="I26211" s="63"/>
      <c r="J26211" s="63"/>
    </row>
    <row r="26212" spans="9:10" x14ac:dyDescent="0.35">
      <c r="I26212" s="63"/>
      <c r="J26212" s="63"/>
    </row>
    <row r="26213" spans="9:10" x14ac:dyDescent="0.35">
      <c r="I26213" s="63"/>
      <c r="J26213" s="63"/>
    </row>
    <row r="26214" spans="9:10" x14ac:dyDescent="0.35">
      <c r="I26214" s="63"/>
      <c r="J26214" s="63"/>
    </row>
    <row r="26215" spans="9:10" x14ac:dyDescent="0.35">
      <c r="I26215" s="63"/>
      <c r="J26215" s="63"/>
    </row>
    <row r="26216" spans="9:10" x14ac:dyDescent="0.35">
      <c r="I26216" s="63"/>
      <c r="J26216" s="63"/>
    </row>
    <row r="26217" spans="9:10" x14ac:dyDescent="0.35">
      <c r="I26217" s="63"/>
      <c r="J26217" s="63"/>
    </row>
    <row r="26218" spans="9:10" x14ac:dyDescent="0.35">
      <c r="I26218" s="63"/>
      <c r="J26218" s="63"/>
    </row>
    <row r="26219" spans="9:10" x14ac:dyDescent="0.35">
      <c r="I26219" s="63"/>
      <c r="J26219" s="63"/>
    </row>
    <row r="26220" spans="9:10" x14ac:dyDescent="0.35">
      <c r="I26220" s="63"/>
      <c r="J26220" s="63"/>
    </row>
    <row r="26221" spans="9:10" x14ac:dyDescent="0.35">
      <c r="I26221" s="63"/>
      <c r="J26221" s="63"/>
    </row>
    <row r="26222" spans="9:10" x14ac:dyDescent="0.35">
      <c r="I26222" s="63"/>
      <c r="J26222" s="63"/>
    </row>
    <row r="26223" spans="9:10" x14ac:dyDescent="0.35">
      <c r="I26223" s="63"/>
      <c r="J26223" s="63"/>
    </row>
    <row r="26224" spans="9:10" x14ac:dyDescent="0.35">
      <c r="I26224" s="63"/>
      <c r="J26224" s="63"/>
    </row>
    <row r="26225" spans="9:10" x14ac:dyDescent="0.35">
      <c r="I26225" s="63"/>
      <c r="J26225" s="63"/>
    </row>
    <row r="26226" spans="9:10" x14ac:dyDescent="0.35">
      <c r="I26226" s="63"/>
      <c r="J26226" s="63"/>
    </row>
    <row r="26227" spans="9:10" x14ac:dyDescent="0.35">
      <c r="I26227" s="63"/>
      <c r="J26227" s="63"/>
    </row>
    <row r="26228" spans="9:10" x14ac:dyDescent="0.35">
      <c r="I26228" s="63"/>
      <c r="J26228" s="63"/>
    </row>
    <row r="26229" spans="9:10" x14ac:dyDescent="0.35">
      <c r="I26229" s="63"/>
      <c r="J26229" s="63"/>
    </row>
    <row r="26230" spans="9:10" x14ac:dyDescent="0.35">
      <c r="I26230" s="63"/>
      <c r="J26230" s="63"/>
    </row>
    <row r="26231" spans="9:10" x14ac:dyDescent="0.35">
      <c r="I26231" s="63"/>
      <c r="J26231" s="63"/>
    </row>
    <row r="26232" spans="9:10" x14ac:dyDescent="0.35">
      <c r="I26232" s="63"/>
      <c r="J26232" s="63"/>
    </row>
    <row r="26233" spans="9:10" x14ac:dyDescent="0.35">
      <c r="I26233" s="63"/>
      <c r="J26233" s="63"/>
    </row>
    <row r="26234" spans="9:10" x14ac:dyDescent="0.35">
      <c r="I26234" s="63"/>
      <c r="J26234" s="63"/>
    </row>
    <row r="26235" spans="9:10" x14ac:dyDescent="0.35">
      <c r="I26235" s="63"/>
      <c r="J26235" s="63"/>
    </row>
    <row r="26236" spans="9:10" x14ac:dyDescent="0.35">
      <c r="I26236" s="63"/>
      <c r="J26236" s="63"/>
    </row>
    <row r="26237" spans="9:10" x14ac:dyDescent="0.35">
      <c r="I26237" s="63"/>
      <c r="J26237" s="63"/>
    </row>
    <row r="26238" spans="9:10" x14ac:dyDescent="0.35">
      <c r="I26238" s="63"/>
      <c r="J26238" s="63"/>
    </row>
    <row r="26239" spans="9:10" x14ac:dyDescent="0.35">
      <c r="I26239" s="63"/>
      <c r="J26239" s="63"/>
    </row>
    <row r="26240" spans="9:10" x14ac:dyDescent="0.35">
      <c r="I26240" s="63"/>
      <c r="J26240" s="63"/>
    </row>
    <row r="26241" spans="9:10" x14ac:dyDescent="0.35">
      <c r="I26241" s="63"/>
      <c r="J26241" s="63"/>
    </row>
    <row r="26242" spans="9:10" x14ac:dyDescent="0.35">
      <c r="I26242" s="63"/>
      <c r="J26242" s="63"/>
    </row>
    <row r="26243" spans="9:10" x14ac:dyDescent="0.35">
      <c r="I26243" s="63"/>
      <c r="J26243" s="63"/>
    </row>
    <row r="26244" spans="9:10" x14ac:dyDescent="0.35">
      <c r="I26244" s="63"/>
      <c r="J26244" s="63"/>
    </row>
    <row r="26245" spans="9:10" x14ac:dyDescent="0.35">
      <c r="I26245" s="63"/>
      <c r="J26245" s="63"/>
    </row>
    <row r="26246" spans="9:10" x14ac:dyDescent="0.35">
      <c r="I26246" s="63"/>
      <c r="J26246" s="63"/>
    </row>
    <row r="26247" spans="9:10" x14ac:dyDescent="0.35">
      <c r="I26247" s="63"/>
      <c r="J26247" s="63"/>
    </row>
    <row r="26248" spans="9:10" x14ac:dyDescent="0.35">
      <c r="I26248" s="63"/>
      <c r="J26248" s="63"/>
    </row>
    <row r="26249" spans="9:10" x14ac:dyDescent="0.35">
      <c r="I26249" s="63"/>
      <c r="J26249" s="63"/>
    </row>
    <row r="26250" spans="9:10" x14ac:dyDescent="0.35">
      <c r="I26250" s="63"/>
      <c r="J26250" s="63"/>
    </row>
    <row r="26251" spans="9:10" x14ac:dyDescent="0.35">
      <c r="I26251" s="63"/>
      <c r="J26251" s="63"/>
    </row>
    <row r="26252" spans="9:10" x14ac:dyDescent="0.35">
      <c r="I26252" s="63"/>
      <c r="J26252" s="63"/>
    </row>
    <row r="26253" spans="9:10" x14ac:dyDescent="0.35">
      <c r="I26253" s="63"/>
      <c r="J26253" s="63"/>
    </row>
    <row r="26254" spans="9:10" x14ac:dyDescent="0.35">
      <c r="I26254" s="63"/>
      <c r="J26254" s="63"/>
    </row>
    <row r="26255" spans="9:10" x14ac:dyDescent="0.35">
      <c r="I26255" s="63"/>
      <c r="J26255" s="63"/>
    </row>
    <row r="26256" spans="9:10" x14ac:dyDescent="0.35">
      <c r="I26256" s="63"/>
      <c r="J26256" s="63"/>
    </row>
    <row r="26257" spans="9:10" x14ac:dyDescent="0.35">
      <c r="I26257" s="63"/>
      <c r="J26257" s="63"/>
    </row>
    <row r="26258" spans="9:10" x14ac:dyDescent="0.35">
      <c r="I26258" s="63"/>
      <c r="J26258" s="63"/>
    </row>
    <row r="26259" spans="9:10" x14ac:dyDescent="0.35">
      <c r="I26259" s="63"/>
      <c r="J26259" s="63"/>
    </row>
    <row r="26260" spans="9:10" x14ac:dyDescent="0.35">
      <c r="I26260" s="63"/>
      <c r="J26260" s="63"/>
    </row>
    <row r="26261" spans="9:10" x14ac:dyDescent="0.35">
      <c r="I26261" s="63"/>
      <c r="J26261" s="63"/>
    </row>
    <row r="26262" spans="9:10" x14ac:dyDescent="0.35">
      <c r="I26262" s="63"/>
      <c r="J26262" s="63"/>
    </row>
    <row r="26263" spans="9:10" x14ac:dyDescent="0.35">
      <c r="I26263" s="63"/>
      <c r="J26263" s="63"/>
    </row>
    <row r="26264" spans="9:10" x14ac:dyDescent="0.35">
      <c r="I26264" s="63"/>
      <c r="J26264" s="63"/>
    </row>
    <row r="26265" spans="9:10" x14ac:dyDescent="0.35">
      <c r="I26265" s="63"/>
      <c r="J26265" s="63"/>
    </row>
    <row r="26266" spans="9:10" x14ac:dyDescent="0.35">
      <c r="I26266" s="63"/>
      <c r="J26266" s="63"/>
    </row>
    <row r="26267" spans="9:10" x14ac:dyDescent="0.35">
      <c r="I26267" s="63"/>
      <c r="J26267" s="63"/>
    </row>
    <row r="26268" spans="9:10" x14ac:dyDescent="0.35">
      <c r="I26268" s="63"/>
      <c r="J26268" s="63"/>
    </row>
    <row r="26269" spans="9:10" x14ac:dyDescent="0.35">
      <c r="I26269" s="63"/>
      <c r="J26269" s="63"/>
    </row>
    <row r="26270" spans="9:10" x14ac:dyDescent="0.35">
      <c r="I26270" s="63"/>
      <c r="J26270" s="63"/>
    </row>
    <row r="26271" spans="9:10" x14ac:dyDescent="0.35">
      <c r="I26271" s="63"/>
      <c r="J26271" s="63"/>
    </row>
    <row r="26272" spans="9:10" x14ac:dyDescent="0.35">
      <c r="I26272" s="63"/>
      <c r="J26272" s="63"/>
    </row>
    <row r="26273" spans="9:10" x14ac:dyDescent="0.35">
      <c r="I26273" s="63"/>
      <c r="J26273" s="63"/>
    </row>
    <row r="26274" spans="9:10" x14ac:dyDescent="0.35">
      <c r="I26274" s="63"/>
      <c r="J26274" s="63"/>
    </row>
    <row r="26275" spans="9:10" x14ac:dyDescent="0.35">
      <c r="I26275" s="63"/>
      <c r="J26275" s="63"/>
    </row>
    <row r="26276" spans="9:10" x14ac:dyDescent="0.35">
      <c r="I26276" s="63"/>
      <c r="J26276" s="63"/>
    </row>
    <row r="26277" spans="9:10" x14ac:dyDescent="0.35">
      <c r="I26277" s="63"/>
      <c r="J26277" s="63"/>
    </row>
    <row r="26278" spans="9:10" x14ac:dyDescent="0.35">
      <c r="I26278" s="63"/>
      <c r="J26278" s="63"/>
    </row>
    <row r="26279" spans="9:10" x14ac:dyDescent="0.35">
      <c r="I26279" s="63"/>
      <c r="J26279" s="63"/>
    </row>
    <row r="26280" spans="9:10" x14ac:dyDescent="0.35">
      <c r="I26280" s="63"/>
      <c r="J26280" s="63"/>
    </row>
    <row r="26281" spans="9:10" x14ac:dyDescent="0.35">
      <c r="I26281" s="63"/>
      <c r="J26281" s="63"/>
    </row>
    <row r="26282" spans="9:10" x14ac:dyDescent="0.35">
      <c r="I26282" s="63"/>
      <c r="J26282" s="63"/>
    </row>
    <row r="26283" spans="9:10" x14ac:dyDescent="0.35">
      <c r="I26283" s="63"/>
      <c r="J26283" s="63"/>
    </row>
    <row r="26284" spans="9:10" x14ac:dyDescent="0.35">
      <c r="I26284" s="63"/>
      <c r="J26284" s="63"/>
    </row>
    <row r="26285" spans="9:10" x14ac:dyDescent="0.35">
      <c r="I26285" s="63"/>
      <c r="J26285" s="63"/>
    </row>
    <row r="26286" spans="9:10" x14ac:dyDescent="0.35">
      <c r="I26286" s="63"/>
      <c r="J26286" s="63"/>
    </row>
    <row r="26287" spans="9:10" x14ac:dyDescent="0.35">
      <c r="I26287" s="63"/>
      <c r="J26287" s="63"/>
    </row>
    <row r="26288" spans="9:10" x14ac:dyDescent="0.35">
      <c r="I26288" s="63"/>
      <c r="J26288" s="63"/>
    </row>
    <row r="26289" spans="9:10" x14ac:dyDescent="0.35">
      <c r="I26289" s="63"/>
      <c r="J26289" s="63"/>
    </row>
    <row r="26290" spans="9:10" x14ac:dyDescent="0.35">
      <c r="I26290" s="63"/>
      <c r="J26290" s="63"/>
    </row>
    <row r="26291" spans="9:10" x14ac:dyDescent="0.35">
      <c r="I26291" s="63"/>
      <c r="J26291" s="63"/>
    </row>
    <row r="26292" spans="9:10" x14ac:dyDescent="0.35">
      <c r="I26292" s="63"/>
      <c r="J26292" s="63"/>
    </row>
    <row r="26293" spans="9:10" x14ac:dyDescent="0.35">
      <c r="I26293" s="63"/>
      <c r="J26293" s="63"/>
    </row>
    <row r="26294" spans="9:10" x14ac:dyDescent="0.35">
      <c r="I26294" s="63"/>
      <c r="J26294" s="63"/>
    </row>
    <row r="26295" spans="9:10" x14ac:dyDescent="0.35">
      <c r="I26295" s="63"/>
      <c r="J26295" s="63"/>
    </row>
    <row r="26296" spans="9:10" x14ac:dyDescent="0.35">
      <c r="I26296" s="63"/>
      <c r="J26296" s="63"/>
    </row>
    <row r="26297" spans="9:10" x14ac:dyDescent="0.35">
      <c r="I26297" s="63"/>
      <c r="J26297" s="63"/>
    </row>
    <row r="26298" spans="9:10" x14ac:dyDescent="0.35">
      <c r="I26298" s="63"/>
      <c r="J26298" s="63"/>
    </row>
    <row r="26299" spans="9:10" x14ac:dyDescent="0.35">
      <c r="I26299" s="63"/>
      <c r="J26299" s="63"/>
    </row>
    <row r="26300" spans="9:10" x14ac:dyDescent="0.35">
      <c r="I26300" s="63"/>
      <c r="J26300" s="63"/>
    </row>
    <row r="26301" spans="9:10" x14ac:dyDescent="0.35">
      <c r="I26301" s="63"/>
      <c r="J26301" s="63"/>
    </row>
    <row r="26302" spans="9:10" x14ac:dyDescent="0.35">
      <c r="I26302" s="63"/>
      <c r="J26302" s="63"/>
    </row>
    <row r="26303" spans="9:10" x14ac:dyDescent="0.35">
      <c r="I26303" s="63"/>
      <c r="J26303" s="63"/>
    </row>
    <row r="26304" spans="9:10" x14ac:dyDescent="0.35">
      <c r="I26304" s="63"/>
      <c r="J26304" s="63"/>
    </row>
    <row r="26305" spans="9:10" x14ac:dyDescent="0.35">
      <c r="I26305" s="63"/>
      <c r="J26305" s="63"/>
    </row>
    <row r="26306" spans="9:10" x14ac:dyDescent="0.35">
      <c r="I26306" s="63"/>
      <c r="J26306" s="63"/>
    </row>
    <row r="26307" spans="9:10" x14ac:dyDescent="0.35">
      <c r="I26307" s="63"/>
      <c r="J26307" s="63"/>
    </row>
    <row r="26308" spans="9:10" x14ac:dyDescent="0.35">
      <c r="I26308" s="63"/>
      <c r="J26308" s="63"/>
    </row>
    <row r="26309" spans="9:10" x14ac:dyDescent="0.35">
      <c r="I26309" s="63"/>
      <c r="J26309" s="63"/>
    </row>
    <row r="26310" spans="9:10" x14ac:dyDescent="0.35">
      <c r="I26310" s="63"/>
      <c r="J26310" s="63"/>
    </row>
    <row r="26311" spans="9:10" x14ac:dyDescent="0.35">
      <c r="I26311" s="63"/>
      <c r="J26311" s="63"/>
    </row>
    <row r="26312" spans="9:10" x14ac:dyDescent="0.35">
      <c r="I26312" s="63"/>
      <c r="J26312" s="63"/>
    </row>
    <row r="26313" spans="9:10" x14ac:dyDescent="0.35">
      <c r="I26313" s="63"/>
      <c r="J26313" s="63"/>
    </row>
    <row r="26314" spans="9:10" x14ac:dyDescent="0.35">
      <c r="I26314" s="63"/>
      <c r="J26314" s="63"/>
    </row>
    <row r="26315" spans="9:10" x14ac:dyDescent="0.35">
      <c r="I26315" s="63"/>
      <c r="J26315" s="63"/>
    </row>
    <row r="26316" spans="9:10" x14ac:dyDescent="0.35">
      <c r="I26316" s="63"/>
      <c r="J26316" s="63"/>
    </row>
    <row r="26317" spans="9:10" x14ac:dyDescent="0.35">
      <c r="I26317" s="63"/>
      <c r="J26317" s="63"/>
    </row>
    <row r="26318" spans="9:10" x14ac:dyDescent="0.35">
      <c r="I26318" s="63"/>
      <c r="J26318" s="63"/>
    </row>
    <row r="26319" spans="9:10" x14ac:dyDescent="0.35">
      <c r="I26319" s="63"/>
      <c r="J26319" s="63"/>
    </row>
    <row r="26320" spans="9:10" x14ac:dyDescent="0.35">
      <c r="I26320" s="63"/>
      <c r="J26320" s="63"/>
    </row>
    <row r="26321" spans="9:10" x14ac:dyDescent="0.35">
      <c r="I26321" s="63"/>
      <c r="J26321" s="63"/>
    </row>
    <row r="26322" spans="9:10" x14ac:dyDescent="0.35">
      <c r="I26322" s="63"/>
      <c r="J26322" s="63"/>
    </row>
    <row r="26323" spans="9:10" x14ac:dyDescent="0.35">
      <c r="I26323" s="63"/>
      <c r="J26323" s="63"/>
    </row>
    <row r="26324" spans="9:10" x14ac:dyDescent="0.35">
      <c r="I26324" s="63"/>
      <c r="J26324" s="63"/>
    </row>
    <row r="26325" spans="9:10" x14ac:dyDescent="0.35">
      <c r="I26325" s="63"/>
      <c r="J26325" s="63"/>
    </row>
    <row r="26326" spans="9:10" x14ac:dyDescent="0.35">
      <c r="I26326" s="63"/>
      <c r="J26326" s="63"/>
    </row>
    <row r="26327" spans="9:10" x14ac:dyDescent="0.35">
      <c r="I26327" s="63"/>
      <c r="J26327" s="63"/>
    </row>
    <row r="26328" spans="9:10" x14ac:dyDescent="0.35">
      <c r="I26328" s="63"/>
      <c r="J26328" s="63"/>
    </row>
    <row r="26329" spans="9:10" x14ac:dyDescent="0.35">
      <c r="I26329" s="63"/>
      <c r="J26329" s="63"/>
    </row>
    <row r="26330" spans="9:10" x14ac:dyDescent="0.35">
      <c r="I26330" s="63"/>
      <c r="J26330" s="63"/>
    </row>
    <row r="26331" spans="9:10" x14ac:dyDescent="0.35">
      <c r="I26331" s="63"/>
      <c r="J26331" s="63"/>
    </row>
    <row r="26332" spans="9:10" x14ac:dyDescent="0.35">
      <c r="I26332" s="63"/>
      <c r="J26332" s="63"/>
    </row>
    <row r="26333" spans="9:10" x14ac:dyDescent="0.35">
      <c r="I26333" s="63"/>
      <c r="J26333" s="63"/>
    </row>
    <row r="26334" spans="9:10" x14ac:dyDescent="0.35">
      <c r="I26334" s="63"/>
      <c r="J26334" s="63"/>
    </row>
    <row r="26335" spans="9:10" x14ac:dyDescent="0.35">
      <c r="I26335" s="63"/>
      <c r="J26335" s="63"/>
    </row>
    <row r="26336" spans="9:10" x14ac:dyDescent="0.35">
      <c r="I26336" s="63"/>
      <c r="J26336" s="63"/>
    </row>
    <row r="26337" spans="9:10" x14ac:dyDescent="0.35">
      <c r="I26337" s="63"/>
      <c r="J26337" s="63"/>
    </row>
    <row r="26338" spans="9:10" x14ac:dyDescent="0.35">
      <c r="I26338" s="63"/>
      <c r="J26338" s="63"/>
    </row>
    <row r="26339" spans="9:10" x14ac:dyDescent="0.35">
      <c r="I26339" s="63"/>
      <c r="J26339" s="63"/>
    </row>
    <row r="26340" spans="9:10" x14ac:dyDescent="0.35">
      <c r="I26340" s="63"/>
      <c r="J26340" s="63"/>
    </row>
    <row r="26341" spans="9:10" x14ac:dyDescent="0.35">
      <c r="I26341" s="63"/>
      <c r="J26341" s="63"/>
    </row>
    <row r="26342" spans="9:10" x14ac:dyDescent="0.35">
      <c r="I26342" s="63"/>
      <c r="J26342" s="63"/>
    </row>
    <row r="26343" spans="9:10" x14ac:dyDescent="0.35">
      <c r="I26343" s="63"/>
      <c r="J26343" s="63"/>
    </row>
    <row r="26344" spans="9:10" x14ac:dyDescent="0.35">
      <c r="I26344" s="63"/>
      <c r="J26344" s="63"/>
    </row>
    <row r="26345" spans="9:10" x14ac:dyDescent="0.35">
      <c r="I26345" s="63"/>
      <c r="J26345" s="63"/>
    </row>
    <row r="26346" spans="9:10" x14ac:dyDescent="0.35">
      <c r="I26346" s="63"/>
      <c r="J26346" s="63"/>
    </row>
    <row r="26347" spans="9:10" x14ac:dyDescent="0.35">
      <c r="I26347" s="63"/>
      <c r="J26347" s="63"/>
    </row>
    <row r="26348" spans="9:10" x14ac:dyDescent="0.35">
      <c r="I26348" s="63"/>
      <c r="J26348" s="63"/>
    </row>
    <row r="26349" spans="9:10" x14ac:dyDescent="0.35">
      <c r="I26349" s="63"/>
      <c r="J26349" s="63"/>
    </row>
    <row r="26350" spans="9:10" x14ac:dyDescent="0.35">
      <c r="I26350" s="63"/>
      <c r="J26350" s="63"/>
    </row>
    <row r="26351" spans="9:10" x14ac:dyDescent="0.35">
      <c r="I26351" s="63"/>
      <c r="J26351" s="63"/>
    </row>
    <row r="26352" spans="9:10" x14ac:dyDescent="0.35">
      <c r="I26352" s="63"/>
      <c r="J26352" s="63"/>
    </row>
    <row r="26353" spans="9:10" x14ac:dyDescent="0.35">
      <c r="I26353" s="63"/>
      <c r="J26353" s="63"/>
    </row>
    <row r="26354" spans="9:10" x14ac:dyDescent="0.35">
      <c r="I26354" s="63"/>
      <c r="J26354" s="63"/>
    </row>
    <row r="26355" spans="9:10" x14ac:dyDescent="0.35">
      <c r="I26355" s="63"/>
      <c r="J26355" s="63"/>
    </row>
    <row r="26356" spans="9:10" x14ac:dyDescent="0.35">
      <c r="I26356" s="63"/>
      <c r="J26356" s="63"/>
    </row>
    <row r="26357" spans="9:10" x14ac:dyDescent="0.35">
      <c r="I26357" s="63"/>
      <c r="J26357" s="63"/>
    </row>
    <row r="26358" spans="9:10" x14ac:dyDescent="0.35">
      <c r="I26358" s="63"/>
      <c r="J26358" s="63"/>
    </row>
    <row r="26359" spans="9:10" x14ac:dyDescent="0.35">
      <c r="I26359" s="63"/>
      <c r="J26359" s="63"/>
    </row>
    <row r="26360" spans="9:10" x14ac:dyDescent="0.35">
      <c r="I26360" s="63"/>
      <c r="J26360" s="63"/>
    </row>
    <row r="26361" spans="9:10" x14ac:dyDescent="0.35">
      <c r="I26361" s="63"/>
      <c r="J26361" s="63"/>
    </row>
    <row r="26362" spans="9:10" x14ac:dyDescent="0.35">
      <c r="I26362" s="63"/>
      <c r="J26362" s="63"/>
    </row>
    <row r="26363" spans="9:10" x14ac:dyDescent="0.35">
      <c r="I26363" s="63"/>
      <c r="J26363" s="63"/>
    </row>
    <row r="26364" spans="9:10" x14ac:dyDescent="0.35">
      <c r="I26364" s="63"/>
      <c r="J26364" s="63"/>
    </row>
    <row r="26365" spans="9:10" x14ac:dyDescent="0.35">
      <c r="I26365" s="63"/>
      <c r="J26365" s="63"/>
    </row>
    <row r="26366" spans="9:10" x14ac:dyDescent="0.35">
      <c r="I26366" s="63"/>
      <c r="J26366" s="63"/>
    </row>
    <row r="26367" spans="9:10" x14ac:dyDescent="0.35">
      <c r="I26367" s="63"/>
      <c r="J26367" s="63"/>
    </row>
    <row r="26368" spans="9:10" x14ac:dyDescent="0.35">
      <c r="I26368" s="63"/>
      <c r="J26368" s="63"/>
    </row>
    <row r="26369" spans="9:10" x14ac:dyDescent="0.35">
      <c r="I26369" s="63"/>
      <c r="J26369" s="63"/>
    </row>
    <row r="26370" spans="9:10" x14ac:dyDescent="0.35">
      <c r="I26370" s="63"/>
      <c r="J26370" s="63"/>
    </row>
    <row r="26371" spans="9:10" x14ac:dyDescent="0.35">
      <c r="I26371" s="63"/>
      <c r="J26371" s="63"/>
    </row>
    <row r="26372" spans="9:10" x14ac:dyDescent="0.35">
      <c r="I26372" s="63"/>
      <c r="J26372" s="63"/>
    </row>
    <row r="26373" spans="9:10" x14ac:dyDescent="0.35">
      <c r="I26373" s="63"/>
      <c r="J26373" s="63"/>
    </row>
    <row r="26374" spans="9:10" x14ac:dyDescent="0.35">
      <c r="I26374" s="63"/>
      <c r="J26374" s="63"/>
    </row>
    <row r="26375" spans="9:10" x14ac:dyDescent="0.35">
      <c r="I26375" s="63"/>
      <c r="J26375" s="63"/>
    </row>
    <row r="26376" spans="9:10" x14ac:dyDescent="0.35">
      <c r="I26376" s="63"/>
      <c r="J26376" s="63"/>
    </row>
    <row r="26377" spans="9:10" x14ac:dyDescent="0.35">
      <c r="I26377" s="63"/>
      <c r="J26377" s="63"/>
    </row>
    <row r="26378" spans="9:10" x14ac:dyDescent="0.35">
      <c r="I26378" s="63"/>
      <c r="J26378" s="63"/>
    </row>
    <row r="26379" spans="9:10" x14ac:dyDescent="0.35">
      <c r="I26379" s="63"/>
      <c r="J26379" s="63"/>
    </row>
    <row r="26380" spans="9:10" x14ac:dyDescent="0.35">
      <c r="I26380" s="63"/>
      <c r="J26380" s="63"/>
    </row>
    <row r="26381" spans="9:10" x14ac:dyDescent="0.35">
      <c r="I26381" s="63"/>
      <c r="J26381" s="63"/>
    </row>
    <row r="26382" spans="9:10" x14ac:dyDescent="0.35">
      <c r="I26382" s="63"/>
      <c r="J26382" s="63"/>
    </row>
    <row r="26383" spans="9:10" x14ac:dyDescent="0.35">
      <c r="I26383" s="63"/>
      <c r="J26383" s="63"/>
    </row>
    <row r="26384" spans="9:10" x14ac:dyDescent="0.35">
      <c r="I26384" s="63"/>
      <c r="J26384" s="63"/>
    </row>
    <row r="26385" spans="9:10" x14ac:dyDescent="0.35">
      <c r="I26385" s="63"/>
      <c r="J26385" s="63"/>
    </row>
    <row r="26386" spans="9:10" x14ac:dyDescent="0.35">
      <c r="I26386" s="63"/>
      <c r="J26386" s="63"/>
    </row>
    <row r="26387" spans="9:10" x14ac:dyDescent="0.35">
      <c r="I26387" s="63"/>
      <c r="J26387" s="63"/>
    </row>
    <row r="26388" spans="9:10" x14ac:dyDescent="0.35">
      <c r="I26388" s="63"/>
      <c r="J26388" s="63"/>
    </row>
    <row r="26389" spans="9:10" x14ac:dyDescent="0.35">
      <c r="I26389" s="63"/>
      <c r="J26389" s="63"/>
    </row>
    <row r="26390" spans="9:10" x14ac:dyDescent="0.35">
      <c r="I26390" s="63"/>
      <c r="J26390" s="63"/>
    </row>
    <row r="26391" spans="9:10" x14ac:dyDescent="0.35">
      <c r="I26391" s="63"/>
      <c r="J26391" s="63"/>
    </row>
    <row r="26392" spans="9:10" x14ac:dyDescent="0.35">
      <c r="I26392" s="63"/>
      <c r="J26392" s="63"/>
    </row>
    <row r="26393" spans="9:10" x14ac:dyDescent="0.35">
      <c r="I26393" s="63"/>
      <c r="J26393" s="63"/>
    </row>
    <row r="26394" spans="9:10" x14ac:dyDescent="0.35">
      <c r="I26394" s="63"/>
      <c r="J26394" s="63"/>
    </row>
    <row r="26395" spans="9:10" x14ac:dyDescent="0.35">
      <c r="I26395" s="63"/>
      <c r="J26395" s="63"/>
    </row>
    <row r="26396" spans="9:10" x14ac:dyDescent="0.35">
      <c r="I26396" s="63"/>
      <c r="J26396" s="63"/>
    </row>
    <row r="26397" spans="9:10" x14ac:dyDescent="0.35">
      <c r="I26397" s="63"/>
      <c r="J26397" s="63"/>
    </row>
    <row r="26398" spans="9:10" x14ac:dyDescent="0.35">
      <c r="I26398" s="63"/>
      <c r="J26398" s="63"/>
    </row>
    <row r="26399" spans="9:10" x14ac:dyDescent="0.35">
      <c r="I26399" s="63"/>
      <c r="J26399" s="63"/>
    </row>
    <row r="26400" spans="9:10" x14ac:dyDescent="0.35">
      <c r="I26400" s="63"/>
      <c r="J26400" s="63"/>
    </row>
    <row r="26401" spans="9:10" x14ac:dyDescent="0.35">
      <c r="I26401" s="63"/>
      <c r="J26401" s="63"/>
    </row>
    <row r="26402" spans="9:10" x14ac:dyDescent="0.35">
      <c r="I26402" s="63"/>
      <c r="J26402" s="63"/>
    </row>
    <row r="26403" spans="9:10" x14ac:dyDescent="0.35">
      <c r="I26403" s="63"/>
      <c r="J26403" s="63"/>
    </row>
    <row r="26404" spans="9:10" x14ac:dyDescent="0.35">
      <c r="I26404" s="63"/>
      <c r="J26404" s="63"/>
    </row>
    <row r="26405" spans="9:10" x14ac:dyDescent="0.35">
      <c r="I26405" s="63"/>
      <c r="J26405" s="63"/>
    </row>
    <row r="26406" spans="9:10" x14ac:dyDescent="0.35">
      <c r="I26406" s="63"/>
      <c r="J26406" s="63"/>
    </row>
    <row r="26407" spans="9:10" x14ac:dyDescent="0.35">
      <c r="I26407" s="63"/>
      <c r="J26407" s="63"/>
    </row>
    <row r="26408" spans="9:10" x14ac:dyDescent="0.35">
      <c r="I26408" s="63"/>
      <c r="J26408" s="63"/>
    </row>
    <row r="26409" spans="9:10" x14ac:dyDescent="0.35">
      <c r="I26409" s="63"/>
      <c r="J26409" s="63"/>
    </row>
    <row r="26410" spans="9:10" x14ac:dyDescent="0.35">
      <c r="I26410" s="63"/>
      <c r="J26410" s="63"/>
    </row>
    <row r="26411" spans="9:10" x14ac:dyDescent="0.35">
      <c r="I26411" s="63"/>
      <c r="J26411" s="63"/>
    </row>
    <row r="26412" spans="9:10" x14ac:dyDescent="0.35">
      <c r="I26412" s="63"/>
      <c r="J26412" s="63"/>
    </row>
    <row r="26413" spans="9:10" x14ac:dyDescent="0.35">
      <c r="I26413" s="63"/>
      <c r="J26413" s="63"/>
    </row>
    <row r="26414" spans="9:10" x14ac:dyDescent="0.35">
      <c r="I26414" s="63"/>
      <c r="J26414" s="63"/>
    </row>
    <row r="26415" spans="9:10" x14ac:dyDescent="0.35">
      <c r="I26415" s="63"/>
      <c r="J26415" s="63"/>
    </row>
    <row r="26416" spans="9:10" x14ac:dyDescent="0.35">
      <c r="I26416" s="63"/>
      <c r="J26416" s="63"/>
    </row>
    <row r="26417" spans="9:10" x14ac:dyDescent="0.35">
      <c r="I26417" s="63"/>
      <c r="J26417" s="63"/>
    </row>
    <row r="26418" spans="9:10" x14ac:dyDescent="0.35">
      <c r="I26418" s="63"/>
      <c r="J26418" s="63"/>
    </row>
    <row r="26419" spans="9:10" x14ac:dyDescent="0.35">
      <c r="I26419" s="63"/>
      <c r="J26419" s="63"/>
    </row>
    <row r="26420" spans="9:10" x14ac:dyDescent="0.35">
      <c r="I26420" s="63"/>
      <c r="J26420" s="63"/>
    </row>
    <row r="26421" spans="9:10" x14ac:dyDescent="0.35">
      <c r="I26421" s="63"/>
      <c r="J26421" s="63"/>
    </row>
    <row r="26422" spans="9:10" x14ac:dyDescent="0.35">
      <c r="I26422" s="63"/>
      <c r="J26422" s="63"/>
    </row>
    <row r="26423" spans="9:10" x14ac:dyDescent="0.35">
      <c r="I26423" s="63"/>
      <c r="J26423" s="63"/>
    </row>
    <row r="26424" spans="9:10" x14ac:dyDescent="0.35">
      <c r="I26424" s="63"/>
      <c r="J26424" s="63"/>
    </row>
    <row r="26425" spans="9:10" x14ac:dyDescent="0.35">
      <c r="I26425" s="63"/>
      <c r="J26425" s="63"/>
    </row>
    <row r="26426" spans="9:10" x14ac:dyDescent="0.35">
      <c r="I26426" s="63"/>
      <c r="J26426" s="63"/>
    </row>
    <row r="26427" spans="9:10" x14ac:dyDescent="0.35">
      <c r="I26427" s="63"/>
      <c r="J26427" s="63"/>
    </row>
    <row r="26428" spans="9:10" x14ac:dyDescent="0.35">
      <c r="I26428" s="63"/>
      <c r="J26428" s="63"/>
    </row>
    <row r="26429" spans="9:10" x14ac:dyDescent="0.35">
      <c r="I26429" s="63"/>
      <c r="J26429" s="63"/>
    </row>
    <row r="26430" spans="9:10" x14ac:dyDescent="0.35">
      <c r="I26430" s="63"/>
      <c r="J26430" s="63"/>
    </row>
    <row r="26431" spans="9:10" x14ac:dyDescent="0.35">
      <c r="I26431" s="63"/>
      <c r="J26431" s="63"/>
    </row>
    <row r="26432" spans="9:10" x14ac:dyDescent="0.35">
      <c r="I26432" s="63"/>
      <c r="J26432" s="63"/>
    </row>
    <row r="26433" spans="9:10" x14ac:dyDescent="0.35">
      <c r="I26433" s="63"/>
      <c r="J26433" s="63"/>
    </row>
    <row r="26434" spans="9:10" x14ac:dyDescent="0.35">
      <c r="I26434" s="63"/>
      <c r="J26434" s="63"/>
    </row>
    <row r="26435" spans="9:10" x14ac:dyDescent="0.35">
      <c r="I26435" s="63"/>
      <c r="J26435" s="63"/>
    </row>
    <row r="26436" spans="9:10" x14ac:dyDescent="0.35">
      <c r="I26436" s="63"/>
      <c r="J26436" s="63"/>
    </row>
    <row r="26437" spans="9:10" x14ac:dyDescent="0.35">
      <c r="I26437" s="63"/>
      <c r="J26437" s="63"/>
    </row>
    <row r="26438" spans="9:10" x14ac:dyDescent="0.35">
      <c r="I26438" s="63"/>
      <c r="J26438" s="63"/>
    </row>
    <row r="26439" spans="9:10" x14ac:dyDescent="0.35">
      <c r="I26439" s="63"/>
      <c r="J26439" s="63"/>
    </row>
    <row r="26440" spans="9:10" x14ac:dyDescent="0.35">
      <c r="I26440" s="63"/>
      <c r="J26440" s="63"/>
    </row>
    <row r="26441" spans="9:10" x14ac:dyDescent="0.35">
      <c r="I26441" s="63"/>
      <c r="J26441" s="63"/>
    </row>
    <row r="26442" spans="9:10" x14ac:dyDescent="0.35">
      <c r="I26442" s="63"/>
      <c r="J26442" s="63"/>
    </row>
    <row r="26443" spans="9:10" x14ac:dyDescent="0.35">
      <c r="I26443" s="63"/>
      <c r="J26443" s="63"/>
    </row>
    <row r="26444" spans="9:10" x14ac:dyDescent="0.35">
      <c r="I26444" s="63"/>
      <c r="J26444" s="63"/>
    </row>
    <row r="26445" spans="9:10" x14ac:dyDescent="0.35">
      <c r="I26445" s="63"/>
      <c r="J26445" s="63"/>
    </row>
    <row r="26446" spans="9:10" x14ac:dyDescent="0.35">
      <c r="I26446" s="63"/>
      <c r="J26446" s="63"/>
    </row>
    <row r="26447" spans="9:10" x14ac:dyDescent="0.35">
      <c r="I26447" s="63"/>
      <c r="J26447" s="63"/>
    </row>
    <row r="26448" spans="9:10" x14ac:dyDescent="0.35">
      <c r="I26448" s="63"/>
      <c r="J26448" s="63"/>
    </row>
    <row r="26449" spans="9:10" x14ac:dyDescent="0.35">
      <c r="I26449" s="63"/>
      <c r="J26449" s="63"/>
    </row>
    <row r="26450" spans="9:10" x14ac:dyDescent="0.35">
      <c r="I26450" s="63"/>
      <c r="J26450" s="63"/>
    </row>
    <row r="26451" spans="9:10" x14ac:dyDescent="0.35">
      <c r="I26451" s="63"/>
      <c r="J26451" s="63"/>
    </row>
    <row r="26452" spans="9:10" x14ac:dyDescent="0.35">
      <c r="I26452" s="63"/>
      <c r="J26452" s="63"/>
    </row>
    <row r="26453" spans="9:10" x14ac:dyDescent="0.35">
      <c r="I26453" s="63"/>
      <c r="J26453" s="63"/>
    </row>
    <row r="26454" spans="9:10" x14ac:dyDescent="0.35">
      <c r="I26454" s="63"/>
      <c r="J26454" s="63"/>
    </row>
    <row r="26455" spans="9:10" x14ac:dyDescent="0.35">
      <c r="I26455" s="63"/>
      <c r="J26455" s="63"/>
    </row>
    <row r="26456" spans="9:10" x14ac:dyDescent="0.35">
      <c r="I26456" s="63"/>
      <c r="J26456" s="63"/>
    </row>
    <row r="26457" spans="9:10" x14ac:dyDescent="0.35">
      <c r="I26457" s="63"/>
      <c r="J26457" s="63"/>
    </row>
    <row r="26458" spans="9:10" x14ac:dyDescent="0.35">
      <c r="I26458" s="63"/>
      <c r="J26458" s="63"/>
    </row>
    <row r="26459" spans="9:10" x14ac:dyDescent="0.35">
      <c r="I26459" s="63"/>
      <c r="J26459" s="63"/>
    </row>
    <row r="26460" spans="9:10" x14ac:dyDescent="0.35">
      <c r="I26460" s="63"/>
      <c r="J26460" s="63"/>
    </row>
    <row r="26461" spans="9:10" x14ac:dyDescent="0.35">
      <c r="I26461" s="63"/>
      <c r="J26461" s="63"/>
    </row>
    <row r="26462" spans="9:10" x14ac:dyDescent="0.35">
      <c r="I26462" s="63"/>
      <c r="J26462" s="63"/>
    </row>
    <row r="26463" spans="9:10" x14ac:dyDescent="0.35">
      <c r="I26463" s="63"/>
      <c r="J26463" s="63"/>
    </row>
    <row r="26464" spans="9:10" x14ac:dyDescent="0.35">
      <c r="I26464" s="63"/>
      <c r="J26464" s="63"/>
    </row>
    <row r="26465" spans="9:10" x14ac:dyDescent="0.35">
      <c r="I26465" s="63"/>
      <c r="J26465" s="63"/>
    </row>
    <row r="26466" spans="9:10" x14ac:dyDescent="0.35">
      <c r="I26466" s="63"/>
      <c r="J26466" s="63"/>
    </row>
    <row r="26467" spans="9:10" x14ac:dyDescent="0.35">
      <c r="I26467" s="63"/>
      <c r="J26467" s="63"/>
    </row>
    <row r="26468" spans="9:10" x14ac:dyDescent="0.35">
      <c r="I26468" s="63"/>
      <c r="J26468" s="63"/>
    </row>
    <row r="26469" spans="9:10" x14ac:dyDescent="0.35">
      <c r="I26469" s="63"/>
      <c r="J26469" s="63"/>
    </row>
    <row r="26470" spans="9:10" x14ac:dyDescent="0.35">
      <c r="I26470" s="63"/>
      <c r="J26470" s="63"/>
    </row>
    <row r="26471" spans="9:10" x14ac:dyDescent="0.35">
      <c r="I26471" s="63"/>
      <c r="J26471" s="63"/>
    </row>
    <row r="26472" spans="9:10" x14ac:dyDescent="0.35">
      <c r="I26472" s="63"/>
      <c r="J26472" s="63"/>
    </row>
    <row r="26473" spans="9:10" x14ac:dyDescent="0.35">
      <c r="I26473" s="63"/>
      <c r="J26473" s="63"/>
    </row>
    <row r="26474" spans="9:10" x14ac:dyDescent="0.35">
      <c r="I26474" s="63"/>
      <c r="J26474" s="63"/>
    </row>
    <row r="26475" spans="9:10" x14ac:dyDescent="0.35">
      <c r="I26475" s="63"/>
      <c r="J26475" s="63"/>
    </row>
    <row r="26476" spans="9:10" x14ac:dyDescent="0.35">
      <c r="I26476" s="63"/>
      <c r="J26476" s="63"/>
    </row>
    <row r="26477" spans="9:10" x14ac:dyDescent="0.35">
      <c r="I26477" s="63"/>
      <c r="J26477" s="63"/>
    </row>
    <row r="26478" spans="9:10" x14ac:dyDescent="0.35">
      <c r="I26478" s="63"/>
      <c r="J26478" s="63"/>
    </row>
    <row r="26479" spans="9:10" x14ac:dyDescent="0.35">
      <c r="I26479" s="63"/>
      <c r="J26479" s="63"/>
    </row>
    <row r="26480" spans="9:10" x14ac:dyDescent="0.35">
      <c r="I26480" s="63"/>
      <c r="J26480" s="63"/>
    </row>
    <row r="26481" spans="9:10" x14ac:dyDescent="0.35">
      <c r="I26481" s="63"/>
      <c r="J26481" s="63"/>
    </row>
    <row r="26482" spans="9:10" x14ac:dyDescent="0.35">
      <c r="I26482" s="63"/>
      <c r="J26482" s="63"/>
    </row>
    <row r="26483" spans="9:10" x14ac:dyDescent="0.35">
      <c r="I26483" s="63"/>
      <c r="J26483" s="63"/>
    </row>
    <row r="26484" spans="9:10" x14ac:dyDescent="0.35">
      <c r="I26484" s="63"/>
      <c r="J26484" s="63"/>
    </row>
    <row r="26485" spans="9:10" x14ac:dyDescent="0.35">
      <c r="I26485" s="63"/>
      <c r="J26485" s="63"/>
    </row>
    <row r="26486" spans="9:10" x14ac:dyDescent="0.35">
      <c r="I26486" s="63"/>
      <c r="J26486" s="63"/>
    </row>
    <row r="26487" spans="9:10" x14ac:dyDescent="0.35">
      <c r="I26487" s="63"/>
      <c r="J26487" s="63"/>
    </row>
    <row r="26488" spans="9:10" x14ac:dyDescent="0.35">
      <c r="I26488" s="63"/>
      <c r="J26488" s="63"/>
    </row>
    <row r="26489" spans="9:10" x14ac:dyDescent="0.35">
      <c r="I26489" s="63"/>
      <c r="J26489" s="63"/>
    </row>
    <row r="26490" spans="9:10" x14ac:dyDescent="0.35">
      <c r="I26490" s="63"/>
      <c r="J26490" s="63"/>
    </row>
    <row r="26491" spans="9:10" x14ac:dyDescent="0.35">
      <c r="I26491" s="63"/>
      <c r="J26491" s="63"/>
    </row>
    <row r="26492" spans="9:10" x14ac:dyDescent="0.35">
      <c r="I26492" s="63"/>
      <c r="J26492" s="63"/>
    </row>
    <row r="26493" spans="9:10" x14ac:dyDescent="0.35">
      <c r="I26493" s="63"/>
      <c r="J26493" s="63"/>
    </row>
    <row r="26494" spans="9:10" x14ac:dyDescent="0.35">
      <c r="I26494" s="63"/>
      <c r="J26494" s="63"/>
    </row>
    <row r="26495" spans="9:10" x14ac:dyDescent="0.35">
      <c r="I26495" s="63"/>
      <c r="J26495" s="63"/>
    </row>
    <row r="26496" spans="9:10" x14ac:dyDescent="0.35">
      <c r="I26496" s="63"/>
      <c r="J26496" s="63"/>
    </row>
    <row r="26497" spans="9:10" x14ac:dyDescent="0.35">
      <c r="I26497" s="63"/>
      <c r="J26497" s="63"/>
    </row>
    <row r="26498" spans="9:10" x14ac:dyDescent="0.35">
      <c r="I26498" s="63"/>
      <c r="J26498" s="63"/>
    </row>
    <row r="26499" spans="9:10" x14ac:dyDescent="0.35">
      <c r="I26499" s="63"/>
      <c r="J26499" s="63"/>
    </row>
    <row r="26500" spans="9:10" x14ac:dyDescent="0.35">
      <c r="I26500" s="63"/>
      <c r="J26500" s="63"/>
    </row>
    <row r="26501" spans="9:10" x14ac:dyDescent="0.35">
      <c r="I26501" s="63"/>
      <c r="J26501" s="63"/>
    </row>
    <row r="26502" spans="9:10" x14ac:dyDescent="0.35">
      <c r="I26502" s="63"/>
      <c r="J26502" s="63"/>
    </row>
    <row r="26503" spans="9:10" x14ac:dyDescent="0.35">
      <c r="I26503" s="63"/>
      <c r="J26503" s="63"/>
    </row>
    <row r="26504" spans="9:10" x14ac:dyDescent="0.35">
      <c r="I26504" s="63"/>
      <c r="J26504" s="63"/>
    </row>
    <row r="26505" spans="9:10" x14ac:dyDescent="0.35">
      <c r="I26505" s="63"/>
      <c r="J26505" s="63"/>
    </row>
    <row r="26506" spans="9:10" x14ac:dyDescent="0.35">
      <c r="I26506" s="63"/>
      <c r="J26506" s="63"/>
    </row>
    <row r="26507" spans="9:10" x14ac:dyDescent="0.35">
      <c r="I26507" s="63"/>
      <c r="J26507" s="63"/>
    </row>
    <row r="26508" spans="9:10" x14ac:dyDescent="0.35">
      <c r="I26508" s="63"/>
      <c r="J26508" s="63"/>
    </row>
    <row r="26509" spans="9:10" x14ac:dyDescent="0.35">
      <c r="I26509" s="63"/>
      <c r="J26509" s="63"/>
    </row>
    <row r="26510" spans="9:10" x14ac:dyDescent="0.35">
      <c r="I26510" s="63"/>
      <c r="J26510" s="63"/>
    </row>
    <row r="26511" spans="9:10" x14ac:dyDescent="0.35">
      <c r="I26511" s="63"/>
      <c r="J26511" s="63"/>
    </row>
    <row r="26512" spans="9:10" x14ac:dyDescent="0.35">
      <c r="I26512" s="63"/>
      <c r="J26512" s="63"/>
    </row>
    <row r="26513" spans="9:10" x14ac:dyDescent="0.35">
      <c r="I26513" s="63"/>
      <c r="J26513" s="63"/>
    </row>
    <row r="26514" spans="9:10" x14ac:dyDescent="0.35">
      <c r="I26514" s="63"/>
      <c r="J26514" s="63"/>
    </row>
    <row r="26515" spans="9:10" x14ac:dyDescent="0.35">
      <c r="I26515" s="63"/>
      <c r="J26515" s="63"/>
    </row>
    <row r="26516" spans="9:10" x14ac:dyDescent="0.35">
      <c r="I26516" s="63"/>
      <c r="J26516" s="63"/>
    </row>
    <row r="26517" spans="9:10" x14ac:dyDescent="0.35">
      <c r="I26517" s="63"/>
      <c r="J26517" s="63"/>
    </row>
    <row r="26518" spans="9:10" x14ac:dyDescent="0.35">
      <c r="I26518" s="63"/>
      <c r="J26518" s="63"/>
    </row>
    <row r="26519" spans="9:10" x14ac:dyDescent="0.35">
      <c r="I26519" s="63"/>
      <c r="J26519" s="63"/>
    </row>
    <row r="26520" spans="9:10" x14ac:dyDescent="0.35">
      <c r="I26520" s="63"/>
      <c r="J26520" s="63"/>
    </row>
    <row r="26521" spans="9:10" x14ac:dyDescent="0.35">
      <c r="I26521" s="63"/>
      <c r="J26521" s="63"/>
    </row>
    <row r="26522" spans="9:10" x14ac:dyDescent="0.35">
      <c r="I26522" s="63"/>
      <c r="J26522" s="63"/>
    </row>
    <row r="26523" spans="9:10" x14ac:dyDescent="0.35">
      <c r="I26523" s="63"/>
      <c r="J26523" s="63"/>
    </row>
    <row r="26524" spans="9:10" x14ac:dyDescent="0.35">
      <c r="I26524" s="63"/>
      <c r="J26524" s="63"/>
    </row>
    <row r="26525" spans="9:10" x14ac:dyDescent="0.35">
      <c r="I26525" s="63"/>
      <c r="J26525" s="63"/>
    </row>
    <row r="26526" spans="9:10" x14ac:dyDescent="0.35">
      <c r="I26526" s="63"/>
      <c r="J26526" s="63"/>
    </row>
    <row r="26527" spans="9:10" x14ac:dyDescent="0.35">
      <c r="I26527" s="63"/>
      <c r="J26527" s="63"/>
    </row>
    <row r="26528" spans="9:10" x14ac:dyDescent="0.35">
      <c r="I26528" s="63"/>
      <c r="J26528" s="63"/>
    </row>
    <row r="26529" spans="9:10" x14ac:dyDescent="0.35">
      <c r="I26529" s="63"/>
      <c r="J26529" s="63"/>
    </row>
    <row r="26530" spans="9:10" x14ac:dyDescent="0.35">
      <c r="I26530" s="63"/>
      <c r="J26530" s="63"/>
    </row>
    <row r="26531" spans="9:10" x14ac:dyDescent="0.35">
      <c r="I26531" s="63"/>
      <c r="J26531" s="63"/>
    </row>
    <row r="26532" spans="9:10" x14ac:dyDescent="0.35">
      <c r="I26532" s="63"/>
      <c r="J26532" s="63"/>
    </row>
    <row r="26533" spans="9:10" x14ac:dyDescent="0.35">
      <c r="I26533" s="63"/>
      <c r="J26533" s="63"/>
    </row>
    <row r="26534" spans="9:10" x14ac:dyDescent="0.35">
      <c r="I26534" s="63"/>
      <c r="J26534" s="63"/>
    </row>
    <row r="26535" spans="9:10" x14ac:dyDescent="0.35">
      <c r="I26535" s="63"/>
      <c r="J26535" s="63"/>
    </row>
    <row r="26536" spans="9:10" x14ac:dyDescent="0.35">
      <c r="I26536" s="63"/>
      <c r="J26536" s="63"/>
    </row>
    <row r="26537" spans="9:10" x14ac:dyDescent="0.35">
      <c r="I26537" s="63"/>
      <c r="J26537" s="63"/>
    </row>
    <row r="26538" spans="9:10" x14ac:dyDescent="0.35">
      <c r="I26538" s="63"/>
      <c r="J26538" s="63"/>
    </row>
    <row r="26539" spans="9:10" x14ac:dyDescent="0.35">
      <c r="I26539" s="63"/>
      <c r="J26539" s="63"/>
    </row>
    <row r="26540" spans="9:10" x14ac:dyDescent="0.35">
      <c r="I26540" s="63"/>
      <c r="J26540" s="63"/>
    </row>
    <row r="26541" spans="9:10" x14ac:dyDescent="0.35">
      <c r="I26541" s="63"/>
      <c r="J26541" s="63"/>
    </row>
    <row r="26542" spans="9:10" x14ac:dyDescent="0.35">
      <c r="I26542" s="63"/>
      <c r="J26542" s="63"/>
    </row>
    <row r="26543" spans="9:10" x14ac:dyDescent="0.35">
      <c r="I26543" s="63"/>
      <c r="J26543" s="63"/>
    </row>
    <row r="26544" spans="9:10" x14ac:dyDescent="0.35">
      <c r="I26544" s="63"/>
      <c r="J26544" s="63"/>
    </row>
    <row r="26545" spans="9:10" x14ac:dyDescent="0.35">
      <c r="I26545" s="63"/>
      <c r="J26545" s="63"/>
    </row>
    <row r="26546" spans="9:10" x14ac:dyDescent="0.35">
      <c r="I26546" s="63"/>
      <c r="J26546" s="63"/>
    </row>
    <row r="26547" spans="9:10" x14ac:dyDescent="0.35">
      <c r="I26547" s="63"/>
      <c r="J26547" s="63"/>
    </row>
    <row r="26548" spans="9:10" x14ac:dyDescent="0.35">
      <c r="I26548" s="63"/>
      <c r="J26548" s="63"/>
    </row>
    <row r="26549" spans="9:10" x14ac:dyDescent="0.35">
      <c r="I26549" s="63"/>
      <c r="J26549" s="63"/>
    </row>
    <row r="26550" spans="9:10" x14ac:dyDescent="0.35">
      <c r="I26550" s="63"/>
      <c r="J26550" s="63"/>
    </row>
    <row r="26551" spans="9:10" x14ac:dyDescent="0.35">
      <c r="I26551" s="63"/>
      <c r="J26551" s="63"/>
    </row>
    <row r="26552" spans="9:10" x14ac:dyDescent="0.35">
      <c r="I26552" s="63"/>
      <c r="J26552" s="63"/>
    </row>
    <row r="26553" spans="9:10" x14ac:dyDescent="0.35">
      <c r="I26553" s="63"/>
      <c r="J26553" s="63"/>
    </row>
    <row r="26554" spans="9:10" x14ac:dyDescent="0.35">
      <c r="I26554" s="63"/>
      <c r="J26554" s="63"/>
    </row>
    <row r="26555" spans="9:10" x14ac:dyDescent="0.35">
      <c r="I26555" s="63"/>
      <c r="J26555" s="63"/>
    </row>
    <row r="26556" spans="9:10" x14ac:dyDescent="0.35">
      <c r="I26556" s="63"/>
      <c r="J26556" s="63"/>
    </row>
    <row r="26557" spans="9:10" x14ac:dyDescent="0.35">
      <c r="I26557" s="63"/>
      <c r="J26557" s="63"/>
    </row>
    <row r="26558" spans="9:10" x14ac:dyDescent="0.35">
      <c r="I26558" s="63"/>
      <c r="J26558" s="63"/>
    </row>
    <row r="26559" spans="9:10" x14ac:dyDescent="0.35">
      <c r="I26559" s="63"/>
      <c r="J26559" s="63"/>
    </row>
    <row r="26560" spans="9:10" x14ac:dyDescent="0.35">
      <c r="I26560" s="63"/>
      <c r="J26560" s="63"/>
    </row>
    <row r="26561" spans="9:10" x14ac:dyDescent="0.35">
      <c r="I26561" s="63"/>
      <c r="J26561" s="63"/>
    </row>
    <row r="26562" spans="9:10" x14ac:dyDescent="0.35">
      <c r="I26562" s="63"/>
      <c r="J26562" s="63"/>
    </row>
    <row r="26563" spans="9:10" x14ac:dyDescent="0.35">
      <c r="I26563" s="63"/>
      <c r="J26563" s="63"/>
    </row>
    <row r="26564" spans="9:10" x14ac:dyDescent="0.35">
      <c r="I26564" s="63"/>
      <c r="J26564" s="63"/>
    </row>
    <row r="26565" spans="9:10" x14ac:dyDescent="0.35">
      <c r="I26565" s="63"/>
      <c r="J26565" s="63"/>
    </row>
    <row r="26566" spans="9:10" x14ac:dyDescent="0.35">
      <c r="I26566" s="63"/>
      <c r="J26566" s="63"/>
    </row>
    <row r="26567" spans="9:10" x14ac:dyDescent="0.35">
      <c r="I26567" s="63"/>
      <c r="J26567" s="63"/>
    </row>
    <row r="26568" spans="9:10" x14ac:dyDescent="0.35">
      <c r="I26568" s="63"/>
      <c r="J26568" s="63"/>
    </row>
    <row r="26569" spans="9:10" x14ac:dyDescent="0.35">
      <c r="I26569" s="63"/>
      <c r="J26569" s="63"/>
    </row>
    <row r="26570" spans="9:10" x14ac:dyDescent="0.35">
      <c r="I26570" s="63"/>
      <c r="J26570" s="63"/>
    </row>
    <row r="26571" spans="9:10" x14ac:dyDescent="0.35">
      <c r="I26571" s="63"/>
      <c r="J26571" s="63"/>
    </row>
    <row r="26572" spans="9:10" x14ac:dyDescent="0.35">
      <c r="I26572" s="63"/>
      <c r="J26572" s="63"/>
    </row>
    <row r="26573" spans="9:10" x14ac:dyDescent="0.35">
      <c r="I26573" s="63"/>
      <c r="J26573" s="63"/>
    </row>
    <row r="26574" spans="9:10" x14ac:dyDescent="0.35">
      <c r="I26574" s="63"/>
      <c r="J26574" s="63"/>
    </row>
    <row r="26575" spans="9:10" x14ac:dyDescent="0.35">
      <c r="I26575" s="63"/>
      <c r="J26575" s="63"/>
    </row>
    <row r="26576" spans="9:10" x14ac:dyDescent="0.35">
      <c r="I26576" s="63"/>
      <c r="J26576" s="63"/>
    </row>
    <row r="26577" spans="9:10" x14ac:dyDescent="0.35">
      <c r="I26577" s="63"/>
      <c r="J26577" s="63"/>
    </row>
    <row r="26578" spans="9:10" x14ac:dyDescent="0.35">
      <c r="I26578" s="63"/>
      <c r="J26578" s="63"/>
    </row>
    <row r="26579" spans="9:10" x14ac:dyDescent="0.35">
      <c r="I26579" s="63"/>
      <c r="J26579" s="63"/>
    </row>
    <row r="26580" spans="9:10" x14ac:dyDescent="0.35">
      <c r="I26580" s="63"/>
      <c r="J26580" s="63"/>
    </row>
    <row r="26581" spans="9:10" x14ac:dyDescent="0.35">
      <c r="I26581" s="63"/>
      <c r="J26581" s="63"/>
    </row>
    <row r="26582" spans="9:10" x14ac:dyDescent="0.35">
      <c r="I26582" s="63"/>
      <c r="J26582" s="63"/>
    </row>
    <row r="26583" spans="9:10" x14ac:dyDescent="0.35">
      <c r="I26583" s="63"/>
      <c r="J26583" s="63"/>
    </row>
    <row r="26584" spans="9:10" x14ac:dyDescent="0.35">
      <c r="I26584" s="63"/>
      <c r="J26584" s="63"/>
    </row>
    <row r="26585" spans="9:10" x14ac:dyDescent="0.35">
      <c r="I26585" s="63"/>
      <c r="J26585" s="63"/>
    </row>
    <row r="26586" spans="9:10" x14ac:dyDescent="0.35">
      <c r="I26586" s="63"/>
      <c r="J26586" s="63"/>
    </row>
    <row r="26587" spans="9:10" x14ac:dyDescent="0.35">
      <c r="I26587" s="63"/>
      <c r="J26587" s="63"/>
    </row>
    <row r="26588" spans="9:10" x14ac:dyDescent="0.35">
      <c r="I26588" s="63"/>
      <c r="J26588" s="63"/>
    </row>
    <row r="26589" spans="9:10" x14ac:dyDescent="0.35">
      <c r="I26589" s="63"/>
      <c r="J26589" s="63"/>
    </row>
    <row r="26590" spans="9:10" x14ac:dyDescent="0.35">
      <c r="I26590" s="63"/>
      <c r="J26590" s="63"/>
    </row>
    <row r="26591" spans="9:10" x14ac:dyDescent="0.35">
      <c r="I26591" s="63"/>
      <c r="J26591" s="63"/>
    </row>
    <row r="26592" spans="9:10" x14ac:dyDescent="0.35">
      <c r="I26592" s="63"/>
      <c r="J26592" s="63"/>
    </row>
    <row r="26593" spans="9:10" x14ac:dyDescent="0.35">
      <c r="I26593" s="63"/>
      <c r="J26593" s="63"/>
    </row>
    <row r="26594" spans="9:10" x14ac:dyDescent="0.35">
      <c r="I26594" s="63"/>
      <c r="J26594" s="63"/>
    </row>
    <row r="26595" spans="9:10" x14ac:dyDescent="0.35">
      <c r="I26595" s="63"/>
      <c r="J26595" s="63"/>
    </row>
    <row r="26596" spans="9:10" x14ac:dyDescent="0.35">
      <c r="I26596" s="63"/>
      <c r="J26596" s="63"/>
    </row>
    <row r="26597" spans="9:10" x14ac:dyDescent="0.35">
      <c r="I26597" s="63"/>
      <c r="J26597" s="63"/>
    </row>
    <row r="26598" spans="9:10" x14ac:dyDescent="0.35">
      <c r="I26598" s="63"/>
      <c r="J26598" s="63"/>
    </row>
    <row r="26599" spans="9:10" x14ac:dyDescent="0.35">
      <c r="I26599" s="63"/>
      <c r="J26599" s="63"/>
    </row>
    <row r="26600" spans="9:10" x14ac:dyDescent="0.35">
      <c r="I26600" s="63"/>
      <c r="J26600" s="63"/>
    </row>
    <row r="26601" spans="9:10" x14ac:dyDescent="0.35">
      <c r="I26601" s="63"/>
      <c r="J26601" s="63"/>
    </row>
    <row r="26602" spans="9:10" x14ac:dyDescent="0.35">
      <c r="I26602" s="63"/>
      <c r="J26602" s="63"/>
    </row>
    <row r="26603" spans="9:10" x14ac:dyDescent="0.35">
      <c r="I26603" s="63"/>
      <c r="J26603" s="63"/>
    </row>
    <row r="26604" spans="9:10" x14ac:dyDescent="0.35">
      <c r="I26604" s="63"/>
      <c r="J26604" s="63"/>
    </row>
    <row r="26605" spans="9:10" x14ac:dyDescent="0.35">
      <c r="I26605" s="63"/>
      <c r="J26605" s="63"/>
    </row>
    <row r="26606" spans="9:10" x14ac:dyDescent="0.35">
      <c r="I26606" s="63"/>
      <c r="J26606" s="63"/>
    </row>
    <row r="26607" spans="9:10" x14ac:dyDescent="0.35">
      <c r="I26607" s="63"/>
      <c r="J26607" s="63"/>
    </row>
    <row r="26608" spans="9:10" x14ac:dyDescent="0.35">
      <c r="I26608" s="63"/>
      <c r="J26608" s="63"/>
    </row>
    <row r="26609" spans="9:10" x14ac:dyDescent="0.35">
      <c r="I26609" s="63"/>
      <c r="J26609" s="63"/>
    </row>
    <row r="26610" spans="9:10" x14ac:dyDescent="0.35">
      <c r="I26610" s="63"/>
      <c r="J26610" s="63"/>
    </row>
    <row r="26611" spans="9:10" x14ac:dyDescent="0.35">
      <c r="I26611" s="63"/>
      <c r="J26611" s="63"/>
    </row>
    <row r="26612" spans="9:10" x14ac:dyDescent="0.35">
      <c r="I26612" s="63"/>
      <c r="J26612" s="63"/>
    </row>
    <row r="26613" spans="9:10" x14ac:dyDescent="0.35">
      <c r="I26613" s="63"/>
      <c r="J26613" s="63"/>
    </row>
    <row r="26614" spans="9:10" x14ac:dyDescent="0.35">
      <c r="I26614" s="63"/>
      <c r="J26614" s="63"/>
    </row>
    <row r="26615" spans="9:10" x14ac:dyDescent="0.35">
      <c r="I26615" s="63"/>
      <c r="J26615" s="63"/>
    </row>
    <row r="26616" spans="9:10" x14ac:dyDescent="0.35">
      <c r="I26616" s="63"/>
      <c r="J26616" s="63"/>
    </row>
    <row r="26617" spans="9:10" x14ac:dyDescent="0.35">
      <c r="I26617" s="63"/>
      <c r="J26617" s="63"/>
    </row>
    <row r="26618" spans="9:10" x14ac:dyDescent="0.35">
      <c r="I26618" s="63"/>
      <c r="J26618" s="63"/>
    </row>
    <row r="26619" spans="9:10" x14ac:dyDescent="0.35">
      <c r="I26619" s="63"/>
      <c r="J26619" s="63"/>
    </row>
    <row r="26620" spans="9:10" x14ac:dyDescent="0.35">
      <c r="I26620" s="63"/>
      <c r="J26620" s="63"/>
    </row>
    <row r="26621" spans="9:10" x14ac:dyDescent="0.35">
      <c r="I26621" s="63"/>
      <c r="J26621" s="63"/>
    </row>
    <row r="26622" spans="9:10" x14ac:dyDescent="0.35">
      <c r="I26622" s="63"/>
      <c r="J26622" s="63"/>
    </row>
    <row r="26623" spans="9:10" x14ac:dyDescent="0.35">
      <c r="I26623" s="63"/>
      <c r="J26623" s="63"/>
    </row>
    <row r="26624" spans="9:10" x14ac:dyDescent="0.35">
      <c r="I26624" s="63"/>
      <c r="J26624" s="63"/>
    </row>
    <row r="26625" spans="9:10" x14ac:dyDescent="0.35">
      <c r="I26625" s="63"/>
      <c r="J26625" s="63"/>
    </row>
    <row r="26626" spans="9:10" x14ac:dyDescent="0.35">
      <c r="I26626" s="63"/>
      <c r="J26626" s="63"/>
    </row>
    <row r="26627" spans="9:10" x14ac:dyDescent="0.35">
      <c r="I26627" s="63"/>
      <c r="J26627" s="63"/>
    </row>
    <row r="26628" spans="9:10" x14ac:dyDescent="0.35">
      <c r="I26628" s="63"/>
      <c r="J26628" s="63"/>
    </row>
    <row r="26629" spans="9:10" x14ac:dyDescent="0.35">
      <c r="I26629" s="63"/>
      <c r="J26629" s="63"/>
    </row>
    <row r="26630" spans="9:10" x14ac:dyDescent="0.35">
      <c r="I26630" s="63"/>
      <c r="J26630" s="63"/>
    </row>
    <row r="26631" spans="9:10" x14ac:dyDescent="0.35">
      <c r="I26631" s="63"/>
      <c r="J26631" s="63"/>
    </row>
    <row r="26632" spans="9:10" x14ac:dyDescent="0.35">
      <c r="I26632" s="63"/>
      <c r="J26632" s="63"/>
    </row>
    <row r="26633" spans="9:10" x14ac:dyDescent="0.35">
      <c r="I26633" s="63"/>
      <c r="J26633" s="63"/>
    </row>
    <row r="26634" spans="9:10" x14ac:dyDescent="0.35">
      <c r="I26634" s="63"/>
      <c r="J26634" s="63"/>
    </row>
    <row r="26635" spans="9:10" x14ac:dyDescent="0.35">
      <c r="I26635" s="63"/>
      <c r="J26635" s="63"/>
    </row>
    <row r="26636" spans="9:10" x14ac:dyDescent="0.35">
      <c r="I26636" s="63"/>
      <c r="J26636" s="63"/>
    </row>
    <row r="26637" spans="9:10" x14ac:dyDescent="0.35">
      <c r="I26637" s="63"/>
      <c r="J26637" s="63"/>
    </row>
    <row r="26638" spans="9:10" x14ac:dyDescent="0.35">
      <c r="I26638" s="63"/>
      <c r="J26638" s="63"/>
    </row>
    <row r="26639" spans="9:10" x14ac:dyDescent="0.35">
      <c r="I26639" s="63"/>
      <c r="J26639" s="63"/>
    </row>
    <row r="26640" spans="9:10" x14ac:dyDescent="0.35">
      <c r="I26640" s="63"/>
      <c r="J26640" s="63"/>
    </row>
    <row r="26641" spans="9:10" x14ac:dyDescent="0.35">
      <c r="I26641" s="63"/>
      <c r="J26641" s="63"/>
    </row>
    <row r="26642" spans="9:10" x14ac:dyDescent="0.35">
      <c r="I26642" s="63"/>
      <c r="J26642" s="63"/>
    </row>
    <row r="26643" spans="9:10" x14ac:dyDescent="0.35">
      <c r="I26643" s="63"/>
      <c r="J26643" s="63"/>
    </row>
    <row r="26644" spans="9:10" x14ac:dyDescent="0.35">
      <c r="I26644" s="63"/>
      <c r="J26644" s="63"/>
    </row>
    <row r="26645" spans="9:10" x14ac:dyDescent="0.35">
      <c r="I26645" s="63"/>
      <c r="J26645" s="63"/>
    </row>
    <row r="26646" spans="9:10" x14ac:dyDescent="0.35">
      <c r="I26646" s="63"/>
      <c r="J26646" s="63"/>
    </row>
    <row r="26647" spans="9:10" x14ac:dyDescent="0.35">
      <c r="I26647" s="63"/>
      <c r="J26647" s="63"/>
    </row>
    <row r="26648" spans="9:10" x14ac:dyDescent="0.35">
      <c r="I26648" s="63"/>
      <c r="J26648" s="63"/>
    </row>
    <row r="26649" spans="9:10" x14ac:dyDescent="0.35">
      <c r="I26649" s="63"/>
      <c r="J26649" s="63"/>
    </row>
    <row r="26650" spans="9:10" x14ac:dyDescent="0.35">
      <c r="I26650" s="63"/>
      <c r="J26650" s="63"/>
    </row>
    <row r="26651" spans="9:10" x14ac:dyDescent="0.35">
      <c r="I26651" s="63"/>
      <c r="J26651" s="63"/>
    </row>
    <row r="26652" spans="9:10" x14ac:dyDescent="0.35">
      <c r="I26652" s="63"/>
      <c r="J26652" s="63"/>
    </row>
    <row r="26653" spans="9:10" x14ac:dyDescent="0.35">
      <c r="I26653" s="63"/>
      <c r="J26653" s="63"/>
    </row>
    <row r="26654" spans="9:10" x14ac:dyDescent="0.35">
      <c r="I26654" s="63"/>
      <c r="J26654" s="63"/>
    </row>
    <row r="26655" spans="9:10" x14ac:dyDescent="0.35">
      <c r="I26655" s="63"/>
      <c r="J26655" s="63"/>
    </row>
    <row r="26656" spans="9:10" x14ac:dyDescent="0.35">
      <c r="I26656" s="63"/>
      <c r="J26656" s="63"/>
    </row>
    <row r="26657" spans="9:10" x14ac:dyDescent="0.35">
      <c r="I26657" s="63"/>
      <c r="J26657" s="63"/>
    </row>
    <row r="26658" spans="9:10" x14ac:dyDescent="0.35">
      <c r="I26658" s="63"/>
      <c r="J26658" s="63"/>
    </row>
    <row r="26659" spans="9:10" x14ac:dyDescent="0.35">
      <c r="I26659" s="63"/>
      <c r="J26659" s="63"/>
    </row>
    <row r="26660" spans="9:10" x14ac:dyDescent="0.35">
      <c r="I26660" s="63"/>
      <c r="J26660" s="63"/>
    </row>
    <row r="26661" spans="9:10" x14ac:dyDescent="0.35">
      <c r="I26661" s="63"/>
      <c r="J26661" s="63"/>
    </row>
    <row r="26662" spans="9:10" x14ac:dyDescent="0.35">
      <c r="I26662" s="63"/>
      <c r="J26662" s="63"/>
    </row>
    <row r="26663" spans="9:10" x14ac:dyDescent="0.35">
      <c r="I26663" s="63"/>
      <c r="J26663" s="63"/>
    </row>
    <row r="26664" spans="9:10" x14ac:dyDescent="0.35">
      <c r="I26664" s="63"/>
      <c r="J26664" s="63"/>
    </row>
    <row r="26665" spans="9:10" x14ac:dyDescent="0.35">
      <c r="I26665" s="63"/>
      <c r="J26665" s="63"/>
    </row>
    <row r="26666" spans="9:10" x14ac:dyDescent="0.35">
      <c r="I26666" s="63"/>
      <c r="J26666" s="63"/>
    </row>
    <row r="26667" spans="9:10" x14ac:dyDescent="0.35">
      <c r="I26667" s="63"/>
      <c r="J26667" s="63"/>
    </row>
    <row r="26668" spans="9:10" x14ac:dyDescent="0.35">
      <c r="I26668" s="63"/>
      <c r="J26668" s="63"/>
    </row>
    <row r="26669" spans="9:10" x14ac:dyDescent="0.35">
      <c r="I26669" s="63"/>
      <c r="J26669" s="63"/>
    </row>
    <row r="26670" spans="9:10" x14ac:dyDescent="0.35">
      <c r="I26670" s="63"/>
      <c r="J26670" s="63"/>
    </row>
    <row r="26671" spans="9:10" x14ac:dyDescent="0.35">
      <c r="I26671" s="63"/>
      <c r="J26671" s="63"/>
    </row>
    <row r="26672" spans="9:10" x14ac:dyDescent="0.35">
      <c r="I26672" s="63"/>
      <c r="J26672" s="63"/>
    </row>
    <row r="26673" spans="9:10" x14ac:dyDescent="0.35">
      <c r="I26673" s="63"/>
      <c r="J26673" s="63"/>
    </row>
    <row r="26674" spans="9:10" x14ac:dyDescent="0.35">
      <c r="I26674" s="63"/>
      <c r="J26674" s="63"/>
    </row>
    <row r="26675" spans="9:10" x14ac:dyDescent="0.35">
      <c r="I26675" s="63"/>
      <c r="J26675" s="63"/>
    </row>
    <row r="26676" spans="9:10" x14ac:dyDescent="0.35">
      <c r="I26676" s="63"/>
      <c r="J26676" s="63"/>
    </row>
    <row r="26677" spans="9:10" x14ac:dyDescent="0.35">
      <c r="I26677" s="63"/>
      <c r="J26677" s="63"/>
    </row>
    <row r="26678" spans="9:10" x14ac:dyDescent="0.35">
      <c r="I26678" s="63"/>
      <c r="J26678" s="63"/>
    </row>
    <row r="26679" spans="9:10" x14ac:dyDescent="0.35">
      <c r="I26679" s="63"/>
      <c r="J26679" s="63"/>
    </row>
    <row r="26680" spans="9:10" x14ac:dyDescent="0.35">
      <c r="I26680" s="63"/>
      <c r="J26680" s="63"/>
    </row>
    <row r="26681" spans="9:10" x14ac:dyDescent="0.35">
      <c r="I26681" s="63"/>
      <c r="J26681" s="63"/>
    </row>
    <row r="26682" spans="9:10" x14ac:dyDescent="0.35">
      <c r="I26682" s="63"/>
      <c r="J26682" s="63"/>
    </row>
    <row r="26683" spans="9:10" x14ac:dyDescent="0.35">
      <c r="I26683" s="63"/>
      <c r="J26683" s="63"/>
    </row>
    <row r="26684" spans="9:10" x14ac:dyDescent="0.35">
      <c r="I26684" s="63"/>
      <c r="J26684" s="63"/>
    </row>
    <row r="26685" spans="9:10" x14ac:dyDescent="0.35">
      <c r="I26685" s="63"/>
      <c r="J26685" s="63"/>
    </row>
    <row r="26686" spans="9:10" x14ac:dyDescent="0.35">
      <c r="I26686" s="63"/>
      <c r="J26686" s="63"/>
    </row>
    <row r="26687" spans="9:10" x14ac:dyDescent="0.35">
      <c r="I26687" s="63"/>
      <c r="J26687" s="63"/>
    </row>
    <row r="26688" spans="9:10" x14ac:dyDescent="0.35">
      <c r="I26688" s="63"/>
      <c r="J26688" s="63"/>
    </row>
    <row r="26689" spans="9:10" x14ac:dyDescent="0.35">
      <c r="I26689" s="63"/>
      <c r="J26689" s="63"/>
    </row>
    <row r="26690" spans="9:10" x14ac:dyDescent="0.35">
      <c r="I26690" s="63"/>
      <c r="J26690" s="63"/>
    </row>
    <row r="26691" spans="9:10" x14ac:dyDescent="0.35">
      <c r="I26691" s="63"/>
      <c r="J26691" s="63"/>
    </row>
    <row r="26692" spans="9:10" x14ac:dyDescent="0.35">
      <c r="I26692" s="63"/>
      <c r="J26692" s="63"/>
    </row>
    <row r="26693" spans="9:10" x14ac:dyDescent="0.35">
      <c r="I26693" s="63"/>
      <c r="J26693" s="63"/>
    </row>
    <row r="26694" spans="9:10" x14ac:dyDescent="0.35">
      <c r="I26694" s="63"/>
      <c r="J26694" s="63"/>
    </row>
    <row r="26695" spans="9:10" x14ac:dyDescent="0.35">
      <c r="I26695" s="63"/>
      <c r="J26695" s="63"/>
    </row>
    <row r="26696" spans="9:10" x14ac:dyDescent="0.35">
      <c r="I26696" s="63"/>
      <c r="J26696" s="63"/>
    </row>
    <row r="26697" spans="9:10" x14ac:dyDescent="0.35">
      <c r="I26697" s="63"/>
      <c r="J26697" s="63"/>
    </row>
    <row r="26698" spans="9:10" x14ac:dyDescent="0.35">
      <c r="I26698" s="63"/>
      <c r="J26698" s="63"/>
    </row>
    <row r="26699" spans="9:10" x14ac:dyDescent="0.35">
      <c r="I26699" s="63"/>
      <c r="J26699" s="63"/>
    </row>
    <row r="26700" spans="9:10" x14ac:dyDescent="0.35">
      <c r="I26700" s="63"/>
      <c r="J26700" s="63"/>
    </row>
    <row r="26701" spans="9:10" x14ac:dyDescent="0.35">
      <c r="I26701" s="63"/>
      <c r="J26701" s="63"/>
    </row>
    <row r="26702" spans="9:10" x14ac:dyDescent="0.35">
      <c r="I26702" s="63"/>
      <c r="J26702" s="63"/>
    </row>
    <row r="26703" spans="9:10" x14ac:dyDescent="0.35">
      <c r="I26703" s="63"/>
      <c r="J26703" s="63"/>
    </row>
    <row r="26704" spans="9:10" x14ac:dyDescent="0.35">
      <c r="I26704" s="63"/>
      <c r="J26704" s="63"/>
    </row>
    <row r="26705" spans="9:10" x14ac:dyDescent="0.35">
      <c r="I26705" s="63"/>
      <c r="J26705" s="63"/>
    </row>
    <row r="26706" spans="9:10" x14ac:dyDescent="0.35">
      <c r="I26706" s="63"/>
      <c r="J26706" s="63"/>
    </row>
    <row r="26707" spans="9:10" x14ac:dyDescent="0.35">
      <c r="I26707" s="63"/>
      <c r="J26707" s="63"/>
    </row>
    <row r="26708" spans="9:10" x14ac:dyDescent="0.35">
      <c r="I26708" s="63"/>
      <c r="J26708" s="63"/>
    </row>
    <row r="26709" spans="9:10" x14ac:dyDescent="0.35">
      <c r="I26709" s="63"/>
      <c r="J26709" s="63"/>
    </row>
    <row r="26710" spans="9:10" x14ac:dyDescent="0.35">
      <c r="I26710" s="63"/>
      <c r="J26710" s="63"/>
    </row>
    <row r="26711" spans="9:10" x14ac:dyDescent="0.35">
      <c r="I26711" s="63"/>
      <c r="J26711" s="63"/>
    </row>
    <row r="26712" spans="9:10" x14ac:dyDescent="0.35">
      <c r="I26712" s="63"/>
      <c r="J26712" s="63"/>
    </row>
    <row r="26713" spans="9:10" x14ac:dyDescent="0.35">
      <c r="I26713" s="63"/>
      <c r="J26713" s="63"/>
    </row>
    <row r="26714" spans="9:10" x14ac:dyDescent="0.35">
      <c r="I26714" s="63"/>
      <c r="J26714" s="63"/>
    </row>
    <row r="26715" spans="9:10" x14ac:dyDescent="0.35">
      <c r="I26715" s="63"/>
      <c r="J26715" s="63"/>
    </row>
    <row r="26716" spans="9:10" x14ac:dyDescent="0.35">
      <c r="I26716" s="63"/>
      <c r="J26716" s="63"/>
    </row>
    <row r="26717" spans="9:10" x14ac:dyDescent="0.35">
      <c r="I26717" s="63"/>
      <c r="J26717" s="63"/>
    </row>
    <row r="26718" spans="9:10" x14ac:dyDescent="0.35">
      <c r="I26718" s="63"/>
      <c r="J26718" s="63"/>
    </row>
    <row r="26719" spans="9:10" x14ac:dyDescent="0.35">
      <c r="I26719" s="63"/>
      <c r="J26719" s="63"/>
    </row>
    <row r="26720" spans="9:10" x14ac:dyDescent="0.35">
      <c r="I26720" s="63"/>
      <c r="J26720" s="63"/>
    </row>
    <row r="26721" spans="9:10" x14ac:dyDescent="0.35">
      <c r="I26721" s="63"/>
      <c r="J26721" s="63"/>
    </row>
    <row r="26722" spans="9:10" x14ac:dyDescent="0.35">
      <c r="I26722" s="63"/>
      <c r="J26722" s="63"/>
    </row>
    <row r="26723" spans="9:10" x14ac:dyDescent="0.35">
      <c r="I26723" s="63"/>
      <c r="J26723" s="63"/>
    </row>
    <row r="26724" spans="9:10" x14ac:dyDescent="0.35">
      <c r="I26724" s="63"/>
      <c r="J26724" s="63"/>
    </row>
    <row r="26725" spans="9:10" x14ac:dyDescent="0.35">
      <c r="I26725" s="63"/>
      <c r="J26725" s="63"/>
    </row>
    <row r="26726" spans="9:10" x14ac:dyDescent="0.35">
      <c r="I26726" s="63"/>
      <c r="J26726" s="63"/>
    </row>
    <row r="26727" spans="9:10" x14ac:dyDescent="0.35">
      <c r="I26727" s="63"/>
      <c r="J26727" s="63"/>
    </row>
    <row r="26728" spans="9:10" x14ac:dyDescent="0.35">
      <c r="I26728" s="63"/>
      <c r="J26728" s="63"/>
    </row>
    <row r="26729" spans="9:10" x14ac:dyDescent="0.35">
      <c r="I26729" s="63"/>
      <c r="J26729" s="63"/>
    </row>
    <row r="26730" spans="9:10" x14ac:dyDescent="0.35">
      <c r="I26730" s="63"/>
      <c r="J26730" s="63"/>
    </row>
    <row r="26731" spans="9:10" x14ac:dyDescent="0.35">
      <c r="I26731" s="63"/>
      <c r="J26731" s="63"/>
    </row>
    <row r="26732" spans="9:10" x14ac:dyDescent="0.35">
      <c r="I26732" s="63"/>
      <c r="J26732" s="63"/>
    </row>
    <row r="26733" spans="9:10" x14ac:dyDescent="0.35">
      <c r="I26733" s="63"/>
      <c r="J26733" s="63"/>
    </row>
    <row r="26734" spans="9:10" x14ac:dyDescent="0.35">
      <c r="I26734" s="63"/>
      <c r="J26734" s="63"/>
    </row>
    <row r="26735" spans="9:10" x14ac:dyDescent="0.35">
      <c r="I26735" s="63"/>
      <c r="J26735" s="63"/>
    </row>
    <row r="26736" spans="9:10" x14ac:dyDescent="0.35">
      <c r="I26736" s="63"/>
      <c r="J26736" s="63"/>
    </row>
    <row r="26737" spans="9:10" x14ac:dyDescent="0.35">
      <c r="I26737" s="63"/>
      <c r="J26737" s="63"/>
    </row>
    <row r="26738" spans="9:10" x14ac:dyDescent="0.35">
      <c r="I26738" s="63"/>
      <c r="J26738" s="63"/>
    </row>
    <row r="26739" spans="9:10" x14ac:dyDescent="0.35">
      <c r="I26739" s="63"/>
      <c r="J26739" s="63"/>
    </row>
    <row r="26740" spans="9:10" x14ac:dyDescent="0.35">
      <c r="I26740" s="63"/>
      <c r="J26740" s="63"/>
    </row>
    <row r="26741" spans="9:10" x14ac:dyDescent="0.35">
      <c r="I26741" s="63"/>
      <c r="J26741" s="63"/>
    </row>
    <row r="26742" spans="9:10" x14ac:dyDescent="0.35">
      <c r="I26742" s="63"/>
      <c r="J26742" s="63"/>
    </row>
    <row r="26743" spans="9:10" x14ac:dyDescent="0.35">
      <c r="I26743" s="63"/>
      <c r="J26743" s="63"/>
    </row>
    <row r="26744" spans="9:10" x14ac:dyDescent="0.35">
      <c r="I26744" s="63"/>
      <c r="J26744" s="63"/>
    </row>
    <row r="26745" spans="9:10" x14ac:dyDescent="0.35">
      <c r="I26745" s="63"/>
      <c r="J26745" s="63"/>
    </row>
    <row r="26746" spans="9:10" x14ac:dyDescent="0.35">
      <c r="I26746" s="63"/>
      <c r="J26746" s="63"/>
    </row>
    <row r="26747" spans="9:10" x14ac:dyDescent="0.35">
      <c r="I26747" s="63"/>
      <c r="J26747" s="63"/>
    </row>
    <row r="26748" spans="9:10" x14ac:dyDescent="0.35">
      <c r="I26748" s="63"/>
      <c r="J26748" s="63"/>
    </row>
    <row r="26749" spans="9:10" x14ac:dyDescent="0.35">
      <c r="I26749" s="63"/>
      <c r="J26749" s="63"/>
    </row>
    <row r="26750" spans="9:10" x14ac:dyDescent="0.35">
      <c r="I26750" s="63"/>
      <c r="J26750" s="63"/>
    </row>
    <row r="26751" spans="9:10" x14ac:dyDescent="0.35">
      <c r="I26751" s="63"/>
      <c r="J26751" s="63"/>
    </row>
    <row r="26752" spans="9:10" x14ac:dyDescent="0.35">
      <c r="I26752" s="63"/>
      <c r="J26752" s="63"/>
    </row>
    <row r="26753" spans="9:10" x14ac:dyDescent="0.35">
      <c r="I26753" s="63"/>
      <c r="J26753" s="63"/>
    </row>
    <row r="26754" spans="9:10" x14ac:dyDescent="0.35">
      <c r="I26754" s="63"/>
      <c r="J26754" s="63"/>
    </row>
    <row r="26755" spans="9:10" x14ac:dyDescent="0.35">
      <c r="I26755" s="63"/>
      <c r="J26755" s="63"/>
    </row>
    <row r="26756" spans="9:10" x14ac:dyDescent="0.35">
      <c r="I26756" s="63"/>
      <c r="J26756" s="63"/>
    </row>
    <row r="26757" spans="9:10" x14ac:dyDescent="0.35">
      <c r="I26757" s="63"/>
      <c r="J26757" s="63"/>
    </row>
    <row r="26758" spans="9:10" x14ac:dyDescent="0.35">
      <c r="I26758" s="63"/>
      <c r="J26758" s="63"/>
    </row>
    <row r="26759" spans="9:10" x14ac:dyDescent="0.35">
      <c r="I26759" s="63"/>
      <c r="J26759" s="63"/>
    </row>
    <row r="26760" spans="9:10" x14ac:dyDescent="0.35">
      <c r="I26760" s="63"/>
      <c r="J26760" s="63"/>
    </row>
    <row r="26761" spans="9:10" x14ac:dyDescent="0.35">
      <c r="I26761" s="63"/>
      <c r="J26761" s="63"/>
    </row>
    <row r="26762" spans="9:10" x14ac:dyDescent="0.35">
      <c r="I26762" s="63"/>
      <c r="J26762" s="63"/>
    </row>
    <row r="26763" spans="9:10" x14ac:dyDescent="0.35">
      <c r="I26763" s="63"/>
      <c r="J26763" s="63"/>
    </row>
    <row r="26764" spans="9:10" x14ac:dyDescent="0.35">
      <c r="I26764" s="63"/>
      <c r="J26764" s="63"/>
    </row>
    <row r="26765" spans="9:10" x14ac:dyDescent="0.35">
      <c r="I26765" s="63"/>
      <c r="J26765" s="63"/>
    </row>
    <row r="26766" spans="9:10" x14ac:dyDescent="0.35">
      <c r="I26766" s="63"/>
      <c r="J26766" s="63"/>
    </row>
    <row r="26767" spans="9:10" x14ac:dyDescent="0.35">
      <c r="I26767" s="63"/>
      <c r="J26767" s="63"/>
    </row>
    <row r="26768" spans="9:10" x14ac:dyDescent="0.35">
      <c r="I26768" s="63"/>
      <c r="J26768" s="63"/>
    </row>
    <row r="26769" spans="9:10" x14ac:dyDescent="0.35">
      <c r="I26769" s="63"/>
      <c r="J26769" s="63"/>
    </row>
    <row r="26770" spans="9:10" x14ac:dyDescent="0.35">
      <c r="I26770" s="63"/>
      <c r="J26770" s="63"/>
    </row>
    <row r="26771" spans="9:10" x14ac:dyDescent="0.35">
      <c r="I26771" s="63"/>
      <c r="J26771" s="63"/>
    </row>
    <row r="26772" spans="9:10" x14ac:dyDescent="0.35">
      <c r="I26772" s="63"/>
      <c r="J26772" s="63"/>
    </row>
    <row r="26773" spans="9:10" x14ac:dyDescent="0.35">
      <c r="I26773" s="63"/>
      <c r="J26773" s="63"/>
    </row>
    <row r="26774" spans="9:10" x14ac:dyDescent="0.35">
      <c r="I26774" s="63"/>
      <c r="J26774" s="63"/>
    </row>
    <row r="26775" spans="9:10" x14ac:dyDescent="0.35">
      <c r="I26775" s="63"/>
      <c r="J26775" s="63"/>
    </row>
    <row r="26776" spans="9:10" x14ac:dyDescent="0.35">
      <c r="I26776" s="63"/>
      <c r="J26776" s="63"/>
    </row>
    <row r="26777" spans="9:10" x14ac:dyDescent="0.35">
      <c r="I26777" s="63"/>
      <c r="J26777" s="63"/>
    </row>
    <row r="26778" spans="9:10" x14ac:dyDescent="0.35">
      <c r="I26778" s="63"/>
      <c r="J26778" s="63"/>
    </row>
    <row r="26779" spans="9:10" x14ac:dyDescent="0.35">
      <c r="I26779" s="63"/>
      <c r="J26779" s="63"/>
    </row>
    <row r="26780" spans="9:10" x14ac:dyDescent="0.35">
      <c r="I26780" s="63"/>
      <c r="J26780" s="63"/>
    </row>
    <row r="26781" spans="9:10" x14ac:dyDescent="0.35">
      <c r="I26781" s="63"/>
      <c r="J26781" s="63"/>
    </row>
    <row r="26782" spans="9:10" x14ac:dyDescent="0.35">
      <c r="I26782" s="63"/>
      <c r="J26782" s="63"/>
    </row>
    <row r="26783" spans="9:10" x14ac:dyDescent="0.35">
      <c r="I26783" s="63"/>
      <c r="J26783" s="63"/>
    </row>
    <row r="26784" spans="9:10" x14ac:dyDescent="0.35">
      <c r="I26784" s="63"/>
      <c r="J26784" s="63"/>
    </row>
    <row r="26785" spans="9:10" x14ac:dyDescent="0.35">
      <c r="I26785" s="63"/>
      <c r="J26785" s="63"/>
    </row>
    <row r="26786" spans="9:10" x14ac:dyDescent="0.35">
      <c r="I26786" s="63"/>
      <c r="J26786" s="63"/>
    </row>
    <row r="26787" spans="9:10" x14ac:dyDescent="0.35">
      <c r="I26787" s="63"/>
      <c r="J26787" s="63"/>
    </row>
    <row r="26788" spans="9:10" x14ac:dyDescent="0.35">
      <c r="I26788" s="63"/>
      <c r="J26788" s="63"/>
    </row>
    <row r="26789" spans="9:10" x14ac:dyDescent="0.35">
      <c r="I26789" s="63"/>
      <c r="J26789" s="63"/>
    </row>
    <row r="26790" spans="9:10" x14ac:dyDescent="0.35">
      <c r="I26790" s="63"/>
      <c r="J26790" s="63"/>
    </row>
    <row r="26791" spans="9:10" x14ac:dyDescent="0.35">
      <c r="I26791" s="63"/>
      <c r="J26791" s="63"/>
    </row>
    <row r="26792" spans="9:10" x14ac:dyDescent="0.35">
      <c r="I26792" s="63"/>
      <c r="J26792" s="63"/>
    </row>
    <row r="26793" spans="9:10" x14ac:dyDescent="0.35">
      <c r="I26793" s="63"/>
      <c r="J26793" s="63"/>
    </row>
    <row r="26794" spans="9:10" x14ac:dyDescent="0.35">
      <c r="I26794" s="63"/>
      <c r="J26794" s="63"/>
    </row>
    <row r="26795" spans="9:10" x14ac:dyDescent="0.35">
      <c r="I26795" s="63"/>
      <c r="J26795" s="63"/>
    </row>
    <row r="26796" spans="9:10" x14ac:dyDescent="0.35">
      <c r="I26796" s="63"/>
      <c r="J26796" s="63"/>
    </row>
    <row r="26797" spans="9:10" x14ac:dyDescent="0.35">
      <c r="I26797" s="63"/>
      <c r="J26797" s="63"/>
    </row>
    <row r="26798" spans="9:10" x14ac:dyDescent="0.35">
      <c r="I26798" s="63"/>
      <c r="J26798" s="63"/>
    </row>
    <row r="26799" spans="9:10" x14ac:dyDescent="0.35">
      <c r="I26799" s="63"/>
      <c r="J26799" s="63"/>
    </row>
    <row r="26800" spans="9:10" x14ac:dyDescent="0.35">
      <c r="I26800" s="63"/>
      <c r="J26800" s="63"/>
    </row>
    <row r="26801" spans="9:10" x14ac:dyDescent="0.35">
      <c r="I26801" s="63"/>
      <c r="J26801" s="63"/>
    </row>
    <row r="26802" spans="9:10" x14ac:dyDescent="0.35">
      <c r="I26802" s="63"/>
      <c r="J26802" s="63"/>
    </row>
    <row r="26803" spans="9:10" x14ac:dyDescent="0.35">
      <c r="I26803" s="63"/>
      <c r="J26803" s="63"/>
    </row>
    <row r="26804" spans="9:10" x14ac:dyDescent="0.35">
      <c r="I26804" s="63"/>
      <c r="J26804" s="63"/>
    </row>
    <row r="26805" spans="9:10" x14ac:dyDescent="0.35">
      <c r="I26805" s="63"/>
      <c r="J26805" s="63"/>
    </row>
    <row r="26806" spans="9:10" x14ac:dyDescent="0.35">
      <c r="I26806" s="63"/>
      <c r="J26806" s="63"/>
    </row>
    <row r="26807" spans="9:10" x14ac:dyDescent="0.35">
      <c r="I26807" s="63"/>
      <c r="J26807" s="63"/>
    </row>
    <row r="26808" spans="9:10" x14ac:dyDescent="0.35">
      <c r="I26808" s="63"/>
      <c r="J26808" s="63"/>
    </row>
    <row r="26809" spans="9:10" x14ac:dyDescent="0.35">
      <c r="I26809" s="63"/>
      <c r="J26809" s="63"/>
    </row>
    <row r="26810" spans="9:10" x14ac:dyDescent="0.35">
      <c r="I26810" s="63"/>
      <c r="J26810" s="63"/>
    </row>
    <row r="26811" spans="9:10" x14ac:dyDescent="0.35">
      <c r="I26811" s="63"/>
      <c r="J26811" s="63"/>
    </row>
    <row r="26812" spans="9:10" x14ac:dyDescent="0.35">
      <c r="I26812" s="63"/>
      <c r="J26812" s="63"/>
    </row>
    <row r="26813" spans="9:10" x14ac:dyDescent="0.35">
      <c r="I26813" s="63"/>
      <c r="J26813" s="63"/>
    </row>
    <row r="26814" spans="9:10" x14ac:dyDescent="0.35">
      <c r="I26814" s="63"/>
      <c r="J26814" s="63"/>
    </row>
    <row r="26815" spans="9:10" x14ac:dyDescent="0.35">
      <c r="I26815" s="63"/>
      <c r="J26815" s="63"/>
    </row>
    <row r="26816" spans="9:10" x14ac:dyDescent="0.35">
      <c r="I26816" s="63"/>
      <c r="J26816" s="63"/>
    </row>
    <row r="26817" spans="9:10" x14ac:dyDescent="0.35">
      <c r="I26817" s="63"/>
      <c r="J26817" s="63"/>
    </row>
    <row r="26818" spans="9:10" x14ac:dyDescent="0.35">
      <c r="I26818" s="63"/>
      <c r="J26818" s="63"/>
    </row>
    <row r="26819" spans="9:10" x14ac:dyDescent="0.35">
      <c r="I26819" s="63"/>
      <c r="J26819" s="63"/>
    </row>
    <row r="26820" spans="9:10" x14ac:dyDescent="0.35">
      <c r="I26820" s="63"/>
      <c r="J26820" s="63"/>
    </row>
    <row r="26821" spans="9:10" x14ac:dyDescent="0.35">
      <c r="I26821" s="63"/>
      <c r="J26821" s="63"/>
    </row>
    <row r="26822" spans="9:10" x14ac:dyDescent="0.35">
      <c r="I26822" s="63"/>
      <c r="J26822" s="63"/>
    </row>
    <row r="26823" spans="9:10" x14ac:dyDescent="0.35">
      <c r="I26823" s="63"/>
      <c r="J26823" s="63"/>
    </row>
    <row r="26824" spans="9:10" x14ac:dyDescent="0.35">
      <c r="I26824" s="63"/>
      <c r="J26824" s="63"/>
    </row>
    <row r="26825" spans="9:10" x14ac:dyDescent="0.35">
      <c r="I26825" s="63"/>
      <c r="J26825" s="63"/>
    </row>
    <row r="26826" spans="9:10" x14ac:dyDescent="0.35">
      <c r="I26826" s="63"/>
      <c r="J26826" s="63"/>
    </row>
    <row r="26827" spans="9:10" x14ac:dyDescent="0.35">
      <c r="I26827" s="63"/>
      <c r="J26827" s="63"/>
    </row>
    <row r="26828" spans="9:10" x14ac:dyDescent="0.35">
      <c r="I26828" s="63"/>
      <c r="J26828" s="63"/>
    </row>
    <row r="26829" spans="9:10" x14ac:dyDescent="0.35">
      <c r="I26829" s="63"/>
      <c r="J26829" s="63"/>
    </row>
    <row r="26830" spans="9:10" x14ac:dyDescent="0.35">
      <c r="I26830" s="63"/>
      <c r="J26830" s="63"/>
    </row>
    <row r="26831" spans="9:10" x14ac:dyDescent="0.35">
      <c r="I26831" s="63"/>
      <c r="J26831" s="63"/>
    </row>
    <row r="26832" spans="9:10" x14ac:dyDescent="0.35">
      <c r="I26832" s="63"/>
      <c r="J26832" s="63"/>
    </row>
    <row r="26833" spans="9:10" x14ac:dyDescent="0.35">
      <c r="I26833" s="63"/>
      <c r="J26833" s="63"/>
    </row>
    <row r="26834" spans="9:10" x14ac:dyDescent="0.35">
      <c r="I26834" s="63"/>
      <c r="J26834" s="63"/>
    </row>
    <row r="26835" spans="9:10" x14ac:dyDescent="0.35">
      <c r="I26835" s="63"/>
      <c r="J26835" s="63"/>
    </row>
    <row r="26836" spans="9:10" x14ac:dyDescent="0.35">
      <c r="I26836" s="63"/>
      <c r="J26836" s="63"/>
    </row>
    <row r="26837" spans="9:10" x14ac:dyDescent="0.35">
      <c r="I26837" s="63"/>
      <c r="J26837" s="63"/>
    </row>
    <row r="26838" spans="9:10" x14ac:dyDescent="0.35">
      <c r="I26838" s="63"/>
      <c r="J26838" s="63"/>
    </row>
    <row r="26839" spans="9:10" x14ac:dyDescent="0.35">
      <c r="I26839" s="63"/>
      <c r="J26839" s="63"/>
    </row>
    <row r="26840" spans="9:10" x14ac:dyDescent="0.35">
      <c r="I26840" s="63"/>
      <c r="J26840" s="63"/>
    </row>
    <row r="26841" spans="9:10" x14ac:dyDescent="0.35">
      <c r="I26841" s="63"/>
      <c r="J26841" s="63"/>
    </row>
    <row r="26842" spans="9:10" x14ac:dyDescent="0.35">
      <c r="I26842" s="63"/>
      <c r="J26842" s="63"/>
    </row>
    <row r="26843" spans="9:10" x14ac:dyDescent="0.35">
      <c r="I26843" s="63"/>
      <c r="J26843" s="63"/>
    </row>
    <row r="26844" spans="9:10" x14ac:dyDescent="0.35">
      <c r="I26844" s="63"/>
      <c r="J26844" s="63"/>
    </row>
    <row r="26845" spans="9:10" x14ac:dyDescent="0.35">
      <c r="I26845" s="63"/>
      <c r="J26845" s="63"/>
    </row>
    <row r="26846" spans="9:10" x14ac:dyDescent="0.35">
      <c r="I26846" s="63"/>
      <c r="J26846" s="63"/>
    </row>
    <row r="26847" spans="9:10" x14ac:dyDescent="0.35">
      <c r="I26847" s="63"/>
      <c r="J26847" s="63"/>
    </row>
    <row r="26848" spans="9:10" x14ac:dyDescent="0.35">
      <c r="I26848" s="63"/>
      <c r="J26848" s="63"/>
    </row>
    <row r="26849" spans="9:10" x14ac:dyDescent="0.35">
      <c r="I26849" s="63"/>
      <c r="J26849" s="63"/>
    </row>
    <row r="26850" spans="9:10" x14ac:dyDescent="0.35">
      <c r="I26850" s="63"/>
      <c r="J26850" s="63"/>
    </row>
    <row r="26851" spans="9:10" x14ac:dyDescent="0.35">
      <c r="I26851" s="63"/>
      <c r="J26851" s="63"/>
    </row>
    <row r="26852" spans="9:10" x14ac:dyDescent="0.35">
      <c r="I26852" s="63"/>
      <c r="J26852" s="63"/>
    </row>
    <row r="26853" spans="9:10" x14ac:dyDescent="0.35">
      <c r="I26853" s="63"/>
      <c r="J26853" s="63"/>
    </row>
    <row r="26854" spans="9:10" x14ac:dyDescent="0.35">
      <c r="I26854" s="63"/>
      <c r="J26854" s="63"/>
    </row>
    <row r="26855" spans="9:10" x14ac:dyDescent="0.35">
      <c r="I26855" s="63"/>
      <c r="J26855" s="63"/>
    </row>
    <row r="26856" spans="9:10" x14ac:dyDescent="0.35">
      <c r="I26856" s="63"/>
      <c r="J26856" s="63"/>
    </row>
    <row r="26857" spans="9:10" x14ac:dyDescent="0.35">
      <c r="I26857" s="63"/>
      <c r="J26857" s="63"/>
    </row>
    <row r="26858" spans="9:10" x14ac:dyDescent="0.35">
      <c r="I26858" s="63"/>
      <c r="J26858" s="63"/>
    </row>
    <row r="26859" spans="9:10" x14ac:dyDescent="0.35">
      <c r="I26859" s="63"/>
      <c r="J26859" s="63"/>
    </row>
    <row r="26860" spans="9:10" x14ac:dyDescent="0.35">
      <c r="I26860" s="63"/>
      <c r="J26860" s="63"/>
    </row>
    <row r="26861" spans="9:10" x14ac:dyDescent="0.35">
      <c r="I26861" s="63"/>
      <c r="J26861" s="63"/>
    </row>
    <row r="26862" spans="9:10" x14ac:dyDescent="0.35">
      <c r="I26862" s="63"/>
      <c r="J26862" s="63"/>
    </row>
    <row r="26863" spans="9:10" x14ac:dyDescent="0.35">
      <c r="I26863" s="63"/>
      <c r="J26863" s="63"/>
    </row>
    <row r="26864" spans="9:10" x14ac:dyDescent="0.35">
      <c r="I26864" s="63"/>
      <c r="J26864" s="63"/>
    </row>
    <row r="26865" spans="9:10" x14ac:dyDescent="0.35">
      <c r="I26865" s="63"/>
      <c r="J26865" s="63"/>
    </row>
    <row r="26866" spans="9:10" x14ac:dyDescent="0.35">
      <c r="I26866" s="63"/>
      <c r="J26866" s="63"/>
    </row>
    <row r="26867" spans="9:10" x14ac:dyDescent="0.35">
      <c r="I26867" s="63"/>
      <c r="J26867" s="63"/>
    </row>
    <row r="26868" spans="9:10" x14ac:dyDescent="0.35">
      <c r="I26868" s="63"/>
      <c r="J26868" s="63"/>
    </row>
    <row r="26869" spans="9:10" x14ac:dyDescent="0.35">
      <c r="I26869" s="63"/>
      <c r="J26869" s="63"/>
    </row>
    <row r="26870" spans="9:10" x14ac:dyDescent="0.35">
      <c r="I26870" s="63"/>
      <c r="J26870" s="63"/>
    </row>
    <row r="26871" spans="9:10" x14ac:dyDescent="0.35">
      <c r="I26871" s="63"/>
      <c r="J26871" s="63"/>
    </row>
    <row r="26872" spans="9:10" x14ac:dyDescent="0.35">
      <c r="I26872" s="63"/>
      <c r="J26872" s="63"/>
    </row>
    <row r="26873" spans="9:10" x14ac:dyDescent="0.35">
      <c r="I26873" s="63"/>
      <c r="J26873" s="63"/>
    </row>
    <row r="26874" spans="9:10" x14ac:dyDescent="0.35">
      <c r="I26874" s="63"/>
      <c r="J26874" s="63"/>
    </row>
    <row r="26875" spans="9:10" x14ac:dyDescent="0.35">
      <c r="I26875" s="63"/>
      <c r="J26875" s="63"/>
    </row>
    <row r="26876" spans="9:10" x14ac:dyDescent="0.35">
      <c r="I26876" s="63"/>
      <c r="J26876" s="63"/>
    </row>
    <row r="26877" spans="9:10" x14ac:dyDescent="0.35">
      <c r="I26877" s="63"/>
      <c r="J26877" s="63"/>
    </row>
    <row r="26878" spans="9:10" x14ac:dyDescent="0.35">
      <c r="I26878" s="63"/>
      <c r="J26878" s="63"/>
    </row>
    <row r="26879" spans="9:10" x14ac:dyDescent="0.35">
      <c r="I26879" s="63"/>
      <c r="J26879" s="63"/>
    </row>
    <row r="26880" spans="9:10" x14ac:dyDescent="0.35">
      <c r="I26880" s="63"/>
      <c r="J26880" s="63"/>
    </row>
    <row r="26881" spans="9:10" x14ac:dyDescent="0.35">
      <c r="I26881" s="63"/>
      <c r="J26881" s="63"/>
    </row>
    <row r="26882" spans="9:10" x14ac:dyDescent="0.35">
      <c r="I26882" s="63"/>
      <c r="J26882" s="63"/>
    </row>
    <row r="26883" spans="9:10" x14ac:dyDescent="0.35">
      <c r="I26883" s="63"/>
      <c r="J26883" s="63"/>
    </row>
    <row r="26884" spans="9:10" x14ac:dyDescent="0.35">
      <c r="I26884" s="63"/>
      <c r="J26884" s="63"/>
    </row>
    <row r="26885" spans="9:10" x14ac:dyDescent="0.35">
      <c r="I26885" s="63"/>
      <c r="J26885" s="63"/>
    </row>
    <row r="26886" spans="9:10" x14ac:dyDescent="0.35">
      <c r="I26886" s="63"/>
      <c r="J26886" s="63"/>
    </row>
    <row r="26887" spans="9:10" x14ac:dyDescent="0.35">
      <c r="I26887" s="63"/>
      <c r="J26887" s="63"/>
    </row>
    <row r="26888" spans="9:10" x14ac:dyDescent="0.35">
      <c r="I26888" s="63"/>
      <c r="J26888" s="63"/>
    </row>
    <row r="26889" spans="9:10" x14ac:dyDescent="0.35">
      <c r="I26889" s="63"/>
      <c r="J26889" s="63"/>
    </row>
    <row r="26890" spans="9:10" x14ac:dyDescent="0.35">
      <c r="I26890" s="63"/>
      <c r="J26890" s="63"/>
    </row>
    <row r="26891" spans="9:10" x14ac:dyDescent="0.35">
      <c r="I26891" s="63"/>
      <c r="J26891" s="63"/>
    </row>
    <row r="26892" spans="9:10" x14ac:dyDescent="0.35">
      <c r="I26892" s="63"/>
      <c r="J26892" s="63"/>
    </row>
    <row r="26893" spans="9:10" x14ac:dyDescent="0.35">
      <c r="I26893" s="63"/>
      <c r="J26893" s="63"/>
    </row>
    <row r="26894" spans="9:10" x14ac:dyDescent="0.35">
      <c r="I26894" s="63"/>
      <c r="J26894" s="63"/>
    </row>
    <row r="26895" spans="9:10" x14ac:dyDescent="0.35">
      <c r="I26895" s="63"/>
      <c r="J26895" s="63"/>
    </row>
    <row r="26896" spans="9:10" x14ac:dyDescent="0.35">
      <c r="I26896" s="63"/>
      <c r="J26896" s="63"/>
    </row>
    <row r="26897" spans="9:10" x14ac:dyDescent="0.35">
      <c r="I26897" s="63"/>
      <c r="J26897" s="63"/>
    </row>
    <row r="26898" spans="9:10" x14ac:dyDescent="0.35">
      <c r="I26898" s="63"/>
      <c r="J26898" s="63"/>
    </row>
    <row r="26899" spans="9:10" x14ac:dyDescent="0.35">
      <c r="I26899" s="63"/>
      <c r="J26899" s="63"/>
    </row>
    <row r="26900" spans="9:10" x14ac:dyDescent="0.35">
      <c r="I26900" s="63"/>
      <c r="J26900" s="63"/>
    </row>
    <row r="26901" spans="9:10" x14ac:dyDescent="0.35">
      <c r="I26901" s="63"/>
      <c r="J26901" s="63"/>
    </row>
    <row r="26902" spans="9:10" x14ac:dyDescent="0.35">
      <c r="I26902" s="63"/>
      <c r="J26902" s="63"/>
    </row>
    <row r="26903" spans="9:10" x14ac:dyDescent="0.35">
      <c r="I26903" s="63"/>
      <c r="J26903" s="63"/>
    </row>
    <row r="26904" spans="9:10" x14ac:dyDescent="0.35">
      <c r="I26904" s="63"/>
      <c r="J26904" s="63"/>
    </row>
    <row r="26905" spans="9:10" x14ac:dyDescent="0.35">
      <c r="I26905" s="63"/>
      <c r="J26905" s="63"/>
    </row>
    <row r="26906" spans="9:10" x14ac:dyDescent="0.35">
      <c r="I26906" s="63"/>
      <c r="J26906" s="63"/>
    </row>
    <row r="26907" spans="9:10" x14ac:dyDescent="0.35">
      <c r="I26907" s="63"/>
      <c r="J26907" s="63"/>
    </row>
    <row r="26908" spans="9:10" x14ac:dyDescent="0.35">
      <c r="I26908" s="63"/>
      <c r="J26908" s="63"/>
    </row>
    <row r="26909" spans="9:10" x14ac:dyDescent="0.35">
      <c r="I26909" s="63"/>
      <c r="J26909" s="63"/>
    </row>
    <row r="26910" spans="9:10" x14ac:dyDescent="0.35">
      <c r="I26910" s="63"/>
      <c r="J26910" s="63"/>
    </row>
    <row r="26911" spans="9:10" x14ac:dyDescent="0.35">
      <c r="I26911" s="63"/>
      <c r="J26911" s="63"/>
    </row>
    <row r="26912" spans="9:10" x14ac:dyDescent="0.35">
      <c r="I26912" s="63"/>
      <c r="J26912" s="63"/>
    </row>
    <row r="26913" spans="9:10" x14ac:dyDescent="0.35">
      <c r="I26913" s="63"/>
      <c r="J26913" s="63"/>
    </row>
    <row r="26914" spans="9:10" x14ac:dyDescent="0.35">
      <c r="I26914" s="63"/>
      <c r="J26914" s="63"/>
    </row>
    <row r="26915" spans="9:10" x14ac:dyDescent="0.35">
      <c r="I26915" s="63"/>
      <c r="J26915" s="63"/>
    </row>
    <row r="26916" spans="9:10" x14ac:dyDescent="0.35">
      <c r="I26916" s="63"/>
      <c r="J26916" s="63"/>
    </row>
    <row r="26917" spans="9:10" x14ac:dyDescent="0.35">
      <c r="I26917" s="63"/>
      <c r="J26917" s="63"/>
    </row>
    <row r="26918" spans="9:10" x14ac:dyDescent="0.35">
      <c r="I26918" s="63"/>
      <c r="J26918" s="63"/>
    </row>
    <row r="26919" spans="9:10" x14ac:dyDescent="0.35">
      <c r="I26919" s="63"/>
      <c r="J26919" s="63"/>
    </row>
    <row r="26920" spans="9:10" x14ac:dyDescent="0.35">
      <c r="I26920" s="63"/>
      <c r="J26920" s="63"/>
    </row>
    <row r="26921" spans="9:10" x14ac:dyDescent="0.35">
      <c r="I26921" s="63"/>
      <c r="J26921" s="63"/>
    </row>
    <row r="26922" spans="9:10" x14ac:dyDescent="0.35">
      <c r="I26922" s="63"/>
      <c r="J26922" s="63"/>
    </row>
    <row r="26923" spans="9:10" x14ac:dyDescent="0.35">
      <c r="I26923" s="63"/>
      <c r="J26923" s="63"/>
    </row>
    <row r="26924" spans="9:10" x14ac:dyDescent="0.35">
      <c r="I26924" s="63"/>
      <c r="J26924" s="63"/>
    </row>
    <row r="26925" spans="9:10" x14ac:dyDescent="0.35">
      <c r="I26925" s="63"/>
      <c r="J26925" s="63"/>
    </row>
    <row r="26926" spans="9:10" x14ac:dyDescent="0.35">
      <c r="I26926" s="63"/>
      <c r="J26926" s="63"/>
    </row>
    <row r="26927" spans="9:10" x14ac:dyDescent="0.35">
      <c r="I26927" s="63"/>
      <c r="J26927" s="63"/>
    </row>
    <row r="26928" spans="9:10" x14ac:dyDescent="0.35">
      <c r="I26928" s="63"/>
      <c r="J26928" s="63"/>
    </row>
    <row r="26929" spans="9:10" x14ac:dyDescent="0.35">
      <c r="I26929" s="63"/>
      <c r="J26929" s="63"/>
    </row>
    <row r="26930" spans="9:10" x14ac:dyDescent="0.35">
      <c r="I26930" s="63"/>
      <c r="J26930" s="63"/>
    </row>
    <row r="26931" spans="9:10" x14ac:dyDescent="0.35">
      <c r="I26931" s="63"/>
      <c r="J26931" s="63"/>
    </row>
    <row r="26932" spans="9:10" x14ac:dyDescent="0.35">
      <c r="I26932" s="63"/>
      <c r="J26932" s="63"/>
    </row>
    <row r="26933" spans="9:10" x14ac:dyDescent="0.35">
      <c r="I26933" s="63"/>
      <c r="J26933" s="63"/>
    </row>
    <row r="26934" spans="9:10" x14ac:dyDescent="0.35">
      <c r="I26934" s="63"/>
      <c r="J26934" s="63"/>
    </row>
    <row r="26935" spans="9:10" x14ac:dyDescent="0.35">
      <c r="I26935" s="63"/>
      <c r="J26935" s="63"/>
    </row>
    <row r="26936" spans="9:10" x14ac:dyDescent="0.35">
      <c r="I26936" s="63"/>
      <c r="J26936" s="63"/>
    </row>
    <row r="26937" spans="9:10" x14ac:dyDescent="0.35">
      <c r="I26937" s="63"/>
      <c r="J26937" s="63"/>
    </row>
    <row r="26938" spans="9:10" x14ac:dyDescent="0.35">
      <c r="I26938" s="63"/>
      <c r="J26938" s="63"/>
    </row>
    <row r="26939" spans="9:10" x14ac:dyDescent="0.35">
      <c r="I26939" s="63"/>
      <c r="J26939" s="63"/>
    </row>
    <row r="26940" spans="9:10" x14ac:dyDescent="0.35">
      <c r="I26940" s="63"/>
      <c r="J26940" s="63"/>
    </row>
    <row r="26941" spans="9:10" x14ac:dyDescent="0.35">
      <c r="I26941" s="63"/>
      <c r="J26941" s="63"/>
    </row>
    <row r="26942" spans="9:10" x14ac:dyDescent="0.35">
      <c r="I26942" s="63"/>
      <c r="J26942" s="63"/>
    </row>
    <row r="26943" spans="9:10" x14ac:dyDescent="0.35">
      <c r="I26943" s="63"/>
      <c r="J26943" s="63"/>
    </row>
    <row r="26944" spans="9:10" x14ac:dyDescent="0.35">
      <c r="I26944" s="63"/>
      <c r="J26944" s="63"/>
    </row>
    <row r="26945" spans="9:10" x14ac:dyDescent="0.35">
      <c r="I26945" s="63"/>
      <c r="J26945" s="63"/>
    </row>
    <row r="26946" spans="9:10" x14ac:dyDescent="0.35">
      <c r="I26946" s="63"/>
      <c r="J26946" s="63"/>
    </row>
    <row r="26947" spans="9:10" x14ac:dyDescent="0.35">
      <c r="I26947" s="63"/>
      <c r="J26947" s="63"/>
    </row>
    <row r="26948" spans="9:10" x14ac:dyDescent="0.35">
      <c r="I26948" s="63"/>
      <c r="J26948" s="63"/>
    </row>
    <row r="26949" spans="9:10" x14ac:dyDescent="0.35">
      <c r="I26949" s="63"/>
      <c r="J26949" s="63"/>
    </row>
    <row r="26950" spans="9:10" x14ac:dyDescent="0.35">
      <c r="I26950" s="63"/>
      <c r="J26950" s="63"/>
    </row>
    <row r="26951" spans="9:10" x14ac:dyDescent="0.35">
      <c r="I26951" s="63"/>
      <c r="J26951" s="63"/>
    </row>
    <row r="26952" spans="9:10" x14ac:dyDescent="0.35">
      <c r="I26952" s="63"/>
      <c r="J26952" s="63"/>
    </row>
    <row r="26953" spans="9:10" x14ac:dyDescent="0.35">
      <c r="I26953" s="63"/>
      <c r="J26953" s="63"/>
    </row>
    <row r="26954" spans="9:10" x14ac:dyDescent="0.35">
      <c r="I26954" s="63"/>
      <c r="J26954" s="63"/>
    </row>
    <row r="26955" spans="9:10" x14ac:dyDescent="0.35">
      <c r="I26955" s="63"/>
      <c r="J26955" s="63"/>
    </row>
    <row r="26956" spans="9:10" x14ac:dyDescent="0.35">
      <c r="I26956" s="63"/>
      <c r="J26956" s="63"/>
    </row>
    <row r="26957" spans="9:10" x14ac:dyDescent="0.35">
      <c r="I26957" s="63"/>
      <c r="J26957" s="63"/>
    </row>
    <row r="26958" spans="9:10" x14ac:dyDescent="0.35">
      <c r="I26958" s="63"/>
      <c r="J26958" s="63"/>
    </row>
    <row r="26959" spans="9:10" x14ac:dyDescent="0.35">
      <c r="I26959" s="63"/>
      <c r="J26959" s="63"/>
    </row>
    <row r="26960" spans="9:10" x14ac:dyDescent="0.35">
      <c r="I26960" s="63"/>
      <c r="J26960" s="63"/>
    </row>
    <row r="26961" spans="9:10" x14ac:dyDescent="0.35">
      <c r="I26961" s="63"/>
      <c r="J26961" s="63"/>
    </row>
    <row r="26962" spans="9:10" x14ac:dyDescent="0.35">
      <c r="I26962" s="63"/>
      <c r="J26962" s="63"/>
    </row>
    <row r="26963" spans="9:10" x14ac:dyDescent="0.35">
      <c r="I26963" s="63"/>
      <c r="J26963" s="63"/>
    </row>
    <row r="26964" spans="9:10" x14ac:dyDescent="0.35">
      <c r="I26964" s="63"/>
      <c r="J26964" s="63"/>
    </row>
    <row r="26965" spans="9:10" x14ac:dyDescent="0.35">
      <c r="I26965" s="63"/>
      <c r="J26965" s="63"/>
    </row>
    <row r="26966" spans="9:10" x14ac:dyDescent="0.35">
      <c r="I26966" s="63"/>
      <c r="J26966" s="63"/>
    </row>
    <row r="26967" spans="9:10" x14ac:dyDescent="0.35">
      <c r="I26967" s="63"/>
      <c r="J26967" s="63"/>
    </row>
    <row r="26968" spans="9:10" x14ac:dyDescent="0.35">
      <c r="I26968" s="63"/>
      <c r="J26968" s="63"/>
    </row>
    <row r="26969" spans="9:10" x14ac:dyDescent="0.35">
      <c r="I26969" s="63"/>
      <c r="J26969" s="63"/>
    </row>
    <row r="26970" spans="9:10" x14ac:dyDescent="0.35">
      <c r="I26970" s="63"/>
      <c r="J26970" s="63"/>
    </row>
    <row r="26971" spans="9:10" x14ac:dyDescent="0.35">
      <c r="I26971" s="63"/>
      <c r="J26971" s="63"/>
    </row>
    <row r="26972" spans="9:10" x14ac:dyDescent="0.35">
      <c r="I26972" s="63"/>
      <c r="J26972" s="63"/>
    </row>
    <row r="26973" spans="9:10" x14ac:dyDescent="0.35">
      <c r="I26973" s="63"/>
      <c r="J26973" s="63"/>
    </row>
    <row r="26974" spans="9:10" x14ac:dyDescent="0.35">
      <c r="I26974" s="63"/>
      <c r="J26974" s="63"/>
    </row>
    <row r="26975" spans="9:10" x14ac:dyDescent="0.35">
      <c r="I26975" s="63"/>
      <c r="J26975" s="63"/>
    </row>
    <row r="26976" spans="9:10" x14ac:dyDescent="0.35">
      <c r="I26976" s="63"/>
      <c r="J26976" s="63"/>
    </row>
    <row r="26977" spans="9:10" x14ac:dyDescent="0.35">
      <c r="I26977" s="63"/>
      <c r="J26977" s="63"/>
    </row>
    <row r="26978" spans="9:10" x14ac:dyDescent="0.35">
      <c r="I26978" s="63"/>
      <c r="J26978" s="63"/>
    </row>
    <row r="26979" spans="9:10" x14ac:dyDescent="0.35">
      <c r="I26979" s="63"/>
      <c r="J26979" s="63"/>
    </row>
    <row r="26980" spans="9:10" x14ac:dyDescent="0.35">
      <c r="I26980" s="63"/>
      <c r="J26980" s="63"/>
    </row>
    <row r="26981" spans="9:10" x14ac:dyDescent="0.35">
      <c r="I26981" s="63"/>
      <c r="J26981" s="63"/>
    </row>
    <row r="26982" spans="9:10" x14ac:dyDescent="0.35">
      <c r="I26982" s="63"/>
      <c r="J26982" s="63"/>
    </row>
    <row r="26983" spans="9:10" x14ac:dyDescent="0.35">
      <c r="I26983" s="63"/>
      <c r="J26983" s="63"/>
    </row>
    <row r="26984" spans="9:10" x14ac:dyDescent="0.35">
      <c r="I26984" s="63"/>
      <c r="J26984" s="63"/>
    </row>
    <row r="26985" spans="9:10" x14ac:dyDescent="0.35">
      <c r="I26985" s="63"/>
      <c r="J26985" s="63"/>
    </row>
    <row r="26986" spans="9:10" x14ac:dyDescent="0.35">
      <c r="I26986" s="63"/>
      <c r="J26986" s="63"/>
    </row>
    <row r="26987" spans="9:10" x14ac:dyDescent="0.35">
      <c r="I26987" s="63"/>
      <c r="J26987" s="63"/>
    </row>
    <row r="26988" spans="9:10" x14ac:dyDescent="0.35">
      <c r="I26988" s="63"/>
      <c r="J26988" s="63"/>
    </row>
    <row r="26989" spans="9:10" x14ac:dyDescent="0.35">
      <c r="I26989" s="63"/>
      <c r="J26989" s="63"/>
    </row>
    <row r="26990" spans="9:10" x14ac:dyDescent="0.35">
      <c r="I26990" s="63"/>
      <c r="J26990" s="63"/>
    </row>
    <row r="26991" spans="9:10" x14ac:dyDescent="0.35">
      <c r="I26991" s="63"/>
      <c r="J26991" s="63"/>
    </row>
    <row r="26992" spans="9:10" x14ac:dyDescent="0.35">
      <c r="I26992" s="63"/>
      <c r="J26992" s="63"/>
    </row>
    <row r="26993" spans="9:10" x14ac:dyDescent="0.35">
      <c r="I26993" s="63"/>
      <c r="J26993" s="63"/>
    </row>
    <row r="26994" spans="9:10" x14ac:dyDescent="0.35">
      <c r="I26994" s="63"/>
      <c r="J26994" s="63"/>
    </row>
    <row r="26995" spans="9:10" x14ac:dyDescent="0.35">
      <c r="I26995" s="63"/>
      <c r="J26995" s="63"/>
    </row>
    <row r="26996" spans="9:10" x14ac:dyDescent="0.35">
      <c r="I26996" s="63"/>
      <c r="J26996" s="63"/>
    </row>
    <row r="26997" spans="9:10" x14ac:dyDescent="0.35">
      <c r="I26997" s="63"/>
      <c r="J26997" s="63"/>
    </row>
    <row r="26998" spans="9:10" x14ac:dyDescent="0.35">
      <c r="I26998" s="63"/>
      <c r="J26998" s="63"/>
    </row>
    <row r="26999" spans="9:10" x14ac:dyDescent="0.35">
      <c r="I26999" s="63"/>
      <c r="J26999" s="63"/>
    </row>
    <row r="27000" spans="9:10" x14ac:dyDescent="0.35">
      <c r="I27000" s="63"/>
      <c r="J27000" s="63"/>
    </row>
    <row r="27001" spans="9:10" x14ac:dyDescent="0.35">
      <c r="I27001" s="63"/>
      <c r="J27001" s="63"/>
    </row>
    <row r="27002" spans="9:10" x14ac:dyDescent="0.35">
      <c r="I27002" s="63"/>
      <c r="J27002" s="63"/>
    </row>
    <row r="27003" spans="9:10" x14ac:dyDescent="0.35">
      <c r="I27003" s="63"/>
      <c r="J27003" s="63"/>
    </row>
    <row r="27004" spans="9:10" x14ac:dyDescent="0.35">
      <c r="I27004" s="63"/>
      <c r="J27004" s="63"/>
    </row>
    <row r="27005" spans="9:10" x14ac:dyDescent="0.35">
      <c r="I27005" s="63"/>
      <c r="J27005" s="63"/>
    </row>
    <row r="27006" spans="9:10" x14ac:dyDescent="0.35">
      <c r="I27006" s="63"/>
      <c r="J27006" s="63"/>
    </row>
    <row r="27007" spans="9:10" x14ac:dyDescent="0.35">
      <c r="I27007" s="63"/>
      <c r="J27007" s="63"/>
    </row>
    <row r="27008" spans="9:10" x14ac:dyDescent="0.35">
      <c r="I27008" s="63"/>
      <c r="J27008" s="63"/>
    </row>
    <row r="27009" spans="9:10" x14ac:dyDescent="0.35">
      <c r="I27009" s="63"/>
      <c r="J27009" s="63"/>
    </row>
    <row r="27010" spans="9:10" x14ac:dyDescent="0.35">
      <c r="I27010" s="63"/>
      <c r="J27010" s="63"/>
    </row>
    <row r="27011" spans="9:10" x14ac:dyDescent="0.35">
      <c r="I27011" s="63"/>
      <c r="J27011" s="63"/>
    </row>
    <row r="27012" spans="9:10" x14ac:dyDescent="0.35">
      <c r="I27012" s="63"/>
      <c r="J27012" s="63"/>
    </row>
    <row r="27013" spans="9:10" x14ac:dyDescent="0.35">
      <c r="I27013" s="63"/>
      <c r="J27013" s="63"/>
    </row>
    <row r="27014" spans="9:10" x14ac:dyDescent="0.35">
      <c r="I27014" s="63"/>
      <c r="J27014" s="63"/>
    </row>
    <row r="27015" spans="9:10" x14ac:dyDescent="0.35">
      <c r="I27015" s="63"/>
      <c r="J27015" s="63"/>
    </row>
    <row r="27016" spans="9:10" x14ac:dyDescent="0.35">
      <c r="I27016" s="63"/>
      <c r="J27016" s="63"/>
    </row>
    <row r="27017" spans="9:10" x14ac:dyDescent="0.35">
      <c r="I27017" s="63"/>
      <c r="J27017" s="63"/>
    </row>
    <row r="27018" spans="9:10" x14ac:dyDescent="0.35">
      <c r="I27018" s="63"/>
      <c r="J27018" s="63"/>
    </row>
    <row r="27019" spans="9:10" x14ac:dyDescent="0.35">
      <c r="I27019" s="63"/>
      <c r="J27019" s="63"/>
    </row>
    <row r="27020" spans="9:10" x14ac:dyDescent="0.35">
      <c r="I27020" s="63"/>
      <c r="J27020" s="63"/>
    </row>
    <row r="27021" spans="9:10" x14ac:dyDescent="0.35">
      <c r="I27021" s="63"/>
      <c r="J27021" s="63"/>
    </row>
    <row r="27022" spans="9:10" x14ac:dyDescent="0.35">
      <c r="I27022" s="63"/>
      <c r="J27022" s="63"/>
    </row>
    <row r="27023" spans="9:10" x14ac:dyDescent="0.35">
      <c r="I27023" s="63"/>
      <c r="J27023" s="63"/>
    </row>
    <row r="27024" spans="9:10" x14ac:dyDescent="0.35">
      <c r="I27024" s="63"/>
      <c r="J27024" s="63"/>
    </row>
    <row r="27025" spans="9:10" x14ac:dyDescent="0.35">
      <c r="I27025" s="63"/>
      <c r="J27025" s="63"/>
    </row>
    <row r="27026" spans="9:10" x14ac:dyDescent="0.35">
      <c r="I27026" s="63"/>
      <c r="J27026" s="63"/>
    </row>
    <row r="27027" spans="9:10" x14ac:dyDescent="0.35">
      <c r="I27027" s="63"/>
      <c r="J27027" s="63"/>
    </row>
    <row r="27028" spans="9:10" x14ac:dyDescent="0.35">
      <c r="I27028" s="63"/>
      <c r="J27028" s="63"/>
    </row>
    <row r="27029" spans="9:10" x14ac:dyDescent="0.35">
      <c r="I27029" s="63"/>
      <c r="J27029" s="63"/>
    </row>
    <row r="27030" spans="9:10" x14ac:dyDescent="0.35">
      <c r="I27030" s="63"/>
      <c r="J27030" s="63"/>
    </row>
    <row r="27031" spans="9:10" x14ac:dyDescent="0.35">
      <c r="I27031" s="63"/>
      <c r="J27031" s="63"/>
    </row>
    <row r="27032" spans="9:10" x14ac:dyDescent="0.35">
      <c r="I27032" s="63"/>
      <c r="J27032" s="63"/>
    </row>
    <row r="27033" spans="9:10" x14ac:dyDescent="0.35">
      <c r="I27033" s="63"/>
      <c r="J27033" s="63"/>
    </row>
    <row r="27034" spans="9:10" x14ac:dyDescent="0.35">
      <c r="I27034" s="63"/>
      <c r="J27034" s="63"/>
    </row>
    <row r="27035" spans="9:10" x14ac:dyDescent="0.35">
      <c r="I27035" s="63"/>
      <c r="J27035" s="63"/>
    </row>
    <row r="27036" spans="9:10" x14ac:dyDescent="0.35">
      <c r="I27036" s="63"/>
      <c r="J27036" s="63"/>
    </row>
    <row r="27037" spans="9:10" x14ac:dyDescent="0.35">
      <c r="I27037" s="63"/>
      <c r="J27037" s="63"/>
    </row>
    <row r="27038" spans="9:10" x14ac:dyDescent="0.35">
      <c r="I27038" s="63"/>
      <c r="J27038" s="63"/>
    </row>
    <row r="27039" spans="9:10" x14ac:dyDescent="0.35">
      <c r="I27039" s="63"/>
      <c r="J27039" s="63"/>
    </row>
    <row r="27040" spans="9:10" x14ac:dyDescent="0.35">
      <c r="I27040" s="63"/>
      <c r="J27040" s="63"/>
    </row>
    <row r="27041" spans="9:10" x14ac:dyDescent="0.35">
      <c r="I27041" s="63"/>
      <c r="J27041" s="63"/>
    </row>
    <row r="27042" spans="9:10" x14ac:dyDescent="0.35">
      <c r="I27042" s="63"/>
      <c r="J27042" s="63"/>
    </row>
    <row r="27043" spans="9:10" x14ac:dyDescent="0.35">
      <c r="I27043" s="63"/>
      <c r="J27043" s="63"/>
    </row>
    <row r="27044" spans="9:10" x14ac:dyDescent="0.35">
      <c r="I27044" s="63"/>
      <c r="J27044" s="63"/>
    </row>
    <row r="27045" spans="9:10" x14ac:dyDescent="0.35">
      <c r="I27045" s="63"/>
      <c r="J27045" s="63"/>
    </row>
    <row r="27046" spans="9:10" x14ac:dyDescent="0.35">
      <c r="I27046" s="63"/>
      <c r="J27046" s="63"/>
    </row>
    <row r="27047" spans="9:10" x14ac:dyDescent="0.35">
      <c r="I27047" s="63"/>
      <c r="J27047" s="63"/>
    </row>
    <row r="27048" spans="9:10" x14ac:dyDescent="0.35">
      <c r="I27048" s="63"/>
      <c r="J27048" s="63"/>
    </row>
    <row r="27049" spans="9:10" x14ac:dyDescent="0.35">
      <c r="I27049" s="63"/>
      <c r="J27049" s="63"/>
    </row>
    <row r="27050" spans="9:10" x14ac:dyDescent="0.35">
      <c r="I27050" s="63"/>
      <c r="J27050" s="63"/>
    </row>
    <row r="27051" spans="9:10" x14ac:dyDescent="0.35">
      <c r="I27051" s="63"/>
      <c r="J27051" s="63"/>
    </row>
    <row r="27052" spans="9:10" x14ac:dyDescent="0.35">
      <c r="I27052" s="63"/>
      <c r="J27052" s="63"/>
    </row>
    <row r="27053" spans="9:10" x14ac:dyDescent="0.35">
      <c r="I27053" s="63"/>
      <c r="J27053" s="63"/>
    </row>
    <row r="27054" spans="9:10" x14ac:dyDescent="0.35">
      <c r="I27054" s="63"/>
      <c r="J27054" s="63"/>
    </row>
    <row r="27055" spans="9:10" x14ac:dyDescent="0.35">
      <c r="I27055" s="63"/>
      <c r="J27055" s="63"/>
    </row>
    <row r="27056" spans="9:10" x14ac:dyDescent="0.35">
      <c r="I27056" s="63"/>
      <c r="J27056" s="63"/>
    </row>
    <row r="27057" spans="9:10" x14ac:dyDescent="0.35">
      <c r="I27057" s="63"/>
      <c r="J27057" s="63"/>
    </row>
    <row r="27058" spans="9:10" x14ac:dyDescent="0.35">
      <c r="I27058" s="63"/>
      <c r="J27058" s="63"/>
    </row>
    <row r="27059" spans="9:10" x14ac:dyDescent="0.35">
      <c r="I27059" s="63"/>
      <c r="J27059" s="63"/>
    </row>
    <row r="27060" spans="9:10" x14ac:dyDescent="0.35">
      <c r="I27060" s="63"/>
      <c r="J27060" s="63"/>
    </row>
    <row r="27061" spans="9:10" x14ac:dyDescent="0.35">
      <c r="I27061" s="63"/>
      <c r="J27061" s="63"/>
    </row>
    <row r="27062" spans="9:10" x14ac:dyDescent="0.35">
      <c r="I27062" s="63"/>
      <c r="J27062" s="63"/>
    </row>
    <row r="27063" spans="9:10" x14ac:dyDescent="0.35">
      <c r="I27063" s="63"/>
      <c r="J27063" s="63"/>
    </row>
    <row r="27064" spans="9:10" x14ac:dyDescent="0.35">
      <c r="I27064" s="63"/>
      <c r="J27064" s="63"/>
    </row>
    <row r="27065" spans="9:10" x14ac:dyDescent="0.35">
      <c r="I27065" s="63"/>
      <c r="J27065" s="63"/>
    </row>
    <row r="27066" spans="9:10" x14ac:dyDescent="0.35">
      <c r="I27066" s="63"/>
      <c r="J27066" s="63"/>
    </row>
    <row r="27067" spans="9:10" x14ac:dyDescent="0.35">
      <c r="I27067" s="63"/>
      <c r="J27067" s="63"/>
    </row>
    <row r="27068" spans="9:10" x14ac:dyDescent="0.35">
      <c r="I27068" s="63"/>
      <c r="J27068" s="63"/>
    </row>
    <row r="27069" spans="9:10" x14ac:dyDescent="0.35">
      <c r="I27069" s="63"/>
      <c r="J27069" s="63"/>
    </row>
    <row r="27070" spans="9:10" x14ac:dyDescent="0.35">
      <c r="I27070" s="63"/>
      <c r="J27070" s="63"/>
    </row>
    <row r="27071" spans="9:10" x14ac:dyDescent="0.35">
      <c r="I27071" s="63"/>
      <c r="J27071" s="63"/>
    </row>
    <row r="27072" spans="9:10" x14ac:dyDescent="0.35">
      <c r="I27072" s="63"/>
      <c r="J27072" s="63"/>
    </row>
    <row r="27073" spans="9:10" x14ac:dyDescent="0.35">
      <c r="I27073" s="63"/>
      <c r="J27073" s="63"/>
    </row>
    <row r="27074" spans="9:10" x14ac:dyDescent="0.35">
      <c r="I27074" s="63"/>
      <c r="J27074" s="63"/>
    </row>
    <row r="27075" spans="9:10" x14ac:dyDescent="0.35">
      <c r="I27075" s="63"/>
      <c r="J27075" s="63"/>
    </row>
    <row r="27076" spans="9:10" x14ac:dyDescent="0.35">
      <c r="I27076" s="63"/>
      <c r="J27076" s="63"/>
    </row>
    <row r="27077" spans="9:10" x14ac:dyDescent="0.35">
      <c r="I27077" s="63"/>
      <c r="J27077" s="63"/>
    </row>
    <row r="27078" spans="9:10" x14ac:dyDescent="0.35">
      <c r="I27078" s="63"/>
      <c r="J27078" s="63"/>
    </row>
    <row r="27079" spans="9:10" x14ac:dyDescent="0.35">
      <c r="I27079" s="63"/>
      <c r="J27079" s="63"/>
    </row>
    <row r="27080" spans="9:10" x14ac:dyDescent="0.35">
      <c r="I27080" s="63"/>
      <c r="J27080" s="63"/>
    </row>
    <row r="27081" spans="9:10" x14ac:dyDescent="0.35">
      <c r="I27081" s="63"/>
      <c r="J27081" s="63"/>
    </row>
    <row r="27082" spans="9:10" x14ac:dyDescent="0.35">
      <c r="I27082" s="63"/>
      <c r="J27082" s="63"/>
    </row>
    <row r="27083" spans="9:10" x14ac:dyDescent="0.35">
      <c r="I27083" s="63"/>
      <c r="J27083" s="63"/>
    </row>
    <row r="27084" spans="9:10" x14ac:dyDescent="0.35">
      <c r="I27084" s="63"/>
      <c r="J27084" s="63"/>
    </row>
    <row r="27085" spans="9:10" x14ac:dyDescent="0.35">
      <c r="I27085" s="63"/>
      <c r="J27085" s="63"/>
    </row>
    <row r="27086" spans="9:10" x14ac:dyDescent="0.35">
      <c r="I27086" s="63"/>
      <c r="J27086" s="63"/>
    </row>
    <row r="27087" spans="9:10" x14ac:dyDescent="0.35">
      <c r="I27087" s="63"/>
      <c r="J27087" s="63"/>
    </row>
    <row r="27088" spans="9:10" x14ac:dyDescent="0.35">
      <c r="I27088" s="63"/>
      <c r="J27088" s="63"/>
    </row>
    <row r="27089" spans="9:10" x14ac:dyDescent="0.35">
      <c r="I27089" s="63"/>
      <c r="J27089" s="63"/>
    </row>
    <row r="27090" spans="9:10" x14ac:dyDescent="0.35">
      <c r="I27090" s="63"/>
      <c r="J27090" s="63"/>
    </row>
    <row r="27091" spans="9:10" x14ac:dyDescent="0.35">
      <c r="I27091" s="63"/>
      <c r="J27091" s="63"/>
    </row>
    <row r="27092" spans="9:10" x14ac:dyDescent="0.35">
      <c r="I27092" s="63"/>
      <c r="J27092" s="63"/>
    </row>
    <row r="27093" spans="9:10" x14ac:dyDescent="0.35">
      <c r="I27093" s="63"/>
      <c r="J27093" s="63"/>
    </row>
    <row r="27094" spans="9:10" x14ac:dyDescent="0.35">
      <c r="I27094" s="63"/>
      <c r="J27094" s="63"/>
    </row>
    <row r="27095" spans="9:10" x14ac:dyDescent="0.35">
      <c r="I27095" s="63"/>
      <c r="J27095" s="63"/>
    </row>
    <row r="27096" spans="9:10" x14ac:dyDescent="0.35">
      <c r="I27096" s="63"/>
      <c r="J27096" s="63"/>
    </row>
    <row r="27097" spans="9:10" x14ac:dyDescent="0.35">
      <c r="I27097" s="63"/>
      <c r="J27097" s="63"/>
    </row>
    <row r="27098" spans="9:10" x14ac:dyDescent="0.35">
      <c r="I27098" s="63"/>
      <c r="J27098" s="63"/>
    </row>
    <row r="27099" spans="9:10" x14ac:dyDescent="0.35">
      <c r="I27099" s="63"/>
      <c r="J27099" s="63"/>
    </row>
    <row r="27100" spans="9:10" x14ac:dyDescent="0.35">
      <c r="I27100" s="63"/>
      <c r="J27100" s="63"/>
    </row>
    <row r="27101" spans="9:10" x14ac:dyDescent="0.35">
      <c r="I27101" s="63"/>
      <c r="J27101" s="63"/>
    </row>
    <row r="27102" spans="9:10" x14ac:dyDescent="0.35">
      <c r="I27102" s="63"/>
      <c r="J27102" s="63"/>
    </row>
    <row r="27103" spans="9:10" x14ac:dyDescent="0.35">
      <c r="I27103" s="63"/>
      <c r="J27103" s="63"/>
    </row>
    <row r="27104" spans="9:10" x14ac:dyDescent="0.35">
      <c r="I27104" s="63"/>
      <c r="J27104" s="63"/>
    </row>
    <row r="27105" spans="9:10" x14ac:dyDescent="0.35">
      <c r="I27105" s="63"/>
      <c r="J27105" s="63"/>
    </row>
    <row r="27106" spans="9:10" x14ac:dyDescent="0.35">
      <c r="I27106" s="63"/>
      <c r="J27106" s="63"/>
    </row>
    <row r="27107" spans="9:10" x14ac:dyDescent="0.35">
      <c r="I27107" s="63"/>
      <c r="J27107" s="63"/>
    </row>
    <row r="27108" spans="9:10" x14ac:dyDescent="0.35">
      <c r="I27108" s="63"/>
      <c r="J27108" s="63"/>
    </row>
    <row r="27109" spans="9:10" x14ac:dyDescent="0.35">
      <c r="I27109" s="63"/>
      <c r="J27109" s="63"/>
    </row>
    <row r="27110" spans="9:10" x14ac:dyDescent="0.35">
      <c r="I27110" s="63"/>
      <c r="J27110" s="63"/>
    </row>
    <row r="27111" spans="9:10" x14ac:dyDescent="0.35">
      <c r="I27111" s="63"/>
      <c r="J27111" s="63"/>
    </row>
    <row r="27112" spans="9:10" x14ac:dyDescent="0.35">
      <c r="I27112" s="63"/>
      <c r="J27112" s="63"/>
    </row>
    <row r="27113" spans="9:10" x14ac:dyDescent="0.35">
      <c r="I27113" s="63"/>
      <c r="J27113" s="63"/>
    </row>
    <row r="27114" spans="9:10" x14ac:dyDescent="0.35">
      <c r="I27114" s="63"/>
      <c r="J27114" s="63"/>
    </row>
    <row r="27115" spans="9:10" x14ac:dyDescent="0.35">
      <c r="I27115" s="63"/>
      <c r="J27115" s="63"/>
    </row>
    <row r="27116" spans="9:10" x14ac:dyDescent="0.35">
      <c r="I27116" s="63"/>
      <c r="J27116" s="63"/>
    </row>
    <row r="27117" spans="9:10" x14ac:dyDescent="0.35">
      <c r="I27117" s="63"/>
      <c r="J27117" s="63"/>
    </row>
    <row r="27118" spans="9:10" x14ac:dyDescent="0.35">
      <c r="I27118" s="63"/>
      <c r="J27118" s="63"/>
    </row>
    <row r="27119" spans="9:10" x14ac:dyDescent="0.35">
      <c r="I27119" s="63"/>
      <c r="J27119" s="63"/>
    </row>
    <row r="27120" spans="9:10" x14ac:dyDescent="0.35">
      <c r="I27120" s="63"/>
      <c r="J27120" s="63"/>
    </row>
    <row r="27121" spans="9:10" x14ac:dyDescent="0.35">
      <c r="I27121" s="63"/>
      <c r="J27121" s="63"/>
    </row>
    <row r="27122" spans="9:10" x14ac:dyDescent="0.35">
      <c r="I27122" s="63"/>
      <c r="J27122" s="63"/>
    </row>
    <row r="27123" spans="9:10" x14ac:dyDescent="0.35">
      <c r="I27123" s="63"/>
      <c r="J27123" s="63"/>
    </row>
    <row r="27124" spans="9:10" x14ac:dyDescent="0.35">
      <c r="I27124" s="63"/>
      <c r="J27124" s="63"/>
    </row>
    <row r="27125" spans="9:10" x14ac:dyDescent="0.35">
      <c r="I27125" s="63"/>
      <c r="J27125" s="63"/>
    </row>
    <row r="27126" spans="9:10" x14ac:dyDescent="0.35">
      <c r="I27126" s="63"/>
      <c r="J27126" s="63"/>
    </row>
    <row r="27127" spans="9:10" x14ac:dyDescent="0.35">
      <c r="I27127" s="63"/>
      <c r="J27127" s="63"/>
    </row>
    <row r="27128" spans="9:10" x14ac:dyDescent="0.35">
      <c r="I27128" s="63"/>
      <c r="J27128" s="63"/>
    </row>
    <row r="27129" spans="9:10" x14ac:dyDescent="0.35">
      <c r="I27129" s="63"/>
      <c r="J27129" s="63"/>
    </row>
    <row r="27130" spans="9:10" x14ac:dyDescent="0.35">
      <c r="I27130" s="63"/>
      <c r="J27130" s="63"/>
    </row>
    <row r="27131" spans="9:10" x14ac:dyDescent="0.35">
      <c r="I27131" s="63"/>
      <c r="J27131" s="63"/>
    </row>
    <row r="27132" spans="9:10" x14ac:dyDescent="0.35">
      <c r="I27132" s="63"/>
      <c r="J27132" s="63"/>
    </row>
    <row r="27133" spans="9:10" x14ac:dyDescent="0.35">
      <c r="I27133" s="63"/>
      <c r="J27133" s="63"/>
    </row>
    <row r="27134" spans="9:10" x14ac:dyDescent="0.35">
      <c r="I27134" s="63"/>
      <c r="J27134" s="63"/>
    </row>
    <row r="27135" spans="9:10" x14ac:dyDescent="0.35">
      <c r="I27135" s="63"/>
      <c r="J27135" s="63"/>
    </row>
    <row r="27136" spans="9:10" x14ac:dyDescent="0.35">
      <c r="I27136" s="63"/>
      <c r="J27136" s="63"/>
    </row>
    <row r="27137" spans="9:10" x14ac:dyDescent="0.35">
      <c r="I27137" s="63"/>
      <c r="J27137" s="63"/>
    </row>
    <row r="27138" spans="9:10" x14ac:dyDescent="0.35">
      <c r="I27138" s="63"/>
      <c r="J27138" s="63"/>
    </row>
    <row r="27139" spans="9:10" x14ac:dyDescent="0.35">
      <c r="I27139" s="63"/>
      <c r="J27139" s="63"/>
    </row>
    <row r="27140" spans="9:10" x14ac:dyDescent="0.35">
      <c r="I27140" s="63"/>
      <c r="J27140" s="63"/>
    </row>
    <row r="27141" spans="9:10" x14ac:dyDescent="0.35">
      <c r="I27141" s="63"/>
      <c r="J27141" s="63"/>
    </row>
    <row r="27142" spans="9:10" x14ac:dyDescent="0.35">
      <c r="I27142" s="63"/>
      <c r="J27142" s="63"/>
    </row>
    <row r="27143" spans="9:10" x14ac:dyDescent="0.35">
      <c r="I27143" s="63"/>
      <c r="J27143" s="63"/>
    </row>
    <row r="27144" spans="9:10" x14ac:dyDescent="0.35">
      <c r="I27144" s="63"/>
      <c r="J27144" s="63"/>
    </row>
    <row r="27145" spans="9:10" x14ac:dyDescent="0.35">
      <c r="I27145" s="63"/>
      <c r="J27145" s="63"/>
    </row>
    <row r="27146" spans="9:10" x14ac:dyDescent="0.35">
      <c r="I27146" s="63"/>
      <c r="J27146" s="63"/>
    </row>
    <row r="27147" spans="9:10" x14ac:dyDescent="0.35">
      <c r="I27147" s="63"/>
      <c r="J27147" s="63"/>
    </row>
    <row r="27148" spans="9:10" x14ac:dyDescent="0.35">
      <c r="I27148" s="63"/>
      <c r="J27148" s="63"/>
    </row>
    <row r="27149" spans="9:10" x14ac:dyDescent="0.35">
      <c r="I27149" s="63"/>
      <c r="J27149" s="63"/>
    </row>
    <row r="27150" spans="9:10" x14ac:dyDescent="0.35">
      <c r="I27150" s="63"/>
      <c r="J27150" s="63"/>
    </row>
    <row r="27151" spans="9:10" x14ac:dyDescent="0.35">
      <c r="I27151" s="63"/>
      <c r="J27151" s="63"/>
    </row>
    <row r="27152" spans="9:10" x14ac:dyDescent="0.35">
      <c r="I27152" s="63"/>
      <c r="J27152" s="63"/>
    </row>
    <row r="27153" spans="9:10" x14ac:dyDescent="0.35">
      <c r="I27153" s="63"/>
      <c r="J27153" s="63"/>
    </row>
    <row r="27154" spans="9:10" x14ac:dyDescent="0.35">
      <c r="I27154" s="63"/>
      <c r="J27154" s="63"/>
    </row>
    <row r="27155" spans="9:10" x14ac:dyDescent="0.35">
      <c r="I27155" s="63"/>
      <c r="J27155" s="63"/>
    </row>
    <row r="27156" spans="9:10" x14ac:dyDescent="0.35">
      <c r="I27156" s="63"/>
      <c r="J27156" s="63"/>
    </row>
    <row r="27157" spans="9:10" x14ac:dyDescent="0.35">
      <c r="I27157" s="63"/>
      <c r="J27157" s="63"/>
    </row>
    <row r="27158" spans="9:10" x14ac:dyDescent="0.35">
      <c r="I27158" s="63"/>
      <c r="J27158" s="63"/>
    </row>
    <row r="27159" spans="9:10" x14ac:dyDescent="0.35">
      <c r="I27159" s="63"/>
      <c r="J27159" s="63"/>
    </row>
    <row r="27160" spans="9:10" x14ac:dyDescent="0.35">
      <c r="I27160" s="63"/>
      <c r="J27160" s="63"/>
    </row>
    <row r="27161" spans="9:10" x14ac:dyDescent="0.35">
      <c r="I27161" s="63"/>
      <c r="J27161" s="63"/>
    </row>
    <row r="27162" spans="9:10" x14ac:dyDescent="0.35">
      <c r="I27162" s="63"/>
      <c r="J27162" s="63"/>
    </row>
    <row r="27163" spans="9:10" x14ac:dyDescent="0.35">
      <c r="I27163" s="63"/>
      <c r="J27163" s="63"/>
    </row>
    <row r="27164" spans="9:10" x14ac:dyDescent="0.35">
      <c r="I27164" s="63"/>
      <c r="J27164" s="63"/>
    </row>
    <row r="27165" spans="9:10" x14ac:dyDescent="0.35">
      <c r="I27165" s="63"/>
      <c r="J27165" s="63"/>
    </row>
    <row r="27166" spans="9:10" x14ac:dyDescent="0.35">
      <c r="I27166" s="63"/>
      <c r="J27166" s="63"/>
    </row>
    <row r="27167" spans="9:10" x14ac:dyDescent="0.35">
      <c r="I27167" s="63"/>
      <c r="J27167" s="63"/>
    </row>
    <row r="27168" spans="9:10" x14ac:dyDescent="0.35">
      <c r="I27168" s="63"/>
      <c r="J27168" s="63"/>
    </row>
    <row r="27169" spans="9:10" x14ac:dyDescent="0.35">
      <c r="I27169" s="63"/>
      <c r="J27169" s="63"/>
    </row>
    <row r="27170" spans="9:10" x14ac:dyDescent="0.35">
      <c r="I27170" s="63"/>
      <c r="J27170" s="63"/>
    </row>
    <row r="27171" spans="9:10" x14ac:dyDescent="0.35">
      <c r="I27171" s="63"/>
      <c r="J27171" s="63"/>
    </row>
    <row r="27172" spans="9:10" x14ac:dyDescent="0.35">
      <c r="I27172" s="63"/>
      <c r="J27172" s="63"/>
    </row>
    <row r="27173" spans="9:10" x14ac:dyDescent="0.35">
      <c r="I27173" s="63"/>
      <c r="J27173" s="63"/>
    </row>
    <row r="27174" spans="9:10" x14ac:dyDescent="0.35">
      <c r="I27174" s="63"/>
      <c r="J27174" s="63"/>
    </row>
    <row r="27175" spans="9:10" x14ac:dyDescent="0.35">
      <c r="I27175" s="63"/>
      <c r="J27175" s="63"/>
    </row>
    <row r="27176" spans="9:10" x14ac:dyDescent="0.35">
      <c r="I27176" s="63"/>
      <c r="J27176" s="63"/>
    </row>
    <row r="27177" spans="9:10" x14ac:dyDescent="0.35">
      <c r="I27177" s="63"/>
      <c r="J27177" s="63"/>
    </row>
    <row r="27178" spans="9:10" x14ac:dyDescent="0.35">
      <c r="I27178" s="63"/>
      <c r="J27178" s="63"/>
    </row>
    <row r="27179" spans="9:10" x14ac:dyDescent="0.35">
      <c r="I27179" s="63"/>
      <c r="J27179" s="63"/>
    </row>
    <row r="27180" spans="9:10" x14ac:dyDescent="0.35">
      <c r="I27180" s="63"/>
      <c r="J27180" s="63"/>
    </row>
    <row r="27181" spans="9:10" x14ac:dyDescent="0.35">
      <c r="I27181" s="63"/>
      <c r="J27181" s="63"/>
    </row>
    <row r="27182" spans="9:10" x14ac:dyDescent="0.35">
      <c r="I27182" s="63"/>
      <c r="J27182" s="63"/>
    </row>
    <row r="27183" spans="9:10" x14ac:dyDescent="0.35">
      <c r="I27183" s="63"/>
      <c r="J27183" s="63"/>
    </row>
    <row r="27184" spans="9:10" x14ac:dyDescent="0.35">
      <c r="I27184" s="63"/>
      <c r="J27184" s="63"/>
    </row>
    <row r="27185" spans="9:10" x14ac:dyDescent="0.35">
      <c r="I27185" s="63"/>
      <c r="J27185" s="63"/>
    </row>
    <row r="27186" spans="9:10" x14ac:dyDescent="0.35">
      <c r="I27186" s="63"/>
      <c r="J27186" s="63"/>
    </row>
    <row r="27187" spans="9:10" x14ac:dyDescent="0.35">
      <c r="I27187" s="63"/>
      <c r="J27187" s="63"/>
    </row>
    <row r="27188" spans="9:10" x14ac:dyDescent="0.35">
      <c r="I27188" s="63"/>
      <c r="J27188" s="63"/>
    </row>
    <row r="27189" spans="9:10" x14ac:dyDescent="0.35">
      <c r="I27189" s="63"/>
      <c r="J27189" s="63"/>
    </row>
    <row r="27190" spans="9:10" x14ac:dyDescent="0.35">
      <c r="I27190" s="63"/>
      <c r="J27190" s="63"/>
    </row>
    <row r="27191" spans="9:10" x14ac:dyDescent="0.35">
      <c r="I27191" s="63"/>
      <c r="J27191" s="63"/>
    </row>
    <row r="27192" spans="9:10" x14ac:dyDescent="0.35">
      <c r="I27192" s="63"/>
      <c r="J27192" s="63"/>
    </row>
    <row r="27193" spans="9:10" x14ac:dyDescent="0.35">
      <c r="I27193" s="63"/>
      <c r="J27193" s="63"/>
    </row>
    <row r="27194" spans="9:10" x14ac:dyDescent="0.35">
      <c r="I27194" s="63"/>
      <c r="J27194" s="63"/>
    </row>
    <row r="27195" spans="9:10" x14ac:dyDescent="0.35">
      <c r="I27195" s="63"/>
      <c r="J27195" s="63"/>
    </row>
    <row r="27196" spans="9:10" x14ac:dyDescent="0.35">
      <c r="I27196" s="63"/>
      <c r="J27196" s="63"/>
    </row>
    <row r="27197" spans="9:10" x14ac:dyDescent="0.35">
      <c r="I27197" s="63"/>
      <c r="J27197" s="63"/>
    </row>
    <row r="27198" spans="9:10" x14ac:dyDescent="0.35">
      <c r="I27198" s="63"/>
      <c r="J27198" s="63"/>
    </row>
    <row r="27199" spans="9:10" x14ac:dyDescent="0.35">
      <c r="I27199" s="63"/>
      <c r="J27199" s="63"/>
    </row>
    <row r="27200" spans="9:10" x14ac:dyDescent="0.35">
      <c r="I27200" s="63"/>
      <c r="J27200" s="63"/>
    </row>
    <row r="27201" spans="9:10" x14ac:dyDescent="0.35">
      <c r="I27201" s="63"/>
      <c r="J27201" s="63"/>
    </row>
    <row r="27202" spans="9:10" x14ac:dyDescent="0.35">
      <c r="I27202" s="63"/>
      <c r="J27202" s="63"/>
    </row>
    <row r="27203" spans="9:10" x14ac:dyDescent="0.35">
      <c r="I27203" s="63"/>
      <c r="J27203" s="63"/>
    </row>
    <row r="27204" spans="9:10" x14ac:dyDescent="0.35">
      <c r="I27204" s="63"/>
      <c r="J27204" s="63"/>
    </row>
    <row r="27205" spans="9:10" x14ac:dyDescent="0.35">
      <c r="I27205" s="63"/>
      <c r="J27205" s="63"/>
    </row>
    <row r="27206" spans="9:10" x14ac:dyDescent="0.35">
      <c r="I27206" s="63"/>
      <c r="J27206" s="63"/>
    </row>
    <row r="27207" spans="9:10" x14ac:dyDescent="0.35">
      <c r="I27207" s="63"/>
      <c r="J27207" s="63"/>
    </row>
    <row r="27208" spans="9:10" x14ac:dyDescent="0.35">
      <c r="I27208" s="63"/>
      <c r="J27208" s="63"/>
    </row>
    <row r="27209" spans="9:10" x14ac:dyDescent="0.35">
      <c r="I27209" s="63"/>
      <c r="J27209" s="63"/>
    </row>
    <row r="27210" spans="9:10" x14ac:dyDescent="0.35">
      <c r="I27210" s="63"/>
      <c r="J27210" s="63"/>
    </row>
    <row r="27211" spans="9:10" x14ac:dyDescent="0.35">
      <c r="I27211" s="63"/>
      <c r="J27211" s="63"/>
    </row>
    <row r="27212" spans="9:10" x14ac:dyDescent="0.35">
      <c r="I27212" s="63"/>
      <c r="J27212" s="63"/>
    </row>
    <row r="27213" spans="9:10" x14ac:dyDescent="0.35">
      <c r="I27213" s="63"/>
      <c r="J27213" s="63"/>
    </row>
    <row r="27214" spans="9:10" x14ac:dyDescent="0.35">
      <c r="I27214" s="63"/>
      <c r="J27214" s="63"/>
    </row>
    <row r="27215" spans="9:10" x14ac:dyDescent="0.35">
      <c r="I27215" s="63"/>
      <c r="J27215" s="63"/>
    </row>
    <row r="27216" spans="9:10" x14ac:dyDescent="0.35">
      <c r="I27216" s="63"/>
      <c r="J27216" s="63"/>
    </row>
    <row r="27217" spans="9:10" x14ac:dyDescent="0.35">
      <c r="I27217" s="63"/>
      <c r="J27217" s="63"/>
    </row>
    <row r="27218" spans="9:10" x14ac:dyDescent="0.35">
      <c r="I27218" s="63"/>
      <c r="J27218" s="63"/>
    </row>
    <row r="27219" spans="9:10" x14ac:dyDescent="0.35">
      <c r="I27219" s="63"/>
      <c r="J27219" s="63"/>
    </row>
    <row r="27220" spans="9:10" x14ac:dyDescent="0.35">
      <c r="I27220" s="63"/>
      <c r="J27220" s="63"/>
    </row>
    <row r="27221" spans="9:10" x14ac:dyDescent="0.35">
      <c r="I27221" s="63"/>
      <c r="J27221" s="63"/>
    </row>
    <row r="27222" spans="9:10" x14ac:dyDescent="0.35">
      <c r="I27222" s="63"/>
      <c r="J27222" s="63"/>
    </row>
    <row r="27223" spans="9:10" x14ac:dyDescent="0.35">
      <c r="I27223" s="63"/>
      <c r="J27223" s="63"/>
    </row>
    <row r="27224" spans="9:10" x14ac:dyDescent="0.35">
      <c r="I27224" s="63"/>
      <c r="J27224" s="63"/>
    </row>
    <row r="27225" spans="9:10" x14ac:dyDescent="0.35">
      <c r="I27225" s="63"/>
      <c r="J27225" s="63"/>
    </row>
    <row r="27226" spans="9:10" x14ac:dyDescent="0.35">
      <c r="I27226" s="63"/>
      <c r="J27226" s="63"/>
    </row>
    <row r="27227" spans="9:10" x14ac:dyDescent="0.35">
      <c r="I27227" s="63"/>
      <c r="J27227" s="63"/>
    </row>
    <row r="27228" spans="9:10" x14ac:dyDescent="0.35">
      <c r="I27228" s="63"/>
      <c r="J27228" s="63"/>
    </row>
    <row r="27229" spans="9:10" x14ac:dyDescent="0.35">
      <c r="I27229" s="63"/>
      <c r="J27229" s="63"/>
    </row>
    <row r="27230" spans="9:10" x14ac:dyDescent="0.35">
      <c r="I27230" s="63"/>
      <c r="J27230" s="63"/>
    </row>
    <row r="27231" spans="9:10" x14ac:dyDescent="0.35">
      <c r="I27231" s="63"/>
      <c r="J27231" s="63"/>
    </row>
    <row r="27232" spans="9:10" x14ac:dyDescent="0.35">
      <c r="I27232" s="63"/>
      <c r="J27232" s="63"/>
    </row>
    <row r="27233" spans="9:10" x14ac:dyDescent="0.35">
      <c r="I27233" s="63"/>
      <c r="J27233" s="63"/>
    </row>
    <row r="27234" spans="9:10" x14ac:dyDescent="0.35">
      <c r="I27234" s="63"/>
      <c r="J27234" s="63"/>
    </row>
    <row r="27235" spans="9:10" x14ac:dyDescent="0.35">
      <c r="I27235" s="63"/>
      <c r="J27235" s="63"/>
    </row>
    <row r="27236" spans="9:10" x14ac:dyDescent="0.35">
      <c r="I27236" s="63"/>
      <c r="J27236" s="63"/>
    </row>
    <row r="27237" spans="9:10" x14ac:dyDescent="0.35">
      <c r="I27237" s="63"/>
      <c r="J27237" s="63"/>
    </row>
    <row r="27238" spans="9:10" x14ac:dyDescent="0.35">
      <c r="I27238" s="63"/>
      <c r="J27238" s="63"/>
    </row>
    <row r="27239" spans="9:10" x14ac:dyDescent="0.35">
      <c r="I27239" s="63"/>
      <c r="J27239" s="63"/>
    </row>
    <row r="27240" spans="9:10" x14ac:dyDescent="0.35">
      <c r="I27240" s="63"/>
      <c r="J27240" s="63"/>
    </row>
    <row r="27241" spans="9:10" x14ac:dyDescent="0.35">
      <c r="I27241" s="63"/>
      <c r="J27241" s="63"/>
    </row>
    <row r="27242" spans="9:10" x14ac:dyDescent="0.35">
      <c r="I27242" s="63"/>
      <c r="J27242" s="63"/>
    </row>
    <row r="27243" spans="9:10" x14ac:dyDescent="0.35">
      <c r="I27243" s="63"/>
      <c r="J27243" s="63"/>
    </row>
    <row r="27244" spans="9:10" x14ac:dyDescent="0.35">
      <c r="I27244" s="63"/>
      <c r="J27244" s="63"/>
    </row>
    <row r="27245" spans="9:10" x14ac:dyDescent="0.35">
      <c r="I27245" s="63"/>
      <c r="J27245" s="63"/>
    </row>
    <row r="27246" spans="9:10" x14ac:dyDescent="0.35">
      <c r="I27246" s="63"/>
      <c r="J27246" s="63"/>
    </row>
    <row r="27247" spans="9:10" x14ac:dyDescent="0.35">
      <c r="I27247" s="63"/>
      <c r="J27247" s="63"/>
    </row>
    <row r="27248" spans="9:10" x14ac:dyDescent="0.35">
      <c r="I27248" s="63"/>
      <c r="J27248" s="63"/>
    </row>
    <row r="27249" spans="9:10" x14ac:dyDescent="0.35">
      <c r="I27249" s="63"/>
      <c r="J27249" s="63"/>
    </row>
    <row r="27250" spans="9:10" x14ac:dyDescent="0.35">
      <c r="I27250" s="63"/>
      <c r="J27250" s="63"/>
    </row>
    <row r="27251" spans="9:10" x14ac:dyDescent="0.35">
      <c r="I27251" s="63"/>
      <c r="J27251" s="63"/>
    </row>
    <row r="27252" spans="9:10" x14ac:dyDescent="0.35">
      <c r="I27252" s="63"/>
      <c r="J27252" s="63"/>
    </row>
    <row r="27253" spans="9:10" x14ac:dyDescent="0.35">
      <c r="I27253" s="63"/>
      <c r="J27253" s="63"/>
    </row>
    <row r="27254" spans="9:10" x14ac:dyDescent="0.35">
      <c r="I27254" s="63"/>
      <c r="J27254" s="63"/>
    </row>
    <row r="27255" spans="9:10" x14ac:dyDescent="0.35">
      <c r="I27255" s="63"/>
      <c r="J27255" s="63"/>
    </row>
    <row r="27256" spans="9:10" x14ac:dyDescent="0.35">
      <c r="I27256" s="63"/>
      <c r="J27256" s="63"/>
    </row>
    <row r="27257" spans="9:10" x14ac:dyDescent="0.35">
      <c r="I27257" s="63"/>
      <c r="J27257" s="63"/>
    </row>
    <row r="27258" spans="9:10" x14ac:dyDescent="0.35">
      <c r="I27258" s="63"/>
      <c r="J27258" s="63"/>
    </row>
    <row r="27259" spans="9:10" x14ac:dyDescent="0.35">
      <c r="I27259" s="63"/>
      <c r="J27259" s="63"/>
    </row>
    <row r="27260" spans="9:10" x14ac:dyDescent="0.35">
      <c r="I27260" s="63"/>
      <c r="J27260" s="63"/>
    </row>
    <row r="27261" spans="9:10" x14ac:dyDescent="0.35">
      <c r="I27261" s="63"/>
      <c r="J27261" s="63"/>
    </row>
    <row r="27262" spans="9:10" x14ac:dyDescent="0.35">
      <c r="I27262" s="63"/>
      <c r="J27262" s="63"/>
    </row>
    <row r="27263" spans="9:10" x14ac:dyDescent="0.35">
      <c r="I27263" s="63"/>
      <c r="J27263" s="63"/>
    </row>
    <row r="27264" spans="9:10" x14ac:dyDescent="0.35">
      <c r="I27264" s="63"/>
      <c r="J27264" s="63"/>
    </row>
    <row r="27265" spans="9:10" x14ac:dyDescent="0.35">
      <c r="I27265" s="63"/>
      <c r="J27265" s="63"/>
    </row>
    <row r="27266" spans="9:10" x14ac:dyDescent="0.35">
      <c r="I27266" s="63"/>
      <c r="J27266" s="63"/>
    </row>
    <row r="27267" spans="9:10" x14ac:dyDescent="0.35">
      <c r="I27267" s="63"/>
      <c r="J27267" s="63"/>
    </row>
    <row r="27268" spans="9:10" x14ac:dyDescent="0.35">
      <c r="I27268" s="63"/>
      <c r="J27268" s="63"/>
    </row>
    <row r="27269" spans="9:10" x14ac:dyDescent="0.35">
      <c r="I27269" s="63"/>
      <c r="J27269" s="63"/>
    </row>
    <row r="27270" spans="9:10" x14ac:dyDescent="0.35">
      <c r="I27270" s="63"/>
      <c r="J27270" s="63"/>
    </row>
    <row r="27271" spans="9:10" x14ac:dyDescent="0.35">
      <c r="I27271" s="63"/>
      <c r="J27271" s="63"/>
    </row>
    <row r="27272" spans="9:10" x14ac:dyDescent="0.35">
      <c r="I27272" s="63"/>
      <c r="J27272" s="63"/>
    </row>
    <row r="27273" spans="9:10" x14ac:dyDescent="0.35">
      <c r="I27273" s="63"/>
      <c r="J27273" s="63"/>
    </row>
    <row r="27274" spans="9:10" x14ac:dyDescent="0.35">
      <c r="I27274" s="63"/>
      <c r="J27274" s="63"/>
    </row>
    <row r="27275" spans="9:10" x14ac:dyDescent="0.35">
      <c r="I27275" s="63"/>
      <c r="J27275" s="63"/>
    </row>
    <row r="27276" spans="9:10" x14ac:dyDescent="0.35">
      <c r="I27276" s="63"/>
      <c r="J27276" s="63"/>
    </row>
    <row r="27277" spans="9:10" x14ac:dyDescent="0.35">
      <c r="I27277" s="63"/>
      <c r="J27277" s="63"/>
    </row>
    <row r="27278" spans="9:10" x14ac:dyDescent="0.35">
      <c r="I27278" s="63"/>
      <c r="J27278" s="63"/>
    </row>
    <row r="27279" spans="9:10" x14ac:dyDescent="0.35">
      <c r="I27279" s="63"/>
      <c r="J27279" s="63"/>
    </row>
    <row r="27280" spans="9:10" x14ac:dyDescent="0.35">
      <c r="I27280" s="63"/>
      <c r="J27280" s="63"/>
    </row>
    <row r="27281" spans="9:10" x14ac:dyDescent="0.35">
      <c r="I27281" s="63"/>
      <c r="J27281" s="63"/>
    </row>
    <row r="27282" spans="9:10" x14ac:dyDescent="0.35">
      <c r="I27282" s="63"/>
      <c r="J27282" s="63"/>
    </row>
    <row r="27283" spans="9:10" x14ac:dyDescent="0.35">
      <c r="I27283" s="63"/>
      <c r="J27283" s="63"/>
    </row>
    <row r="27284" spans="9:10" x14ac:dyDescent="0.35">
      <c r="I27284" s="63"/>
      <c r="J27284" s="63"/>
    </row>
    <row r="27285" spans="9:10" x14ac:dyDescent="0.35">
      <c r="I27285" s="63"/>
      <c r="J27285" s="63"/>
    </row>
    <row r="27286" spans="9:10" x14ac:dyDescent="0.35">
      <c r="I27286" s="63"/>
      <c r="J27286" s="63"/>
    </row>
    <row r="27287" spans="9:10" x14ac:dyDescent="0.35">
      <c r="I27287" s="63"/>
      <c r="J27287" s="63"/>
    </row>
    <row r="27288" spans="9:10" x14ac:dyDescent="0.35">
      <c r="I27288" s="63"/>
      <c r="J27288" s="63"/>
    </row>
    <row r="27289" spans="9:10" x14ac:dyDescent="0.35">
      <c r="I27289" s="63"/>
      <c r="J27289" s="63"/>
    </row>
    <row r="27290" spans="9:10" x14ac:dyDescent="0.35">
      <c r="I27290" s="63"/>
      <c r="J27290" s="63"/>
    </row>
    <row r="27291" spans="9:10" x14ac:dyDescent="0.35">
      <c r="I27291" s="63"/>
      <c r="J27291" s="63"/>
    </row>
    <row r="27292" spans="9:10" x14ac:dyDescent="0.35">
      <c r="I27292" s="63"/>
      <c r="J27292" s="63"/>
    </row>
    <row r="27293" spans="9:10" x14ac:dyDescent="0.35">
      <c r="I27293" s="63"/>
      <c r="J27293" s="63"/>
    </row>
    <row r="27294" spans="9:10" x14ac:dyDescent="0.35">
      <c r="I27294" s="63"/>
      <c r="J27294" s="63"/>
    </row>
    <row r="27295" spans="9:10" x14ac:dyDescent="0.35">
      <c r="I27295" s="63"/>
      <c r="J27295" s="63"/>
    </row>
    <row r="27296" spans="9:10" x14ac:dyDescent="0.35">
      <c r="I27296" s="63"/>
      <c r="J27296" s="63"/>
    </row>
    <row r="27297" spans="9:10" x14ac:dyDescent="0.35">
      <c r="I27297" s="63"/>
      <c r="J27297" s="63"/>
    </row>
    <row r="27298" spans="9:10" x14ac:dyDescent="0.35">
      <c r="I27298" s="63"/>
      <c r="J27298" s="63"/>
    </row>
    <row r="27299" spans="9:10" x14ac:dyDescent="0.35">
      <c r="I27299" s="63"/>
      <c r="J27299" s="63"/>
    </row>
    <row r="27300" spans="9:10" x14ac:dyDescent="0.35">
      <c r="I27300" s="63"/>
      <c r="J27300" s="63"/>
    </row>
    <row r="27301" spans="9:10" x14ac:dyDescent="0.35">
      <c r="I27301" s="63"/>
      <c r="J27301" s="63"/>
    </row>
    <row r="27302" spans="9:10" x14ac:dyDescent="0.35">
      <c r="I27302" s="63"/>
      <c r="J27302" s="63"/>
    </row>
    <row r="27303" spans="9:10" x14ac:dyDescent="0.35">
      <c r="I27303" s="63"/>
      <c r="J27303" s="63"/>
    </row>
    <row r="27304" spans="9:10" x14ac:dyDescent="0.35">
      <c r="I27304" s="63"/>
      <c r="J27304" s="63"/>
    </row>
    <row r="27305" spans="9:10" x14ac:dyDescent="0.35">
      <c r="I27305" s="63"/>
      <c r="J27305" s="63"/>
    </row>
    <row r="27306" spans="9:10" x14ac:dyDescent="0.35">
      <c r="I27306" s="63"/>
      <c r="J27306" s="63"/>
    </row>
    <row r="27307" spans="9:10" x14ac:dyDescent="0.35">
      <c r="I27307" s="63"/>
      <c r="J27307" s="63"/>
    </row>
    <row r="27308" spans="9:10" x14ac:dyDescent="0.35">
      <c r="I27308" s="63"/>
      <c r="J27308" s="63"/>
    </row>
    <row r="27309" spans="9:10" x14ac:dyDescent="0.35">
      <c r="I27309" s="63"/>
      <c r="J27309" s="63"/>
    </row>
    <row r="27310" spans="9:10" x14ac:dyDescent="0.35">
      <c r="I27310" s="63"/>
      <c r="J27310" s="63"/>
    </row>
    <row r="27311" spans="9:10" x14ac:dyDescent="0.35">
      <c r="I27311" s="63"/>
      <c r="J27311" s="63"/>
    </row>
    <row r="27312" spans="9:10" x14ac:dyDescent="0.35">
      <c r="I27312" s="63"/>
      <c r="J27312" s="63"/>
    </row>
    <row r="27313" spans="9:10" x14ac:dyDescent="0.35">
      <c r="I27313" s="63"/>
      <c r="J27313" s="63"/>
    </row>
    <row r="27314" spans="9:10" x14ac:dyDescent="0.35">
      <c r="I27314" s="63"/>
      <c r="J27314" s="63"/>
    </row>
    <row r="27315" spans="9:10" x14ac:dyDescent="0.35">
      <c r="I27315" s="63"/>
      <c r="J27315" s="63"/>
    </row>
    <row r="27316" spans="9:10" x14ac:dyDescent="0.35">
      <c r="I27316" s="63"/>
      <c r="J27316" s="63"/>
    </row>
    <row r="27317" spans="9:10" x14ac:dyDescent="0.35">
      <c r="I27317" s="63"/>
      <c r="J27317" s="63"/>
    </row>
    <row r="27318" spans="9:10" x14ac:dyDescent="0.35">
      <c r="I27318" s="63"/>
      <c r="J27318" s="63"/>
    </row>
    <row r="27319" spans="9:10" x14ac:dyDescent="0.35">
      <c r="I27319" s="63"/>
      <c r="J27319" s="63"/>
    </row>
    <row r="27320" spans="9:10" x14ac:dyDescent="0.35">
      <c r="I27320" s="63"/>
      <c r="J27320" s="63"/>
    </row>
    <row r="27321" spans="9:10" x14ac:dyDescent="0.35">
      <c r="I27321" s="63"/>
      <c r="J27321" s="63"/>
    </row>
    <row r="27322" spans="9:10" x14ac:dyDescent="0.35">
      <c r="I27322" s="63"/>
      <c r="J27322" s="63"/>
    </row>
    <row r="27323" spans="9:10" x14ac:dyDescent="0.35">
      <c r="I27323" s="63"/>
      <c r="J27323" s="63"/>
    </row>
    <row r="27324" spans="9:10" x14ac:dyDescent="0.35">
      <c r="I27324" s="63"/>
      <c r="J27324" s="63"/>
    </row>
    <row r="27325" spans="9:10" x14ac:dyDescent="0.35">
      <c r="I27325" s="63"/>
      <c r="J27325" s="63"/>
    </row>
    <row r="27326" spans="9:10" x14ac:dyDescent="0.35">
      <c r="I27326" s="63"/>
      <c r="J27326" s="63"/>
    </row>
    <row r="27327" spans="9:10" x14ac:dyDescent="0.35">
      <c r="I27327" s="63"/>
      <c r="J27327" s="63"/>
    </row>
    <row r="27328" spans="9:10" x14ac:dyDescent="0.35">
      <c r="I27328" s="63"/>
      <c r="J27328" s="63"/>
    </row>
    <row r="27329" spans="9:10" x14ac:dyDescent="0.35">
      <c r="I27329" s="63"/>
      <c r="J27329" s="63"/>
    </row>
    <row r="27330" spans="9:10" x14ac:dyDescent="0.35">
      <c r="I27330" s="63"/>
      <c r="J27330" s="63"/>
    </row>
    <row r="27331" spans="9:10" x14ac:dyDescent="0.35">
      <c r="I27331" s="63"/>
      <c r="J27331" s="63"/>
    </row>
    <row r="27332" spans="9:10" x14ac:dyDescent="0.35">
      <c r="I27332" s="63"/>
      <c r="J27332" s="63"/>
    </row>
    <row r="27333" spans="9:10" x14ac:dyDescent="0.35">
      <c r="I27333" s="63"/>
      <c r="J27333" s="63"/>
    </row>
    <row r="27334" spans="9:10" x14ac:dyDescent="0.35">
      <c r="I27334" s="63"/>
      <c r="J27334" s="63"/>
    </row>
    <row r="27335" spans="9:10" x14ac:dyDescent="0.35">
      <c r="I27335" s="63"/>
      <c r="J27335" s="63"/>
    </row>
    <row r="27336" spans="9:10" x14ac:dyDescent="0.35">
      <c r="I27336" s="63"/>
      <c r="J27336" s="63"/>
    </row>
    <row r="27337" spans="9:10" x14ac:dyDescent="0.35">
      <c r="I27337" s="63"/>
      <c r="J27337" s="63"/>
    </row>
    <row r="27338" spans="9:10" x14ac:dyDescent="0.35">
      <c r="I27338" s="63"/>
      <c r="J27338" s="63"/>
    </row>
    <row r="27339" spans="9:10" x14ac:dyDescent="0.35">
      <c r="I27339" s="63"/>
      <c r="J27339" s="63"/>
    </row>
    <row r="27340" spans="9:10" x14ac:dyDescent="0.35">
      <c r="I27340" s="63"/>
      <c r="J27340" s="63"/>
    </row>
    <row r="27341" spans="9:10" x14ac:dyDescent="0.35">
      <c r="I27341" s="63"/>
      <c r="J27341" s="63"/>
    </row>
    <row r="27342" spans="9:10" x14ac:dyDescent="0.35">
      <c r="I27342" s="63"/>
      <c r="J27342" s="63"/>
    </row>
    <row r="27343" spans="9:10" x14ac:dyDescent="0.35">
      <c r="I27343" s="63"/>
      <c r="J27343" s="63"/>
    </row>
    <row r="27344" spans="9:10" x14ac:dyDescent="0.35">
      <c r="I27344" s="63"/>
      <c r="J27344" s="63"/>
    </row>
    <row r="27345" spans="9:10" x14ac:dyDescent="0.35">
      <c r="I27345" s="63"/>
      <c r="J27345" s="63"/>
    </row>
    <row r="27346" spans="9:10" x14ac:dyDescent="0.35">
      <c r="I27346" s="63"/>
      <c r="J27346" s="63"/>
    </row>
    <row r="27347" spans="9:10" x14ac:dyDescent="0.35">
      <c r="I27347" s="63"/>
      <c r="J27347" s="63"/>
    </row>
    <row r="27348" spans="9:10" x14ac:dyDescent="0.35">
      <c r="I27348" s="63"/>
      <c r="J27348" s="63"/>
    </row>
    <row r="27349" spans="9:10" x14ac:dyDescent="0.35">
      <c r="I27349" s="63"/>
      <c r="J27349" s="63"/>
    </row>
    <row r="27350" spans="9:10" x14ac:dyDescent="0.35">
      <c r="I27350" s="63"/>
      <c r="J27350" s="63"/>
    </row>
    <row r="27351" spans="9:10" x14ac:dyDescent="0.35">
      <c r="I27351" s="63"/>
      <c r="J27351" s="63"/>
    </row>
    <row r="27352" spans="9:10" x14ac:dyDescent="0.35">
      <c r="I27352" s="63"/>
      <c r="J27352" s="63"/>
    </row>
    <row r="27353" spans="9:10" x14ac:dyDescent="0.35">
      <c r="I27353" s="63"/>
      <c r="J27353" s="63"/>
    </row>
    <row r="27354" spans="9:10" x14ac:dyDescent="0.35">
      <c r="I27354" s="63"/>
      <c r="J27354" s="63"/>
    </row>
    <row r="27355" spans="9:10" x14ac:dyDescent="0.35">
      <c r="I27355" s="63"/>
      <c r="J27355" s="63"/>
    </row>
    <row r="27356" spans="9:10" x14ac:dyDescent="0.35">
      <c r="I27356" s="63"/>
      <c r="J27356" s="63"/>
    </row>
    <row r="27357" spans="9:10" x14ac:dyDescent="0.35">
      <c r="I27357" s="63"/>
      <c r="J27357" s="63"/>
    </row>
    <row r="27358" spans="9:10" x14ac:dyDescent="0.35">
      <c r="I27358" s="63"/>
      <c r="J27358" s="63"/>
    </row>
    <row r="27359" spans="9:10" x14ac:dyDescent="0.35">
      <c r="I27359" s="63"/>
      <c r="J27359" s="63"/>
    </row>
    <row r="27360" spans="9:10" x14ac:dyDescent="0.35">
      <c r="I27360" s="63"/>
      <c r="J27360" s="63"/>
    </row>
    <row r="27361" spans="9:10" x14ac:dyDescent="0.35">
      <c r="I27361" s="63"/>
      <c r="J27361" s="63"/>
    </row>
    <row r="27362" spans="9:10" x14ac:dyDescent="0.35">
      <c r="I27362" s="63"/>
      <c r="J27362" s="63"/>
    </row>
    <row r="27363" spans="9:10" x14ac:dyDescent="0.35">
      <c r="I27363" s="63"/>
      <c r="J27363" s="63"/>
    </row>
    <row r="27364" spans="9:10" x14ac:dyDescent="0.35">
      <c r="I27364" s="63"/>
      <c r="J27364" s="63"/>
    </row>
    <row r="27365" spans="9:10" x14ac:dyDescent="0.35">
      <c r="I27365" s="63"/>
      <c r="J27365" s="63"/>
    </row>
    <row r="27366" spans="9:10" x14ac:dyDescent="0.35">
      <c r="I27366" s="63"/>
      <c r="J27366" s="63"/>
    </row>
    <row r="27367" spans="9:10" x14ac:dyDescent="0.35">
      <c r="I27367" s="63"/>
      <c r="J27367" s="63"/>
    </row>
    <row r="27368" spans="9:10" x14ac:dyDescent="0.35">
      <c r="I27368" s="63"/>
      <c r="J27368" s="63"/>
    </row>
    <row r="27369" spans="9:10" x14ac:dyDescent="0.35">
      <c r="I27369" s="63"/>
      <c r="J27369" s="63"/>
    </row>
    <row r="27370" spans="9:10" x14ac:dyDescent="0.35">
      <c r="I27370" s="63"/>
      <c r="J27370" s="63"/>
    </row>
    <row r="27371" spans="9:10" x14ac:dyDescent="0.35">
      <c r="I27371" s="63"/>
      <c r="J27371" s="63"/>
    </row>
    <row r="27372" spans="9:10" x14ac:dyDescent="0.35">
      <c r="I27372" s="63"/>
      <c r="J27372" s="63"/>
    </row>
    <row r="27373" spans="9:10" x14ac:dyDescent="0.35">
      <c r="I27373" s="63"/>
      <c r="J27373" s="63"/>
    </row>
    <row r="27374" spans="9:10" x14ac:dyDescent="0.35">
      <c r="I27374" s="63"/>
      <c r="J27374" s="63"/>
    </row>
    <row r="27375" spans="9:10" x14ac:dyDescent="0.35">
      <c r="I27375" s="63"/>
      <c r="J27375" s="63"/>
    </row>
    <row r="27376" spans="9:10" x14ac:dyDescent="0.35">
      <c r="I27376" s="63"/>
      <c r="J27376" s="63"/>
    </row>
    <row r="27377" spans="9:10" x14ac:dyDescent="0.35">
      <c r="I27377" s="63"/>
      <c r="J27377" s="63"/>
    </row>
    <row r="27378" spans="9:10" x14ac:dyDescent="0.35">
      <c r="I27378" s="63"/>
      <c r="J27378" s="63"/>
    </row>
    <row r="27379" spans="9:10" x14ac:dyDescent="0.35">
      <c r="I27379" s="63"/>
      <c r="J27379" s="63"/>
    </row>
    <row r="27380" spans="9:10" x14ac:dyDescent="0.35">
      <c r="I27380" s="63"/>
      <c r="J27380" s="63"/>
    </row>
    <row r="27381" spans="9:10" x14ac:dyDescent="0.35">
      <c r="I27381" s="63"/>
      <c r="J27381" s="63"/>
    </row>
    <row r="27382" spans="9:10" x14ac:dyDescent="0.35">
      <c r="I27382" s="63"/>
      <c r="J27382" s="63"/>
    </row>
    <row r="27383" spans="9:10" x14ac:dyDescent="0.35">
      <c r="I27383" s="63"/>
      <c r="J27383" s="63"/>
    </row>
    <row r="27384" spans="9:10" x14ac:dyDescent="0.35">
      <c r="I27384" s="63"/>
      <c r="J27384" s="63"/>
    </row>
    <row r="27385" spans="9:10" x14ac:dyDescent="0.35">
      <c r="I27385" s="63"/>
      <c r="J27385" s="63"/>
    </row>
    <row r="27386" spans="9:10" x14ac:dyDescent="0.35">
      <c r="I27386" s="63"/>
      <c r="J27386" s="63"/>
    </row>
    <row r="27387" spans="9:10" x14ac:dyDescent="0.35">
      <c r="I27387" s="63"/>
      <c r="J27387" s="63"/>
    </row>
    <row r="27388" spans="9:10" x14ac:dyDescent="0.35">
      <c r="I27388" s="63"/>
      <c r="J27388" s="63"/>
    </row>
    <row r="27389" spans="9:10" x14ac:dyDescent="0.35">
      <c r="I27389" s="63"/>
      <c r="J27389" s="63"/>
    </row>
    <row r="27390" spans="9:10" x14ac:dyDescent="0.35">
      <c r="I27390" s="63"/>
      <c r="J27390" s="63"/>
    </row>
    <row r="27391" spans="9:10" x14ac:dyDescent="0.35">
      <c r="I27391" s="63"/>
      <c r="J27391" s="63"/>
    </row>
    <row r="27392" spans="9:10" x14ac:dyDescent="0.35">
      <c r="I27392" s="63"/>
      <c r="J27392" s="63"/>
    </row>
    <row r="27393" spans="9:10" x14ac:dyDescent="0.35">
      <c r="I27393" s="63"/>
      <c r="J27393" s="63"/>
    </row>
    <row r="27394" spans="9:10" x14ac:dyDescent="0.35">
      <c r="I27394" s="63"/>
      <c r="J27394" s="63"/>
    </row>
    <row r="27395" spans="9:10" x14ac:dyDescent="0.35">
      <c r="I27395" s="63"/>
      <c r="J27395" s="63"/>
    </row>
    <row r="27396" spans="9:10" x14ac:dyDescent="0.35">
      <c r="I27396" s="63"/>
      <c r="J27396" s="63"/>
    </row>
    <row r="27397" spans="9:10" x14ac:dyDescent="0.35">
      <c r="I27397" s="63"/>
      <c r="J27397" s="63"/>
    </row>
    <row r="27398" spans="9:10" x14ac:dyDescent="0.35">
      <c r="I27398" s="63"/>
      <c r="J27398" s="63"/>
    </row>
    <row r="27399" spans="9:10" x14ac:dyDescent="0.35">
      <c r="I27399" s="63"/>
      <c r="J27399" s="63"/>
    </row>
    <row r="27400" spans="9:10" x14ac:dyDescent="0.35">
      <c r="I27400" s="63"/>
      <c r="J27400" s="63"/>
    </row>
    <row r="27401" spans="9:10" x14ac:dyDescent="0.35">
      <c r="I27401" s="63"/>
      <c r="J27401" s="63"/>
    </row>
    <row r="27402" spans="9:10" x14ac:dyDescent="0.35">
      <c r="I27402" s="63"/>
      <c r="J27402" s="63"/>
    </row>
    <row r="27403" spans="9:10" x14ac:dyDescent="0.35">
      <c r="I27403" s="63"/>
      <c r="J27403" s="63"/>
    </row>
    <row r="27404" spans="9:10" x14ac:dyDescent="0.35">
      <c r="I27404" s="63"/>
      <c r="J27404" s="63"/>
    </row>
    <row r="27405" spans="9:10" x14ac:dyDescent="0.35">
      <c r="I27405" s="63"/>
      <c r="J27405" s="63"/>
    </row>
    <row r="27406" spans="9:10" x14ac:dyDescent="0.35">
      <c r="I27406" s="63"/>
      <c r="J27406" s="63"/>
    </row>
    <row r="27407" spans="9:10" x14ac:dyDescent="0.35">
      <c r="I27407" s="63"/>
      <c r="J27407" s="63"/>
    </row>
    <row r="27408" spans="9:10" x14ac:dyDescent="0.35">
      <c r="I27408" s="63"/>
      <c r="J27408" s="63"/>
    </row>
    <row r="27409" spans="9:10" x14ac:dyDescent="0.35">
      <c r="I27409" s="63"/>
      <c r="J27409" s="63"/>
    </row>
    <row r="27410" spans="9:10" x14ac:dyDescent="0.35">
      <c r="I27410" s="63"/>
      <c r="J27410" s="63"/>
    </row>
    <row r="27411" spans="9:10" x14ac:dyDescent="0.35">
      <c r="I27411" s="63"/>
      <c r="J27411" s="63"/>
    </row>
    <row r="27412" spans="9:10" x14ac:dyDescent="0.35">
      <c r="I27412" s="63"/>
      <c r="J27412" s="63"/>
    </row>
    <row r="27413" spans="9:10" x14ac:dyDescent="0.35">
      <c r="I27413" s="63"/>
      <c r="J27413" s="63"/>
    </row>
    <row r="27414" spans="9:10" x14ac:dyDescent="0.35">
      <c r="I27414" s="63"/>
      <c r="J27414" s="63"/>
    </row>
    <row r="27415" spans="9:10" x14ac:dyDescent="0.35">
      <c r="I27415" s="63"/>
      <c r="J27415" s="63"/>
    </row>
    <row r="27416" spans="9:10" x14ac:dyDescent="0.35">
      <c r="I27416" s="63"/>
      <c r="J27416" s="63"/>
    </row>
    <row r="27417" spans="9:10" x14ac:dyDescent="0.35">
      <c r="I27417" s="63"/>
      <c r="J27417" s="63"/>
    </row>
    <row r="27418" spans="9:10" x14ac:dyDescent="0.35">
      <c r="I27418" s="63"/>
      <c r="J27418" s="63"/>
    </row>
    <row r="27419" spans="9:10" x14ac:dyDescent="0.35">
      <c r="I27419" s="63"/>
      <c r="J27419" s="63"/>
    </row>
    <row r="27420" spans="9:10" x14ac:dyDescent="0.35">
      <c r="I27420" s="63"/>
      <c r="J27420" s="63"/>
    </row>
    <row r="27421" spans="9:10" x14ac:dyDescent="0.35">
      <c r="I27421" s="63"/>
      <c r="J27421" s="63"/>
    </row>
    <row r="27422" spans="9:10" x14ac:dyDescent="0.35">
      <c r="I27422" s="63"/>
      <c r="J27422" s="63"/>
    </row>
    <row r="27423" spans="9:10" x14ac:dyDescent="0.35">
      <c r="I27423" s="63"/>
      <c r="J27423" s="63"/>
    </row>
    <row r="27424" spans="9:10" x14ac:dyDescent="0.35">
      <c r="I27424" s="63"/>
      <c r="J27424" s="63"/>
    </row>
    <row r="27425" spans="9:10" x14ac:dyDescent="0.35">
      <c r="I27425" s="63"/>
      <c r="J27425" s="63"/>
    </row>
    <row r="27426" spans="9:10" x14ac:dyDescent="0.35">
      <c r="I27426" s="63"/>
      <c r="J27426" s="63"/>
    </row>
    <row r="27427" spans="9:10" x14ac:dyDescent="0.35">
      <c r="I27427" s="63"/>
      <c r="J27427" s="63"/>
    </row>
    <row r="27428" spans="9:10" x14ac:dyDescent="0.35">
      <c r="I27428" s="63"/>
      <c r="J27428" s="63"/>
    </row>
    <row r="27429" spans="9:10" x14ac:dyDescent="0.35">
      <c r="I27429" s="63"/>
      <c r="J27429" s="63"/>
    </row>
    <row r="27430" spans="9:10" x14ac:dyDescent="0.35">
      <c r="I27430" s="63"/>
      <c r="J27430" s="63"/>
    </row>
    <row r="27431" spans="9:10" x14ac:dyDescent="0.35">
      <c r="I27431" s="63"/>
      <c r="J27431" s="63"/>
    </row>
    <row r="27432" spans="9:10" x14ac:dyDescent="0.35">
      <c r="I27432" s="63"/>
      <c r="J27432" s="63"/>
    </row>
    <row r="27433" spans="9:10" x14ac:dyDescent="0.35">
      <c r="I27433" s="63"/>
      <c r="J27433" s="63"/>
    </row>
    <row r="27434" spans="9:10" x14ac:dyDescent="0.35">
      <c r="I27434" s="63"/>
      <c r="J27434" s="63"/>
    </row>
    <row r="27435" spans="9:10" x14ac:dyDescent="0.35">
      <c r="I27435" s="63"/>
      <c r="J27435" s="63"/>
    </row>
    <row r="27436" spans="9:10" x14ac:dyDescent="0.35">
      <c r="I27436" s="63"/>
      <c r="J27436" s="63"/>
    </row>
    <row r="27437" spans="9:10" x14ac:dyDescent="0.35">
      <c r="I27437" s="63"/>
      <c r="J27437" s="63"/>
    </row>
    <row r="27438" spans="9:10" x14ac:dyDescent="0.35">
      <c r="I27438" s="63"/>
      <c r="J27438" s="63"/>
    </row>
    <row r="27439" spans="9:10" x14ac:dyDescent="0.35">
      <c r="I27439" s="63"/>
      <c r="J27439" s="63"/>
    </row>
    <row r="27440" spans="9:10" x14ac:dyDescent="0.35">
      <c r="I27440" s="63"/>
      <c r="J27440" s="63"/>
    </row>
    <row r="27441" spans="9:10" x14ac:dyDescent="0.35">
      <c r="I27441" s="63"/>
      <c r="J27441" s="63"/>
    </row>
    <row r="27442" spans="9:10" x14ac:dyDescent="0.35">
      <c r="I27442" s="63"/>
      <c r="J27442" s="63"/>
    </row>
    <row r="27443" spans="9:10" x14ac:dyDescent="0.35">
      <c r="I27443" s="63"/>
      <c r="J27443" s="63"/>
    </row>
    <row r="27444" spans="9:10" x14ac:dyDescent="0.35">
      <c r="I27444" s="63"/>
      <c r="J27444" s="63"/>
    </row>
    <row r="27445" spans="9:10" x14ac:dyDescent="0.35">
      <c r="I27445" s="63"/>
      <c r="J27445" s="63"/>
    </row>
    <row r="27446" spans="9:10" x14ac:dyDescent="0.35">
      <c r="I27446" s="63"/>
      <c r="J27446" s="63"/>
    </row>
    <row r="27447" spans="9:10" x14ac:dyDescent="0.35">
      <c r="I27447" s="63"/>
      <c r="J27447" s="63"/>
    </row>
    <row r="27448" spans="9:10" x14ac:dyDescent="0.35">
      <c r="I27448" s="63"/>
      <c r="J27448" s="63"/>
    </row>
    <row r="27449" spans="9:10" x14ac:dyDescent="0.35">
      <c r="I27449" s="63"/>
      <c r="J27449" s="63"/>
    </row>
    <row r="27450" spans="9:10" x14ac:dyDescent="0.35">
      <c r="I27450" s="63"/>
      <c r="J27450" s="63"/>
    </row>
    <row r="27451" spans="9:10" x14ac:dyDescent="0.35">
      <c r="I27451" s="63"/>
      <c r="J27451" s="63"/>
    </row>
    <row r="27452" spans="9:10" x14ac:dyDescent="0.35">
      <c r="I27452" s="63"/>
      <c r="J27452" s="63"/>
    </row>
    <row r="27453" spans="9:10" x14ac:dyDescent="0.35">
      <c r="I27453" s="63"/>
      <c r="J27453" s="63"/>
    </row>
    <row r="27454" spans="9:10" x14ac:dyDescent="0.35">
      <c r="I27454" s="63"/>
      <c r="J27454" s="63"/>
    </row>
    <row r="27455" spans="9:10" x14ac:dyDescent="0.35">
      <c r="I27455" s="63"/>
      <c r="J27455" s="63"/>
    </row>
    <row r="27456" spans="9:10" x14ac:dyDescent="0.35">
      <c r="I27456" s="63"/>
      <c r="J27456" s="63"/>
    </row>
    <row r="27457" spans="9:10" x14ac:dyDescent="0.35">
      <c r="I27457" s="63"/>
      <c r="J27457" s="63"/>
    </row>
    <row r="27458" spans="9:10" x14ac:dyDescent="0.35">
      <c r="I27458" s="63"/>
      <c r="J27458" s="63"/>
    </row>
    <row r="27459" spans="9:10" x14ac:dyDescent="0.35">
      <c r="I27459" s="63"/>
      <c r="J27459" s="63"/>
    </row>
    <row r="27460" spans="9:10" x14ac:dyDescent="0.35">
      <c r="I27460" s="63"/>
      <c r="J27460" s="63"/>
    </row>
    <row r="27461" spans="9:10" x14ac:dyDescent="0.35">
      <c r="I27461" s="63"/>
      <c r="J27461" s="63"/>
    </row>
    <row r="27462" spans="9:10" x14ac:dyDescent="0.35">
      <c r="I27462" s="63"/>
      <c r="J27462" s="63"/>
    </row>
    <row r="27463" spans="9:10" x14ac:dyDescent="0.35">
      <c r="I27463" s="63"/>
      <c r="J27463" s="63"/>
    </row>
    <row r="27464" spans="9:10" x14ac:dyDescent="0.35">
      <c r="I27464" s="63"/>
      <c r="J27464" s="63"/>
    </row>
    <row r="27465" spans="9:10" x14ac:dyDescent="0.35">
      <c r="I27465" s="63"/>
      <c r="J27465" s="63"/>
    </row>
    <row r="27466" spans="9:10" x14ac:dyDescent="0.35">
      <c r="I27466" s="63"/>
      <c r="J27466" s="63"/>
    </row>
    <row r="27467" spans="9:10" x14ac:dyDescent="0.35">
      <c r="I27467" s="63"/>
      <c r="J27467" s="63"/>
    </row>
    <row r="27468" spans="9:10" x14ac:dyDescent="0.35">
      <c r="I27468" s="63"/>
      <c r="J27468" s="63"/>
    </row>
    <row r="27469" spans="9:10" x14ac:dyDescent="0.35">
      <c r="I27469" s="63"/>
      <c r="J27469" s="63"/>
    </row>
    <row r="27470" spans="9:10" x14ac:dyDescent="0.35">
      <c r="I27470" s="63"/>
      <c r="J27470" s="63"/>
    </row>
    <row r="27471" spans="9:10" x14ac:dyDescent="0.35">
      <c r="I27471" s="63"/>
      <c r="J27471" s="63"/>
    </row>
    <row r="27472" spans="9:10" x14ac:dyDescent="0.35">
      <c r="I27472" s="63"/>
      <c r="J27472" s="63"/>
    </row>
    <row r="27473" spans="9:10" x14ac:dyDescent="0.35">
      <c r="I27473" s="63"/>
      <c r="J27473" s="63"/>
    </row>
    <row r="27474" spans="9:10" x14ac:dyDescent="0.35">
      <c r="I27474" s="63"/>
      <c r="J27474" s="63"/>
    </row>
    <row r="27475" spans="9:10" x14ac:dyDescent="0.35">
      <c r="I27475" s="63"/>
      <c r="J27475" s="63"/>
    </row>
    <row r="27476" spans="9:10" x14ac:dyDescent="0.35">
      <c r="I27476" s="63"/>
      <c r="J27476" s="63"/>
    </row>
    <row r="27477" spans="9:10" x14ac:dyDescent="0.35">
      <c r="I27477" s="63"/>
      <c r="J27477" s="63"/>
    </row>
    <row r="27478" spans="9:10" x14ac:dyDescent="0.35">
      <c r="I27478" s="63"/>
      <c r="J27478" s="63"/>
    </row>
    <row r="27479" spans="9:10" x14ac:dyDescent="0.35">
      <c r="I27479" s="63"/>
      <c r="J27479" s="63"/>
    </row>
    <row r="27480" spans="9:10" x14ac:dyDescent="0.35">
      <c r="I27480" s="63"/>
      <c r="J27480" s="63"/>
    </row>
    <row r="27481" spans="9:10" x14ac:dyDescent="0.35">
      <c r="I27481" s="63"/>
      <c r="J27481" s="63"/>
    </row>
    <row r="27482" spans="9:10" x14ac:dyDescent="0.35">
      <c r="I27482" s="63"/>
      <c r="J27482" s="63"/>
    </row>
    <row r="27483" spans="9:10" x14ac:dyDescent="0.35">
      <c r="I27483" s="63"/>
      <c r="J27483" s="63"/>
    </row>
    <row r="27484" spans="9:10" x14ac:dyDescent="0.35">
      <c r="I27484" s="63"/>
      <c r="J27484" s="63"/>
    </row>
    <row r="27485" spans="9:10" x14ac:dyDescent="0.35">
      <c r="I27485" s="63"/>
      <c r="J27485" s="63"/>
    </row>
    <row r="27486" spans="9:10" x14ac:dyDescent="0.35">
      <c r="I27486" s="63"/>
      <c r="J27486" s="63"/>
    </row>
    <row r="27487" spans="9:10" x14ac:dyDescent="0.35">
      <c r="I27487" s="63"/>
      <c r="J27487" s="63"/>
    </row>
    <row r="27488" spans="9:10" x14ac:dyDescent="0.35">
      <c r="I27488" s="63"/>
      <c r="J27488" s="63"/>
    </row>
    <row r="27489" spans="9:10" x14ac:dyDescent="0.35">
      <c r="I27489" s="63"/>
      <c r="J27489" s="63"/>
    </row>
    <row r="27490" spans="9:10" x14ac:dyDescent="0.35">
      <c r="I27490" s="63"/>
      <c r="J27490" s="63"/>
    </row>
    <row r="27491" spans="9:10" x14ac:dyDescent="0.35">
      <c r="I27491" s="63"/>
      <c r="J27491" s="63"/>
    </row>
    <row r="27492" spans="9:10" x14ac:dyDescent="0.35">
      <c r="I27492" s="63"/>
      <c r="J27492" s="63"/>
    </row>
    <row r="27493" spans="9:10" x14ac:dyDescent="0.35">
      <c r="I27493" s="63"/>
      <c r="J27493" s="63"/>
    </row>
    <row r="27494" spans="9:10" x14ac:dyDescent="0.35">
      <c r="I27494" s="63"/>
      <c r="J27494" s="63"/>
    </row>
    <row r="27495" spans="9:10" x14ac:dyDescent="0.35">
      <c r="I27495" s="63"/>
      <c r="J27495" s="63"/>
    </row>
    <row r="27496" spans="9:10" x14ac:dyDescent="0.35">
      <c r="I27496" s="63"/>
      <c r="J27496" s="63"/>
    </row>
    <row r="27497" spans="9:10" x14ac:dyDescent="0.35">
      <c r="I27497" s="63"/>
      <c r="J27497" s="63"/>
    </row>
    <row r="27498" spans="9:10" x14ac:dyDescent="0.35">
      <c r="I27498" s="63"/>
      <c r="J27498" s="63"/>
    </row>
    <row r="27499" spans="9:10" x14ac:dyDescent="0.35">
      <c r="I27499" s="63"/>
      <c r="J27499" s="63"/>
    </row>
    <row r="27500" spans="9:10" x14ac:dyDescent="0.35">
      <c r="I27500" s="63"/>
      <c r="J27500" s="63"/>
    </row>
    <row r="27501" spans="9:10" x14ac:dyDescent="0.35">
      <c r="I27501" s="63"/>
      <c r="J27501" s="63"/>
    </row>
    <row r="27502" spans="9:10" x14ac:dyDescent="0.35">
      <c r="I27502" s="63"/>
      <c r="J27502" s="63"/>
    </row>
    <row r="27503" spans="9:10" x14ac:dyDescent="0.35">
      <c r="I27503" s="63"/>
      <c r="J27503" s="63"/>
    </row>
    <row r="27504" spans="9:10" x14ac:dyDescent="0.35">
      <c r="I27504" s="63"/>
      <c r="J27504" s="63"/>
    </row>
    <row r="27505" spans="9:10" x14ac:dyDescent="0.35">
      <c r="I27505" s="63"/>
      <c r="J27505" s="63"/>
    </row>
    <row r="27506" spans="9:10" x14ac:dyDescent="0.35">
      <c r="I27506" s="63"/>
      <c r="J27506" s="63"/>
    </row>
    <row r="27507" spans="9:10" x14ac:dyDescent="0.35">
      <c r="I27507" s="63"/>
      <c r="J27507" s="63"/>
    </row>
    <row r="27508" spans="9:10" x14ac:dyDescent="0.35">
      <c r="I27508" s="63"/>
      <c r="J27508" s="63"/>
    </row>
    <row r="27509" spans="9:10" x14ac:dyDescent="0.35">
      <c r="I27509" s="63"/>
      <c r="J27509" s="63"/>
    </row>
    <row r="27510" spans="9:10" x14ac:dyDescent="0.35">
      <c r="I27510" s="63"/>
      <c r="J27510" s="63"/>
    </row>
    <row r="27511" spans="9:10" x14ac:dyDescent="0.35">
      <c r="I27511" s="63"/>
      <c r="J27511" s="63"/>
    </row>
    <row r="27512" spans="9:10" x14ac:dyDescent="0.35">
      <c r="I27512" s="63"/>
      <c r="J27512" s="63"/>
    </row>
    <row r="27513" spans="9:10" x14ac:dyDescent="0.35">
      <c r="I27513" s="63"/>
      <c r="J27513" s="63"/>
    </row>
    <row r="27514" spans="9:10" x14ac:dyDescent="0.35">
      <c r="I27514" s="63"/>
      <c r="J27514" s="63"/>
    </row>
    <row r="27515" spans="9:10" x14ac:dyDescent="0.35">
      <c r="I27515" s="63"/>
      <c r="J27515" s="63"/>
    </row>
    <row r="27516" spans="9:10" x14ac:dyDescent="0.35">
      <c r="I27516" s="63"/>
      <c r="J27516" s="63"/>
    </row>
    <row r="27517" spans="9:10" x14ac:dyDescent="0.35">
      <c r="I27517" s="63"/>
      <c r="J27517" s="63"/>
    </row>
    <row r="27518" spans="9:10" x14ac:dyDescent="0.35">
      <c r="I27518" s="63"/>
      <c r="J27518" s="63"/>
    </row>
    <row r="27519" spans="9:10" x14ac:dyDescent="0.35">
      <c r="I27519" s="63"/>
      <c r="J27519" s="63"/>
    </row>
    <row r="27520" spans="9:10" x14ac:dyDescent="0.35">
      <c r="I27520" s="63"/>
      <c r="J27520" s="63"/>
    </row>
    <row r="27521" spans="9:10" x14ac:dyDescent="0.35">
      <c r="I27521" s="63"/>
      <c r="J27521" s="63"/>
    </row>
    <row r="27522" spans="9:10" x14ac:dyDescent="0.35">
      <c r="I27522" s="63"/>
      <c r="J27522" s="63"/>
    </row>
    <row r="27523" spans="9:10" x14ac:dyDescent="0.35">
      <c r="I27523" s="63"/>
      <c r="J27523" s="63"/>
    </row>
    <row r="27524" spans="9:10" x14ac:dyDescent="0.35">
      <c r="I27524" s="63"/>
      <c r="J27524" s="63"/>
    </row>
    <row r="27525" spans="9:10" x14ac:dyDescent="0.35">
      <c r="I27525" s="63"/>
      <c r="J27525" s="63"/>
    </row>
    <row r="27526" spans="9:10" x14ac:dyDescent="0.35">
      <c r="I27526" s="63"/>
      <c r="J27526" s="63"/>
    </row>
    <row r="27527" spans="9:10" x14ac:dyDescent="0.35">
      <c r="I27527" s="63"/>
      <c r="J27527" s="63"/>
    </row>
    <row r="27528" spans="9:10" x14ac:dyDescent="0.35">
      <c r="I27528" s="63"/>
      <c r="J27528" s="63"/>
    </row>
    <row r="27529" spans="9:10" x14ac:dyDescent="0.35">
      <c r="I27529" s="63"/>
      <c r="J27529" s="63"/>
    </row>
    <row r="27530" spans="9:10" x14ac:dyDescent="0.35">
      <c r="I27530" s="63"/>
      <c r="J27530" s="63"/>
    </row>
    <row r="27531" spans="9:10" x14ac:dyDescent="0.35">
      <c r="I27531" s="63"/>
      <c r="J27531" s="63"/>
    </row>
    <row r="27532" spans="9:10" x14ac:dyDescent="0.35">
      <c r="I27532" s="63"/>
      <c r="J27532" s="63"/>
    </row>
    <row r="27533" spans="9:10" x14ac:dyDescent="0.35">
      <c r="I27533" s="63"/>
      <c r="J27533" s="63"/>
    </row>
    <row r="27534" spans="9:10" x14ac:dyDescent="0.35">
      <c r="I27534" s="63"/>
      <c r="J27534" s="63"/>
    </row>
    <row r="27535" spans="9:10" x14ac:dyDescent="0.35">
      <c r="I27535" s="63"/>
      <c r="J27535" s="63"/>
    </row>
    <row r="27536" spans="9:10" x14ac:dyDescent="0.35">
      <c r="I27536" s="63"/>
      <c r="J27536" s="63"/>
    </row>
    <row r="27537" spans="9:10" x14ac:dyDescent="0.35">
      <c r="I27537" s="63"/>
      <c r="J27537" s="63"/>
    </row>
    <row r="27538" spans="9:10" x14ac:dyDescent="0.35">
      <c r="I27538" s="63"/>
      <c r="J27538" s="63"/>
    </row>
    <row r="27539" spans="9:10" x14ac:dyDescent="0.35">
      <c r="I27539" s="63"/>
      <c r="J27539" s="63"/>
    </row>
    <row r="27540" spans="9:10" x14ac:dyDescent="0.35">
      <c r="I27540" s="63"/>
      <c r="J27540" s="63"/>
    </row>
    <row r="27541" spans="9:10" x14ac:dyDescent="0.35">
      <c r="I27541" s="63"/>
      <c r="J27541" s="63"/>
    </row>
    <row r="27542" spans="9:10" x14ac:dyDescent="0.35">
      <c r="I27542" s="63"/>
      <c r="J27542" s="63"/>
    </row>
    <row r="27543" spans="9:10" x14ac:dyDescent="0.35">
      <c r="I27543" s="63"/>
      <c r="J27543" s="63"/>
    </row>
    <row r="27544" spans="9:10" x14ac:dyDescent="0.35">
      <c r="I27544" s="63"/>
      <c r="J27544" s="63"/>
    </row>
    <row r="27545" spans="9:10" x14ac:dyDescent="0.35">
      <c r="I27545" s="63"/>
      <c r="J27545" s="63"/>
    </row>
    <row r="27546" spans="9:10" x14ac:dyDescent="0.35">
      <c r="I27546" s="63"/>
      <c r="J27546" s="63"/>
    </row>
    <row r="27547" spans="9:10" x14ac:dyDescent="0.35">
      <c r="I27547" s="63"/>
      <c r="J27547" s="63"/>
    </row>
    <row r="27548" spans="9:10" x14ac:dyDescent="0.35">
      <c r="I27548" s="63"/>
      <c r="J27548" s="63"/>
    </row>
    <row r="27549" spans="9:10" x14ac:dyDescent="0.35">
      <c r="I27549" s="63"/>
      <c r="J27549" s="63"/>
    </row>
    <row r="27550" spans="9:10" x14ac:dyDescent="0.35">
      <c r="I27550" s="63"/>
      <c r="J27550" s="63"/>
    </row>
    <row r="27551" spans="9:10" x14ac:dyDescent="0.35">
      <c r="I27551" s="63"/>
      <c r="J27551" s="63"/>
    </row>
    <row r="27552" spans="9:10" x14ac:dyDescent="0.35">
      <c r="I27552" s="63"/>
      <c r="J27552" s="63"/>
    </row>
    <row r="27553" spans="9:10" x14ac:dyDescent="0.35">
      <c r="I27553" s="63"/>
      <c r="J27553" s="63"/>
    </row>
    <row r="27554" spans="9:10" x14ac:dyDescent="0.35">
      <c r="I27554" s="63"/>
      <c r="J27554" s="63"/>
    </row>
    <row r="27555" spans="9:10" x14ac:dyDescent="0.35">
      <c r="I27555" s="63"/>
      <c r="J27555" s="63"/>
    </row>
    <row r="27556" spans="9:10" x14ac:dyDescent="0.35">
      <c r="I27556" s="63"/>
      <c r="J27556" s="63"/>
    </row>
    <row r="27557" spans="9:10" x14ac:dyDescent="0.35">
      <c r="I27557" s="63"/>
      <c r="J27557" s="63"/>
    </row>
    <row r="27558" spans="9:10" x14ac:dyDescent="0.35">
      <c r="I27558" s="63"/>
      <c r="J27558" s="63"/>
    </row>
    <row r="27559" spans="9:10" x14ac:dyDescent="0.35">
      <c r="I27559" s="63"/>
      <c r="J27559" s="63"/>
    </row>
    <row r="27560" spans="9:10" x14ac:dyDescent="0.35">
      <c r="I27560" s="63"/>
      <c r="J27560" s="63"/>
    </row>
    <row r="27561" spans="9:10" x14ac:dyDescent="0.35">
      <c r="I27561" s="63"/>
      <c r="J27561" s="63"/>
    </row>
    <row r="27562" spans="9:10" x14ac:dyDescent="0.35">
      <c r="I27562" s="63"/>
      <c r="J27562" s="63"/>
    </row>
    <row r="27563" spans="9:10" x14ac:dyDescent="0.35">
      <c r="I27563" s="63"/>
      <c r="J27563" s="63"/>
    </row>
    <row r="27564" spans="9:10" x14ac:dyDescent="0.35">
      <c r="I27564" s="63"/>
      <c r="J27564" s="63"/>
    </row>
    <row r="27565" spans="9:10" x14ac:dyDescent="0.35">
      <c r="I27565" s="63"/>
      <c r="J27565" s="63"/>
    </row>
    <row r="27566" spans="9:10" x14ac:dyDescent="0.35">
      <c r="I27566" s="63"/>
      <c r="J27566" s="63"/>
    </row>
    <row r="27567" spans="9:10" x14ac:dyDescent="0.35">
      <c r="I27567" s="63"/>
      <c r="J27567" s="63"/>
    </row>
    <row r="27568" spans="9:10" x14ac:dyDescent="0.35">
      <c r="I27568" s="63"/>
      <c r="J27568" s="63"/>
    </row>
    <row r="27569" spans="9:10" x14ac:dyDescent="0.35">
      <c r="I27569" s="63"/>
      <c r="J27569" s="63"/>
    </row>
    <row r="27570" spans="9:10" x14ac:dyDescent="0.35">
      <c r="I27570" s="63"/>
      <c r="J27570" s="63"/>
    </row>
    <row r="27571" spans="9:10" x14ac:dyDescent="0.35">
      <c r="I27571" s="63"/>
      <c r="J27571" s="63"/>
    </row>
    <row r="27572" spans="9:10" x14ac:dyDescent="0.35">
      <c r="I27572" s="63"/>
      <c r="J27572" s="63"/>
    </row>
    <row r="27573" spans="9:10" x14ac:dyDescent="0.35">
      <c r="I27573" s="63"/>
      <c r="J27573" s="63"/>
    </row>
    <row r="27574" spans="9:10" x14ac:dyDescent="0.35">
      <c r="I27574" s="63"/>
      <c r="J27574" s="63"/>
    </row>
    <row r="27575" spans="9:10" x14ac:dyDescent="0.35">
      <c r="I27575" s="63"/>
      <c r="J27575" s="63"/>
    </row>
    <row r="27576" spans="9:10" x14ac:dyDescent="0.35">
      <c r="I27576" s="63"/>
      <c r="J27576" s="63"/>
    </row>
    <row r="27577" spans="9:10" x14ac:dyDescent="0.35">
      <c r="I27577" s="63"/>
      <c r="J27577" s="63"/>
    </row>
    <row r="27578" spans="9:10" x14ac:dyDescent="0.35">
      <c r="I27578" s="63"/>
      <c r="J27578" s="63"/>
    </row>
    <row r="27579" spans="9:10" x14ac:dyDescent="0.35">
      <c r="I27579" s="63"/>
      <c r="J27579" s="63"/>
    </row>
    <row r="27580" spans="9:10" x14ac:dyDescent="0.35">
      <c r="I27580" s="63"/>
      <c r="J27580" s="63"/>
    </row>
    <row r="27581" spans="9:10" x14ac:dyDescent="0.35">
      <c r="I27581" s="63"/>
      <c r="J27581" s="63"/>
    </row>
    <row r="27582" spans="9:10" x14ac:dyDescent="0.35">
      <c r="I27582" s="63"/>
      <c r="J27582" s="63"/>
    </row>
    <row r="27583" spans="9:10" x14ac:dyDescent="0.35">
      <c r="I27583" s="63"/>
      <c r="J27583" s="63"/>
    </row>
    <row r="27584" spans="9:10" x14ac:dyDescent="0.35">
      <c r="I27584" s="63"/>
      <c r="J27584" s="63"/>
    </row>
    <row r="27585" spans="9:10" x14ac:dyDescent="0.35">
      <c r="I27585" s="63"/>
      <c r="J27585" s="63"/>
    </row>
    <row r="27586" spans="9:10" x14ac:dyDescent="0.35">
      <c r="I27586" s="63"/>
      <c r="J27586" s="63"/>
    </row>
    <row r="27587" spans="9:10" x14ac:dyDescent="0.35">
      <c r="I27587" s="63"/>
      <c r="J27587" s="63"/>
    </row>
    <row r="27588" spans="9:10" x14ac:dyDescent="0.35">
      <c r="I27588" s="63"/>
      <c r="J27588" s="63"/>
    </row>
    <row r="27589" spans="9:10" x14ac:dyDescent="0.35">
      <c r="I27589" s="63"/>
      <c r="J27589" s="63"/>
    </row>
    <row r="27590" spans="9:10" x14ac:dyDescent="0.35">
      <c r="I27590" s="63"/>
      <c r="J27590" s="63"/>
    </row>
    <row r="27591" spans="9:10" x14ac:dyDescent="0.35">
      <c r="I27591" s="63"/>
      <c r="J27591" s="63"/>
    </row>
    <row r="27592" spans="9:10" x14ac:dyDescent="0.35">
      <c r="I27592" s="63"/>
      <c r="J27592" s="63"/>
    </row>
    <row r="27593" spans="9:10" x14ac:dyDescent="0.35">
      <c r="I27593" s="63"/>
      <c r="J27593" s="63"/>
    </row>
    <row r="27594" spans="9:10" x14ac:dyDescent="0.35">
      <c r="I27594" s="63"/>
      <c r="J27594" s="63"/>
    </row>
    <row r="27595" spans="9:10" x14ac:dyDescent="0.35">
      <c r="I27595" s="63"/>
      <c r="J27595" s="63"/>
    </row>
    <row r="27596" spans="9:10" x14ac:dyDescent="0.35">
      <c r="I27596" s="63"/>
      <c r="J27596" s="63"/>
    </row>
    <row r="27597" spans="9:10" x14ac:dyDescent="0.35">
      <c r="I27597" s="63"/>
      <c r="J27597" s="63"/>
    </row>
    <row r="27598" spans="9:10" x14ac:dyDescent="0.35">
      <c r="I27598" s="63"/>
      <c r="J27598" s="63"/>
    </row>
    <row r="27599" spans="9:10" x14ac:dyDescent="0.35">
      <c r="I27599" s="63"/>
      <c r="J27599" s="63"/>
    </row>
    <row r="27600" spans="9:10" x14ac:dyDescent="0.35">
      <c r="I27600" s="63"/>
      <c r="J27600" s="63"/>
    </row>
    <row r="27601" spans="9:10" x14ac:dyDescent="0.35">
      <c r="I27601" s="63"/>
      <c r="J27601" s="63"/>
    </row>
    <row r="27602" spans="9:10" x14ac:dyDescent="0.35">
      <c r="I27602" s="63"/>
      <c r="J27602" s="63"/>
    </row>
    <row r="27603" spans="9:10" x14ac:dyDescent="0.35">
      <c r="I27603" s="63"/>
      <c r="J27603" s="63"/>
    </row>
    <row r="27604" spans="9:10" x14ac:dyDescent="0.35">
      <c r="I27604" s="63"/>
      <c r="J27604" s="63"/>
    </row>
    <row r="27605" spans="9:10" x14ac:dyDescent="0.35">
      <c r="I27605" s="63"/>
      <c r="J27605" s="63"/>
    </row>
    <row r="27606" spans="9:10" x14ac:dyDescent="0.35">
      <c r="I27606" s="63"/>
      <c r="J27606" s="63"/>
    </row>
    <row r="27607" spans="9:10" x14ac:dyDescent="0.35">
      <c r="I27607" s="63"/>
      <c r="J27607" s="63"/>
    </row>
    <row r="27608" spans="9:10" x14ac:dyDescent="0.35">
      <c r="I27608" s="63"/>
      <c r="J27608" s="63"/>
    </row>
    <row r="27609" spans="9:10" x14ac:dyDescent="0.35">
      <c r="I27609" s="63"/>
      <c r="J27609" s="63"/>
    </row>
    <row r="27610" spans="9:10" x14ac:dyDescent="0.35">
      <c r="I27610" s="63"/>
      <c r="J27610" s="63"/>
    </row>
    <row r="27611" spans="9:10" x14ac:dyDescent="0.35">
      <c r="I27611" s="63"/>
      <c r="J27611" s="63"/>
    </row>
    <row r="27612" spans="9:10" x14ac:dyDescent="0.35">
      <c r="I27612" s="63"/>
      <c r="J27612" s="63"/>
    </row>
    <row r="27613" spans="9:10" x14ac:dyDescent="0.35">
      <c r="I27613" s="63"/>
      <c r="J27613" s="63"/>
    </row>
    <row r="27614" spans="9:10" x14ac:dyDescent="0.35">
      <c r="I27614" s="63"/>
      <c r="J27614" s="63"/>
    </row>
    <row r="27615" spans="9:10" x14ac:dyDescent="0.35">
      <c r="I27615" s="63"/>
      <c r="J27615" s="63"/>
    </row>
    <row r="27616" spans="9:10" x14ac:dyDescent="0.35">
      <c r="I27616" s="63"/>
      <c r="J27616" s="63"/>
    </row>
    <row r="27617" spans="9:10" x14ac:dyDescent="0.35">
      <c r="I27617" s="63"/>
      <c r="J27617" s="63"/>
    </row>
    <row r="27618" spans="9:10" x14ac:dyDescent="0.35">
      <c r="I27618" s="63"/>
      <c r="J27618" s="63"/>
    </row>
    <row r="27619" spans="9:10" x14ac:dyDescent="0.35">
      <c r="I27619" s="63"/>
      <c r="J27619" s="63"/>
    </row>
    <row r="27620" spans="9:10" x14ac:dyDescent="0.35">
      <c r="I27620" s="63"/>
      <c r="J27620" s="63"/>
    </row>
    <row r="27621" spans="9:10" x14ac:dyDescent="0.35">
      <c r="I27621" s="63"/>
      <c r="J27621" s="63"/>
    </row>
    <row r="27622" spans="9:10" x14ac:dyDescent="0.35">
      <c r="I27622" s="63"/>
      <c r="J27622" s="63"/>
    </row>
    <row r="27623" spans="9:10" x14ac:dyDescent="0.35">
      <c r="I27623" s="63"/>
      <c r="J27623" s="63"/>
    </row>
    <row r="27624" spans="9:10" x14ac:dyDescent="0.35">
      <c r="I27624" s="63"/>
      <c r="J27624" s="63"/>
    </row>
    <row r="27625" spans="9:10" x14ac:dyDescent="0.35">
      <c r="I27625" s="63"/>
      <c r="J27625" s="63"/>
    </row>
    <row r="27626" spans="9:10" x14ac:dyDescent="0.35">
      <c r="I27626" s="63"/>
      <c r="J27626" s="63"/>
    </row>
    <row r="27627" spans="9:10" x14ac:dyDescent="0.35">
      <c r="I27627" s="63"/>
      <c r="J27627" s="63"/>
    </row>
    <row r="27628" spans="9:10" x14ac:dyDescent="0.35">
      <c r="I27628" s="63"/>
      <c r="J27628" s="63"/>
    </row>
    <row r="27629" spans="9:10" x14ac:dyDescent="0.35">
      <c r="I27629" s="63"/>
      <c r="J27629" s="63"/>
    </row>
    <row r="27630" spans="9:10" x14ac:dyDescent="0.35">
      <c r="I27630" s="63"/>
      <c r="J27630" s="63"/>
    </row>
    <row r="27631" spans="9:10" x14ac:dyDescent="0.35">
      <c r="I27631" s="63"/>
      <c r="J27631" s="63"/>
    </row>
    <row r="27632" spans="9:10" x14ac:dyDescent="0.35">
      <c r="I27632" s="63"/>
      <c r="J27632" s="63"/>
    </row>
    <row r="27633" spans="9:10" x14ac:dyDescent="0.35">
      <c r="I27633" s="63"/>
      <c r="J27633" s="63"/>
    </row>
    <row r="27634" spans="9:10" x14ac:dyDescent="0.35">
      <c r="I27634" s="63"/>
      <c r="J27634" s="63"/>
    </row>
    <row r="27635" spans="9:10" x14ac:dyDescent="0.35">
      <c r="I27635" s="63"/>
      <c r="J27635" s="63"/>
    </row>
    <row r="27636" spans="9:10" x14ac:dyDescent="0.35">
      <c r="I27636" s="63"/>
      <c r="J27636" s="63"/>
    </row>
    <row r="27637" spans="9:10" x14ac:dyDescent="0.35">
      <c r="I27637" s="63"/>
      <c r="J27637" s="63"/>
    </row>
    <row r="27638" spans="9:10" x14ac:dyDescent="0.35">
      <c r="I27638" s="63"/>
      <c r="J27638" s="63"/>
    </row>
    <row r="27639" spans="9:10" x14ac:dyDescent="0.35">
      <c r="I27639" s="63"/>
      <c r="J27639" s="63"/>
    </row>
    <row r="27640" spans="9:10" x14ac:dyDescent="0.35">
      <c r="I27640" s="63"/>
      <c r="J27640" s="63"/>
    </row>
    <row r="27641" spans="9:10" x14ac:dyDescent="0.35">
      <c r="I27641" s="63"/>
      <c r="J27641" s="63"/>
    </row>
    <row r="27642" spans="9:10" x14ac:dyDescent="0.35">
      <c r="I27642" s="63"/>
      <c r="J27642" s="63"/>
    </row>
    <row r="27643" spans="9:10" x14ac:dyDescent="0.35">
      <c r="I27643" s="63"/>
      <c r="J27643" s="63"/>
    </row>
    <row r="27644" spans="9:10" x14ac:dyDescent="0.35">
      <c r="I27644" s="63"/>
      <c r="J27644" s="63"/>
    </row>
    <row r="27645" spans="9:10" x14ac:dyDescent="0.35">
      <c r="I27645" s="63"/>
      <c r="J27645" s="63"/>
    </row>
    <row r="27646" spans="9:10" x14ac:dyDescent="0.35">
      <c r="I27646" s="63"/>
      <c r="J27646" s="63"/>
    </row>
    <row r="27647" spans="9:10" x14ac:dyDescent="0.35">
      <c r="I27647" s="63"/>
      <c r="J27647" s="63"/>
    </row>
    <row r="27648" spans="9:10" x14ac:dyDescent="0.35">
      <c r="I27648" s="63"/>
      <c r="J27648" s="63"/>
    </row>
    <row r="27649" spans="9:10" x14ac:dyDescent="0.35">
      <c r="I27649" s="63"/>
      <c r="J27649" s="63"/>
    </row>
    <row r="27650" spans="9:10" x14ac:dyDescent="0.35">
      <c r="I27650" s="63"/>
      <c r="J27650" s="63"/>
    </row>
    <row r="27651" spans="9:10" x14ac:dyDescent="0.35">
      <c r="I27651" s="63"/>
      <c r="J27651" s="63"/>
    </row>
    <row r="27652" spans="9:10" x14ac:dyDescent="0.35">
      <c r="I27652" s="63"/>
      <c r="J27652" s="63"/>
    </row>
    <row r="27653" spans="9:10" x14ac:dyDescent="0.35">
      <c r="I27653" s="63"/>
      <c r="J27653" s="63"/>
    </row>
    <row r="27654" spans="9:10" x14ac:dyDescent="0.35">
      <c r="I27654" s="63"/>
      <c r="J27654" s="63"/>
    </row>
    <row r="27655" spans="9:10" x14ac:dyDescent="0.35">
      <c r="I27655" s="63"/>
      <c r="J27655" s="63"/>
    </row>
    <row r="27656" spans="9:10" x14ac:dyDescent="0.35">
      <c r="I27656" s="63"/>
      <c r="J27656" s="63"/>
    </row>
    <row r="27657" spans="9:10" x14ac:dyDescent="0.35">
      <c r="I27657" s="63"/>
      <c r="J27657" s="63"/>
    </row>
    <row r="27658" spans="9:10" x14ac:dyDescent="0.35">
      <c r="I27658" s="63"/>
      <c r="J27658" s="63"/>
    </row>
    <row r="27659" spans="9:10" x14ac:dyDescent="0.35">
      <c r="I27659" s="63"/>
      <c r="J27659" s="63"/>
    </row>
    <row r="27660" spans="9:10" x14ac:dyDescent="0.35">
      <c r="I27660" s="63"/>
      <c r="J27660" s="63"/>
    </row>
    <row r="27661" spans="9:10" x14ac:dyDescent="0.35">
      <c r="I27661" s="63"/>
      <c r="J27661" s="63"/>
    </row>
    <row r="27662" spans="9:10" x14ac:dyDescent="0.35">
      <c r="I27662" s="63"/>
      <c r="J27662" s="63"/>
    </row>
    <row r="27663" spans="9:10" x14ac:dyDescent="0.35">
      <c r="I27663" s="63"/>
      <c r="J27663" s="63"/>
    </row>
    <row r="27664" spans="9:10" x14ac:dyDescent="0.35">
      <c r="I27664" s="63"/>
      <c r="J27664" s="63"/>
    </row>
    <row r="27665" spans="9:10" x14ac:dyDescent="0.35">
      <c r="I27665" s="63"/>
      <c r="J27665" s="63"/>
    </row>
    <row r="27666" spans="9:10" x14ac:dyDescent="0.35">
      <c r="I27666" s="63"/>
      <c r="J27666" s="63"/>
    </row>
    <row r="27667" spans="9:10" x14ac:dyDescent="0.35">
      <c r="I27667" s="63"/>
      <c r="J27667" s="63"/>
    </row>
    <row r="27668" spans="9:10" x14ac:dyDescent="0.35">
      <c r="I27668" s="63"/>
      <c r="J27668" s="63"/>
    </row>
    <row r="27669" spans="9:10" x14ac:dyDescent="0.35">
      <c r="I27669" s="63"/>
      <c r="J27669" s="63"/>
    </row>
    <row r="27670" spans="9:10" x14ac:dyDescent="0.35">
      <c r="I27670" s="63"/>
      <c r="J27670" s="63"/>
    </row>
    <row r="27671" spans="9:10" x14ac:dyDescent="0.35">
      <c r="I27671" s="63"/>
      <c r="J27671" s="63"/>
    </row>
    <row r="27672" spans="9:10" x14ac:dyDescent="0.35">
      <c r="I27672" s="63"/>
      <c r="J27672" s="63"/>
    </row>
    <row r="27673" spans="9:10" x14ac:dyDescent="0.35">
      <c r="I27673" s="63"/>
      <c r="J27673" s="63"/>
    </row>
    <row r="27674" spans="9:10" x14ac:dyDescent="0.35">
      <c r="I27674" s="63"/>
      <c r="J27674" s="63"/>
    </row>
    <row r="27675" spans="9:10" x14ac:dyDescent="0.35">
      <c r="I27675" s="63"/>
      <c r="J27675" s="63"/>
    </row>
    <row r="27676" spans="9:10" x14ac:dyDescent="0.35">
      <c r="I27676" s="63"/>
      <c r="J27676" s="63"/>
    </row>
    <row r="27677" spans="9:10" x14ac:dyDescent="0.35">
      <c r="I27677" s="63"/>
      <c r="J27677" s="63"/>
    </row>
    <row r="27678" spans="9:10" x14ac:dyDescent="0.35">
      <c r="I27678" s="63"/>
      <c r="J27678" s="63"/>
    </row>
    <row r="27679" spans="9:10" x14ac:dyDescent="0.35">
      <c r="I27679" s="63"/>
      <c r="J27679" s="63"/>
    </row>
    <row r="27680" spans="9:10" x14ac:dyDescent="0.35">
      <c r="I27680" s="63"/>
      <c r="J27680" s="63"/>
    </row>
    <row r="27681" spans="9:10" x14ac:dyDescent="0.35">
      <c r="I27681" s="63"/>
      <c r="J27681" s="63"/>
    </row>
    <row r="27682" spans="9:10" x14ac:dyDescent="0.35">
      <c r="I27682" s="63"/>
      <c r="J27682" s="63"/>
    </row>
    <row r="27683" spans="9:10" x14ac:dyDescent="0.35">
      <c r="I27683" s="63"/>
      <c r="J27683" s="63"/>
    </row>
    <row r="27684" spans="9:10" x14ac:dyDescent="0.35">
      <c r="I27684" s="63"/>
      <c r="J27684" s="63"/>
    </row>
    <row r="27685" spans="9:10" x14ac:dyDescent="0.35">
      <c r="I27685" s="63"/>
      <c r="J27685" s="63"/>
    </row>
    <row r="27686" spans="9:10" x14ac:dyDescent="0.35">
      <c r="I27686" s="63"/>
      <c r="J27686" s="63"/>
    </row>
    <row r="27687" spans="9:10" x14ac:dyDescent="0.35">
      <c r="I27687" s="63"/>
      <c r="J27687" s="63"/>
    </row>
    <row r="27688" spans="9:10" x14ac:dyDescent="0.35">
      <c r="I27688" s="63"/>
      <c r="J27688" s="63"/>
    </row>
    <row r="27689" spans="9:10" x14ac:dyDescent="0.35">
      <c r="I27689" s="63"/>
      <c r="J27689" s="63"/>
    </row>
    <row r="27690" spans="9:10" x14ac:dyDescent="0.35">
      <c r="I27690" s="63"/>
      <c r="J27690" s="63"/>
    </row>
    <row r="27691" spans="9:10" x14ac:dyDescent="0.35">
      <c r="I27691" s="63"/>
      <c r="J27691" s="63"/>
    </row>
    <row r="27692" spans="9:10" x14ac:dyDescent="0.35">
      <c r="I27692" s="63"/>
      <c r="J27692" s="63"/>
    </row>
    <row r="27693" spans="9:10" x14ac:dyDescent="0.35">
      <c r="I27693" s="63"/>
      <c r="J27693" s="63"/>
    </row>
    <row r="27694" spans="9:10" x14ac:dyDescent="0.35">
      <c r="I27694" s="63"/>
      <c r="J27694" s="63"/>
    </row>
    <row r="27695" spans="9:10" x14ac:dyDescent="0.35">
      <c r="I27695" s="63"/>
      <c r="J27695" s="63"/>
    </row>
    <row r="27696" spans="9:10" x14ac:dyDescent="0.35">
      <c r="I27696" s="63"/>
      <c r="J27696" s="63"/>
    </row>
    <row r="27697" spans="9:10" x14ac:dyDescent="0.35">
      <c r="I27697" s="63"/>
      <c r="J27697" s="63"/>
    </row>
    <row r="27698" spans="9:10" x14ac:dyDescent="0.35">
      <c r="I27698" s="63"/>
      <c r="J27698" s="63"/>
    </row>
    <row r="27699" spans="9:10" x14ac:dyDescent="0.35">
      <c r="I27699" s="63"/>
      <c r="J27699" s="63"/>
    </row>
    <row r="27700" spans="9:10" x14ac:dyDescent="0.35">
      <c r="I27700" s="63"/>
      <c r="J27700" s="63"/>
    </row>
    <row r="27701" spans="9:10" x14ac:dyDescent="0.35">
      <c r="I27701" s="63"/>
      <c r="J27701" s="63"/>
    </row>
    <row r="27702" spans="9:10" x14ac:dyDescent="0.35">
      <c r="I27702" s="63"/>
      <c r="J27702" s="63"/>
    </row>
    <row r="27703" spans="9:10" x14ac:dyDescent="0.35">
      <c r="I27703" s="63"/>
      <c r="J27703" s="63"/>
    </row>
    <row r="27704" spans="9:10" x14ac:dyDescent="0.35">
      <c r="I27704" s="63"/>
      <c r="J27704" s="63"/>
    </row>
    <row r="27705" spans="9:10" x14ac:dyDescent="0.35">
      <c r="I27705" s="63"/>
      <c r="J27705" s="63"/>
    </row>
    <row r="27706" spans="9:10" x14ac:dyDescent="0.35">
      <c r="I27706" s="63"/>
      <c r="J27706" s="63"/>
    </row>
    <row r="27707" spans="9:10" x14ac:dyDescent="0.35">
      <c r="I27707" s="63"/>
      <c r="J27707" s="63"/>
    </row>
    <row r="27708" spans="9:10" x14ac:dyDescent="0.35">
      <c r="I27708" s="63"/>
      <c r="J27708" s="63"/>
    </row>
    <row r="27709" spans="9:10" x14ac:dyDescent="0.35">
      <c r="I27709" s="63"/>
      <c r="J27709" s="63"/>
    </row>
    <row r="27710" spans="9:10" x14ac:dyDescent="0.35">
      <c r="I27710" s="63"/>
      <c r="J27710" s="63"/>
    </row>
    <row r="27711" spans="9:10" x14ac:dyDescent="0.35">
      <c r="I27711" s="63"/>
      <c r="J27711" s="63"/>
    </row>
    <row r="27712" spans="9:10" x14ac:dyDescent="0.35">
      <c r="I27712" s="63"/>
      <c r="J27712" s="63"/>
    </row>
    <row r="27713" spans="9:10" x14ac:dyDescent="0.35">
      <c r="I27713" s="63"/>
      <c r="J27713" s="63"/>
    </row>
    <row r="27714" spans="9:10" x14ac:dyDescent="0.35">
      <c r="I27714" s="63"/>
      <c r="J27714" s="63"/>
    </row>
    <row r="27715" spans="9:10" x14ac:dyDescent="0.35">
      <c r="I27715" s="63"/>
      <c r="J27715" s="63"/>
    </row>
    <row r="27716" spans="9:10" x14ac:dyDescent="0.35">
      <c r="I27716" s="63"/>
      <c r="J27716" s="63"/>
    </row>
    <row r="27717" spans="9:10" x14ac:dyDescent="0.35">
      <c r="I27717" s="63"/>
      <c r="J27717" s="63"/>
    </row>
    <row r="27718" spans="9:10" x14ac:dyDescent="0.35">
      <c r="I27718" s="63"/>
      <c r="J27718" s="63"/>
    </row>
    <row r="27719" spans="9:10" x14ac:dyDescent="0.35">
      <c r="I27719" s="63"/>
      <c r="J27719" s="63"/>
    </row>
    <row r="27720" spans="9:10" x14ac:dyDescent="0.35">
      <c r="I27720" s="63"/>
      <c r="J27720" s="63"/>
    </row>
    <row r="27721" spans="9:10" x14ac:dyDescent="0.35">
      <c r="I27721" s="63"/>
      <c r="J27721" s="63"/>
    </row>
    <row r="27722" spans="9:10" x14ac:dyDescent="0.35">
      <c r="I27722" s="63"/>
      <c r="J27722" s="63"/>
    </row>
    <row r="27723" spans="9:10" x14ac:dyDescent="0.35">
      <c r="I27723" s="63"/>
      <c r="J27723" s="63"/>
    </row>
    <row r="27724" spans="9:10" x14ac:dyDescent="0.35">
      <c r="I27724" s="63"/>
      <c r="J27724" s="63"/>
    </row>
    <row r="27725" spans="9:10" x14ac:dyDescent="0.35">
      <c r="I27725" s="63"/>
      <c r="J27725" s="63"/>
    </row>
    <row r="27726" spans="9:10" x14ac:dyDescent="0.35">
      <c r="I27726" s="63"/>
      <c r="J27726" s="63"/>
    </row>
    <row r="27727" spans="9:10" x14ac:dyDescent="0.35">
      <c r="I27727" s="63"/>
      <c r="J27727" s="63"/>
    </row>
    <row r="27728" spans="9:10" x14ac:dyDescent="0.35">
      <c r="I27728" s="63"/>
      <c r="J27728" s="63"/>
    </row>
    <row r="27729" spans="9:10" x14ac:dyDescent="0.35">
      <c r="I27729" s="63"/>
      <c r="J27729" s="63"/>
    </row>
    <row r="27730" spans="9:10" x14ac:dyDescent="0.35">
      <c r="I27730" s="63"/>
      <c r="J27730" s="63"/>
    </row>
    <row r="27731" spans="9:10" x14ac:dyDescent="0.35">
      <c r="I27731" s="63"/>
      <c r="J27731" s="63"/>
    </row>
    <row r="27732" spans="9:10" x14ac:dyDescent="0.35">
      <c r="I27732" s="63"/>
      <c r="J27732" s="63"/>
    </row>
    <row r="27733" spans="9:10" x14ac:dyDescent="0.35">
      <c r="I27733" s="63"/>
      <c r="J27733" s="63"/>
    </row>
    <row r="27734" spans="9:10" x14ac:dyDescent="0.35">
      <c r="I27734" s="63"/>
      <c r="J27734" s="63"/>
    </row>
    <row r="27735" spans="9:10" x14ac:dyDescent="0.35">
      <c r="I27735" s="63"/>
      <c r="J27735" s="63"/>
    </row>
    <row r="27736" spans="9:10" x14ac:dyDescent="0.35">
      <c r="I27736" s="63"/>
      <c r="J27736" s="63"/>
    </row>
    <row r="27737" spans="9:10" x14ac:dyDescent="0.35">
      <c r="I27737" s="63"/>
      <c r="J27737" s="63"/>
    </row>
    <row r="27738" spans="9:10" x14ac:dyDescent="0.35">
      <c r="I27738" s="63"/>
      <c r="J27738" s="63"/>
    </row>
    <row r="27739" spans="9:10" x14ac:dyDescent="0.35">
      <c r="I27739" s="63"/>
      <c r="J27739" s="63"/>
    </row>
    <row r="27740" spans="9:10" x14ac:dyDescent="0.35">
      <c r="I27740" s="63"/>
      <c r="J27740" s="63"/>
    </row>
    <row r="27741" spans="9:10" x14ac:dyDescent="0.35">
      <c r="I27741" s="63"/>
      <c r="J27741" s="63"/>
    </row>
    <row r="27742" spans="9:10" x14ac:dyDescent="0.35">
      <c r="I27742" s="63"/>
      <c r="J27742" s="63"/>
    </row>
    <row r="27743" spans="9:10" x14ac:dyDescent="0.35">
      <c r="I27743" s="63"/>
      <c r="J27743" s="63"/>
    </row>
    <row r="27744" spans="9:10" x14ac:dyDescent="0.35">
      <c r="I27744" s="63"/>
      <c r="J27744" s="63"/>
    </row>
    <row r="27745" spans="9:10" x14ac:dyDescent="0.35">
      <c r="I27745" s="63"/>
      <c r="J27745" s="63"/>
    </row>
    <row r="27746" spans="9:10" x14ac:dyDescent="0.35">
      <c r="I27746" s="63"/>
      <c r="J27746" s="63"/>
    </row>
    <row r="27747" spans="9:10" x14ac:dyDescent="0.35">
      <c r="I27747" s="63"/>
      <c r="J27747" s="63"/>
    </row>
    <row r="27748" spans="9:10" x14ac:dyDescent="0.35">
      <c r="I27748" s="63"/>
      <c r="J27748" s="63"/>
    </row>
    <row r="27749" spans="9:10" x14ac:dyDescent="0.35">
      <c r="I27749" s="63"/>
      <c r="J27749" s="63"/>
    </row>
    <row r="27750" spans="9:10" x14ac:dyDescent="0.35">
      <c r="I27750" s="63"/>
      <c r="J27750" s="63"/>
    </row>
    <row r="27751" spans="9:10" x14ac:dyDescent="0.35">
      <c r="I27751" s="63"/>
      <c r="J27751" s="63"/>
    </row>
    <row r="27752" spans="9:10" x14ac:dyDescent="0.35">
      <c r="I27752" s="63"/>
      <c r="J27752" s="63"/>
    </row>
    <row r="27753" spans="9:10" x14ac:dyDescent="0.35">
      <c r="I27753" s="63"/>
      <c r="J27753" s="63"/>
    </row>
    <row r="27754" spans="9:10" x14ac:dyDescent="0.35">
      <c r="I27754" s="63"/>
      <c r="J27754" s="63"/>
    </row>
    <row r="27755" spans="9:10" x14ac:dyDescent="0.35">
      <c r="I27755" s="63"/>
      <c r="J27755" s="63"/>
    </row>
    <row r="27756" spans="9:10" x14ac:dyDescent="0.35">
      <c r="I27756" s="63"/>
      <c r="J27756" s="63"/>
    </row>
    <row r="27757" spans="9:10" x14ac:dyDescent="0.35">
      <c r="I27757" s="63"/>
      <c r="J27757" s="63"/>
    </row>
    <row r="27758" spans="9:10" x14ac:dyDescent="0.35">
      <c r="I27758" s="63"/>
      <c r="J27758" s="63"/>
    </row>
    <row r="27759" spans="9:10" x14ac:dyDescent="0.35">
      <c r="I27759" s="63"/>
      <c r="J27759" s="63"/>
    </row>
    <row r="27760" spans="9:10" x14ac:dyDescent="0.35">
      <c r="I27760" s="63"/>
      <c r="J27760" s="63"/>
    </row>
    <row r="27761" spans="9:10" x14ac:dyDescent="0.35">
      <c r="I27761" s="63"/>
      <c r="J27761" s="63"/>
    </row>
    <row r="27762" spans="9:10" x14ac:dyDescent="0.35">
      <c r="I27762" s="63"/>
      <c r="J27762" s="63"/>
    </row>
    <row r="27763" spans="9:10" x14ac:dyDescent="0.35">
      <c r="I27763" s="63"/>
      <c r="J27763" s="63"/>
    </row>
    <row r="27764" spans="9:10" x14ac:dyDescent="0.35">
      <c r="I27764" s="63"/>
      <c r="J27764" s="63"/>
    </row>
    <row r="27765" spans="9:10" x14ac:dyDescent="0.35">
      <c r="I27765" s="63"/>
      <c r="J27765" s="63"/>
    </row>
    <row r="27766" spans="9:10" x14ac:dyDescent="0.35">
      <c r="I27766" s="63"/>
      <c r="J27766" s="63"/>
    </row>
    <row r="27767" spans="9:10" x14ac:dyDescent="0.35">
      <c r="I27767" s="63"/>
      <c r="J27767" s="63"/>
    </row>
    <row r="27768" spans="9:10" x14ac:dyDescent="0.35">
      <c r="I27768" s="63"/>
      <c r="J27768" s="63"/>
    </row>
    <row r="27769" spans="9:10" x14ac:dyDescent="0.35">
      <c r="I27769" s="63"/>
      <c r="J27769" s="63"/>
    </row>
    <row r="27770" spans="9:10" x14ac:dyDescent="0.35">
      <c r="I27770" s="63"/>
      <c r="J27770" s="63"/>
    </row>
    <row r="27771" spans="9:10" x14ac:dyDescent="0.35">
      <c r="I27771" s="63"/>
      <c r="J27771" s="63"/>
    </row>
    <row r="27772" spans="9:10" x14ac:dyDescent="0.35">
      <c r="I27772" s="63"/>
      <c r="J27772" s="63"/>
    </row>
    <row r="27773" spans="9:10" x14ac:dyDescent="0.35">
      <c r="I27773" s="63"/>
      <c r="J27773" s="63"/>
    </row>
    <row r="27774" spans="9:10" x14ac:dyDescent="0.35">
      <c r="I27774" s="63"/>
      <c r="J27774" s="63"/>
    </row>
    <row r="27775" spans="9:10" x14ac:dyDescent="0.35">
      <c r="I27775" s="63"/>
      <c r="J27775" s="63"/>
    </row>
    <row r="27776" spans="9:10" x14ac:dyDescent="0.35">
      <c r="I27776" s="63"/>
      <c r="J27776" s="63"/>
    </row>
    <row r="27777" spans="9:10" x14ac:dyDescent="0.35">
      <c r="I27777" s="63"/>
      <c r="J27777" s="63"/>
    </row>
    <row r="27778" spans="9:10" x14ac:dyDescent="0.35">
      <c r="I27778" s="63"/>
      <c r="J27778" s="63"/>
    </row>
    <row r="27779" spans="9:10" x14ac:dyDescent="0.35">
      <c r="I27779" s="63"/>
      <c r="J27779" s="63"/>
    </row>
    <row r="27780" spans="9:10" x14ac:dyDescent="0.35">
      <c r="I27780" s="63"/>
      <c r="J27780" s="63"/>
    </row>
    <row r="27781" spans="9:10" x14ac:dyDescent="0.35">
      <c r="I27781" s="63"/>
      <c r="J27781" s="63"/>
    </row>
    <row r="27782" spans="9:10" x14ac:dyDescent="0.35">
      <c r="I27782" s="63"/>
      <c r="J27782" s="63"/>
    </row>
    <row r="27783" spans="9:10" x14ac:dyDescent="0.35">
      <c r="I27783" s="63"/>
      <c r="J27783" s="63"/>
    </row>
    <row r="27784" spans="9:10" x14ac:dyDescent="0.35">
      <c r="I27784" s="63"/>
      <c r="J27784" s="63"/>
    </row>
    <row r="27785" spans="9:10" x14ac:dyDescent="0.35">
      <c r="I27785" s="63"/>
      <c r="J27785" s="63"/>
    </row>
    <row r="27786" spans="9:10" x14ac:dyDescent="0.35">
      <c r="I27786" s="63"/>
      <c r="J27786" s="63"/>
    </row>
    <row r="27787" spans="9:10" x14ac:dyDescent="0.35">
      <c r="I27787" s="63"/>
      <c r="J27787" s="63"/>
    </row>
    <row r="27788" spans="9:10" x14ac:dyDescent="0.35">
      <c r="I27788" s="63"/>
      <c r="J27788" s="63"/>
    </row>
    <row r="27789" spans="9:10" x14ac:dyDescent="0.35">
      <c r="I27789" s="63"/>
      <c r="J27789" s="63"/>
    </row>
    <row r="27790" spans="9:10" x14ac:dyDescent="0.35">
      <c r="I27790" s="63"/>
      <c r="J27790" s="63"/>
    </row>
    <row r="27791" spans="9:10" x14ac:dyDescent="0.35">
      <c r="I27791" s="63"/>
      <c r="J27791" s="63"/>
    </row>
    <row r="27792" spans="9:10" x14ac:dyDescent="0.35">
      <c r="I27792" s="63"/>
      <c r="J27792" s="63"/>
    </row>
    <row r="27793" spans="9:10" x14ac:dyDescent="0.35">
      <c r="I27793" s="63"/>
      <c r="J27793" s="63"/>
    </row>
    <row r="27794" spans="9:10" x14ac:dyDescent="0.35">
      <c r="I27794" s="63"/>
      <c r="J27794" s="63"/>
    </row>
    <row r="27795" spans="9:10" x14ac:dyDescent="0.35">
      <c r="I27795" s="63"/>
      <c r="J27795" s="63"/>
    </row>
    <row r="27796" spans="9:10" x14ac:dyDescent="0.35">
      <c r="I27796" s="63"/>
      <c r="J27796" s="63"/>
    </row>
    <row r="27797" spans="9:10" x14ac:dyDescent="0.35">
      <c r="I27797" s="63"/>
      <c r="J27797" s="63"/>
    </row>
    <row r="27798" spans="9:10" x14ac:dyDescent="0.35">
      <c r="I27798" s="63"/>
      <c r="J27798" s="63"/>
    </row>
    <row r="27799" spans="9:10" x14ac:dyDescent="0.35">
      <c r="I27799" s="63"/>
      <c r="J27799" s="63"/>
    </row>
    <row r="27800" spans="9:10" x14ac:dyDescent="0.35">
      <c r="I27800" s="63"/>
      <c r="J27800" s="63"/>
    </row>
    <row r="27801" spans="9:10" x14ac:dyDescent="0.35">
      <c r="I27801" s="63"/>
      <c r="J27801" s="63"/>
    </row>
    <row r="27802" spans="9:10" x14ac:dyDescent="0.35">
      <c r="I27802" s="63"/>
      <c r="J27802" s="63"/>
    </row>
    <row r="27803" spans="9:10" x14ac:dyDescent="0.35">
      <c r="I27803" s="63"/>
      <c r="J27803" s="63"/>
    </row>
    <row r="27804" spans="9:10" x14ac:dyDescent="0.35">
      <c r="I27804" s="63"/>
      <c r="J27804" s="63"/>
    </row>
    <row r="27805" spans="9:10" x14ac:dyDescent="0.35">
      <c r="I27805" s="63"/>
      <c r="J27805" s="63"/>
    </row>
    <row r="27806" spans="9:10" x14ac:dyDescent="0.35">
      <c r="I27806" s="63"/>
      <c r="J27806" s="63"/>
    </row>
    <row r="27807" spans="9:10" x14ac:dyDescent="0.35">
      <c r="I27807" s="63"/>
      <c r="J27807" s="63"/>
    </row>
    <row r="27808" spans="9:10" x14ac:dyDescent="0.35">
      <c r="I27808" s="63"/>
      <c r="J27808" s="63"/>
    </row>
    <row r="27809" spans="9:10" x14ac:dyDescent="0.35">
      <c r="I27809" s="63"/>
      <c r="J27809" s="63"/>
    </row>
    <row r="27810" spans="9:10" x14ac:dyDescent="0.35">
      <c r="I27810" s="63"/>
      <c r="J27810" s="63"/>
    </row>
    <row r="27811" spans="9:10" x14ac:dyDescent="0.35">
      <c r="I27811" s="63"/>
      <c r="J27811" s="63"/>
    </row>
    <row r="27812" spans="9:10" x14ac:dyDescent="0.35">
      <c r="I27812" s="63"/>
      <c r="J27812" s="63"/>
    </row>
    <row r="27813" spans="9:10" x14ac:dyDescent="0.35">
      <c r="I27813" s="63"/>
      <c r="J27813" s="63"/>
    </row>
    <row r="27814" spans="9:10" x14ac:dyDescent="0.35">
      <c r="I27814" s="63"/>
      <c r="J27814" s="63"/>
    </row>
    <row r="27815" spans="9:10" x14ac:dyDescent="0.35">
      <c r="I27815" s="63"/>
      <c r="J27815" s="63"/>
    </row>
    <row r="27816" spans="9:10" x14ac:dyDescent="0.35">
      <c r="I27816" s="63"/>
      <c r="J27816" s="63"/>
    </row>
    <row r="27817" spans="9:10" x14ac:dyDescent="0.35">
      <c r="I27817" s="63"/>
      <c r="J27817" s="63"/>
    </row>
    <row r="27818" spans="9:10" x14ac:dyDescent="0.35">
      <c r="I27818" s="63"/>
      <c r="J27818" s="63"/>
    </row>
    <row r="27819" spans="9:10" x14ac:dyDescent="0.35">
      <c r="I27819" s="63"/>
      <c r="J27819" s="63"/>
    </row>
    <row r="27820" spans="9:10" x14ac:dyDescent="0.35">
      <c r="I27820" s="63"/>
      <c r="J27820" s="63"/>
    </row>
    <row r="27821" spans="9:10" x14ac:dyDescent="0.35">
      <c r="I27821" s="63"/>
      <c r="J27821" s="63"/>
    </row>
    <row r="27822" spans="9:10" x14ac:dyDescent="0.35">
      <c r="I27822" s="63"/>
      <c r="J27822" s="63"/>
    </row>
    <row r="27823" spans="9:10" x14ac:dyDescent="0.35">
      <c r="I27823" s="63"/>
      <c r="J27823" s="63"/>
    </row>
    <row r="27824" spans="9:10" x14ac:dyDescent="0.35">
      <c r="I27824" s="63"/>
      <c r="J27824" s="63"/>
    </row>
    <row r="27825" spans="9:10" x14ac:dyDescent="0.35">
      <c r="I27825" s="63"/>
      <c r="J27825" s="63"/>
    </row>
    <row r="27826" spans="9:10" x14ac:dyDescent="0.35">
      <c r="I27826" s="63"/>
      <c r="J27826" s="63"/>
    </row>
    <row r="27827" spans="9:10" x14ac:dyDescent="0.35">
      <c r="I27827" s="63"/>
      <c r="J27827" s="63"/>
    </row>
    <row r="27828" spans="9:10" x14ac:dyDescent="0.35">
      <c r="I27828" s="63"/>
      <c r="J27828" s="63"/>
    </row>
    <row r="27829" spans="9:10" x14ac:dyDescent="0.35">
      <c r="I27829" s="63"/>
      <c r="J27829" s="63"/>
    </row>
    <row r="27830" spans="9:10" x14ac:dyDescent="0.35">
      <c r="I27830" s="63"/>
      <c r="J27830" s="63"/>
    </row>
    <row r="27831" spans="9:10" x14ac:dyDescent="0.35">
      <c r="I27831" s="63"/>
      <c r="J27831" s="63"/>
    </row>
    <row r="27832" spans="9:10" x14ac:dyDescent="0.35">
      <c r="I27832" s="63"/>
      <c r="J27832" s="63"/>
    </row>
    <row r="27833" spans="9:10" x14ac:dyDescent="0.35">
      <c r="I27833" s="63"/>
      <c r="J27833" s="63"/>
    </row>
    <row r="27834" spans="9:10" x14ac:dyDescent="0.35">
      <c r="I27834" s="63"/>
      <c r="J27834" s="63"/>
    </row>
    <row r="27835" spans="9:10" x14ac:dyDescent="0.35">
      <c r="I27835" s="63"/>
      <c r="J27835" s="63"/>
    </row>
    <row r="27836" spans="9:10" x14ac:dyDescent="0.35">
      <c r="I27836" s="63"/>
      <c r="J27836" s="63"/>
    </row>
    <row r="27837" spans="9:10" x14ac:dyDescent="0.35">
      <c r="I27837" s="63"/>
      <c r="J27837" s="63"/>
    </row>
    <row r="27838" spans="9:10" x14ac:dyDescent="0.35">
      <c r="I27838" s="63"/>
      <c r="J27838" s="63"/>
    </row>
    <row r="27839" spans="9:10" x14ac:dyDescent="0.35">
      <c r="I27839" s="63"/>
      <c r="J27839" s="63"/>
    </row>
    <row r="27840" spans="9:10" x14ac:dyDescent="0.35">
      <c r="I27840" s="63"/>
      <c r="J27840" s="63"/>
    </row>
    <row r="27841" spans="9:10" x14ac:dyDescent="0.35">
      <c r="I27841" s="63"/>
      <c r="J27841" s="63"/>
    </row>
    <row r="27842" spans="9:10" x14ac:dyDescent="0.35">
      <c r="I27842" s="63"/>
      <c r="J27842" s="63"/>
    </row>
    <row r="27843" spans="9:10" x14ac:dyDescent="0.35">
      <c r="I27843" s="63"/>
      <c r="J27843" s="63"/>
    </row>
    <row r="27844" spans="9:10" x14ac:dyDescent="0.35">
      <c r="I27844" s="63"/>
      <c r="J27844" s="63"/>
    </row>
    <row r="27845" spans="9:10" x14ac:dyDescent="0.35">
      <c r="I27845" s="63"/>
      <c r="J27845" s="63"/>
    </row>
    <row r="27846" spans="9:10" x14ac:dyDescent="0.35">
      <c r="I27846" s="63"/>
      <c r="J27846" s="63"/>
    </row>
    <row r="27847" spans="9:10" x14ac:dyDescent="0.35">
      <c r="I27847" s="63"/>
      <c r="J27847" s="63"/>
    </row>
    <row r="27848" spans="9:10" x14ac:dyDescent="0.35">
      <c r="I27848" s="63"/>
      <c r="J27848" s="63"/>
    </row>
    <row r="27849" spans="9:10" x14ac:dyDescent="0.35">
      <c r="I27849" s="63"/>
      <c r="J27849" s="63"/>
    </row>
    <row r="27850" spans="9:10" x14ac:dyDescent="0.35">
      <c r="I27850" s="63"/>
      <c r="J27850" s="63"/>
    </row>
    <row r="27851" spans="9:10" x14ac:dyDescent="0.35">
      <c r="I27851" s="63"/>
      <c r="J27851" s="63"/>
    </row>
    <row r="27852" spans="9:10" x14ac:dyDescent="0.35">
      <c r="I27852" s="63"/>
      <c r="J27852" s="63"/>
    </row>
    <row r="27853" spans="9:10" x14ac:dyDescent="0.35">
      <c r="I27853" s="63"/>
      <c r="J27853" s="63"/>
    </row>
    <row r="27854" spans="9:10" x14ac:dyDescent="0.35">
      <c r="I27854" s="63"/>
      <c r="J27854" s="63"/>
    </row>
    <row r="27855" spans="9:10" x14ac:dyDescent="0.35">
      <c r="I27855" s="63"/>
      <c r="J27855" s="63"/>
    </row>
    <row r="27856" spans="9:10" x14ac:dyDescent="0.35">
      <c r="I27856" s="63"/>
      <c r="J27856" s="63"/>
    </row>
    <row r="27857" spans="9:10" x14ac:dyDescent="0.35">
      <c r="I27857" s="63"/>
      <c r="J27857" s="63"/>
    </row>
    <row r="27858" spans="9:10" x14ac:dyDescent="0.35">
      <c r="I27858" s="63"/>
      <c r="J27858" s="63"/>
    </row>
    <row r="27859" spans="9:10" x14ac:dyDescent="0.35">
      <c r="I27859" s="63"/>
      <c r="J27859" s="63"/>
    </row>
    <row r="27860" spans="9:10" x14ac:dyDescent="0.35">
      <c r="I27860" s="63"/>
      <c r="J27860" s="63"/>
    </row>
    <row r="27861" spans="9:10" x14ac:dyDescent="0.35">
      <c r="I27861" s="63"/>
      <c r="J27861" s="63"/>
    </row>
    <row r="27862" spans="9:10" x14ac:dyDescent="0.35">
      <c r="I27862" s="63"/>
      <c r="J27862" s="63"/>
    </row>
    <row r="27863" spans="9:10" x14ac:dyDescent="0.35">
      <c r="I27863" s="63"/>
      <c r="J27863" s="63"/>
    </row>
    <row r="27864" spans="9:10" x14ac:dyDescent="0.35">
      <c r="I27864" s="63"/>
      <c r="J27864" s="63"/>
    </row>
    <row r="27865" spans="9:10" x14ac:dyDescent="0.35">
      <c r="I27865" s="63"/>
      <c r="J27865" s="63"/>
    </row>
    <row r="27866" spans="9:10" x14ac:dyDescent="0.35">
      <c r="I27866" s="63"/>
      <c r="J27866" s="63"/>
    </row>
    <row r="27867" spans="9:10" x14ac:dyDescent="0.35">
      <c r="I27867" s="63"/>
      <c r="J27867" s="63"/>
    </row>
    <row r="27868" spans="9:10" x14ac:dyDescent="0.35">
      <c r="I27868" s="63"/>
      <c r="J27868" s="63"/>
    </row>
    <row r="27869" spans="9:10" x14ac:dyDescent="0.35">
      <c r="I27869" s="63"/>
      <c r="J27869" s="63"/>
    </row>
    <row r="27870" spans="9:10" x14ac:dyDescent="0.35">
      <c r="I27870" s="63"/>
      <c r="J27870" s="63"/>
    </row>
    <row r="27871" spans="9:10" x14ac:dyDescent="0.35">
      <c r="I27871" s="63"/>
      <c r="J27871" s="63"/>
    </row>
    <row r="27872" spans="9:10" x14ac:dyDescent="0.35">
      <c r="I27872" s="63"/>
      <c r="J27872" s="63"/>
    </row>
    <row r="27873" spans="9:10" x14ac:dyDescent="0.35">
      <c r="I27873" s="63"/>
      <c r="J27873" s="63"/>
    </row>
    <row r="27874" spans="9:10" x14ac:dyDescent="0.35">
      <c r="I27874" s="63"/>
      <c r="J27874" s="63"/>
    </row>
    <row r="27875" spans="9:10" x14ac:dyDescent="0.35">
      <c r="I27875" s="63"/>
      <c r="J27875" s="63"/>
    </row>
    <row r="27876" spans="9:10" x14ac:dyDescent="0.35">
      <c r="I27876" s="63"/>
      <c r="J27876" s="63"/>
    </row>
    <row r="27877" spans="9:10" x14ac:dyDescent="0.35">
      <c r="I27877" s="63"/>
      <c r="J27877" s="63"/>
    </row>
    <row r="27878" spans="9:10" x14ac:dyDescent="0.35">
      <c r="I27878" s="63"/>
      <c r="J27878" s="63"/>
    </row>
    <row r="27879" spans="9:10" x14ac:dyDescent="0.35">
      <c r="I27879" s="63"/>
      <c r="J27879" s="63"/>
    </row>
    <row r="27880" spans="9:10" x14ac:dyDescent="0.35">
      <c r="I27880" s="63"/>
      <c r="J27880" s="63"/>
    </row>
    <row r="27881" spans="9:10" x14ac:dyDescent="0.35">
      <c r="I27881" s="63"/>
      <c r="J27881" s="63"/>
    </row>
    <row r="27882" spans="9:10" x14ac:dyDescent="0.35">
      <c r="I27882" s="63"/>
      <c r="J27882" s="63"/>
    </row>
    <row r="27883" spans="9:10" x14ac:dyDescent="0.35">
      <c r="I27883" s="63"/>
      <c r="J27883" s="63"/>
    </row>
    <row r="27884" spans="9:10" x14ac:dyDescent="0.35">
      <c r="I27884" s="63"/>
      <c r="J27884" s="63"/>
    </row>
    <row r="27885" spans="9:10" x14ac:dyDescent="0.35">
      <c r="I27885" s="63"/>
      <c r="J27885" s="63"/>
    </row>
    <row r="27886" spans="9:10" x14ac:dyDescent="0.35">
      <c r="I27886" s="63"/>
      <c r="J27886" s="63"/>
    </row>
    <row r="27887" spans="9:10" x14ac:dyDescent="0.35">
      <c r="I27887" s="63"/>
      <c r="J27887" s="63"/>
    </row>
    <row r="27888" spans="9:10" x14ac:dyDescent="0.35">
      <c r="I27888" s="63"/>
      <c r="J27888" s="63"/>
    </row>
    <row r="27889" spans="9:10" x14ac:dyDescent="0.35">
      <c r="I27889" s="63"/>
      <c r="J27889" s="63"/>
    </row>
    <row r="27890" spans="9:10" x14ac:dyDescent="0.35">
      <c r="I27890" s="63"/>
      <c r="J27890" s="63"/>
    </row>
    <row r="27891" spans="9:10" x14ac:dyDescent="0.35">
      <c r="I27891" s="63"/>
      <c r="J27891" s="63"/>
    </row>
    <row r="27892" spans="9:10" x14ac:dyDescent="0.35">
      <c r="I27892" s="63"/>
      <c r="J27892" s="63"/>
    </row>
    <row r="27893" spans="9:10" x14ac:dyDescent="0.35">
      <c r="I27893" s="63"/>
      <c r="J27893" s="63"/>
    </row>
    <row r="27894" spans="9:10" x14ac:dyDescent="0.35">
      <c r="I27894" s="63"/>
      <c r="J27894" s="63"/>
    </row>
    <row r="27895" spans="9:10" x14ac:dyDescent="0.35">
      <c r="I27895" s="63"/>
      <c r="J27895" s="63"/>
    </row>
    <row r="27896" spans="9:10" x14ac:dyDescent="0.35">
      <c r="I27896" s="63"/>
      <c r="J27896" s="63"/>
    </row>
    <row r="27897" spans="9:10" x14ac:dyDescent="0.35">
      <c r="I27897" s="63"/>
      <c r="J27897" s="63"/>
    </row>
    <row r="27898" spans="9:10" x14ac:dyDescent="0.35">
      <c r="I27898" s="63"/>
      <c r="J27898" s="63"/>
    </row>
    <row r="27899" spans="9:10" x14ac:dyDescent="0.35">
      <c r="I27899" s="63"/>
      <c r="J27899" s="63"/>
    </row>
    <row r="27900" spans="9:10" x14ac:dyDescent="0.35">
      <c r="I27900" s="63"/>
      <c r="J27900" s="63"/>
    </row>
    <row r="27901" spans="9:10" x14ac:dyDescent="0.35">
      <c r="I27901" s="63"/>
      <c r="J27901" s="63"/>
    </row>
    <row r="27902" spans="9:10" x14ac:dyDescent="0.35">
      <c r="I27902" s="63"/>
      <c r="J27902" s="63"/>
    </row>
    <row r="27903" spans="9:10" x14ac:dyDescent="0.35">
      <c r="I27903" s="63"/>
      <c r="J27903" s="63"/>
    </row>
    <row r="27904" spans="9:10" x14ac:dyDescent="0.35">
      <c r="I27904" s="63"/>
      <c r="J27904" s="63"/>
    </row>
    <row r="27905" spans="9:10" x14ac:dyDescent="0.35">
      <c r="I27905" s="63"/>
      <c r="J27905" s="63"/>
    </row>
    <row r="27906" spans="9:10" x14ac:dyDescent="0.35">
      <c r="I27906" s="63"/>
      <c r="J27906" s="63"/>
    </row>
    <row r="27907" spans="9:10" x14ac:dyDescent="0.35">
      <c r="I27907" s="63"/>
      <c r="J27907" s="63"/>
    </row>
    <row r="27908" spans="9:10" x14ac:dyDescent="0.35">
      <c r="I27908" s="63"/>
      <c r="J27908" s="63"/>
    </row>
    <row r="27909" spans="9:10" x14ac:dyDescent="0.35">
      <c r="I27909" s="63"/>
      <c r="J27909" s="63"/>
    </row>
    <row r="27910" spans="9:10" x14ac:dyDescent="0.35">
      <c r="I27910" s="63"/>
      <c r="J27910" s="63"/>
    </row>
    <row r="27911" spans="9:10" x14ac:dyDescent="0.35">
      <c r="I27911" s="63"/>
      <c r="J27911" s="63"/>
    </row>
    <row r="27912" spans="9:10" x14ac:dyDescent="0.35">
      <c r="I27912" s="63"/>
      <c r="J27912" s="63"/>
    </row>
    <row r="27913" spans="9:10" x14ac:dyDescent="0.35">
      <c r="I27913" s="63"/>
      <c r="J27913" s="63"/>
    </row>
    <row r="27914" spans="9:10" x14ac:dyDescent="0.35">
      <c r="I27914" s="63"/>
      <c r="J27914" s="63"/>
    </row>
    <row r="27915" spans="9:10" x14ac:dyDescent="0.35">
      <c r="I27915" s="63"/>
      <c r="J27915" s="63"/>
    </row>
    <row r="27916" spans="9:10" x14ac:dyDescent="0.35">
      <c r="I27916" s="63"/>
      <c r="J27916" s="63"/>
    </row>
    <row r="27917" spans="9:10" x14ac:dyDescent="0.35">
      <c r="I27917" s="63"/>
      <c r="J27917" s="63"/>
    </row>
    <row r="27918" spans="9:10" x14ac:dyDescent="0.35">
      <c r="I27918" s="63"/>
      <c r="J27918" s="63"/>
    </row>
    <row r="27919" spans="9:10" x14ac:dyDescent="0.35">
      <c r="I27919" s="63"/>
      <c r="J27919" s="63"/>
    </row>
    <row r="27920" spans="9:10" x14ac:dyDescent="0.35">
      <c r="I27920" s="63"/>
      <c r="J27920" s="63"/>
    </row>
    <row r="27921" spans="9:10" x14ac:dyDescent="0.35">
      <c r="I27921" s="63"/>
      <c r="J27921" s="63"/>
    </row>
    <row r="27922" spans="9:10" x14ac:dyDescent="0.35">
      <c r="I27922" s="63"/>
      <c r="J27922" s="63"/>
    </row>
    <row r="27923" spans="9:10" x14ac:dyDescent="0.35">
      <c r="I27923" s="63"/>
      <c r="J27923" s="63"/>
    </row>
    <row r="27924" spans="9:10" x14ac:dyDescent="0.35">
      <c r="I27924" s="63"/>
      <c r="J27924" s="63"/>
    </row>
    <row r="27925" spans="9:10" x14ac:dyDescent="0.35">
      <c r="I27925" s="63"/>
      <c r="J27925" s="63"/>
    </row>
    <row r="27926" spans="9:10" x14ac:dyDescent="0.35">
      <c r="I27926" s="63"/>
      <c r="J27926" s="63"/>
    </row>
    <row r="27927" spans="9:10" x14ac:dyDescent="0.35">
      <c r="I27927" s="63"/>
      <c r="J27927" s="63"/>
    </row>
    <row r="27928" spans="9:10" x14ac:dyDescent="0.35">
      <c r="I27928" s="63"/>
      <c r="J27928" s="63"/>
    </row>
    <row r="27929" spans="9:10" x14ac:dyDescent="0.35">
      <c r="I27929" s="63"/>
      <c r="J27929" s="63"/>
    </row>
    <row r="27930" spans="9:10" x14ac:dyDescent="0.35">
      <c r="I27930" s="63"/>
      <c r="J27930" s="63"/>
    </row>
    <row r="27931" spans="9:10" x14ac:dyDescent="0.35">
      <c r="I27931" s="63"/>
      <c r="J27931" s="63"/>
    </row>
    <row r="27932" spans="9:10" x14ac:dyDescent="0.35">
      <c r="I27932" s="63"/>
      <c r="J27932" s="63"/>
    </row>
    <row r="27933" spans="9:10" x14ac:dyDescent="0.35">
      <c r="I27933" s="63"/>
      <c r="J27933" s="63"/>
    </row>
    <row r="27934" spans="9:10" x14ac:dyDescent="0.35">
      <c r="I27934" s="63"/>
      <c r="J27934" s="63"/>
    </row>
    <row r="27935" spans="9:10" x14ac:dyDescent="0.35">
      <c r="I27935" s="63"/>
      <c r="J27935" s="63"/>
    </row>
    <row r="27936" spans="9:10" x14ac:dyDescent="0.35">
      <c r="I27936" s="63"/>
      <c r="J27936" s="63"/>
    </row>
    <row r="27937" spans="9:10" x14ac:dyDescent="0.35">
      <c r="I27937" s="63"/>
      <c r="J27937" s="63"/>
    </row>
    <row r="27938" spans="9:10" x14ac:dyDescent="0.35">
      <c r="I27938" s="63"/>
      <c r="J27938" s="63"/>
    </row>
    <row r="27939" spans="9:10" x14ac:dyDescent="0.35">
      <c r="I27939" s="63"/>
      <c r="J27939" s="63"/>
    </row>
    <row r="27940" spans="9:10" x14ac:dyDescent="0.35">
      <c r="I27940" s="63"/>
      <c r="J27940" s="63"/>
    </row>
    <row r="27941" spans="9:10" x14ac:dyDescent="0.35">
      <c r="I27941" s="63"/>
      <c r="J27941" s="63"/>
    </row>
    <row r="27942" spans="9:10" x14ac:dyDescent="0.35">
      <c r="I27942" s="63"/>
      <c r="J27942" s="63"/>
    </row>
    <row r="27943" spans="9:10" x14ac:dyDescent="0.35">
      <c r="I27943" s="63"/>
      <c r="J27943" s="63"/>
    </row>
    <row r="27944" spans="9:10" x14ac:dyDescent="0.35">
      <c r="I27944" s="63"/>
      <c r="J27944" s="63"/>
    </row>
    <row r="27945" spans="9:10" x14ac:dyDescent="0.35">
      <c r="I27945" s="63"/>
      <c r="J27945" s="63"/>
    </row>
    <row r="27946" spans="9:10" x14ac:dyDescent="0.35">
      <c r="I27946" s="63"/>
      <c r="J27946" s="63"/>
    </row>
    <row r="27947" spans="9:10" x14ac:dyDescent="0.35">
      <c r="I27947" s="63"/>
      <c r="J27947" s="63"/>
    </row>
    <row r="27948" spans="9:10" x14ac:dyDescent="0.35">
      <c r="I27948" s="63"/>
      <c r="J27948" s="63"/>
    </row>
    <row r="27949" spans="9:10" x14ac:dyDescent="0.35">
      <c r="I27949" s="63"/>
      <c r="J27949" s="63"/>
    </row>
    <row r="27950" spans="9:10" x14ac:dyDescent="0.35">
      <c r="I27950" s="63"/>
      <c r="J27950" s="63"/>
    </row>
    <row r="27951" spans="9:10" x14ac:dyDescent="0.35">
      <c r="I27951" s="63"/>
      <c r="J27951" s="63"/>
    </row>
    <row r="27952" spans="9:10" x14ac:dyDescent="0.35">
      <c r="I27952" s="63"/>
      <c r="J27952" s="63"/>
    </row>
    <row r="27953" spans="9:10" x14ac:dyDescent="0.35">
      <c r="I27953" s="63"/>
      <c r="J27953" s="63"/>
    </row>
    <row r="27954" spans="9:10" x14ac:dyDescent="0.35">
      <c r="I27954" s="63"/>
      <c r="J27954" s="63"/>
    </row>
    <row r="27955" spans="9:10" x14ac:dyDescent="0.35">
      <c r="I27955" s="63"/>
      <c r="J27955" s="63"/>
    </row>
    <row r="27956" spans="9:10" x14ac:dyDescent="0.35">
      <c r="I27956" s="63"/>
      <c r="J27956" s="63"/>
    </row>
    <row r="27957" spans="9:10" x14ac:dyDescent="0.35">
      <c r="I27957" s="63"/>
      <c r="J27957" s="63"/>
    </row>
    <row r="27958" spans="9:10" x14ac:dyDescent="0.35">
      <c r="I27958" s="63"/>
      <c r="J27958" s="63"/>
    </row>
    <row r="27959" spans="9:10" x14ac:dyDescent="0.35">
      <c r="I27959" s="63"/>
      <c r="J27959" s="63"/>
    </row>
    <row r="27960" spans="9:10" x14ac:dyDescent="0.35">
      <c r="I27960" s="63"/>
      <c r="J27960" s="63"/>
    </row>
    <row r="27961" spans="9:10" x14ac:dyDescent="0.35">
      <c r="I27961" s="63"/>
      <c r="J27961" s="63"/>
    </row>
    <row r="27962" spans="9:10" x14ac:dyDescent="0.35">
      <c r="I27962" s="63"/>
      <c r="J27962" s="63"/>
    </row>
    <row r="27963" spans="9:10" x14ac:dyDescent="0.35">
      <c r="I27963" s="63"/>
      <c r="J27963" s="63"/>
    </row>
    <row r="27964" spans="9:10" x14ac:dyDescent="0.35">
      <c r="I27964" s="63"/>
      <c r="J27964" s="63"/>
    </row>
    <row r="27965" spans="9:10" x14ac:dyDescent="0.35">
      <c r="I27965" s="63"/>
      <c r="J27965" s="63"/>
    </row>
    <row r="27966" spans="9:10" x14ac:dyDescent="0.35">
      <c r="I27966" s="63"/>
      <c r="J27966" s="63"/>
    </row>
    <row r="27967" spans="9:10" x14ac:dyDescent="0.35">
      <c r="I27967" s="63"/>
      <c r="J27967" s="63"/>
    </row>
    <row r="27968" spans="9:10" x14ac:dyDescent="0.35">
      <c r="I27968" s="63"/>
      <c r="J27968" s="63"/>
    </row>
    <row r="27969" spans="9:10" x14ac:dyDescent="0.35">
      <c r="I27969" s="63"/>
      <c r="J27969" s="63"/>
    </row>
    <row r="27970" spans="9:10" x14ac:dyDescent="0.35">
      <c r="I27970" s="63"/>
      <c r="J27970" s="63"/>
    </row>
    <row r="27971" spans="9:10" x14ac:dyDescent="0.35">
      <c r="I27971" s="63"/>
      <c r="J27971" s="63"/>
    </row>
    <row r="27972" spans="9:10" x14ac:dyDescent="0.35">
      <c r="I27972" s="63"/>
      <c r="J27972" s="63"/>
    </row>
    <row r="27973" spans="9:10" x14ac:dyDescent="0.35">
      <c r="I27973" s="63"/>
      <c r="J27973" s="63"/>
    </row>
    <row r="27974" spans="9:10" x14ac:dyDescent="0.35">
      <c r="I27974" s="63"/>
      <c r="J27974" s="63"/>
    </row>
    <row r="27975" spans="9:10" x14ac:dyDescent="0.35">
      <c r="I27975" s="63"/>
      <c r="J27975" s="63"/>
    </row>
    <row r="27976" spans="9:10" x14ac:dyDescent="0.35">
      <c r="I27976" s="63"/>
      <c r="J27976" s="63"/>
    </row>
    <row r="27977" spans="9:10" x14ac:dyDescent="0.35">
      <c r="I27977" s="63"/>
      <c r="J27977" s="63"/>
    </row>
    <row r="27978" spans="9:10" x14ac:dyDescent="0.35">
      <c r="I27978" s="63"/>
      <c r="J27978" s="63"/>
    </row>
    <row r="27979" spans="9:10" x14ac:dyDescent="0.35">
      <c r="I27979" s="63"/>
      <c r="J27979" s="63"/>
    </row>
    <row r="27980" spans="9:10" x14ac:dyDescent="0.35">
      <c r="I27980" s="63"/>
      <c r="J27980" s="63"/>
    </row>
    <row r="27981" spans="9:10" x14ac:dyDescent="0.35">
      <c r="I27981" s="63"/>
      <c r="J27981" s="63"/>
    </row>
    <row r="27982" spans="9:10" x14ac:dyDescent="0.35">
      <c r="I27982" s="63"/>
      <c r="J27982" s="63"/>
    </row>
    <row r="27983" spans="9:10" x14ac:dyDescent="0.35">
      <c r="I27983" s="63"/>
      <c r="J27983" s="63"/>
    </row>
    <row r="27984" spans="9:10" x14ac:dyDescent="0.35">
      <c r="I27984" s="63"/>
      <c r="J27984" s="63"/>
    </row>
    <row r="27985" spans="9:10" x14ac:dyDescent="0.35">
      <c r="I27985" s="63"/>
      <c r="J27985" s="63"/>
    </row>
    <row r="27986" spans="9:10" x14ac:dyDescent="0.35">
      <c r="I27986" s="63"/>
      <c r="J27986" s="63"/>
    </row>
    <row r="27987" spans="9:10" x14ac:dyDescent="0.35">
      <c r="I27987" s="63"/>
      <c r="J27987" s="63"/>
    </row>
    <row r="27988" spans="9:10" x14ac:dyDescent="0.35">
      <c r="I27988" s="63"/>
      <c r="J27988" s="63"/>
    </row>
    <row r="27989" spans="9:10" x14ac:dyDescent="0.35">
      <c r="I27989" s="63"/>
      <c r="J27989" s="63"/>
    </row>
    <row r="27990" spans="9:10" x14ac:dyDescent="0.35">
      <c r="I27990" s="63"/>
      <c r="J27990" s="63"/>
    </row>
    <row r="27991" spans="9:10" x14ac:dyDescent="0.35">
      <c r="I27991" s="63"/>
      <c r="J27991" s="63"/>
    </row>
    <row r="27992" spans="9:10" x14ac:dyDescent="0.35">
      <c r="I27992" s="63"/>
      <c r="J27992" s="63"/>
    </row>
    <row r="27993" spans="9:10" x14ac:dyDescent="0.35">
      <c r="I27993" s="63"/>
      <c r="J27993" s="63"/>
    </row>
    <row r="27994" spans="9:10" x14ac:dyDescent="0.35">
      <c r="I27994" s="63"/>
      <c r="J27994" s="63"/>
    </row>
    <row r="27995" spans="9:10" x14ac:dyDescent="0.35">
      <c r="I27995" s="63"/>
      <c r="J27995" s="63"/>
    </row>
    <row r="27996" spans="9:10" x14ac:dyDescent="0.35">
      <c r="I27996" s="63"/>
      <c r="J27996" s="63"/>
    </row>
    <row r="27997" spans="9:10" x14ac:dyDescent="0.35">
      <c r="I27997" s="63"/>
      <c r="J27997" s="63"/>
    </row>
    <row r="27998" spans="9:10" x14ac:dyDescent="0.35">
      <c r="I27998" s="63"/>
      <c r="J27998" s="63"/>
    </row>
    <row r="27999" spans="9:10" x14ac:dyDescent="0.35">
      <c r="I27999" s="63"/>
      <c r="J27999" s="63"/>
    </row>
    <row r="28000" spans="9:10" x14ac:dyDescent="0.35">
      <c r="I28000" s="63"/>
      <c r="J28000" s="63"/>
    </row>
    <row r="28001" spans="9:10" x14ac:dyDescent="0.35">
      <c r="I28001" s="63"/>
      <c r="J28001" s="63"/>
    </row>
    <row r="28002" spans="9:10" x14ac:dyDescent="0.35">
      <c r="I28002" s="63"/>
      <c r="J28002" s="63"/>
    </row>
    <row r="28003" spans="9:10" x14ac:dyDescent="0.35">
      <c r="I28003" s="63"/>
      <c r="J28003" s="63"/>
    </row>
    <row r="28004" spans="9:10" x14ac:dyDescent="0.35">
      <c r="I28004" s="63"/>
      <c r="J28004" s="63"/>
    </row>
    <row r="28005" spans="9:10" x14ac:dyDescent="0.35">
      <c r="I28005" s="63"/>
      <c r="J28005" s="63"/>
    </row>
    <row r="28006" spans="9:10" x14ac:dyDescent="0.35">
      <c r="I28006" s="63"/>
      <c r="J28006" s="63"/>
    </row>
    <row r="28007" spans="9:10" x14ac:dyDescent="0.35">
      <c r="I28007" s="63"/>
      <c r="J28007" s="63"/>
    </row>
    <row r="28008" spans="9:10" x14ac:dyDescent="0.35">
      <c r="I28008" s="63"/>
      <c r="J28008" s="63"/>
    </row>
    <row r="28009" spans="9:10" x14ac:dyDescent="0.35">
      <c r="I28009" s="63"/>
      <c r="J28009" s="63"/>
    </row>
    <row r="28010" spans="9:10" x14ac:dyDescent="0.35">
      <c r="I28010" s="63"/>
      <c r="J28010" s="63"/>
    </row>
    <row r="28011" spans="9:10" x14ac:dyDescent="0.35">
      <c r="I28011" s="63"/>
      <c r="J28011" s="63"/>
    </row>
    <row r="28012" spans="9:10" x14ac:dyDescent="0.35">
      <c r="I28012" s="63"/>
      <c r="J28012" s="63"/>
    </row>
    <row r="28013" spans="9:10" x14ac:dyDescent="0.35">
      <c r="I28013" s="63"/>
      <c r="J28013" s="63"/>
    </row>
    <row r="28014" spans="9:10" x14ac:dyDescent="0.35">
      <c r="I28014" s="63"/>
      <c r="J28014" s="63"/>
    </row>
    <row r="28015" spans="9:10" x14ac:dyDescent="0.35">
      <c r="I28015" s="63"/>
      <c r="J28015" s="63"/>
    </row>
    <row r="28016" spans="9:10" x14ac:dyDescent="0.35">
      <c r="I28016" s="63"/>
      <c r="J28016" s="63"/>
    </row>
    <row r="28017" spans="9:10" x14ac:dyDescent="0.35">
      <c r="I28017" s="63"/>
      <c r="J28017" s="63"/>
    </row>
    <row r="28018" spans="9:10" x14ac:dyDescent="0.35">
      <c r="I28018" s="63"/>
      <c r="J28018" s="63"/>
    </row>
    <row r="28019" spans="9:10" x14ac:dyDescent="0.35">
      <c r="I28019" s="63"/>
      <c r="J28019" s="63"/>
    </row>
    <row r="28020" spans="9:10" x14ac:dyDescent="0.35">
      <c r="I28020" s="63"/>
      <c r="J28020" s="63"/>
    </row>
    <row r="28021" spans="9:10" x14ac:dyDescent="0.35">
      <c r="I28021" s="63"/>
      <c r="J28021" s="63"/>
    </row>
    <row r="28022" spans="9:10" x14ac:dyDescent="0.35">
      <c r="I28022" s="63"/>
      <c r="J28022" s="63"/>
    </row>
    <row r="28023" spans="9:10" x14ac:dyDescent="0.35">
      <c r="I28023" s="63"/>
      <c r="J28023" s="63"/>
    </row>
    <row r="28024" spans="9:10" x14ac:dyDescent="0.35">
      <c r="I28024" s="63"/>
      <c r="J28024" s="63"/>
    </row>
    <row r="28025" spans="9:10" x14ac:dyDescent="0.35">
      <c r="I28025" s="63"/>
      <c r="J28025" s="63"/>
    </row>
    <row r="28026" spans="9:10" x14ac:dyDescent="0.35">
      <c r="I28026" s="63"/>
      <c r="J28026" s="63"/>
    </row>
    <row r="28027" spans="9:10" x14ac:dyDescent="0.35">
      <c r="I28027" s="63"/>
      <c r="J28027" s="63"/>
    </row>
    <row r="28028" spans="9:10" x14ac:dyDescent="0.35">
      <c r="I28028" s="63"/>
      <c r="J28028" s="63"/>
    </row>
    <row r="28029" spans="9:10" x14ac:dyDescent="0.35">
      <c r="I28029" s="63"/>
      <c r="J28029" s="63"/>
    </row>
    <row r="28030" spans="9:10" x14ac:dyDescent="0.35">
      <c r="I28030" s="63"/>
      <c r="J28030" s="63"/>
    </row>
    <row r="28031" spans="9:10" x14ac:dyDescent="0.35">
      <c r="I28031" s="63"/>
      <c r="J28031" s="63"/>
    </row>
    <row r="28032" spans="9:10" x14ac:dyDescent="0.35">
      <c r="I28032" s="63"/>
      <c r="J28032" s="63"/>
    </row>
    <row r="28033" spans="9:10" x14ac:dyDescent="0.35">
      <c r="I28033" s="63"/>
      <c r="J28033" s="63"/>
    </row>
    <row r="28034" spans="9:10" x14ac:dyDescent="0.35">
      <c r="I28034" s="63"/>
      <c r="J28034" s="63"/>
    </row>
    <row r="28035" spans="9:10" x14ac:dyDescent="0.35">
      <c r="I28035" s="63"/>
      <c r="J28035" s="63"/>
    </row>
    <row r="28036" spans="9:10" x14ac:dyDescent="0.35">
      <c r="I28036" s="63"/>
      <c r="J28036" s="63"/>
    </row>
    <row r="28037" spans="9:10" x14ac:dyDescent="0.35">
      <c r="I28037" s="63"/>
      <c r="J28037" s="63"/>
    </row>
    <row r="28038" spans="9:10" x14ac:dyDescent="0.35">
      <c r="I28038" s="63"/>
      <c r="J28038" s="63"/>
    </row>
    <row r="28039" spans="9:10" x14ac:dyDescent="0.35">
      <c r="I28039" s="63"/>
      <c r="J28039" s="63"/>
    </row>
    <row r="28040" spans="9:10" x14ac:dyDescent="0.35">
      <c r="I28040" s="63"/>
      <c r="J28040" s="63"/>
    </row>
    <row r="28041" spans="9:10" x14ac:dyDescent="0.35">
      <c r="I28041" s="63"/>
      <c r="J28041" s="63"/>
    </row>
    <row r="28042" spans="9:10" x14ac:dyDescent="0.35">
      <c r="I28042" s="63"/>
      <c r="J28042" s="63"/>
    </row>
    <row r="28043" spans="9:10" x14ac:dyDescent="0.35">
      <c r="I28043" s="63"/>
      <c r="J28043" s="63"/>
    </row>
    <row r="28044" spans="9:10" x14ac:dyDescent="0.35">
      <c r="I28044" s="63"/>
      <c r="J28044" s="63"/>
    </row>
    <row r="28045" spans="9:10" x14ac:dyDescent="0.35">
      <c r="I28045" s="63"/>
      <c r="J28045" s="63"/>
    </row>
    <row r="28046" spans="9:10" x14ac:dyDescent="0.35">
      <c r="I28046" s="63"/>
      <c r="J28046" s="63"/>
    </row>
    <row r="28047" spans="9:10" x14ac:dyDescent="0.35">
      <c r="I28047" s="63"/>
      <c r="J28047" s="63"/>
    </row>
    <row r="28048" spans="9:10" x14ac:dyDescent="0.35">
      <c r="I28048" s="63"/>
      <c r="J28048" s="63"/>
    </row>
    <row r="28049" spans="9:10" x14ac:dyDescent="0.35">
      <c r="I28049" s="63"/>
      <c r="J28049" s="63"/>
    </row>
    <row r="28050" spans="9:10" x14ac:dyDescent="0.35">
      <c r="I28050" s="63"/>
      <c r="J28050" s="63"/>
    </row>
    <row r="28051" spans="9:10" x14ac:dyDescent="0.35">
      <c r="I28051" s="63"/>
      <c r="J28051" s="63"/>
    </row>
    <row r="28052" spans="9:10" x14ac:dyDescent="0.35">
      <c r="I28052" s="63"/>
      <c r="J28052" s="63"/>
    </row>
    <row r="28053" spans="9:10" x14ac:dyDescent="0.35">
      <c r="I28053" s="63"/>
      <c r="J28053" s="63"/>
    </row>
    <row r="28054" spans="9:10" x14ac:dyDescent="0.35">
      <c r="I28054" s="63"/>
      <c r="J28054" s="63"/>
    </row>
    <row r="28055" spans="9:10" x14ac:dyDescent="0.35">
      <c r="I28055" s="63"/>
      <c r="J28055" s="63"/>
    </row>
    <row r="28056" spans="9:10" x14ac:dyDescent="0.35">
      <c r="I28056" s="63"/>
      <c r="J28056" s="63"/>
    </row>
    <row r="28057" spans="9:10" x14ac:dyDescent="0.35">
      <c r="I28057" s="63"/>
      <c r="J28057" s="63"/>
    </row>
    <row r="28058" spans="9:10" x14ac:dyDescent="0.35">
      <c r="I28058" s="63"/>
      <c r="J28058" s="63"/>
    </row>
    <row r="28059" spans="9:10" x14ac:dyDescent="0.35">
      <c r="I28059" s="63"/>
      <c r="J28059" s="63"/>
    </row>
    <row r="28060" spans="9:10" x14ac:dyDescent="0.35">
      <c r="I28060" s="63"/>
      <c r="J28060" s="63"/>
    </row>
    <row r="28061" spans="9:10" x14ac:dyDescent="0.35">
      <c r="I28061" s="63"/>
      <c r="J28061" s="63"/>
    </row>
    <row r="28062" spans="9:10" x14ac:dyDescent="0.35">
      <c r="I28062" s="63"/>
      <c r="J28062" s="63"/>
    </row>
    <row r="28063" spans="9:10" x14ac:dyDescent="0.35">
      <c r="I28063" s="63"/>
      <c r="J28063" s="63"/>
    </row>
    <row r="28064" spans="9:10" x14ac:dyDescent="0.35">
      <c r="I28064" s="63"/>
      <c r="J28064" s="63"/>
    </row>
    <row r="28065" spans="9:10" x14ac:dyDescent="0.35">
      <c r="I28065" s="63"/>
      <c r="J28065" s="63"/>
    </row>
    <row r="28066" spans="9:10" x14ac:dyDescent="0.35">
      <c r="I28066" s="63"/>
      <c r="J28066" s="63"/>
    </row>
    <row r="28067" spans="9:10" x14ac:dyDescent="0.35">
      <c r="I28067" s="63"/>
      <c r="J28067" s="63"/>
    </row>
    <row r="28068" spans="9:10" x14ac:dyDescent="0.35">
      <c r="I28068" s="63"/>
      <c r="J28068" s="63"/>
    </row>
    <row r="28069" spans="9:10" x14ac:dyDescent="0.35">
      <c r="I28069" s="63"/>
      <c r="J28069" s="63"/>
    </row>
    <row r="28070" spans="9:10" x14ac:dyDescent="0.35">
      <c r="I28070" s="63"/>
      <c r="J28070" s="63"/>
    </row>
    <row r="28071" spans="9:10" x14ac:dyDescent="0.35">
      <c r="I28071" s="63"/>
      <c r="J28071" s="63"/>
    </row>
    <row r="28072" spans="9:10" x14ac:dyDescent="0.35">
      <c r="I28072" s="63"/>
      <c r="J28072" s="63"/>
    </row>
    <row r="28073" spans="9:10" x14ac:dyDescent="0.35">
      <c r="I28073" s="63"/>
      <c r="J28073" s="63"/>
    </row>
    <row r="28074" spans="9:10" x14ac:dyDescent="0.35">
      <c r="I28074" s="63"/>
      <c r="J28074" s="63"/>
    </row>
    <row r="28075" spans="9:10" x14ac:dyDescent="0.35">
      <c r="I28075" s="63"/>
      <c r="J28075" s="63"/>
    </row>
    <row r="28076" spans="9:10" x14ac:dyDescent="0.35">
      <c r="I28076" s="63"/>
      <c r="J28076" s="63"/>
    </row>
    <row r="28077" spans="9:10" x14ac:dyDescent="0.35">
      <c r="I28077" s="63"/>
      <c r="J28077" s="63"/>
    </row>
    <row r="28078" spans="9:10" x14ac:dyDescent="0.35">
      <c r="I28078" s="63"/>
      <c r="J28078" s="63"/>
    </row>
    <row r="28079" spans="9:10" x14ac:dyDescent="0.35">
      <c r="I28079" s="63"/>
      <c r="J28079" s="63"/>
    </row>
    <row r="28080" spans="9:10" x14ac:dyDescent="0.35">
      <c r="I28080" s="63"/>
      <c r="J28080" s="63"/>
    </row>
    <row r="28081" spans="9:10" x14ac:dyDescent="0.35">
      <c r="I28081" s="63"/>
      <c r="J28081" s="63"/>
    </row>
    <row r="28082" spans="9:10" x14ac:dyDescent="0.35">
      <c r="I28082" s="63"/>
      <c r="J28082" s="63"/>
    </row>
    <row r="28083" spans="9:10" x14ac:dyDescent="0.35">
      <c r="I28083" s="63"/>
      <c r="J28083" s="63"/>
    </row>
    <row r="28084" spans="9:10" x14ac:dyDescent="0.35">
      <c r="I28084" s="63"/>
      <c r="J28084" s="63"/>
    </row>
    <row r="28085" spans="9:10" x14ac:dyDescent="0.35">
      <c r="I28085" s="63"/>
      <c r="J28085" s="63"/>
    </row>
    <row r="28086" spans="9:10" x14ac:dyDescent="0.35">
      <c r="I28086" s="63"/>
      <c r="J28086" s="63"/>
    </row>
    <row r="28087" spans="9:10" x14ac:dyDescent="0.35">
      <c r="I28087" s="63"/>
      <c r="J28087" s="63"/>
    </row>
    <row r="28088" spans="9:10" x14ac:dyDescent="0.35">
      <c r="I28088" s="63"/>
      <c r="J28088" s="63"/>
    </row>
    <row r="28089" spans="9:10" x14ac:dyDescent="0.35">
      <c r="I28089" s="63"/>
      <c r="J28089" s="63"/>
    </row>
    <row r="28090" spans="9:10" x14ac:dyDescent="0.35">
      <c r="I28090" s="63"/>
      <c r="J28090" s="63"/>
    </row>
    <row r="28091" spans="9:10" x14ac:dyDescent="0.35">
      <c r="I28091" s="63"/>
      <c r="J28091" s="63"/>
    </row>
    <row r="28092" spans="9:10" x14ac:dyDescent="0.35">
      <c r="I28092" s="63"/>
      <c r="J28092" s="63"/>
    </row>
    <row r="28093" spans="9:10" x14ac:dyDescent="0.35">
      <c r="I28093" s="63"/>
      <c r="J28093" s="63"/>
    </row>
    <row r="28094" spans="9:10" x14ac:dyDescent="0.35">
      <c r="I28094" s="63"/>
      <c r="J28094" s="63"/>
    </row>
    <row r="28095" spans="9:10" x14ac:dyDescent="0.35">
      <c r="I28095" s="63"/>
      <c r="J28095" s="63"/>
    </row>
    <row r="28096" spans="9:10" x14ac:dyDescent="0.35">
      <c r="I28096" s="63"/>
      <c r="J28096" s="63"/>
    </row>
    <row r="28097" spans="9:10" x14ac:dyDescent="0.35">
      <c r="I28097" s="63"/>
      <c r="J28097" s="63"/>
    </row>
    <row r="28098" spans="9:10" x14ac:dyDescent="0.35">
      <c r="I28098" s="63"/>
      <c r="J28098" s="63"/>
    </row>
    <row r="28099" spans="9:10" x14ac:dyDescent="0.35">
      <c r="I28099" s="63"/>
      <c r="J28099" s="63"/>
    </row>
    <row r="28100" spans="9:10" x14ac:dyDescent="0.35">
      <c r="I28100" s="63"/>
      <c r="J28100" s="63"/>
    </row>
    <row r="28101" spans="9:10" x14ac:dyDescent="0.35">
      <c r="I28101" s="63"/>
      <c r="J28101" s="63"/>
    </row>
    <row r="28102" spans="9:10" x14ac:dyDescent="0.35">
      <c r="I28102" s="63"/>
      <c r="J28102" s="63"/>
    </row>
    <row r="28103" spans="9:10" x14ac:dyDescent="0.35">
      <c r="I28103" s="63"/>
      <c r="J28103" s="63"/>
    </row>
    <row r="28104" spans="9:10" x14ac:dyDescent="0.35">
      <c r="I28104" s="63"/>
      <c r="J28104" s="63"/>
    </row>
    <row r="28105" spans="9:10" x14ac:dyDescent="0.35">
      <c r="I28105" s="63"/>
      <c r="J28105" s="63"/>
    </row>
    <row r="28106" spans="9:10" x14ac:dyDescent="0.35">
      <c r="I28106" s="63"/>
      <c r="J28106" s="63"/>
    </row>
    <row r="28107" spans="9:10" x14ac:dyDescent="0.35">
      <c r="I28107" s="63"/>
      <c r="J28107" s="63"/>
    </row>
    <row r="28108" spans="9:10" x14ac:dyDescent="0.35">
      <c r="I28108" s="63"/>
      <c r="J28108" s="63"/>
    </row>
    <row r="28109" spans="9:10" x14ac:dyDescent="0.35">
      <c r="I28109" s="63"/>
      <c r="J28109" s="63"/>
    </row>
    <row r="28110" spans="9:10" x14ac:dyDescent="0.35">
      <c r="I28110" s="63"/>
      <c r="J28110" s="63"/>
    </row>
    <row r="28111" spans="9:10" x14ac:dyDescent="0.35">
      <c r="I28111" s="63"/>
      <c r="J28111" s="63"/>
    </row>
    <row r="28112" spans="9:10" x14ac:dyDescent="0.35">
      <c r="I28112" s="63"/>
      <c r="J28112" s="63"/>
    </row>
    <row r="28113" spans="9:10" x14ac:dyDescent="0.35">
      <c r="I28113" s="63"/>
      <c r="J28113" s="63"/>
    </row>
    <row r="28114" spans="9:10" x14ac:dyDescent="0.35">
      <c r="I28114" s="63"/>
      <c r="J28114" s="63"/>
    </row>
    <row r="28115" spans="9:10" x14ac:dyDescent="0.35">
      <c r="I28115" s="63"/>
      <c r="J28115" s="63"/>
    </row>
    <row r="28116" spans="9:10" x14ac:dyDescent="0.35">
      <c r="I28116" s="63"/>
      <c r="J28116" s="63"/>
    </row>
    <row r="28117" spans="9:10" x14ac:dyDescent="0.35">
      <c r="I28117" s="63"/>
      <c r="J28117" s="63"/>
    </row>
    <row r="28118" spans="9:10" x14ac:dyDescent="0.35">
      <c r="I28118" s="63"/>
      <c r="J28118" s="63"/>
    </row>
    <row r="28119" spans="9:10" x14ac:dyDescent="0.35">
      <c r="I28119" s="63"/>
      <c r="J28119" s="63"/>
    </row>
    <row r="28120" spans="9:10" x14ac:dyDescent="0.35">
      <c r="I28120" s="63"/>
      <c r="J28120" s="63"/>
    </row>
    <row r="28121" spans="9:10" x14ac:dyDescent="0.35">
      <c r="I28121" s="63"/>
      <c r="J28121" s="63"/>
    </row>
    <row r="28122" spans="9:10" x14ac:dyDescent="0.35">
      <c r="I28122" s="63"/>
      <c r="J28122" s="63"/>
    </row>
    <row r="28123" spans="9:10" x14ac:dyDescent="0.35">
      <c r="I28123" s="63"/>
      <c r="J28123" s="63"/>
    </row>
    <row r="28124" spans="9:10" x14ac:dyDescent="0.35">
      <c r="I28124" s="63"/>
      <c r="J28124" s="63"/>
    </row>
    <row r="28125" spans="9:10" x14ac:dyDescent="0.35">
      <c r="I28125" s="63"/>
      <c r="J28125" s="63"/>
    </row>
    <row r="28126" spans="9:10" x14ac:dyDescent="0.35">
      <c r="I28126" s="63"/>
      <c r="J28126" s="63"/>
    </row>
    <row r="28127" spans="9:10" x14ac:dyDescent="0.35">
      <c r="I28127" s="63"/>
      <c r="J28127" s="63"/>
    </row>
    <row r="28128" spans="9:10" x14ac:dyDescent="0.35">
      <c r="I28128" s="63"/>
      <c r="J28128" s="63"/>
    </row>
    <row r="28129" spans="9:10" x14ac:dyDescent="0.35">
      <c r="I28129" s="63"/>
      <c r="J28129" s="63"/>
    </row>
    <row r="28130" spans="9:10" x14ac:dyDescent="0.35">
      <c r="I28130" s="63"/>
      <c r="J28130" s="63"/>
    </row>
    <row r="28131" spans="9:10" x14ac:dyDescent="0.35">
      <c r="I28131" s="63"/>
      <c r="J28131" s="63"/>
    </row>
    <row r="28132" spans="9:10" x14ac:dyDescent="0.35">
      <c r="I28132" s="63"/>
      <c r="J28132" s="63"/>
    </row>
    <row r="28133" spans="9:10" x14ac:dyDescent="0.35">
      <c r="I28133" s="63"/>
      <c r="J28133" s="63"/>
    </row>
    <row r="28134" spans="9:10" x14ac:dyDescent="0.35">
      <c r="I28134" s="63"/>
      <c r="J28134" s="63"/>
    </row>
    <row r="28135" spans="9:10" x14ac:dyDescent="0.35">
      <c r="I28135" s="63"/>
      <c r="J28135" s="63"/>
    </row>
    <row r="28136" spans="9:10" x14ac:dyDescent="0.35">
      <c r="I28136" s="63"/>
      <c r="J28136" s="63"/>
    </row>
    <row r="28137" spans="9:10" x14ac:dyDescent="0.35">
      <c r="I28137" s="63"/>
      <c r="J28137" s="63"/>
    </row>
    <row r="28138" spans="9:10" x14ac:dyDescent="0.35">
      <c r="I28138" s="63"/>
      <c r="J28138" s="63"/>
    </row>
    <row r="28139" spans="9:10" x14ac:dyDescent="0.35">
      <c r="I28139" s="63"/>
      <c r="J28139" s="63"/>
    </row>
    <row r="28140" spans="9:10" x14ac:dyDescent="0.35">
      <c r="I28140" s="63"/>
      <c r="J28140" s="63"/>
    </row>
    <row r="28141" spans="9:10" x14ac:dyDescent="0.35">
      <c r="I28141" s="63"/>
      <c r="J28141" s="63"/>
    </row>
    <row r="28142" spans="9:10" x14ac:dyDescent="0.35">
      <c r="I28142" s="63"/>
      <c r="J28142" s="63"/>
    </row>
    <row r="28143" spans="9:10" x14ac:dyDescent="0.35">
      <c r="I28143" s="63"/>
      <c r="J28143" s="63"/>
    </row>
    <row r="28144" spans="9:10" x14ac:dyDescent="0.35">
      <c r="I28144" s="63"/>
      <c r="J28144" s="63"/>
    </row>
    <row r="28145" spans="9:10" x14ac:dyDescent="0.35">
      <c r="I28145" s="63"/>
      <c r="J28145" s="63"/>
    </row>
    <row r="28146" spans="9:10" x14ac:dyDescent="0.35">
      <c r="I28146" s="63"/>
      <c r="J28146" s="63"/>
    </row>
    <row r="28147" spans="9:10" x14ac:dyDescent="0.35">
      <c r="I28147" s="63"/>
      <c r="J28147" s="63"/>
    </row>
    <row r="28148" spans="9:10" x14ac:dyDescent="0.35">
      <c r="I28148" s="63"/>
      <c r="J28148" s="63"/>
    </row>
    <row r="28149" spans="9:10" x14ac:dyDescent="0.35">
      <c r="I28149" s="63"/>
      <c r="J28149" s="63"/>
    </row>
    <row r="28150" spans="9:10" x14ac:dyDescent="0.35">
      <c r="I28150" s="63"/>
      <c r="J28150" s="63"/>
    </row>
    <row r="28151" spans="9:10" x14ac:dyDescent="0.35">
      <c r="I28151" s="63"/>
      <c r="J28151" s="63"/>
    </row>
    <row r="28152" spans="9:10" x14ac:dyDescent="0.35">
      <c r="I28152" s="63"/>
      <c r="J28152" s="63"/>
    </row>
    <row r="28153" spans="9:10" x14ac:dyDescent="0.35">
      <c r="I28153" s="63"/>
      <c r="J28153" s="63"/>
    </row>
    <row r="28154" spans="9:10" x14ac:dyDescent="0.35">
      <c r="I28154" s="63"/>
      <c r="J28154" s="63"/>
    </row>
    <row r="28155" spans="9:10" x14ac:dyDescent="0.35">
      <c r="I28155" s="63"/>
      <c r="J28155" s="63"/>
    </row>
    <row r="28156" spans="9:10" x14ac:dyDescent="0.35">
      <c r="I28156" s="63"/>
      <c r="J28156" s="63"/>
    </row>
    <row r="28157" spans="9:10" x14ac:dyDescent="0.35">
      <c r="I28157" s="63"/>
      <c r="J28157" s="63"/>
    </row>
    <row r="28158" spans="9:10" x14ac:dyDescent="0.35">
      <c r="I28158" s="63"/>
      <c r="J28158" s="63"/>
    </row>
    <row r="28159" spans="9:10" x14ac:dyDescent="0.35">
      <c r="I28159" s="63"/>
      <c r="J28159" s="63"/>
    </row>
    <row r="28160" spans="9:10" x14ac:dyDescent="0.35">
      <c r="I28160" s="63"/>
      <c r="J28160" s="63"/>
    </row>
    <row r="28161" spans="9:10" x14ac:dyDescent="0.35">
      <c r="I28161" s="63"/>
      <c r="J28161" s="63"/>
    </row>
    <row r="28162" spans="9:10" x14ac:dyDescent="0.35">
      <c r="I28162" s="63"/>
      <c r="J28162" s="63"/>
    </row>
    <row r="28163" spans="9:10" x14ac:dyDescent="0.35">
      <c r="I28163" s="63"/>
      <c r="J28163" s="63"/>
    </row>
    <row r="28164" spans="9:10" x14ac:dyDescent="0.35">
      <c r="I28164" s="63"/>
      <c r="J28164" s="63"/>
    </row>
    <row r="28165" spans="9:10" x14ac:dyDescent="0.35">
      <c r="I28165" s="63"/>
      <c r="J28165" s="63"/>
    </row>
    <row r="28166" spans="9:10" x14ac:dyDescent="0.35">
      <c r="I28166" s="63"/>
      <c r="J28166" s="63"/>
    </row>
    <row r="28167" spans="9:10" x14ac:dyDescent="0.35">
      <c r="I28167" s="63"/>
      <c r="J28167" s="63"/>
    </row>
    <row r="28168" spans="9:10" x14ac:dyDescent="0.35">
      <c r="I28168" s="63"/>
      <c r="J28168" s="63"/>
    </row>
    <row r="28169" spans="9:10" x14ac:dyDescent="0.35">
      <c r="I28169" s="63"/>
      <c r="J28169" s="63"/>
    </row>
    <row r="28170" spans="9:10" x14ac:dyDescent="0.35">
      <c r="I28170" s="63"/>
      <c r="J28170" s="63"/>
    </row>
    <row r="28171" spans="9:10" x14ac:dyDescent="0.35">
      <c r="I28171" s="63"/>
      <c r="J28171" s="63"/>
    </row>
    <row r="28172" spans="9:10" x14ac:dyDescent="0.35">
      <c r="I28172" s="63"/>
      <c r="J28172" s="63"/>
    </row>
    <row r="28173" spans="9:10" x14ac:dyDescent="0.35">
      <c r="I28173" s="63"/>
      <c r="J28173" s="63"/>
    </row>
    <row r="28174" spans="9:10" x14ac:dyDescent="0.35">
      <c r="I28174" s="63"/>
      <c r="J28174" s="63"/>
    </row>
    <row r="28175" spans="9:10" x14ac:dyDescent="0.35">
      <c r="I28175" s="63"/>
      <c r="J28175" s="63"/>
    </row>
    <row r="28176" spans="9:10" x14ac:dyDescent="0.35">
      <c r="I28176" s="63"/>
      <c r="J28176" s="63"/>
    </row>
    <row r="28177" spans="9:10" x14ac:dyDescent="0.35">
      <c r="I28177" s="63"/>
      <c r="J28177" s="63"/>
    </row>
    <row r="28178" spans="9:10" x14ac:dyDescent="0.35">
      <c r="I28178" s="63"/>
      <c r="J28178" s="63"/>
    </row>
    <row r="28179" spans="9:10" x14ac:dyDescent="0.35">
      <c r="I28179" s="63"/>
      <c r="J28179" s="63"/>
    </row>
    <row r="28180" spans="9:10" x14ac:dyDescent="0.35">
      <c r="I28180" s="63"/>
      <c r="J28180" s="63"/>
    </row>
    <row r="28181" spans="9:10" x14ac:dyDescent="0.35">
      <c r="I28181" s="63"/>
      <c r="J28181" s="63"/>
    </row>
    <row r="28182" spans="9:10" x14ac:dyDescent="0.35">
      <c r="I28182" s="63"/>
      <c r="J28182" s="63"/>
    </row>
    <row r="28183" spans="9:10" x14ac:dyDescent="0.35">
      <c r="I28183" s="63"/>
      <c r="J28183" s="63"/>
    </row>
    <row r="28184" spans="9:10" x14ac:dyDescent="0.35">
      <c r="I28184" s="63"/>
      <c r="J28184" s="63"/>
    </row>
    <row r="28185" spans="9:10" x14ac:dyDescent="0.35">
      <c r="I28185" s="63"/>
      <c r="J28185" s="63"/>
    </row>
    <row r="28186" spans="9:10" x14ac:dyDescent="0.35">
      <c r="I28186" s="63"/>
      <c r="J28186" s="63"/>
    </row>
    <row r="28187" spans="9:10" x14ac:dyDescent="0.35">
      <c r="I28187" s="63"/>
      <c r="J28187" s="63"/>
    </row>
    <row r="28188" spans="9:10" x14ac:dyDescent="0.35">
      <c r="I28188" s="63"/>
      <c r="J28188" s="63"/>
    </row>
    <row r="28189" spans="9:10" x14ac:dyDescent="0.35">
      <c r="I28189" s="63"/>
      <c r="J28189" s="63"/>
    </row>
    <row r="28190" spans="9:10" x14ac:dyDescent="0.35">
      <c r="I28190" s="63"/>
      <c r="J28190" s="63"/>
    </row>
    <row r="28191" spans="9:10" x14ac:dyDescent="0.35">
      <c r="I28191" s="63"/>
      <c r="J28191" s="63"/>
    </row>
    <row r="28192" spans="9:10" x14ac:dyDescent="0.35">
      <c r="I28192" s="63"/>
      <c r="J28192" s="63"/>
    </row>
    <row r="28193" spans="9:10" x14ac:dyDescent="0.35">
      <c r="I28193" s="63"/>
      <c r="J28193" s="63"/>
    </row>
    <row r="28194" spans="9:10" x14ac:dyDescent="0.35">
      <c r="I28194" s="63"/>
      <c r="J28194" s="63"/>
    </row>
    <row r="28195" spans="9:10" x14ac:dyDescent="0.35">
      <c r="I28195" s="63"/>
      <c r="J28195" s="63"/>
    </row>
    <row r="28196" spans="9:10" x14ac:dyDescent="0.35">
      <c r="I28196" s="63"/>
      <c r="J28196" s="63"/>
    </row>
    <row r="28197" spans="9:10" x14ac:dyDescent="0.35">
      <c r="I28197" s="63"/>
      <c r="J28197" s="63"/>
    </row>
    <row r="28198" spans="9:10" x14ac:dyDescent="0.35">
      <c r="I28198" s="63"/>
      <c r="J28198" s="63"/>
    </row>
    <row r="28199" spans="9:10" x14ac:dyDescent="0.35">
      <c r="I28199" s="63"/>
      <c r="J28199" s="63"/>
    </row>
    <row r="28200" spans="9:10" x14ac:dyDescent="0.35">
      <c r="I28200" s="63"/>
      <c r="J28200" s="63"/>
    </row>
    <row r="28201" spans="9:10" x14ac:dyDescent="0.35">
      <c r="I28201" s="63"/>
      <c r="J28201" s="63"/>
    </row>
    <row r="28202" spans="9:10" x14ac:dyDescent="0.35">
      <c r="I28202" s="63"/>
      <c r="J28202" s="63"/>
    </row>
    <row r="28203" spans="9:10" x14ac:dyDescent="0.35">
      <c r="I28203" s="63"/>
      <c r="J28203" s="63"/>
    </row>
    <row r="28204" spans="9:10" x14ac:dyDescent="0.35">
      <c r="I28204" s="63"/>
      <c r="J28204" s="63"/>
    </row>
    <row r="28205" spans="9:10" x14ac:dyDescent="0.35">
      <c r="I28205" s="63"/>
      <c r="J28205" s="63"/>
    </row>
    <row r="28206" spans="9:10" x14ac:dyDescent="0.35">
      <c r="I28206" s="63"/>
      <c r="J28206" s="63"/>
    </row>
    <row r="28207" spans="9:10" x14ac:dyDescent="0.35">
      <c r="I28207" s="63"/>
      <c r="J28207" s="63"/>
    </row>
    <row r="28208" spans="9:10" x14ac:dyDescent="0.35">
      <c r="I28208" s="63"/>
      <c r="J28208" s="63"/>
    </row>
    <row r="28209" spans="9:10" x14ac:dyDescent="0.35">
      <c r="I28209" s="63"/>
      <c r="J28209" s="63"/>
    </row>
    <row r="28210" spans="9:10" x14ac:dyDescent="0.35">
      <c r="I28210" s="63"/>
      <c r="J28210" s="63"/>
    </row>
    <row r="28211" spans="9:10" x14ac:dyDescent="0.35">
      <c r="I28211" s="63"/>
      <c r="J28211" s="63"/>
    </row>
    <row r="28212" spans="9:10" x14ac:dyDescent="0.35">
      <c r="I28212" s="63"/>
      <c r="J28212" s="63"/>
    </row>
    <row r="28213" spans="9:10" x14ac:dyDescent="0.35">
      <c r="I28213" s="63"/>
      <c r="J28213" s="63"/>
    </row>
    <row r="28214" spans="9:10" x14ac:dyDescent="0.35">
      <c r="I28214" s="63"/>
      <c r="J28214" s="63"/>
    </row>
    <row r="28215" spans="9:10" x14ac:dyDescent="0.35">
      <c r="I28215" s="63"/>
      <c r="J28215" s="63"/>
    </row>
    <row r="28216" spans="9:10" x14ac:dyDescent="0.35">
      <c r="I28216" s="63"/>
      <c r="J28216" s="63"/>
    </row>
    <row r="28217" spans="9:10" x14ac:dyDescent="0.35">
      <c r="I28217" s="63"/>
      <c r="J28217" s="63"/>
    </row>
    <row r="28218" spans="9:10" x14ac:dyDescent="0.35">
      <c r="I28218" s="63"/>
      <c r="J28218" s="63"/>
    </row>
    <row r="28219" spans="9:10" x14ac:dyDescent="0.35">
      <c r="I28219" s="63"/>
      <c r="J28219" s="63"/>
    </row>
    <row r="28220" spans="9:10" x14ac:dyDescent="0.35">
      <c r="I28220" s="63"/>
      <c r="J28220" s="63"/>
    </row>
    <row r="28221" spans="9:10" x14ac:dyDescent="0.35">
      <c r="I28221" s="63"/>
      <c r="J28221" s="63"/>
    </row>
    <row r="28222" spans="9:10" x14ac:dyDescent="0.35">
      <c r="I28222" s="63"/>
      <c r="J28222" s="63"/>
    </row>
    <row r="28223" spans="9:10" x14ac:dyDescent="0.35">
      <c r="I28223" s="63"/>
      <c r="J28223" s="63"/>
    </row>
    <row r="28224" spans="9:10" x14ac:dyDescent="0.35">
      <c r="I28224" s="63"/>
      <c r="J28224" s="63"/>
    </row>
    <row r="28225" spans="9:10" x14ac:dyDescent="0.35">
      <c r="I28225" s="63"/>
      <c r="J28225" s="63"/>
    </row>
    <row r="28226" spans="9:10" x14ac:dyDescent="0.35">
      <c r="I28226" s="63"/>
      <c r="J28226" s="63"/>
    </row>
    <row r="28227" spans="9:10" x14ac:dyDescent="0.35">
      <c r="I28227" s="63"/>
      <c r="J28227" s="63"/>
    </row>
    <row r="28228" spans="9:10" x14ac:dyDescent="0.35">
      <c r="I28228" s="63"/>
      <c r="J28228" s="63"/>
    </row>
    <row r="28229" spans="9:10" x14ac:dyDescent="0.35">
      <c r="I28229" s="63"/>
      <c r="J28229" s="63"/>
    </row>
    <row r="28230" spans="9:10" x14ac:dyDescent="0.35">
      <c r="I28230" s="63"/>
      <c r="J28230" s="63"/>
    </row>
    <row r="28231" spans="9:10" x14ac:dyDescent="0.35">
      <c r="I28231" s="63"/>
      <c r="J28231" s="63"/>
    </row>
    <row r="28232" spans="9:10" x14ac:dyDescent="0.35">
      <c r="I28232" s="63"/>
      <c r="J28232" s="63"/>
    </row>
    <row r="28233" spans="9:10" x14ac:dyDescent="0.35">
      <c r="I28233" s="63"/>
      <c r="J28233" s="63"/>
    </row>
    <row r="28234" spans="9:10" x14ac:dyDescent="0.35">
      <c r="I28234" s="63"/>
      <c r="J28234" s="63"/>
    </row>
    <row r="28235" spans="9:10" x14ac:dyDescent="0.35">
      <c r="I28235" s="63"/>
      <c r="J28235" s="63"/>
    </row>
    <row r="28236" spans="9:10" x14ac:dyDescent="0.35">
      <c r="I28236" s="63"/>
      <c r="J28236" s="63"/>
    </row>
    <row r="28237" spans="9:10" x14ac:dyDescent="0.35">
      <c r="I28237" s="63"/>
      <c r="J28237" s="63"/>
    </row>
    <row r="28238" spans="9:10" x14ac:dyDescent="0.35">
      <c r="I28238" s="63"/>
      <c r="J28238" s="63"/>
    </row>
    <row r="28239" spans="9:10" x14ac:dyDescent="0.35">
      <c r="I28239" s="63"/>
      <c r="J28239" s="63"/>
    </row>
    <row r="28240" spans="9:10" x14ac:dyDescent="0.35">
      <c r="I28240" s="63"/>
      <c r="J28240" s="63"/>
    </row>
    <row r="28241" spans="9:10" x14ac:dyDescent="0.35">
      <c r="I28241" s="63"/>
      <c r="J28241" s="63"/>
    </row>
    <row r="28242" spans="9:10" x14ac:dyDescent="0.35">
      <c r="I28242" s="63"/>
      <c r="J28242" s="63"/>
    </row>
    <row r="28243" spans="9:10" x14ac:dyDescent="0.35">
      <c r="I28243" s="63"/>
      <c r="J28243" s="63"/>
    </row>
    <row r="28244" spans="9:10" x14ac:dyDescent="0.35">
      <c r="I28244" s="63"/>
      <c r="J28244" s="63"/>
    </row>
    <row r="28245" spans="9:10" x14ac:dyDescent="0.35">
      <c r="I28245" s="63"/>
      <c r="J28245" s="63"/>
    </row>
    <row r="28246" spans="9:10" x14ac:dyDescent="0.35">
      <c r="I28246" s="63"/>
      <c r="J28246" s="63"/>
    </row>
    <row r="28247" spans="9:10" x14ac:dyDescent="0.35">
      <c r="I28247" s="63"/>
      <c r="J28247" s="63"/>
    </row>
    <row r="28248" spans="9:10" x14ac:dyDescent="0.35">
      <c r="I28248" s="63"/>
      <c r="J28248" s="63"/>
    </row>
    <row r="28249" spans="9:10" x14ac:dyDescent="0.35">
      <c r="I28249" s="63"/>
      <c r="J28249" s="63"/>
    </row>
    <row r="28250" spans="9:10" x14ac:dyDescent="0.35">
      <c r="I28250" s="63"/>
      <c r="J28250" s="63"/>
    </row>
    <row r="28251" spans="9:10" x14ac:dyDescent="0.35">
      <c r="I28251" s="63"/>
      <c r="J28251" s="63"/>
    </row>
    <row r="28252" spans="9:10" x14ac:dyDescent="0.35">
      <c r="I28252" s="63"/>
      <c r="J28252" s="63"/>
    </row>
    <row r="28253" spans="9:10" x14ac:dyDescent="0.35">
      <c r="I28253" s="63"/>
      <c r="J28253" s="63"/>
    </row>
    <row r="28254" spans="9:10" x14ac:dyDescent="0.35">
      <c r="I28254" s="63"/>
      <c r="J28254" s="63"/>
    </row>
    <row r="28255" spans="9:10" x14ac:dyDescent="0.35">
      <c r="I28255" s="63"/>
      <c r="J28255" s="63"/>
    </row>
    <row r="28256" spans="9:10" x14ac:dyDescent="0.35">
      <c r="I28256" s="63"/>
      <c r="J28256" s="63"/>
    </row>
    <row r="28257" spans="9:10" x14ac:dyDescent="0.35">
      <c r="I28257" s="63"/>
      <c r="J28257" s="63"/>
    </row>
    <row r="28258" spans="9:10" x14ac:dyDescent="0.35">
      <c r="I28258" s="63"/>
      <c r="J28258" s="63"/>
    </row>
    <row r="28259" spans="9:10" x14ac:dyDescent="0.35">
      <c r="I28259" s="63"/>
      <c r="J28259" s="63"/>
    </row>
    <row r="28260" spans="9:10" x14ac:dyDescent="0.35">
      <c r="I28260" s="63"/>
      <c r="J28260" s="63"/>
    </row>
    <row r="28261" spans="9:10" x14ac:dyDescent="0.35">
      <c r="I28261" s="63"/>
      <c r="J28261" s="63"/>
    </row>
    <row r="28262" spans="9:10" x14ac:dyDescent="0.35">
      <c r="I28262" s="63"/>
      <c r="J28262" s="63"/>
    </row>
    <row r="28263" spans="9:10" x14ac:dyDescent="0.35">
      <c r="I28263" s="63"/>
      <c r="J28263" s="63"/>
    </row>
    <row r="28264" spans="9:10" x14ac:dyDescent="0.35">
      <c r="I28264" s="63"/>
      <c r="J28264" s="63"/>
    </row>
    <row r="28265" spans="9:10" x14ac:dyDescent="0.35">
      <c r="I28265" s="63"/>
      <c r="J28265" s="63"/>
    </row>
    <row r="28266" spans="9:10" x14ac:dyDescent="0.35">
      <c r="I28266" s="63"/>
      <c r="J28266" s="63"/>
    </row>
    <row r="28267" spans="9:10" x14ac:dyDescent="0.35">
      <c r="I28267" s="63"/>
      <c r="J28267" s="63"/>
    </row>
    <row r="28268" spans="9:10" x14ac:dyDescent="0.35">
      <c r="I28268" s="63"/>
      <c r="J28268" s="63"/>
    </row>
    <row r="28269" spans="9:10" x14ac:dyDescent="0.35">
      <c r="I28269" s="63"/>
      <c r="J28269" s="63"/>
    </row>
    <row r="28270" spans="9:10" x14ac:dyDescent="0.35">
      <c r="I28270" s="63"/>
      <c r="J28270" s="63"/>
    </row>
    <row r="28271" spans="9:10" x14ac:dyDescent="0.35">
      <c r="I28271" s="63"/>
      <c r="J28271" s="63"/>
    </row>
    <row r="28272" spans="9:10" x14ac:dyDescent="0.35">
      <c r="I28272" s="63"/>
      <c r="J28272" s="63"/>
    </row>
    <row r="28273" spans="9:10" x14ac:dyDescent="0.35">
      <c r="I28273" s="63"/>
      <c r="J28273" s="63"/>
    </row>
    <row r="28274" spans="9:10" x14ac:dyDescent="0.35">
      <c r="I28274" s="63"/>
      <c r="J28274" s="63"/>
    </row>
    <row r="28275" spans="9:10" x14ac:dyDescent="0.35">
      <c r="I28275" s="63"/>
      <c r="J28275" s="63"/>
    </row>
    <row r="28276" spans="9:10" x14ac:dyDescent="0.35">
      <c r="I28276" s="63"/>
      <c r="J28276" s="63"/>
    </row>
    <row r="28277" spans="9:10" x14ac:dyDescent="0.35">
      <c r="I28277" s="63"/>
      <c r="J28277" s="63"/>
    </row>
    <row r="28278" spans="9:10" x14ac:dyDescent="0.35">
      <c r="I28278" s="63"/>
      <c r="J28278" s="63"/>
    </row>
    <row r="28279" spans="9:10" x14ac:dyDescent="0.35">
      <c r="I28279" s="63"/>
      <c r="J28279" s="63"/>
    </row>
    <row r="28280" spans="9:10" x14ac:dyDescent="0.35">
      <c r="I28280" s="63"/>
      <c r="J28280" s="63"/>
    </row>
    <row r="28281" spans="9:10" x14ac:dyDescent="0.35">
      <c r="I28281" s="63"/>
      <c r="J28281" s="63"/>
    </row>
    <row r="28282" spans="9:10" x14ac:dyDescent="0.35">
      <c r="I28282" s="63"/>
      <c r="J28282" s="63"/>
    </row>
    <row r="28283" spans="9:10" x14ac:dyDescent="0.35">
      <c r="I28283" s="63"/>
      <c r="J28283" s="63"/>
    </row>
    <row r="28284" spans="9:10" x14ac:dyDescent="0.35">
      <c r="I28284" s="63"/>
      <c r="J28284" s="63"/>
    </row>
    <row r="28285" spans="9:10" x14ac:dyDescent="0.35">
      <c r="I28285" s="63"/>
      <c r="J28285" s="63"/>
    </row>
    <row r="28286" spans="9:10" x14ac:dyDescent="0.35">
      <c r="I28286" s="63"/>
      <c r="J28286" s="63"/>
    </row>
    <row r="28287" spans="9:10" x14ac:dyDescent="0.35">
      <c r="I28287" s="63"/>
      <c r="J28287" s="63"/>
    </row>
    <row r="28288" spans="9:10" x14ac:dyDescent="0.35">
      <c r="I28288" s="63"/>
      <c r="J28288" s="63"/>
    </row>
    <row r="28289" spans="9:10" x14ac:dyDescent="0.35">
      <c r="I28289" s="63"/>
      <c r="J28289" s="63"/>
    </row>
    <row r="28290" spans="9:10" x14ac:dyDescent="0.35">
      <c r="I28290" s="63"/>
      <c r="J28290" s="63"/>
    </row>
    <row r="28291" spans="9:10" x14ac:dyDescent="0.35">
      <c r="I28291" s="63"/>
      <c r="J28291" s="63"/>
    </row>
    <row r="28292" spans="9:10" x14ac:dyDescent="0.35">
      <c r="I28292" s="63"/>
      <c r="J28292" s="63"/>
    </row>
    <row r="28293" spans="9:10" x14ac:dyDescent="0.35">
      <c r="I28293" s="63"/>
      <c r="J28293" s="63"/>
    </row>
    <row r="28294" spans="9:10" x14ac:dyDescent="0.35">
      <c r="I28294" s="63"/>
      <c r="J28294" s="63"/>
    </row>
    <row r="28295" spans="9:10" x14ac:dyDescent="0.35">
      <c r="I28295" s="63"/>
      <c r="J28295" s="63"/>
    </row>
    <row r="28296" spans="9:10" x14ac:dyDescent="0.35">
      <c r="I28296" s="63"/>
      <c r="J28296" s="63"/>
    </row>
    <row r="28297" spans="9:10" x14ac:dyDescent="0.35">
      <c r="I28297" s="63"/>
      <c r="J28297" s="63"/>
    </row>
    <row r="28298" spans="9:10" x14ac:dyDescent="0.35">
      <c r="I28298" s="63"/>
      <c r="J28298" s="63"/>
    </row>
    <row r="28299" spans="9:10" x14ac:dyDescent="0.35">
      <c r="I28299" s="63"/>
      <c r="J28299" s="63"/>
    </row>
    <row r="28300" spans="9:10" x14ac:dyDescent="0.35">
      <c r="I28300" s="63"/>
      <c r="J28300" s="63"/>
    </row>
    <row r="28301" spans="9:10" x14ac:dyDescent="0.35">
      <c r="I28301" s="63"/>
      <c r="J28301" s="63"/>
    </row>
    <row r="28302" spans="9:10" x14ac:dyDescent="0.35">
      <c r="I28302" s="63"/>
      <c r="J28302" s="63"/>
    </row>
    <row r="28303" spans="9:10" x14ac:dyDescent="0.35">
      <c r="I28303" s="63"/>
      <c r="J28303" s="63"/>
    </row>
    <row r="28304" spans="9:10" x14ac:dyDescent="0.35">
      <c r="I28304" s="63"/>
      <c r="J28304" s="63"/>
    </row>
    <row r="28305" spans="9:10" x14ac:dyDescent="0.35">
      <c r="I28305" s="63"/>
      <c r="J28305" s="63"/>
    </row>
    <row r="28306" spans="9:10" x14ac:dyDescent="0.35">
      <c r="I28306" s="63"/>
      <c r="J28306" s="63"/>
    </row>
    <row r="28307" spans="9:10" x14ac:dyDescent="0.35">
      <c r="I28307" s="63"/>
      <c r="J28307" s="63"/>
    </row>
    <row r="28308" spans="9:10" x14ac:dyDescent="0.35">
      <c r="I28308" s="63"/>
      <c r="J28308" s="63"/>
    </row>
    <row r="28309" spans="9:10" x14ac:dyDescent="0.35">
      <c r="I28309" s="63"/>
      <c r="J28309" s="63"/>
    </row>
    <row r="28310" spans="9:10" x14ac:dyDescent="0.35">
      <c r="I28310" s="63"/>
      <c r="J28310" s="63"/>
    </row>
    <row r="28311" spans="9:10" x14ac:dyDescent="0.35">
      <c r="I28311" s="63"/>
      <c r="J28311" s="63"/>
    </row>
    <row r="28312" spans="9:10" x14ac:dyDescent="0.35">
      <c r="I28312" s="63"/>
      <c r="J28312" s="63"/>
    </row>
    <row r="28313" spans="9:10" x14ac:dyDescent="0.35">
      <c r="I28313" s="63"/>
      <c r="J28313" s="63"/>
    </row>
    <row r="28314" spans="9:10" x14ac:dyDescent="0.35">
      <c r="I28314" s="63"/>
      <c r="J28314" s="63"/>
    </row>
    <row r="28315" spans="9:10" x14ac:dyDescent="0.35">
      <c r="I28315" s="63"/>
      <c r="J28315" s="63"/>
    </row>
    <row r="28316" spans="9:10" x14ac:dyDescent="0.35">
      <c r="I28316" s="63"/>
      <c r="J28316" s="63"/>
    </row>
    <row r="28317" spans="9:10" x14ac:dyDescent="0.35">
      <c r="I28317" s="63"/>
      <c r="J28317" s="63"/>
    </row>
    <row r="28318" spans="9:10" x14ac:dyDescent="0.35">
      <c r="I28318" s="63"/>
      <c r="J28318" s="63"/>
    </row>
    <row r="28319" spans="9:10" x14ac:dyDescent="0.35">
      <c r="I28319" s="63"/>
      <c r="J28319" s="63"/>
    </row>
    <row r="28320" spans="9:10" x14ac:dyDescent="0.35">
      <c r="I28320" s="63"/>
      <c r="J28320" s="63"/>
    </row>
    <row r="28321" spans="9:10" x14ac:dyDescent="0.35">
      <c r="I28321" s="63"/>
      <c r="J28321" s="63"/>
    </row>
    <row r="28322" spans="9:10" x14ac:dyDescent="0.35">
      <c r="I28322" s="63"/>
      <c r="J28322" s="63"/>
    </row>
    <row r="28323" spans="9:10" x14ac:dyDescent="0.35">
      <c r="I28323" s="63"/>
      <c r="J28323" s="63"/>
    </row>
    <row r="28324" spans="9:10" x14ac:dyDescent="0.35">
      <c r="I28324" s="63"/>
      <c r="J28324" s="63"/>
    </row>
    <row r="28325" spans="9:10" x14ac:dyDescent="0.35">
      <c r="I28325" s="63"/>
      <c r="J28325" s="63"/>
    </row>
    <row r="28326" spans="9:10" x14ac:dyDescent="0.35">
      <c r="I28326" s="63"/>
      <c r="J28326" s="63"/>
    </row>
    <row r="28327" spans="9:10" x14ac:dyDescent="0.35">
      <c r="I28327" s="63"/>
      <c r="J28327" s="63"/>
    </row>
    <row r="28328" spans="9:10" x14ac:dyDescent="0.35">
      <c r="I28328" s="63"/>
      <c r="J28328" s="63"/>
    </row>
    <row r="28329" spans="9:10" x14ac:dyDescent="0.35">
      <c r="I28329" s="63"/>
      <c r="J28329" s="63"/>
    </row>
    <row r="28330" spans="9:10" x14ac:dyDescent="0.35">
      <c r="I28330" s="63"/>
      <c r="J28330" s="63"/>
    </row>
    <row r="28331" spans="9:10" x14ac:dyDescent="0.35">
      <c r="I28331" s="63"/>
      <c r="J28331" s="63"/>
    </row>
    <row r="28332" spans="9:10" x14ac:dyDescent="0.35">
      <c r="I28332" s="63"/>
      <c r="J28332" s="63"/>
    </row>
    <row r="28333" spans="9:10" x14ac:dyDescent="0.35">
      <c r="I28333" s="63"/>
      <c r="J28333" s="63"/>
    </row>
    <row r="28334" spans="9:10" x14ac:dyDescent="0.35">
      <c r="I28334" s="63"/>
      <c r="J28334" s="63"/>
    </row>
    <row r="28335" spans="9:10" x14ac:dyDescent="0.35">
      <c r="I28335" s="63"/>
      <c r="J28335" s="63"/>
    </row>
    <row r="28336" spans="9:10" x14ac:dyDescent="0.35">
      <c r="I28336" s="63"/>
      <c r="J28336" s="63"/>
    </row>
    <row r="28337" spans="9:10" x14ac:dyDescent="0.35">
      <c r="I28337" s="63"/>
      <c r="J28337" s="63"/>
    </row>
    <row r="28338" spans="9:10" x14ac:dyDescent="0.35">
      <c r="I28338" s="63"/>
      <c r="J28338" s="63"/>
    </row>
    <row r="28339" spans="9:10" x14ac:dyDescent="0.35">
      <c r="I28339" s="63"/>
      <c r="J28339" s="63"/>
    </row>
    <row r="28340" spans="9:10" x14ac:dyDescent="0.35">
      <c r="I28340" s="63"/>
      <c r="J28340" s="63"/>
    </row>
    <row r="28341" spans="9:10" x14ac:dyDescent="0.35">
      <c r="I28341" s="63"/>
      <c r="J28341" s="63"/>
    </row>
    <row r="28342" spans="9:10" x14ac:dyDescent="0.35">
      <c r="I28342" s="63"/>
      <c r="J28342" s="63"/>
    </row>
    <row r="28343" spans="9:10" x14ac:dyDescent="0.35">
      <c r="I28343" s="63"/>
      <c r="J28343" s="63"/>
    </row>
    <row r="28344" spans="9:10" x14ac:dyDescent="0.35">
      <c r="I28344" s="63"/>
      <c r="J28344" s="63"/>
    </row>
    <row r="28345" spans="9:10" x14ac:dyDescent="0.35">
      <c r="I28345" s="63"/>
      <c r="J28345" s="63"/>
    </row>
    <row r="28346" spans="9:10" x14ac:dyDescent="0.35">
      <c r="I28346" s="63"/>
      <c r="J28346" s="63"/>
    </row>
    <row r="28347" spans="9:10" x14ac:dyDescent="0.35">
      <c r="I28347" s="63"/>
      <c r="J28347" s="63"/>
    </row>
    <row r="28348" spans="9:10" x14ac:dyDescent="0.35">
      <c r="I28348" s="63"/>
      <c r="J28348" s="63"/>
    </row>
    <row r="28349" spans="9:10" x14ac:dyDescent="0.35">
      <c r="I28349" s="63"/>
      <c r="J28349" s="63"/>
    </row>
    <row r="28350" spans="9:10" x14ac:dyDescent="0.35">
      <c r="I28350" s="63"/>
      <c r="J28350" s="63"/>
    </row>
    <row r="28351" spans="9:10" x14ac:dyDescent="0.35">
      <c r="I28351" s="63"/>
      <c r="J28351" s="63"/>
    </row>
    <row r="28352" spans="9:10" x14ac:dyDescent="0.35">
      <c r="I28352" s="63"/>
      <c r="J28352" s="63"/>
    </row>
    <row r="28353" spans="9:10" x14ac:dyDescent="0.35">
      <c r="I28353" s="63"/>
      <c r="J28353" s="63"/>
    </row>
    <row r="28354" spans="9:10" x14ac:dyDescent="0.35">
      <c r="I28354" s="63"/>
      <c r="J28354" s="63"/>
    </row>
    <row r="28355" spans="9:10" x14ac:dyDescent="0.35">
      <c r="I28355" s="63"/>
      <c r="J28355" s="63"/>
    </row>
    <row r="28356" spans="9:10" x14ac:dyDescent="0.35">
      <c r="I28356" s="63"/>
      <c r="J28356" s="63"/>
    </row>
    <row r="28357" spans="9:10" x14ac:dyDescent="0.35">
      <c r="I28357" s="63"/>
      <c r="J28357" s="63"/>
    </row>
    <row r="28358" spans="9:10" x14ac:dyDescent="0.35">
      <c r="I28358" s="63"/>
      <c r="J28358" s="63"/>
    </row>
    <row r="28359" spans="9:10" x14ac:dyDescent="0.35">
      <c r="I28359" s="63"/>
      <c r="J28359" s="63"/>
    </row>
    <row r="28360" spans="9:10" x14ac:dyDescent="0.35">
      <c r="I28360" s="63"/>
      <c r="J28360" s="63"/>
    </row>
    <row r="28361" spans="9:10" x14ac:dyDescent="0.35">
      <c r="I28361" s="63"/>
      <c r="J28361" s="63"/>
    </row>
    <row r="28362" spans="9:10" x14ac:dyDescent="0.35">
      <c r="I28362" s="63"/>
      <c r="J28362" s="63"/>
    </row>
    <row r="28363" spans="9:10" x14ac:dyDescent="0.35">
      <c r="I28363" s="63"/>
      <c r="J28363" s="63"/>
    </row>
    <row r="28364" spans="9:10" x14ac:dyDescent="0.35">
      <c r="I28364" s="63"/>
      <c r="J28364" s="63"/>
    </row>
    <row r="28365" spans="9:10" x14ac:dyDescent="0.35">
      <c r="I28365" s="63"/>
      <c r="J28365" s="63"/>
    </row>
    <row r="28366" spans="9:10" x14ac:dyDescent="0.35">
      <c r="I28366" s="63"/>
      <c r="J28366" s="63"/>
    </row>
    <row r="28367" spans="9:10" x14ac:dyDescent="0.35">
      <c r="I28367" s="63"/>
      <c r="J28367" s="63"/>
    </row>
    <row r="28368" spans="9:10" x14ac:dyDescent="0.35">
      <c r="I28368" s="63"/>
      <c r="J28368" s="63"/>
    </row>
    <row r="28369" spans="9:10" x14ac:dyDescent="0.35">
      <c r="I28369" s="63"/>
      <c r="J28369" s="63"/>
    </row>
    <row r="28370" spans="9:10" x14ac:dyDescent="0.35">
      <c r="I28370" s="63"/>
      <c r="J28370" s="63"/>
    </row>
    <row r="28371" spans="9:10" x14ac:dyDescent="0.35">
      <c r="I28371" s="63"/>
      <c r="J28371" s="63"/>
    </row>
    <row r="28372" spans="9:10" x14ac:dyDescent="0.35">
      <c r="I28372" s="63"/>
      <c r="J28372" s="63"/>
    </row>
    <row r="28373" spans="9:10" x14ac:dyDescent="0.35">
      <c r="I28373" s="63"/>
      <c r="J28373" s="63"/>
    </row>
    <row r="28374" spans="9:10" x14ac:dyDescent="0.35">
      <c r="I28374" s="63"/>
      <c r="J28374" s="63"/>
    </row>
    <row r="28375" spans="9:10" x14ac:dyDescent="0.35">
      <c r="I28375" s="63"/>
      <c r="J28375" s="63"/>
    </row>
    <row r="28376" spans="9:10" x14ac:dyDescent="0.35">
      <c r="I28376" s="63"/>
      <c r="J28376" s="63"/>
    </row>
    <row r="28377" spans="9:10" x14ac:dyDescent="0.35">
      <c r="I28377" s="63"/>
      <c r="J28377" s="63"/>
    </row>
    <row r="28378" spans="9:10" x14ac:dyDescent="0.35">
      <c r="I28378" s="63"/>
      <c r="J28378" s="63"/>
    </row>
    <row r="28379" spans="9:10" x14ac:dyDescent="0.35">
      <c r="I28379" s="63"/>
      <c r="J28379" s="63"/>
    </row>
    <row r="28380" spans="9:10" x14ac:dyDescent="0.35">
      <c r="I28380" s="63"/>
      <c r="J28380" s="63"/>
    </row>
    <row r="28381" spans="9:10" x14ac:dyDescent="0.35">
      <c r="I28381" s="63"/>
      <c r="J28381" s="63"/>
    </row>
    <row r="28382" spans="9:10" x14ac:dyDescent="0.35">
      <c r="I28382" s="63"/>
      <c r="J28382" s="63"/>
    </row>
    <row r="28383" spans="9:10" x14ac:dyDescent="0.35">
      <c r="I28383" s="63"/>
      <c r="J28383" s="63"/>
    </row>
    <row r="28384" spans="9:10" x14ac:dyDescent="0.35">
      <c r="I28384" s="63"/>
      <c r="J28384" s="63"/>
    </row>
    <row r="28385" spans="9:10" x14ac:dyDescent="0.35">
      <c r="I28385" s="63"/>
      <c r="J28385" s="63"/>
    </row>
    <row r="28386" spans="9:10" x14ac:dyDescent="0.35">
      <c r="I28386" s="63"/>
      <c r="J28386" s="63"/>
    </row>
    <row r="28387" spans="9:10" x14ac:dyDescent="0.35">
      <c r="I28387" s="63"/>
      <c r="J28387" s="63"/>
    </row>
    <row r="28388" spans="9:10" x14ac:dyDescent="0.35">
      <c r="I28388" s="63"/>
      <c r="J28388" s="63"/>
    </row>
    <row r="28389" spans="9:10" x14ac:dyDescent="0.35">
      <c r="I28389" s="63"/>
      <c r="J28389" s="63"/>
    </row>
    <row r="28390" spans="9:10" x14ac:dyDescent="0.35">
      <c r="I28390" s="63"/>
      <c r="J28390" s="63"/>
    </row>
    <row r="28391" spans="9:10" x14ac:dyDescent="0.35">
      <c r="I28391" s="63"/>
      <c r="J28391" s="63"/>
    </row>
    <row r="28392" spans="9:10" x14ac:dyDescent="0.35">
      <c r="I28392" s="63"/>
      <c r="J28392" s="63"/>
    </row>
    <row r="28393" spans="9:10" x14ac:dyDescent="0.35">
      <c r="I28393" s="63"/>
      <c r="J28393" s="63"/>
    </row>
    <row r="28394" spans="9:10" x14ac:dyDescent="0.35">
      <c r="I28394" s="63"/>
      <c r="J28394" s="63"/>
    </row>
    <row r="28395" spans="9:10" x14ac:dyDescent="0.35">
      <c r="I28395" s="63"/>
      <c r="J28395" s="63"/>
    </row>
    <row r="28396" spans="9:10" x14ac:dyDescent="0.35">
      <c r="I28396" s="63"/>
      <c r="J28396" s="63"/>
    </row>
    <row r="28397" spans="9:10" x14ac:dyDescent="0.35">
      <c r="I28397" s="63"/>
      <c r="J28397" s="63"/>
    </row>
    <row r="28398" spans="9:10" x14ac:dyDescent="0.35">
      <c r="I28398" s="63"/>
      <c r="J28398" s="63"/>
    </row>
    <row r="28399" spans="9:10" x14ac:dyDescent="0.35">
      <c r="I28399" s="63"/>
      <c r="J28399" s="63"/>
    </row>
    <row r="28400" spans="9:10" x14ac:dyDescent="0.35">
      <c r="I28400" s="63"/>
      <c r="J28400" s="63"/>
    </row>
    <row r="28401" spans="9:10" x14ac:dyDescent="0.35">
      <c r="I28401" s="63"/>
      <c r="J28401" s="63"/>
    </row>
    <row r="28402" spans="9:10" x14ac:dyDescent="0.35">
      <c r="I28402" s="63"/>
      <c r="J28402" s="63"/>
    </row>
    <row r="28403" spans="9:10" x14ac:dyDescent="0.35">
      <c r="I28403" s="63"/>
      <c r="J28403" s="63"/>
    </row>
    <row r="28404" spans="9:10" x14ac:dyDescent="0.35">
      <c r="I28404" s="63"/>
      <c r="J28404" s="63"/>
    </row>
    <row r="28405" spans="9:10" x14ac:dyDescent="0.35">
      <c r="I28405" s="63"/>
      <c r="J28405" s="63"/>
    </row>
    <row r="28406" spans="9:10" x14ac:dyDescent="0.35">
      <c r="I28406" s="63"/>
      <c r="J28406" s="63"/>
    </row>
    <row r="28407" spans="9:10" x14ac:dyDescent="0.35">
      <c r="I28407" s="63"/>
      <c r="J28407" s="63"/>
    </row>
    <row r="28408" spans="9:10" x14ac:dyDescent="0.35">
      <c r="I28408" s="63"/>
      <c r="J28408" s="63"/>
    </row>
    <row r="28409" spans="9:10" x14ac:dyDescent="0.35">
      <c r="I28409" s="63"/>
      <c r="J28409" s="63"/>
    </row>
    <row r="28410" spans="9:10" x14ac:dyDescent="0.35">
      <c r="I28410" s="63"/>
      <c r="J28410" s="63"/>
    </row>
    <row r="28411" spans="9:10" x14ac:dyDescent="0.35">
      <c r="I28411" s="63"/>
      <c r="J28411" s="63"/>
    </row>
    <row r="28412" spans="9:10" x14ac:dyDescent="0.35">
      <c r="I28412" s="63"/>
      <c r="J28412" s="63"/>
    </row>
    <row r="28413" spans="9:10" x14ac:dyDescent="0.35">
      <c r="I28413" s="63"/>
      <c r="J28413" s="63"/>
    </row>
    <row r="28414" spans="9:10" x14ac:dyDescent="0.35">
      <c r="I28414" s="63"/>
      <c r="J28414" s="63"/>
    </row>
    <row r="28415" spans="9:10" x14ac:dyDescent="0.35">
      <c r="I28415" s="63"/>
      <c r="J28415" s="63"/>
    </row>
    <row r="28416" spans="9:10" x14ac:dyDescent="0.35">
      <c r="I28416" s="63"/>
      <c r="J28416" s="63"/>
    </row>
    <row r="28417" spans="9:10" x14ac:dyDescent="0.35">
      <c r="I28417" s="63"/>
      <c r="J28417" s="63"/>
    </row>
    <row r="28418" spans="9:10" x14ac:dyDescent="0.35">
      <c r="I28418" s="63"/>
      <c r="J28418" s="63"/>
    </row>
    <row r="28419" spans="9:10" x14ac:dyDescent="0.35">
      <c r="I28419" s="63"/>
      <c r="J28419" s="63"/>
    </row>
    <row r="28420" spans="9:10" x14ac:dyDescent="0.35">
      <c r="I28420" s="63"/>
      <c r="J28420" s="63"/>
    </row>
    <row r="28421" spans="9:10" x14ac:dyDescent="0.35">
      <c r="I28421" s="63"/>
      <c r="J28421" s="63"/>
    </row>
    <row r="28422" spans="9:10" x14ac:dyDescent="0.35">
      <c r="I28422" s="63"/>
      <c r="J28422" s="63"/>
    </row>
    <row r="28423" spans="9:10" x14ac:dyDescent="0.35">
      <c r="I28423" s="63"/>
      <c r="J28423" s="63"/>
    </row>
    <row r="28424" spans="9:10" x14ac:dyDescent="0.35">
      <c r="I28424" s="63"/>
      <c r="J28424" s="63"/>
    </row>
    <row r="28425" spans="9:10" x14ac:dyDescent="0.35">
      <c r="I28425" s="63"/>
      <c r="J28425" s="63"/>
    </row>
    <row r="28426" spans="9:10" x14ac:dyDescent="0.35">
      <c r="I28426" s="63"/>
      <c r="J28426" s="63"/>
    </row>
    <row r="28427" spans="9:10" x14ac:dyDescent="0.35">
      <c r="I28427" s="63"/>
      <c r="J28427" s="63"/>
    </row>
    <row r="28428" spans="9:10" x14ac:dyDescent="0.35">
      <c r="I28428" s="63"/>
      <c r="J28428" s="63"/>
    </row>
    <row r="28429" spans="9:10" x14ac:dyDescent="0.35">
      <c r="I28429" s="63"/>
      <c r="J28429" s="63"/>
    </row>
    <row r="28430" spans="9:10" x14ac:dyDescent="0.35">
      <c r="I28430" s="63"/>
      <c r="J28430" s="63"/>
    </row>
    <row r="28431" spans="9:10" x14ac:dyDescent="0.35">
      <c r="I28431" s="63"/>
      <c r="J28431" s="63"/>
    </row>
    <row r="28432" spans="9:10" x14ac:dyDescent="0.35">
      <c r="I28432" s="63"/>
      <c r="J28432" s="63"/>
    </row>
    <row r="28433" spans="9:10" x14ac:dyDescent="0.35">
      <c r="I28433" s="63"/>
      <c r="J28433" s="63"/>
    </row>
    <row r="28434" spans="9:10" x14ac:dyDescent="0.35">
      <c r="I28434" s="63"/>
      <c r="J28434" s="63"/>
    </row>
    <row r="28435" spans="9:10" x14ac:dyDescent="0.35">
      <c r="I28435" s="63"/>
      <c r="J28435" s="63"/>
    </row>
    <row r="28436" spans="9:10" x14ac:dyDescent="0.35">
      <c r="I28436" s="63"/>
      <c r="J28436" s="63"/>
    </row>
    <row r="28437" spans="9:10" x14ac:dyDescent="0.35">
      <c r="I28437" s="63"/>
      <c r="J28437" s="63"/>
    </row>
    <row r="28438" spans="9:10" x14ac:dyDescent="0.35">
      <c r="I28438" s="63"/>
      <c r="J28438" s="63"/>
    </row>
    <row r="28439" spans="9:10" x14ac:dyDescent="0.35">
      <c r="I28439" s="63"/>
      <c r="J28439" s="63"/>
    </row>
    <row r="28440" spans="9:10" x14ac:dyDescent="0.35">
      <c r="I28440" s="63"/>
      <c r="J28440" s="63"/>
    </row>
    <row r="28441" spans="9:10" x14ac:dyDescent="0.35">
      <c r="I28441" s="63"/>
      <c r="J28441" s="63"/>
    </row>
    <row r="28442" spans="9:10" x14ac:dyDescent="0.35">
      <c r="I28442" s="63"/>
      <c r="J28442" s="63"/>
    </row>
    <row r="28443" spans="9:10" x14ac:dyDescent="0.35">
      <c r="I28443" s="63"/>
      <c r="J28443" s="63"/>
    </row>
    <row r="28444" spans="9:10" x14ac:dyDescent="0.35">
      <c r="I28444" s="63"/>
      <c r="J28444" s="63"/>
    </row>
    <row r="28445" spans="9:10" x14ac:dyDescent="0.35">
      <c r="I28445" s="63"/>
      <c r="J28445" s="63"/>
    </row>
    <row r="28446" spans="9:10" x14ac:dyDescent="0.35">
      <c r="I28446" s="63"/>
      <c r="J28446" s="63"/>
    </row>
    <row r="28447" spans="9:10" x14ac:dyDescent="0.35">
      <c r="I28447" s="63"/>
      <c r="J28447" s="63"/>
    </row>
    <row r="28448" spans="9:10" x14ac:dyDescent="0.35">
      <c r="I28448" s="63"/>
      <c r="J28448" s="63"/>
    </row>
    <row r="28449" spans="9:10" x14ac:dyDescent="0.35">
      <c r="I28449" s="63"/>
      <c r="J28449" s="63"/>
    </row>
    <row r="28450" spans="9:10" x14ac:dyDescent="0.35">
      <c r="I28450" s="63"/>
      <c r="J28450" s="63"/>
    </row>
    <row r="28451" spans="9:10" x14ac:dyDescent="0.35">
      <c r="I28451" s="63"/>
      <c r="J28451" s="63"/>
    </row>
    <row r="28452" spans="9:10" x14ac:dyDescent="0.35">
      <c r="I28452" s="63"/>
      <c r="J28452" s="63"/>
    </row>
    <row r="28453" spans="9:10" x14ac:dyDescent="0.35">
      <c r="I28453" s="63"/>
      <c r="J28453" s="63"/>
    </row>
    <row r="28454" spans="9:10" x14ac:dyDescent="0.35">
      <c r="I28454" s="63"/>
      <c r="J28454" s="63"/>
    </row>
    <row r="28455" spans="9:10" x14ac:dyDescent="0.35">
      <c r="I28455" s="63"/>
      <c r="J28455" s="63"/>
    </row>
    <row r="28456" spans="9:10" x14ac:dyDescent="0.35">
      <c r="I28456" s="63"/>
      <c r="J28456" s="63"/>
    </row>
    <row r="28457" spans="9:10" x14ac:dyDescent="0.35">
      <c r="I28457" s="63"/>
      <c r="J28457" s="63"/>
    </row>
    <row r="28458" spans="9:10" x14ac:dyDescent="0.35">
      <c r="I28458" s="63"/>
      <c r="J28458" s="63"/>
    </row>
    <row r="28459" spans="9:10" x14ac:dyDescent="0.35">
      <c r="I28459" s="63"/>
      <c r="J28459" s="63"/>
    </row>
    <row r="28460" spans="9:10" x14ac:dyDescent="0.35">
      <c r="I28460" s="63"/>
      <c r="J28460" s="63"/>
    </row>
    <row r="28461" spans="9:10" x14ac:dyDescent="0.35">
      <c r="I28461" s="63"/>
      <c r="J28461" s="63"/>
    </row>
    <row r="28462" spans="9:10" x14ac:dyDescent="0.35">
      <c r="I28462" s="63"/>
      <c r="J28462" s="63"/>
    </row>
    <row r="28463" spans="9:10" x14ac:dyDescent="0.35">
      <c r="I28463" s="63"/>
      <c r="J28463" s="63"/>
    </row>
    <row r="28464" spans="9:10" x14ac:dyDescent="0.35">
      <c r="I28464" s="63"/>
      <c r="J28464" s="63"/>
    </row>
    <row r="28465" spans="9:10" x14ac:dyDescent="0.35">
      <c r="I28465" s="63"/>
      <c r="J28465" s="63"/>
    </row>
    <row r="28466" spans="9:10" x14ac:dyDescent="0.35">
      <c r="I28466" s="63"/>
      <c r="J28466" s="63"/>
    </row>
    <row r="28467" spans="9:10" x14ac:dyDescent="0.35">
      <c r="I28467" s="63"/>
      <c r="J28467" s="63"/>
    </row>
    <row r="28468" spans="9:10" x14ac:dyDescent="0.35">
      <c r="I28468" s="63"/>
      <c r="J28468" s="63"/>
    </row>
    <row r="28469" spans="9:10" x14ac:dyDescent="0.35">
      <c r="I28469" s="63"/>
      <c r="J28469" s="63"/>
    </row>
    <row r="28470" spans="9:10" x14ac:dyDescent="0.35">
      <c r="I28470" s="63"/>
      <c r="J28470" s="63"/>
    </row>
    <row r="28471" spans="9:10" x14ac:dyDescent="0.35">
      <c r="I28471" s="63"/>
      <c r="J28471" s="63"/>
    </row>
    <row r="28472" spans="9:10" x14ac:dyDescent="0.35">
      <c r="I28472" s="63"/>
      <c r="J28472" s="63"/>
    </row>
    <row r="28473" spans="9:10" x14ac:dyDescent="0.35">
      <c r="I28473" s="63"/>
      <c r="J28473" s="63"/>
    </row>
    <row r="28474" spans="9:10" x14ac:dyDescent="0.35">
      <c r="I28474" s="63"/>
      <c r="J28474" s="63"/>
    </row>
    <row r="28475" spans="9:10" x14ac:dyDescent="0.35">
      <c r="I28475" s="63"/>
      <c r="J28475" s="63"/>
    </row>
    <row r="28476" spans="9:10" x14ac:dyDescent="0.35">
      <c r="I28476" s="63"/>
      <c r="J28476" s="63"/>
    </row>
    <row r="28477" spans="9:10" x14ac:dyDescent="0.35">
      <c r="I28477" s="63"/>
      <c r="J28477" s="63"/>
    </row>
    <row r="28478" spans="9:10" x14ac:dyDescent="0.35">
      <c r="I28478" s="63"/>
      <c r="J28478" s="63"/>
    </row>
    <row r="28479" spans="9:10" x14ac:dyDescent="0.35">
      <c r="I28479" s="63"/>
      <c r="J28479" s="63"/>
    </row>
    <row r="28480" spans="9:10" x14ac:dyDescent="0.35">
      <c r="I28480" s="63"/>
      <c r="J28480" s="63"/>
    </row>
    <row r="28481" spans="9:10" x14ac:dyDescent="0.35">
      <c r="I28481" s="63"/>
      <c r="J28481" s="63"/>
    </row>
    <row r="28482" spans="9:10" x14ac:dyDescent="0.35">
      <c r="I28482" s="63"/>
      <c r="J28482" s="63"/>
    </row>
    <row r="28483" spans="9:10" x14ac:dyDescent="0.35">
      <c r="I28483" s="63"/>
      <c r="J28483" s="63"/>
    </row>
    <row r="28484" spans="9:10" x14ac:dyDescent="0.35">
      <c r="I28484" s="63"/>
      <c r="J28484" s="63"/>
    </row>
    <row r="28485" spans="9:10" x14ac:dyDescent="0.35">
      <c r="I28485" s="63"/>
      <c r="J28485" s="63"/>
    </row>
    <row r="28486" spans="9:10" x14ac:dyDescent="0.35">
      <c r="I28486" s="63"/>
      <c r="J28486" s="63"/>
    </row>
    <row r="28487" spans="9:10" x14ac:dyDescent="0.35">
      <c r="I28487" s="63"/>
      <c r="J28487" s="63"/>
    </row>
    <row r="28488" spans="9:10" x14ac:dyDescent="0.35">
      <c r="I28488" s="63"/>
      <c r="J28488" s="63"/>
    </row>
    <row r="28489" spans="9:10" x14ac:dyDescent="0.35">
      <c r="I28489" s="63"/>
      <c r="J28489" s="63"/>
    </row>
    <row r="28490" spans="9:10" x14ac:dyDescent="0.35">
      <c r="I28490" s="63"/>
      <c r="J28490" s="63"/>
    </row>
    <row r="28491" spans="9:10" x14ac:dyDescent="0.35">
      <c r="I28491" s="63"/>
      <c r="J28491" s="63"/>
    </row>
    <row r="28492" spans="9:10" x14ac:dyDescent="0.35">
      <c r="I28492" s="63"/>
      <c r="J28492" s="63"/>
    </row>
    <row r="28493" spans="9:10" x14ac:dyDescent="0.35">
      <c r="I28493" s="63"/>
      <c r="J28493" s="63"/>
    </row>
    <row r="28494" spans="9:10" x14ac:dyDescent="0.35">
      <c r="I28494" s="63"/>
      <c r="J28494" s="63"/>
    </row>
    <row r="28495" spans="9:10" x14ac:dyDescent="0.35">
      <c r="I28495" s="63"/>
      <c r="J28495" s="63"/>
    </row>
    <row r="28496" spans="9:10" x14ac:dyDescent="0.35">
      <c r="I28496" s="63"/>
      <c r="J28496" s="63"/>
    </row>
    <row r="28497" spans="9:10" x14ac:dyDescent="0.35">
      <c r="I28497" s="63"/>
      <c r="J28497" s="63"/>
    </row>
    <row r="28498" spans="9:10" x14ac:dyDescent="0.35">
      <c r="I28498" s="63"/>
      <c r="J28498" s="63"/>
    </row>
    <row r="28499" spans="9:10" x14ac:dyDescent="0.35">
      <c r="I28499" s="63"/>
      <c r="J28499" s="63"/>
    </row>
    <row r="28500" spans="9:10" x14ac:dyDescent="0.35">
      <c r="I28500" s="63"/>
      <c r="J28500" s="63"/>
    </row>
    <row r="28501" spans="9:10" x14ac:dyDescent="0.35">
      <c r="I28501" s="63"/>
      <c r="J28501" s="63"/>
    </row>
    <row r="28502" spans="9:10" x14ac:dyDescent="0.35">
      <c r="I28502" s="63"/>
      <c r="J28502" s="63"/>
    </row>
    <row r="28503" spans="9:10" x14ac:dyDescent="0.35">
      <c r="I28503" s="63"/>
      <c r="J28503" s="63"/>
    </row>
    <row r="28504" spans="9:10" x14ac:dyDescent="0.35">
      <c r="I28504" s="63"/>
      <c r="J28504" s="63"/>
    </row>
    <row r="28505" spans="9:10" x14ac:dyDescent="0.35">
      <c r="I28505" s="63"/>
      <c r="J28505" s="63"/>
    </row>
    <row r="28506" spans="9:10" x14ac:dyDescent="0.35">
      <c r="I28506" s="63"/>
      <c r="J28506" s="63"/>
    </row>
    <row r="28507" spans="9:10" x14ac:dyDescent="0.35">
      <c r="I28507" s="63"/>
      <c r="J28507" s="63"/>
    </row>
    <row r="28508" spans="9:10" x14ac:dyDescent="0.35">
      <c r="I28508" s="63"/>
      <c r="J28508" s="63"/>
    </row>
    <row r="28509" spans="9:10" x14ac:dyDescent="0.35">
      <c r="I28509" s="63"/>
      <c r="J28509" s="63"/>
    </row>
    <row r="28510" spans="9:10" x14ac:dyDescent="0.35">
      <c r="I28510" s="63"/>
      <c r="J28510" s="63"/>
    </row>
    <row r="28511" spans="9:10" x14ac:dyDescent="0.35">
      <c r="I28511" s="63"/>
      <c r="J28511" s="63"/>
    </row>
    <row r="28512" spans="9:10" x14ac:dyDescent="0.35">
      <c r="I28512" s="63"/>
      <c r="J28512" s="63"/>
    </row>
    <row r="28513" spans="9:10" x14ac:dyDescent="0.35">
      <c r="I28513" s="63"/>
      <c r="J28513" s="63"/>
    </row>
    <row r="28514" spans="9:10" x14ac:dyDescent="0.35">
      <c r="I28514" s="63"/>
      <c r="J28514" s="63"/>
    </row>
    <row r="28515" spans="9:10" x14ac:dyDescent="0.35">
      <c r="I28515" s="63"/>
      <c r="J28515" s="63"/>
    </row>
    <row r="28516" spans="9:10" x14ac:dyDescent="0.35">
      <c r="I28516" s="63"/>
      <c r="J28516" s="63"/>
    </row>
    <row r="28517" spans="9:10" x14ac:dyDescent="0.35">
      <c r="I28517" s="63"/>
      <c r="J28517" s="63"/>
    </row>
    <row r="28518" spans="9:10" x14ac:dyDescent="0.35">
      <c r="I28518" s="63"/>
      <c r="J28518" s="63"/>
    </row>
    <row r="28519" spans="9:10" x14ac:dyDescent="0.35">
      <c r="I28519" s="63"/>
      <c r="J28519" s="63"/>
    </row>
    <row r="28520" spans="9:10" x14ac:dyDescent="0.35">
      <c r="I28520" s="63"/>
      <c r="J28520" s="63"/>
    </row>
    <row r="28521" spans="9:10" x14ac:dyDescent="0.35">
      <c r="I28521" s="63"/>
      <c r="J28521" s="63"/>
    </row>
    <row r="28522" spans="9:10" x14ac:dyDescent="0.35">
      <c r="I28522" s="63"/>
      <c r="J28522" s="63"/>
    </row>
    <row r="28523" spans="9:10" x14ac:dyDescent="0.35">
      <c r="I28523" s="63"/>
      <c r="J28523" s="63"/>
    </row>
    <row r="28524" spans="9:10" x14ac:dyDescent="0.35">
      <c r="I28524" s="63"/>
      <c r="J28524" s="63"/>
    </row>
    <row r="28525" spans="9:10" x14ac:dyDescent="0.35">
      <c r="I28525" s="63"/>
      <c r="J28525" s="63"/>
    </row>
    <row r="28526" spans="9:10" x14ac:dyDescent="0.35">
      <c r="I28526" s="63"/>
      <c r="J28526" s="63"/>
    </row>
    <row r="28527" spans="9:10" x14ac:dyDescent="0.35">
      <c r="I28527" s="63"/>
      <c r="J28527" s="63"/>
    </row>
    <row r="28528" spans="9:10" x14ac:dyDescent="0.35">
      <c r="I28528" s="63"/>
      <c r="J28528" s="63"/>
    </row>
    <row r="28529" spans="9:10" x14ac:dyDescent="0.35">
      <c r="I28529" s="63"/>
      <c r="J28529" s="63"/>
    </row>
    <row r="28530" spans="9:10" x14ac:dyDescent="0.35">
      <c r="I28530" s="63"/>
      <c r="J28530" s="63"/>
    </row>
    <row r="28531" spans="9:10" x14ac:dyDescent="0.35">
      <c r="I28531" s="63"/>
      <c r="J28531" s="63"/>
    </row>
    <row r="28532" spans="9:10" x14ac:dyDescent="0.35">
      <c r="I28532" s="63"/>
      <c r="J28532" s="63"/>
    </row>
    <row r="28533" spans="9:10" x14ac:dyDescent="0.35">
      <c r="I28533" s="63"/>
      <c r="J28533" s="63"/>
    </row>
    <row r="28534" spans="9:10" x14ac:dyDescent="0.35">
      <c r="I28534" s="63"/>
      <c r="J28534" s="63"/>
    </row>
    <row r="28535" spans="9:10" x14ac:dyDescent="0.35">
      <c r="I28535" s="63"/>
      <c r="J28535" s="63"/>
    </row>
    <row r="28536" spans="9:10" x14ac:dyDescent="0.35">
      <c r="I28536" s="63"/>
      <c r="J28536" s="63"/>
    </row>
    <row r="28537" spans="9:10" x14ac:dyDescent="0.35">
      <c r="I28537" s="63"/>
      <c r="J28537" s="63"/>
    </row>
    <row r="28538" spans="9:10" x14ac:dyDescent="0.35">
      <c r="I28538" s="63"/>
      <c r="J28538" s="63"/>
    </row>
    <row r="28539" spans="9:10" x14ac:dyDescent="0.35">
      <c r="I28539" s="63"/>
      <c r="J28539" s="63"/>
    </row>
    <row r="28540" spans="9:10" x14ac:dyDescent="0.35">
      <c r="I28540" s="63"/>
      <c r="J28540" s="63"/>
    </row>
    <row r="28541" spans="9:10" x14ac:dyDescent="0.35">
      <c r="I28541" s="63"/>
      <c r="J28541" s="63"/>
    </row>
    <row r="28542" spans="9:10" x14ac:dyDescent="0.35">
      <c r="I28542" s="63"/>
      <c r="J28542" s="63"/>
    </row>
    <row r="28543" spans="9:10" x14ac:dyDescent="0.35">
      <c r="I28543" s="63"/>
      <c r="J28543" s="63"/>
    </row>
    <row r="28544" spans="9:10" x14ac:dyDescent="0.35">
      <c r="I28544" s="63"/>
      <c r="J28544" s="63"/>
    </row>
    <row r="28545" spans="9:10" x14ac:dyDescent="0.35">
      <c r="I28545" s="63"/>
      <c r="J28545" s="63"/>
    </row>
    <row r="28546" spans="9:10" x14ac:dyDescent="0.35">
      <c r="I28546" s="63"/>
      <c r="J28546" s="63"/>
    </row>
    <row r="28547" spans="9:10" x14ac:dyDescent="0.35">
      <c r="I28547" s="63"/>
      <c r="J28547" s="63"/>
    </row>
    <row r="28548" spans="9:10" x14ac:dyDescent="0.35">
      <c r="I28548" s="63"/>
      <c r="J28548" s="63"/>
    </row>
    <row r="28549" spans="9:10" x14ac:dyDescent="0.35">
      <c r="I28549" s="63"/>
      <c r="J28549" s="63"/>
    </row>
    <row r="28550" spans="9:10" x14ac:dyDescent="0.35">
      <c r="I28550" s="63"/>
      <c r="J28550" s="63"/>
    </row>
    <row r="28551" spans="9:10" x14ac:dyDescent="0.35">
      <c r="I28551" s="63"/>
      <c r="J28551" s="63"/>
    </row>
    <row r="28552" spans="9:10" x14ac:dyDescent="0.35">
      <c r="I28552" s="63"/>
      <c r="J28552" s="63"/>
    </row>
    <row r="28553" spans="9:10" x14ac:dyDescent="0.35">
      <c r="I28553" s="63"/>
      <c r="J28553" s="63"/>
    </row>
    <row r="28554" spans="9:10" x14ac:dyDescent="0.35">
      <c r="I28554" s="63"/>
      <c r="J28554" s="63"/>
    </row>
    <row r="28555" spans="9:10" x14ac:dyDescent="0.35">
      <c r="I28555" s="63"/>
      <c r="J28555" s="63"/>
    </row>
    <row r="28556" spans="9:10" x14ac:dyDescent="0.35">
      <c r="I28556" s="63"/>
      <c r="J28556" s="63"/>
    </row>
    <row r="28557" spans="9:10" x14ac:dyDescent="0.35">
      <c r="I28557" s="63"/>
      <c r="J28557" s="63"/>
    </row>
    <row r="28558" spans="9:10" x14ac:dyDescent="0.35">
      <c r="I28558" s="63"/>
      <c r="J28558" s="63"/>
    </row>
    <row r="28559" spans="9:10" x14ac:dyDescent="0.35">
      <c r="I28559" s="63"/>
      <c r="J28559" s="63"/>
    </row>
    <row r="28560" spans="9:10" x14ac:dyDescent="0.35">
      <c r="I28560" s="63"/>
      <c r="J28560" s="63"/>
    </row>
    <row r="28561" spans="9:10" x14ac:dyDescent="0.35">
      <c r="I28561" s="63"/>
      <c r="J28561" s="63"/>
    </row>
    <row r="28562" spans="9:10" x14ac:dyDescent="0.35">
      <c r="I28562" s="63"/>
      <c r="J28562" s="63"/>
    </row>
    <row r="28563" spans="9:10" x14ac:dyDescent="0.35">
      <c r="I28563" s="63"/>
      <c r="J28563" s="63"/>
    </row>
    <row r="28564" spans="9:10" x14ac:dyDescent="0.35">
      <c r="I28564" s="63"/>
      <c r="J28564" s="63"/>
    </row>
    <row r="28565" spans="9:10" x14ac:dyDescent="0.35">
      <c r="I28565" s="63"/>
      <c r="J28565" s="63"/>
    </row>
    <row r="28566" spans="9:10" x14ac:dyDescent="0.35">
      <c r="I28566" s="63"/>
      <c r="J28566" s="63"/>
    </row>
    <row r="28567" spans="9:10" x14ac:dyDescent="0.35">
      <c r="I28567" s="63"/>
      <c r="J28567" s="63"/>
    </row>
    <row r="28568" spans="9:10" x14ac:dyDescent="0.35">
      <c r="I28568" s="63"/>
      <c r="J28568" s="63"/>
    </row>
    <row r="28569" spans="9:10" x14ac:dyDescent="0.35">
      <c r="I28569" s="63"/>
      <c r="J28569" s="63"/>
    </row>
    <row r="28570" spans="9:10" x14ac:dyDescent="0.35">
      <c r="I28570" s="63"/>
      <c r="J28570" s="63"/>
    </row>
    <row r="28571" spans="9:10" x14ac:dyDescent="0.35">
      <c r="I28571" s="63"/>
      <c r="J28571" s="63"/>
    </row>
    <row r="28572" spans="9:10" x14ac:dyDescent="0.35">
      <c r="I28572" s="63"/>
      <c r="J28572" s="63"/>
    </row>
    <row r="28573" spans="9:10" x14ac:dyDescent="0.35">
      <c r="I28573" s="63"/>
      <c r="J28573" s="63"/>
    </row>
    <row r="28574" spans="9:10" x14ac:dyDescent="0.35">
      <c r="I28574" s="63"/>
      <c r="J28574" s="63"/>
    </row>
    <row r="28575" spans="9:10" x14ac:dyDescent="0.35">
      <c r="I28575" s="63"/>
      <c r="J28575" s="63"/>
    </row>
    <row r="28576" spans="9:10" x14ac:dyDescent="0.35">
      <c r="I28576" s="63"/>
      <c r="J28576" s="63"/>
    </row>
    <row r="28577" spans="9:10" x14ac:dyDescent="0.35">
      <c r="I28577" s="63"/>
      <c r="J28577" s="63"/>
    </row>
    <row r="28578" spans="9:10" x14ac:dyDescent="0.35">
      <c r="I28578" s="63"/>
      <c r="J28578" s="63"/>
    </row>
    <row r="28579" spans="9:10" x14ac:dyDescent="0.35">
      <c r="I28579" s="63"/>
      <c r="J28579" s="63"/>
    </row>
    <row r="28580" spans="9:10" x14ac:dyDescent="0.35">
      <c r="I28580" s="63"/>
      <c r="J28580" s="63"/>
    </row>
    <row r="28581" spans="9:10" x14ac:dyDescent="0.35">
      <c r="I28581" s="63"/>
      <c r="J28581" s="63"/>
    </row>
    <row r="28582" spans="9:10" x14ac:dyDescent="0.35">
      <c r="I28582" s="63"/>
      <c r="J28582" s="63"/>
    </row>
    <row r="28583" spans="9:10" x14ac:dyDescent="0.35">
      <c r="I28583" s="63"/>
      <c r="J28583" s="63"/>
    </row>
    <row r="28584" spans="9:10" x14ac:dyDescent="0.35">
      <c r="I28584" s="63"/>
      <c r="J28584" s="63"/>
    </row>
    <row r="28585" spans="9:10" x14ac:dyDescent="0.35">
      <c r="I28585" s="63"/>
      <c r="J28585" s="63"/>
    </row>
    <row r="28586" spans="9:10" x14ac:dyDescent="0.35">
      <c r="I28586" s="63"/>
      <c r="J28586" s="63"/>
    </row>
    <row r="28587" spans="9:10" x14ac:dyDescent="0.35">
      <c r="I28587" s="63"/>
      <c r="J28587" s="63"/>
    </row>
    <row r="28588" spans="9:10" x14ac:dyDescent="0.35">
      <c r="I28588" s="63"/>
      <c r="J28588" s="63"/>
    </row>
    <row r="28589" spans="9:10" x14ac:dyDescent="0.35">
      <c r="I28589" s="63"/>
      <c r="J28589" s="63"/>
    </row>
    <row r="28590" spans="9:10" x14ac:dyDescent="0.35">
      <c r="I28590" s="63"/>
      <c r="J28590" s="63"/>
    </row>
    <row r="28591" spans="9:10" x14ac:dyDescent="0.35">
      <c r="I28591" s="63"/>
      <c r="J28591" s="63"/>
    </row>
    <row r="28592" spans="9:10" x14ac:dyDescent="0.35">
      <c r="I28592" s="63"/>
      <c r="J28592" s="63"/>
    </row>
    <row r="28593" spans="9:10" x14ac:dyDescent="0.35">
      <c r="I28593" s="63"/>
      <c r="J28593" s="63"/>
    </row>
    <row r="28594" spans="9:10" x14ac:dyDescent="0.35">
      <c r="I28594" s="63"/>
      <c r="J28594" s="63"/>
    </row>
    <row r="28595" spans="9:10" x14ac:dyDescent="0.35">
      <c r="I28595" s="63"/>
      <c r="J28595" s="63"/>
    </row>
    <row r="28596" spans="9:10" x14ac:dyDescent="0.35">
      <c r="I28596" s="63"/>
      <c r="J28596" s="63"/>
    </row>
    <row r="28597" spans="9:10" x14ac:dyDescent="0.35">
      <c r="I28597" s="63"/>
      <c r="J28597" s="63"/>
    </row>
    <row r="28598" spans="9:10" x14ac:dyDescent="0.35">
      <c r="I28598" s="63"/>
      <c r="J28598" s="63"/>
    </row>
    <row r="28599" spans="9:10" x14ac:dyDescent="0.35">
      <c r="I28599" s="63"/>
      <c r="J28599" s="63"/>
    </row>
    <row r="28600" spans="9:10" x14ac:dyDescent="0.35">
      <c r="I28600" s="63"/>
      <c r="J28600" s="63"/>
    </row>
    <row r="28601" spans="9:10" x14ac:dyDescent="0.35">
      <c r="I28601" s="63"/>
      <c r="J28601" s="63"/>
    </row>
    <row r="28602" spans="9:10" x14ac:dyDescent="0.35">
      <c r="I28602" s="63"/>
      <c r="J28602" s="63"/>
    </row>
    <row r="28603" spans="9:10" x14ac:dyDescent="0.35">
      <c r="I28603" s="63"/>
      <c r="J28603" s="63"/>
    </row>
    <row r="28604" spans="9:10" x14ac:dyDescent="0.35">
      <c r="I28604" s="63"/>
      <c r="J28604" s="63"/>
    </row>
    <row r="28605" spans="9:10" x14ac:dyDescent="0.35">
      <c r="I28605" s="63"/>
      <c r="J28605" s="63"/>
    </row>
    <row r="28606" spans="9:10" x14ac:dyDescent="0.35">
      <c r="I28606" s="63"/>
      <c r="J28606" s="63"/>
    </row>
    <row r="28607" spans="9:10" x14ac:dyDescent="0.35">
      <c r="I28607" s="63"/>
      <c r="J28607" s="63"/>
    </row>
    <row r="28608" spans="9:10" x14ac:dyDescent="0.35">
      <c r="I28608" s="63"/>
      <c r="J28608" s="63"/>
    </row>
    <row r="28609" spans="9:10" x14ac:dyDescent="0.35">
      <c r="I28609" s="63"/>
      <c r="J28609" s="63"/>
    </row>
    <row r="28610" spans="9:10" x14ac:dyDescent="0.35">
      <c r="I28610" s="63"/>
      <c r="J28610" s="63"/>
    </row>
    <row r="28611" spans="9:10" x14ac:dyDescent="0.35">
      <c r="I28611" s="63"/>
      <c r="J28611" s="63"/>
    </row>
    <row r="28612" spans="9:10" x14ac:dyDescent="0.35">
      <c r="I28612" s="63"/>
      <c r="J28612" s="63"/>
    </row>
    <row r="28613" spans="9:10" x14ac:dyDescent="0.35">
      <c r="I28613" s="63"/>
      <c r="J28613" s="63"/>
    </row>
    <row r="28614" spans="9:10" x14ac:dyDescent="0.35">
      <c r="I28614" s="63"/>
      <c r="J28614" s="63"/>
    </row>
    <row r="28615" spans="9:10" x14ac:dyDescent="0.35">
      <c r="I28615" s="63"/>
      <c r="J28615" s="63"/>
    </row>
    <row r="28616" spans="9:10" x14ac:dyDescent="0.35">
      <c r="I28616" s="63"/>
      <c r="J28616" s="63"/>
    </row>
    <row r="28617" spans="9:10" x14ac:dyDescent="0.35">
      <c r="I28617" s="63"/>
      <c r="J28617" s="63"/>
    </row>
    <row r="28618" spans="9:10" x14ac:dyDescent="0.35">
      <c r="I28618" s="63"/>
      <c r="J28618" s="63"/>
    </row>
    <row r="28619" spans="9:10" x14ac:dyDescent="0.35">
      <c r="I28619" s="63"/>
      <c r="J28619" s="63"/>
    </row>
    <row r="28620" spans="9:10" x14ac:dyDescent="0.35">
      <c r="I28620" s="63"/>
      <c r="J28620" s="63"/>
    </row>
    <row r="28621" spans="9:10" x14ac:dyDescent="0.35">
      <c r="I28621" s="63"/>
      <c r="J28621" s="63"/>
    </row>
    <row r="28622" spans="9:10" x14ac:dyDescent="0.35">
      <c r="I28622" s="63"/>
      <c r="J28622" s="63"/>
    </row>
    <row r="28623" spans="9:10" x14ac:dyDescent="0.35">
      <c r="I28623" s="63"/>
      <c r="J28623" s="63"/>
    </row>
    <row r="28624" spans="9:10" x14ac:dyDescent="0.35">
      <c r="I28624" s="63"/>
      <c r="J28624" s="63"/>
    </row>
    <row r="28625" spans="9:10" x14ac:dyDescent="0.35">
      <c r="I28625" s="63"/>
      <c r="J28625" s="63"/>
    </row>
    <row r="28626" spans="9:10" x14ac:dyDescent="0.35">
      <c r="I28626" s="63"/>
      <c r="J28626" s="63"/>
    </row>
    <row r="28627" spans="9:10" x14ac:dyDescent="0.35">
      <c r="I28627" s="63"/>
      <c r="J28627" s="63"/>
    </row>
    <row r="28628" spans="9:10" x14ac:dyDescent="0.35">
      <c r="I28628" s="63"/>
      <c r="J28628" s="63"/>
    </row>
    <row r="28629" spans="9:10" x14ac:dyDescent="0.35">
      <c r="I28629" s="63"/>
      <c r="J28629" s="63"/>
    </row>
    <row r="28630" spans="9:10" x14ac:dyDescent="0.35">
      <c r="I28630" s="63"/>
      <c r="J28630" s="63"/>
    </row>
    <row r="28631" spans="9:10" x14ac:dyDescent="0.35">
      <c r="I28631" s="63"/>
      <c r="J28631" s="63"/>
    </row>
    <row r="28632" spans="9:10" x14ac:dyDescent="0.35">
      <c r="I28632" s="63"/>
      <c r="J28632" s="63"/>
    </row>
    <row r="28633" spans="9:10" x14ac:dyDescent="0.35">
      <c r="I28633" s="63"/>
      <c r="J28633" s="63"/>
    </row>
    <row r="28634" spans="9:10" x14ac:dyDescent="0.35">
      <c r="I28634" s="63"/>
      <c r="J28634" s="63"/>
    </row>
    <row r="28635" spans="9:10" x14ac:dyDescent="0.35">
      <c r="I28635" s="63"/>
      <c r="J28635" s="63"/>
    </row>
    <row r="28636" spans="9:10" x14ac:dyDescent="0.35">
      <c r="I28636" s="63"/>
      <c r="J28636" s="63"/>
    </row>
    <row r="28637" spans="9:10" x14ac:dyDescent="0.35">
      <c r="I28637" s="63"/>
      <c r="J28637" s="63"/>
    </row>
    <row r="28638" spans="9:10" x14ac:dyDescent="0.35">
      <c r="I28638" s="63"/>
      <c r="J28638" s="63"/>
    </row>
    <row r="28639" spans="9:10" x14ac:dyDescent="0.35">
      <c r="I28639" s="63"/>
      <c r="J28639" s="63"/>
    </row>
    <row r="28640" spans="9:10" x14ac:dyDescent="0.35">
      <c r="I28640" s="63"/>
      <c r="J28640" s="63"/>
    </row>
    <row r="28641" spans="9:10" x14ac:dyDescent="0.35">
      <c r="I28641" s="63"/>
      <c r="J28641" s="63"/>
    </row>
    <row r="28642" spans="9:10" x14ac:dyDescent="0.35">
      <c r="I28642" s="63"/>
      <c r="J28642" s="63"/>
    </row>
    <row r="28643" spans="9:10" x14ac:dyDescent="0.35">
      <c r="I28643" s="63"/>
      <c r="J28643" s="63"/>
    </row>
    <row r="28644" spans="9:10" x14ac:dyDescent="0.35">
      <c r="I28644" s="63"/>
      <c r="J28644" s="63"/>
    </row>
    <row r="28645" spans="9:10" x14ac:dyDescent="0.35">
      <c r="I28645" s="63"/>
      <c r="J28645" s="63"/>
    </row>
    <row r="28646" spans="9:10" x14ac:dyDescent="0.35">
      <c r="I28646" s="63"/>
      <c r="J28646" s="63"/>
    </row>
    <row r="28647" spans="9:10" x14ac:dyDescent="0.35">
      <c r="I28647" s="63"/>
      <c r="J28647" s="63"/>
    </row>
    <row r="28648" spans="9:10" x14ac:dyDescent="0.35">
      <c r="I28648" s="63"/>
      <c r="J28648" s="63"/>
    </row>
    <row r="28649" spans="9:10" x14ac:dyDescent="0.35">
      <c r="I28649" s="63"/>
      <c r="J28649" s="63"/>
    </row>
    <row r="28650" spans="9:10" x14ac:dyDescent="0.35">
      <c r="I28650" s="63"/>
      <c r="J28650" s="63"/>
    </row>
    <row r="28651" spans="9:10" x14ac:dyDescent="0.35">
      <c r="I28651" s="63"/>
      <c r="J28651" s="63"/>
    </row>
    <row r="28652" spans="9:10" x14ac:dyDescent="0.35">
      <c r="I28652" s="63"/>
      <c r="J28652" s="63"/>
    </row>
    <row r="28653" spans="9:10" x14ac:dyDescent="0.35">
      <c r="I28653" s="63"/>
      <c r="J28653" s="63"/>
    </row>
    <row r="28654" spans="9:10" x14ac:dyDescent="0.35">
      <c r="I28654" s="63"/>
      <c r="J28654" s="63"/>
    </row>
    <row r="28655" spans="9:10" x14ac:dyDescent="0.35">
      <c r="I28655" s="63"/>
      <c r="J28655" s="63"/>
    </row>
    <row r="28656" spans="9:10" x14ac:dyDescent="0.35">
      <c r="I28656" s="63"/>
      <c r="J28656" s="63"/>
    </row>
    <row r="28657" spans="9:10" x14ac:dyDescent="0.35">
      <c r="I28657" s="63"/>
      <c r="J28657" s="63"/>
    </row>
    <row r="28658" spans="9:10" x14ac:dyDescent="0.35">
      <c r="I28658" s="63"/>
      <c r="J28658" s="63"/>
    </row>
    <row r="28659" spans="9:10" x14ac:dyDescent="0.35">
      <c r="I28659" s="63"/>
      <c r="J28659" s="63"/>
    </row>
    <row r="28660" spans="9:10" x14ac:dyDescent="0.35">
      <c r="I28660" s="63"/>
      <c r="J28660" s="63"/>
    </row>
    <row r="28661" spans="9:10" x14ac:dyDescent="0.35">
      <c r="I28661" s="63"/>
      <c r="J28661" s="63"/>
    </row>
    <row r="28662" spans="9:10" x14ac:dyDescent="0.35">
      <c r="I28662" s="63"/>
      <c r="J28662" s="63"/>
    </row>
    <row r="28663" spans="9:10" x14ac:dyDescent="0.35">
      <c r="I28663" s="63"/>
      <c r="J28663" s="63"/>
    </row>
    <row r="28664" spans="9:10" x14ac:dyDescent="0.35">
      <c r="I28664" s="63"/>
      <c r="J28664" s="63"/>
    </row>
    <row r="28665" spans="9:10" x14ac:dyDescent="0.35">
      <c r="I28665" s="63"/>
      <c r="J28665" s="63"/>
    </row>
    <row r="28666" spans="9:10" x14ac:dyDescent="0.35">
      <c r="I28666" s="63"/>
      <c r="J28666" s="63"/>
    </row>
    <row r="28667" spans="9:10" x14ac:dyDescent="0.35">
      <c r="I28667" s="63"/>
      <c r="J28667" s="63"/>
    </row>
    <row r="28668" spans="9:10" x14ac:dyDescent="0.35">
      <c r="I28668" s="63"/>
      <c r="J28668" s="63"/>
    </row>
    <row r="28669" spans="9:10" x14ac:dyDescent="0.35">
      <c r="I28669" s="63"/>
      <c r="J28669" s="63"/>
    </row>
    <row r="28670" spans="9:10" x14ac:dyDescent="0.35">
      <c r="I28670" s="63"/>
      <c r="J28670" s="63"/>
    </row>
    <row r="28671" spans="9:10" x14ac:dyDescent="0.35">
      <c r="I28671" s="63"/>
      <c r="J28671" s="63"/>
    </row>
    <row r="28672" spans="9:10" x14ac:dyDescent="0.35">
      <c r="I28672" s="63"/>
      <c r="J28672" s="63"/>
    </row>
    <row r="28673" spans="9:10" x14ac:dyDescent="0.35">
      <c r="I28673" s="63"/>
      <c r="J28673" s="63"/>
    </row>
    <row r="28674" spans="9:10" x14ac:dyDescent="0.35">
      <c r="I28674" s="63"/>
      <c r="J28674" s="63"/>
    </row>
    <row r="28675" spans="9:10" x14ac:dyDescent="0.35">
      <c r="I28675" s="63"/>
      <c r="J28675" s="63"/>
    </row>
    <row r="28676" spans="9:10" x14ac:dyDescent="0.35">
      <c r="I28676" s="63"/>
      <c r="J28676" s="63"/>
    </row>
    <row r="28677" spans="9:10" x14ac:dyDescent="0.35">
      <c r="I28677" s="63"/>
      <c r="J28677" s="63"/>
    </row>
    <row r="28678" spans="9:10" x14ac:dyDescent="0.35">
      <c r="I28678" s="63"/>
      <c r="J28678" s="63"/>
    </row>
    <row r="28679" spans="9:10" x14ac:dyDescent="0.35">
      <c r="I28679" s="63"/>
      <c r="J28679" s="63"/>
    </row>
    <row r="28680" spans="9:10" x14ac:dyDescent="0.35">
      <c r="I28680" s="63"/>
      <c r="J28680" s="63"/>
    </row>
    <row r="28681" spans="9:10" x14ac:dyDescent="0.35">
      <c r="I28681" s="63"/>
      <c r="J28681" s="63"/>
    </row>
    <row r="28682" spans="9:10" x14ac:dyDescent="0.35">
      <c r="I28682" s="63"/>
      <c r="J28682" s="63"/>
    </row>
    <row r="28683" spans="9:10" x14ac:dyDescent="0.35">
      <c r="I28683" s="63"/>
      <c r="J28683" s="63"/>
    </row>
    <row r="28684" spans="9:10" x14ac:dyDescent="0.35">
      <c r="I28684" s="63"/>
      <c r="J28684" s="63"/>
    </row>
    <row r="28685" spans="9:10" x14ac:dyDescent="0.35">
      <c r="I28685" s="63"/>
      <c r="J28685" s="63"/>
    </row>
    <row r="28686" spans="9:10" x14ac:dyDescent="0.35">
      <c r="I28686" s="63"/>
      <c r="J28686" s="63"/>
    </row>
    <row r="28687" spans="9:10" x14ac:dyDescent="0.35">
      <c r="I28687" s="63"/>
      <c r="J28687" s="63"/>
    </row>
    <row r="28688" spans="9:10" x14ac:dyDescent="0.35">
      <c r="I28688" s="63"/>
      <c r="J28688" s="63"/>
    </row>
    <row r="28689" spans="9:10" x14ac:dyDescent="0.35">
      <c r="I28689" s="63"/>
      <c r="J28689" s="63"/>
    </row>
    <row r="28690" spans="9:10" x14ac:dyDescent="0.35">
      <c r="I28690" s="63"/>
      <c r="J28690" s="63"/>
    </row>
    <row r="28691" spans="9:10" x14ac:dyDescent="0.35">
      <c r="I28691" s="63"/>
      <c r="J28691" s="63"/>
    </row>
    <row r="28692" spans="9:10" x14ac:dyDescent="0.35">
      <c r="I28692" s="63"/>
      <c r="J28692" s="63"/>
    </row>
    <row r="28693" spans="9:10" x14ac:dyDescent="0.35">
      <c r="I28693" s="63"/>
      <c r="J28693" s="63"/>
    </row>
    <row r="28694" spans="9:10" x14ac:dyDescent="0.35">
      <c r="I28694" s="63"/>
      <c r="J28694" s="63"/>
    </row>
    <row r="28695" spans="9:10" x14ac:dyDescent="0.35">
      <c r="I28695" s="63"/>
      <c r="J28695" s="63"/>
    </row>
    <row r="28696" spans="9:10" x14ac:dyDescent="0.35">
      <c r="I28696" s="63"/>
      <c r="J28696" s="63"/>
    </row>
    <row r="28697" spans="9:10" x14ac:dyDescent="0.35">
      <c r="I28697" s="63"/>
      <c r="J28697" s="63"/>
    </row>
    <row r="28698" spans="9:10" x14ac:dyDescent="0.35">
      <c r="I28698" s="63"/>
      <c r="J28698" s="63"/>
    </row>
    <row r="28699" spans="9:10" x14ac:dyDescent="0.35">
      <c r="I28699" s="63"/>
      <c r="J28699" s="63"/>
    </row>
    <row r="28700" spans="9:10" x14ac:dyDescent="0.35">
      <c r="I28700" s="63"/>
      <c r="J28700" s="63"/>
    </row>
    <row r="28701" spans="9:10" x14ac:dyDescent="0.35">
      <c r="I28701" s="63"/>
      <c r="J28701" s="63"/>
    </row>
    <row r="28702" spans="9:10" x14ac:dyDescent="0.35">
      <c r="I28702" s="63"/>
      <c r="J28702" s="63"/>
    </row>
    <row r="28703" spans="9:10" x14ac:dyDescent="0.35">
      <c r="I28703" s="63"/>
      <c r="J28703" s="63"/>
    </row>
    <row r="28704" spans="9:10" x14ac:dyDescent="0.35">
      <c r="I28704" s="63"/>
      <c r="J28704" s="63"/>
    </row>
    <row r="28705" spans="9:10" x14ac:dyDescent="0.35">
      <c r="I28705" s="63"/>
      <c r="J28705" s="63"/>
    </row>
    <row r="28706" spans="9:10" x14ac:dyDescent="0.35">
      <c r="I28706" s="63"/>
      <c r="J28706" s="63"/>
    </row>
    <row r="28707" spans="9:10" x14ac:dyDescent="0.35">
      <c r="I28707" s="63"/>
      <c r="J28707" s="63"/>
    </row>
    <row r="28708" spans="9:10" x14ac:dyDescent="0.35">
      <c r="I28708" s="63"/>
      <c r="J28708" s="63"/>
    </row>
    <row r="28709" spans="9:10" x14ac:dyDescent="0.35">
      <c r="I28709" s="63"/>
      <c r="J28709" s="63"/>
    </row>
    <row r="28710" spans="9:10" x14ac:dyDescent="0.35">
      <c r="I28710" s="63"/>
      <c r="J28710" s="63"/>
    </row>
    <row r="28711" spans="9:10" x14ac:dyDescent="0.35">
      <c r="I28711" s="63"/>
      <c r="J28711" s="63"/>
    </row>
    <row r="28712" spans="9:10" x14ac:dyDescent="0.35">
      <c r="I28712" s="63"/>
      <c r="J28712" s="63"/>
    </row>
    <row r="28713" spans="9:10" x14ac:dyDescent="0.35">
      <c r="I28713" s="63"/>
      <c r="J28713" s="63"/>
    </row>
    <row r="28714" spans="9:10" x14ac:dyDescent="0.35">
      <c r="I28714" s="63"/>
      <c r="J28714" s="63"/>
    </row>
    <row r="28715" spans="9:10" x14ac:dyDescent="0.35">
      <c r="I28715" s="63"/>
      <c r="J28715" s="63"/>
    </row>
    <row r="28716" spans="9:10" x14ac:dyDescent="0.35">
      <c r="I28716" s="63"/>
      <c r="J28716" s="63"/>
    </row>
    <row r="28717" spans="9:10" x14ac:dyDescent="0.35">
      <c r="I28717" s="63"/>
      <c r="J28717" s="63"/>
    </row>
    <row r="28718" spans="9:10" x14ac:dyDescent="0.35">
      <c r="I28718" s="63"/>
      <c r="J28718" s="63"/>
    </row>
    <row r="28719" spans="9:10" x14ac:dyDescent="0.35">
      <c r="I28719" s="63"/>
      <c r="J28719" s="63"/>
    </row>
    <row r="28720" spans="9:10" x14ac:dyDescent="0.35">
      <c r="I28720" s="63"/>
      <c r="J28720" s="63"/>
    </row>
    <row r="28721" spans="9:10" x14ac:dyDescent="0.35">
      <c r="I28721" s="63"/>
      <c r="J28721" s="63"/>
    </row>
    <row r="28722" spans="9:10" x14ac:dyDescent="0.35">
      <c r="I28722" s="63"/>
      <c r="J28722" s="63"/>
    </row>
    <row r="28723" spans="9:10" x14ac:dyDescent="0.35">
      <c r="I28723" s="63"/>
      <c r="J28723" s="63"/>
    </row>
    <row r="28724" spans="9:10" x14ac:dyDescent="0.35">
      <c r="I28724" s="63"/>
      <c r="J28724" s="63"/>
    </row>
    <row r="28725" spans="9:10" x14ac:dyDescent="0.35">
      <c r="I28725" s="63"/>
      <c r="J28725" s="63"/>
    </row>
    <row r="28726" spans="9:10" x14ac:dyDescent="0.35">
      <c r="I28726" s="63"/>
      <c r="J28726" s="63"/>
    </row>
    <row r="28727" spans="9:10" x14ac:dyDescent="0.35">
      <c r="I28727" s="63"/>
      <c r="J28727" s="63"/>
    </row>
    <row r="28728" spans="9:10" x14ac:dyDescent="0.35">
      <c r="I28728" s="63"/>
      <c r="J28728" s="63"/>
    </row>
    <row r="28729" spans="9:10" x14ac:dyDescent="0.35">
      <c r="I28729" s="63"/>
      <c r="J28729" s="63"/>
    </row>
    <row r="28730" spans="9:10" x14ac:dyDescent="0.35">
      <c r="I28730" s="63"/>
      <c r="J28730" s="63"/>
    </row>
    <row r="28731" spans="9:10" x14ac:dyDescent="0.35">
      <c r="I28731" s="63"/>
      <c r="J28731" s="63"/>
    </row>
    <row r="28732" spans="9:10" x14ac:dyDescent="0.35">
      <c r="I28732" s="63"/>
      <c r="J28732" s="63"/>
    </row>
    <row r="28733" spans="9:10" x14ac:dyDescent="0.35">
      <c r="I28733" s="63"/>
      <c r="J28733" s="63"/>
    </row>
    <row r="28734" spans="9:10" x14ac:dyDescent="0.35">
      <c r="I28734" s="63"/>
      <c r="J28734" s="63"/>
    </row>
    <row r="28735" spans="9:10" x14ac:dyDescent="0.35">
      <c r="I28735" s="63"/>
      <c r="J28735" s="63"/>
    </row>
    <row r="28736" spans="9:10" x14ac:dyDescent="0.35">
      <c r="I28736" s="63"/>
      <c r="J28736" s="63"/>
    </row>
    <row r="28737" spans="9:10" x14ac:dyDescent="0.35">
      <c r="I28737" s="63"/>
      <c r="J28737" s="63"/>
    </row>
    <row r="28738" spans="9:10" x14ac:dyDescent="0.35">
      <c r="I28738" s="63"/>
      <c r="J28738" s="63"/>
    </row>
    <row r="28739" spans="9:10" x14ac:dyDescent="0.35">
      <c r="I28739" s="63"/>
      <c r="J28739" s="63"/>
    </row>
    <row r="28740" spans="9:10" x14ac:dyDescent="0.35">
      <c r="I28740" s="63"/>
      <c r="J28740" s="63"/>
    </row>
    <row r="28741" spans="9:10" x14ac:dyDescent="0.35">
      <c r="I28741" s="63"/>
      <c r="J28741" s="63"/>
    </row>
    <row r="28742" spans="9:10" x14ac:dyDescent="0.35">
      <c r="I28742" s="63"/>
      <c r="J28742" s="63"/>
    </row>
    <row r="28743" spans="9:10" x14ac:dyDescent="0.35">
      <c r="I28743" s="63"/>
      <c r="J28743" s="63"/>
    </row>
    <row r="28744" spans="9:10" x14ac:dyDescent="0.35">
      <c r="I28744" s="63"/>
      <c r="J28744" s="63"/>
    </row>
    <row r="28745" spans="9:10" x14ac:dyDescent="0.35">
      <c r="I28745" s="63"/>
      <c r="J28745" s="63"/>
    </row>
    <row r="28746" spans="9:10" x14ac:dyDescent="0.35">
      <c r="I28746" s="63"/>
      <c r="J28746" s="63"/>
    </row>
    <row r="28747" spans="9:10" x14ac:dyDescent="0.35">
      <c r="I28747" s="63"/>
      <c r="J28747" s="63"/>
    </row>
    <row r="28748" spans="9:10" x14ac:dyDescent="0.35">
      <c r="I28748" s="63"/>
      <c r="J28748" s="63"/>
    </row>
    <row r="28749" spans="9:10" x14ac:dyDescent="0.35">
      <c r="I28749" s="63"/>
      <c r="J28749" s="63"/>
    </row>
    <row r="28750" spans="9:10" x14ac:dyDescent="0.35">
      <c r="I28750" s="63"/>
      <c r="J28750" s="63"/>
    </row>
    <row r="28751" spans="9:10" x14ac:dyDescent="0.35">
      <c r="I28751" s="63"/>
      <c r="J28751" s="63"/>
    </row>
    <row r="28752" spans="9:10" x14ac:dyDescent="0.35">
      <c r="I28752" s="63"/>
      <c r="J28752" s="63"/>
    </row>
    <row r="28753" spans="9:10" x14ac:dyDescent="0.35">
      <c r="I28753" s="63"/>
      <c r="J28753" s="63"/>
    </row>
    <row r="28754" spans="9:10" x14ac:dyDescent="0.35">
      <c r="I28754" s="63"/>
      <c r="J28754" s="63"/>
    </row>
    <row r="28755" spans="9:10" x14ac:dyDescent="0.35">
      <c r="I28755" s="63"/>
      <c r="J28755" s="63"/>
    </row>
    <row r="28756" spans="9:10" x14ac:dyDescent="0.35">
      <c r="I28756" s="63"/>
      <c r="J28756" s="63"/>
    </row>
    <row r="28757" spans="9:10" x14ac:dyDescent="0.35">
      <c r="I28757" s="63"/>
      <c r="J28757" s="63"/>
    </row>
    <row r="28758" spans="9:10" x14ac:dyDescent="0.35">
      <c r="I28758" s="63"/>
      <c r="J28758" s="63"/>
    </row>
    <row r="28759" spans="9:10" x14ac:dyDescent="0.35">
      <c r="I28759" s="63"/>
      <c r="J28759" s="63"/>
    </row>
    <row r="28760" spans="9:10" x14ac:dyDescent="0.35">
      <c r="I28760" s="63"/>
      <c r="J28760" s="63"/>
    </row>
    <row r="28761" spans="9:10" x14ac:dyDescent="0.35">
      <c r="I28761" s="63"/>
      <c r="J28761" s="63"/>
    </row>
    <row r="28762" spans="9:10" x14ac:dyDescent="0.35">
      <c r="I28762" s="63"/>
      <c r="J28762" s="63"/>
    </row>
    <row r="28763" spans="9:10" x14ac:dyDescent="0.35">
      <c r="I28763" s="63"/>
      <c r="J28763" s="63"/>
    </row>
    <row r="28764" spans="9:10" x14ac:dyDescent="0.35">
      <c r="I28764" s="63"/>
      <c r="J28764" s="63"/>
    </row>
    <row r="28765" spans="9:10" x14ac:dyDescent="0.35">
      <c r="I28765" s="63"/>
      <c r="J28765" s="63"/>
    </row>
    <row r="28766" spans="9:10" x14ac:dyDescent="0.35">
      <c r="I28766" s="63"/>
      <c r="J28766" s="63"/>
    </row>
    <row r="28767" spans="9:10" x14ac:dyDescent="0.35">
      <c r="I28767" s="63"/>
      <c r="J28767" s="63"/>
    </row>
    <row r="28768" spans="9:10" x14ac:dyDescent="0.35">
      <c r="I28768" s="63"/>
      <c r="J28768" s="63"/>
    </row>
    <row r="28769" spans="9:10" x14ac:dyDescent="0.35">
      <c r="I28769" s="63"/>
      <c r="J28769" s="63"/>
    </row>
    <row r="28770" spans="9:10" x14ac:dyDescent="0.35">
      <c r="I28770" s="63"/>
      <c r="J28770" s="63"/>
    </row>
    <row r="28771" spans="9:10" x14ac:dyDescent="0.35">
      <c r="I28771" s="63"/>
      <c r="J28771" s="63"/>
    </row>
    <row r="28772" spans="9:10" x14ac:dyDescent="0.35">
      <c r="I28772" s="63"/>
      <c r="J28772" s="63"/>
    </row>
    <row r="28773" spans="9:10" x14ac:dyDescent="0.35">
      <c r="I28773" s="63"/>
      <c r="J28773" s="63"/>
    </row>
    <row r="28774" spans="9:10" x14ac:dyDescent="0.35">
      <c r="I28774" s="63"/>
      <c r="J28774" s="63"/>
    </row>
    <row r="28775" spans="9:10" x14ac:dyDescent="0.35">
      <c r="I28775" s="63"/>
      <c r="J28775" s="63"/>
    </row>
    <row r="28776" spans="9:10" x14ac:dyDescent="0.35">
      <c r="I28776" s="63"/>
      <c r="J28776" s="63"/>
    </row>
    <row r="28777" spans="9:10" x14ac:dyDescent="0.35">
      <c r="I28777" s="63"/>
      <c r="J28777" s="63"/>
    </row>
    <row r="28778" spans="9:10" x14ac:dyDescent="0.35">
      <c r="I28778" s="63"/>
      <c r="J28778" s="63"/>
    </row>
    <row r="28779" spans="9:10" x14ac:dyDescent="0.35">
      <c r="I28779" s="63"/>
      <c r="J28779" s="63"/>
    </row>
    <row r="28780" spans="9:10" x14ac:dyDescent="0.35">
      <c r="I28780" s="63"/>
      <c r="J28780" s="63"/>
    </row>
    <row r="28781" spans="9:10" x14ac:dyDescent="0.35">
      <c r="I28781" s="63"/>
      <c r="J28781" s="63"/>
    </row>
    <row r="28782" spans="9:10" x14ac:dyDescent="0.35">
      <c r="I28782" s="63"/>
      <c r="J28782" s="63"/>
    </row>
    <row r="28783" spans="9:10" x14ac:dyDescent="0.35">
      <c r="I28783" s="63"/>
      <c r="J28783" s="63"/>
    </row>
    <row r="28784" spans="9:10" x14ac:dyDescent="0.35">
      <c r="I28784" s="63"/>
      <c r="J28784" s="63"/>
    </row>
    <row r="28785" spans="9:10" x14ac:dyDescent="0.35">
      <c r="I28785" s="63"/>
      <c r="J28785" s="63"/>
    </row>
    <row r="28786" spans="9:10" x14ac:dyDescent="0.35">
      <c r="I28786" s="63"/>
      <c r="J28786" s="63"/>
    </row>
    <row r="28787" spans="9:10" x14ac:dyDescent="0.35">
      <c r="I28787" s="63"/>
      <c r="J28787" s="63"/>
    </row>
    <row r="28788" spans="9:10" x14ac:dyDescent="0.35">
      <c r="I28788" s="63"/>
      <c r="J28788" s="63"/>
    </row>
    <row r="28789" spans="9:10" x14ac:dyDescent="0.35">
      <c r="I28789" s="63"/>
      <c r="J28789" s="63"/>
    </row>
    <row r="28790" spans="9:10" x14ac:dyDescent="0.35">
      <c r="I28790" s="63"/>
      <c r="J28790" s="63"/>
    </row>
    <row r="28791" spans="9:10" x14ac:dyDescent="0.35">
      <c r="I28791" s="63"/>
      <c r="J28791" s="63"/>
    </row>
    <row r="28792" spans="9:10" x14ac:dyDescent="0.35">
      <c r="I28792" s="63"/>
      <c r="J28792" s="63"/>
    </row>
    <row r="28793" spans="9:10" x14ac:dyDescent="0.35">
      <c r="I28793" s="63"/>
      <c r="J28793" s="63"/>
    </row>
    <row r="28794" spans="9:10" x14ac:dyDescent="0.35">
      <c r="I28794" s="63"/>
      <c r="J28794" s="63"/>
    </row>
    <row r="28795" spans="9:10" x14ac:dyDescent="0.35">
      <c r="I28795" s="63"/>
      <c r="J28795" s="63"/>
    </row>
    <row r="28796" spans="9:10" x14ac:dyDescent="0.35">
      <c r="I28796" s="63"/>
      <c r="J28796" s="63"/>
    </row>
    <row r="28797" spans="9:10" x14ac:dyDescent="0.35">
      <c r="I28797" s="63"/>
      <c r="J28797" s="63"/>
    </row>
    <row r="28798" spans="9:10" x14ac:dyDescent="0.35">
      <c r="I28798" s="63"/>
      <c r="J28798" s="63"/>
    </row>
    <row r="28799" spans="9:10" x14ac:dyDescent="0.35">
      <c r="I28799" s="63"/>
      <c r="J28799" s="63"/>
    </row>
    <row r="28800" spans="9:10" x14ac:dyDescent="0.35">
      <c r="I28800" s="63"/>
      <c r="J28800" s="63"/>
    </row>
    <row r="28801" spans="9:10" x14ac:dyDescent="0.35">
      <c r="I28801" s="63"/>
      <c r="J28801" s="63"/>
    </row>
    <row r="28802" spans="9:10" x14ac:dyDescent="0.35">
      <c r="I28802" s="63"/>
      <c r="J28802" s="63"/>
    </row>
    <row r="28803" spans="9:10" x14ac:dyDescent="0.35">
      <c r="I28803" s="63"/>
      <c r="J28803" s="63"/>
    </row>
    <row r="28804" spans="9:10" x14ac:dyDescent="0.35">
      <c r="I28804" s="63"/>
      <c r="J28804" s="63"/>
    </row>
    <row r="28805" spans="9:10" x14ac:dyDescent="0.35">
      <c r="I28805" s="63"/>
      <c r="J28805" s="63"/>
    </row>
    <row r="28806" spans="9:10" x14ac:dyDescent="0.35">
      <c r="I28806" s="63"/>
      <c r="J28806" s="63"/>
    </row>
    <row r="28807" spans="9:10" x14ac:dyDescent="0.35">
      <c r="I28807" s="63"/>
      <c r="J28807" s="63"/>
    </row>
    <row r="28808" spans="9:10" x14ac:dyDescent="0.35">
      <c r="I28808" s="63"/>
      <c r="J28808" s="63"/>
    </row>
    <row r="28809" spans="9:10" x14ac:dyDescent="0.35">
      <c r="I28809" s="63"/>
      <c r="J28809" s="63"/>
    </row>
    <row r="28810" spans="9:10" x14ac:dyDescent="0.35">
      <c r="I28810" s="63"/>
      <c r="J28810" s="63"/>
    </row>
    <row r="28811" spans="9:10" x14ac:dyDescent="0.35">
      <c r="I28811" s="63"/>
      <c r="J28811" s="63"/>
    </row>
    <row r="28812" spans="9:10" x14ac:dyDescent="0.35">
      <c r="I28812" s="63"/>
      <c r="J28812" s="63"/>
    </row>
    <row r="28813" spans="9:10" x14ac:dyDescent="0.35">
      <c r="I28813" s="63"/>
      <c r="J28813" s="63"/>
    </row>
    <row r="28814" spans="9:10" x14ac:dyDescent="0.35">
      <c r="I28814" s="63"/>
      <c r="J28814" s="63"/>
    </row>
    <row r="28815" spans="9:10" x14ac:dyDescent="0.35">
      <c r="I28815" s="63"/>
      <c r="J28815" s="63"/>
    </row>
    <row r="28816" spans="9:10" x14ac:dyDescent="0.35">
      <c r="I28816" s="63"/>
      <c r="J28816" s="63"/>
    </row>
    <row r="28817" spans="9:10" x14ac:dyDescent="0.35">
      <c r="I28817" s="63"/>
      <c r="J28817" s="63"/>
    </row>
    <row r="28818" spans="9:10" x14ac:dyDescent="0.35">
      <c r="I28818" s="63"/>
      <c r="J28818" s="63"/>
    </row>
    <row r="28819" spans="9:10" x14ac:dyDescent="0.35">
      <c r="I28819" s="63"/>
      <c r="J28819" s="63"/>
    </row>
    <row r="28820" spans="9:10" x14ac:dyDescent="0.35">
      <c r="I28820" s="63"/>
      <c r="J28820" s="63"/>
    </row>
    <row r="28821" spans="9:10" x14ac:dyDescent="0.35">
      <c r="I28821" s="63"/>
      <c r="J28821" s="63"/>
    </row>
    <row r="28822" spans="9:10" x14ac:dyDescent="0.35">
      <c r="I28822" s="63"/>
      <c r="J28822" s="63"/>
    </row>
    <row r="28823" spans="9:10" x14ac:dyDescent="0.35">
      <c r="I28823" s="63"/>
      <c r="J28823" s="63"/>
    </row>
    <row r="28824" spans="9:10" x14ac:dyDescent="0.35">
      <c r="I28824" s="63"/>
      <c r="J28824" s="63"/>
    </row>
    <row r="28825" spans="9:10" x14ac:dyDescent="0.35">
      <c r="I28825" s="63"/>
      <c r="J28825" s="63"/>
    </row>
    <row r="28826" spans="9:10" x14ac:dyDescent="0.35">
      <c r="I28826" s="63"/>
      <c r="J28826" s="63"/>
    </row>
    <row r="28827" spans="9:10" x14ac:dyDescent="0.35">
      <c r="I28827" s="63"/>
      <c r="J28827" s="63"/>
    </row>
    <row r="28828" spans="9:10" x14ac:dyDescent="0.35">
      <c r="I28828" s="63"/>
      <c r="J28828" s="63"/>
    </row>
    <row r="28829" spans="9:10" x14ac:dyDescent="0.35">
      <c r="I28829" s="63"/>
      <c r="J28829" s="63"/>
    </row>
    <row r="28830" spans="9:10" x14ac:dyDescent="0.35">
      <c r="I28830" s="63"/>
      <c r="J28830" s="63"/>
    </row>
    <row r="28831" spans="9:10" x14ac:dyDescent="0.35">
      <c r="I28831" s="63"/>
      <c r="J28831" s="63"/>
    </row>
    <row r="28832" spans="9:10" x14ac:dyDescent="0.35">
      <c r="I28832" s="63"/>
      <c r="J28832" s="63"/>
    </row>
    <row r="28833" spans="9:10" x14ac:dyDescent="0.35">
      <c r="I28833" s="63"/>
      <c r="J28833" s="63"/>
    </row>
    <row r="28834" spans="9:10" x14ac:dyDescent="0.35">
      <c r="I28834" s="63"/>
      <c r="J28834" s="63"/>
    </row>
    <row r="28835" spans="9:10" x14ac:dyDescent="0.35">
      <c r="I28835" s="63"/>
      <c r="J28835" s="63"/>
    </row>
    <row r="28836" spans="9:10" x14ac:dyDescent="0.35">
      <c r="I28836" s="63"/>
      <c r="J28836" s="63"/>
    </row>
    <row r="28837" spans="9:10" x14ac:dyDescent="0.35">
      <c r="I28837" s="63"/>
      <c r="J28837" s="63"/>
    </row>
    <row r="28838" spans="9:10" x14ac:dyDescent="0.35">
      <c r="I28838" s="63"/>
      <c r="J28838" s="63"/>
    </row>
    <row r="28839" spans="9:10" x14ac:dyDescent="0.35">
      <c r="I28839" s="63"/>
      <c r="J28839" s="63"/>
    </row>
    <row r="28840" spans="9:10" x14ac:dyDescent="0.35">
      <c r="I28840" s="63"/>
      <c r="J28840" s="63"/>
    </row>
    <row r="28841" spans="9:10" x14ac:dyDescent="0.35">
      <c r="I28841" s="63"/>
      <c r="J28841" s="63"/>
    </row>
    <row r="28842" spans="9:10" x14ac:dyDescent="0.35">
      <c r="I28842" s="63"/>
      <c r="J28842" s="63"/>
    </row>
    <row r="28843" spans="9:10" x14ac:dyDescent="0.35">
      <c r="I28843" s="63"/>
      <c r="J28843" s="63"/>
    </row>
    <row r="28844" spans="9:10" x14ac:dyDescent="0.35">
      <c r="I28844" s="63"/>
      <c r="J28844" s="63"/>
    </row>
    <row r="28845" spans="9:10" x14ac:dyDescent="0.35">
      <c r="I28845" s="63"/>
      <c r="J28845" s="63"/>
    </row>
    <row r="28846" spans="9:10" x14ac:dyDescent="0.35">
      <c r="I28846" s="63"/>
      <c r="J28846" s="63"/>
    </row>
    <row r="28847" spans="9:10" x14ac:dyDescent="0.35">
      <c r="I28847" s="63"/>
      <c r="J28847" s="63"/>
    </row>
    <row r="28848" spans="9:10" x14ac:dyDescent="0.35">
      <c r="I28848" s="63"/>
      <c r="J28848" s="63"/>
    </row>
    <row r="28849" spans="9:10" x14ac:dyDescent="0.35">
      <c r="I28849" s="63"/>
      <c r="J28849" s="63"/>
    </row>
    <row r="28850" spans="9:10" x14ac:dyDescent="0.35">
      <c r="I28850" s="63"/>
      <c r="J28850" s="63"/>
    </row>
    <row r="28851" spans="9:10" x14ac:dyDescent="0.35">
      <c r="I28851" s="63"/>
      <c r="J28851" s="63"/>
    </row>
    <row r="28852" spans="9:10" x14ac:dyDescent="0.35">
      <c r="I28852" s="63"/>
      <c r="J28852" s="63"/>
    </row>
    <row r="28853" spans="9:10" x14ac:dyDescent="0.35">
      <c r="I28853" s="63"/>
      <c r="J28853" s="63"/>
    </row>
    <row r="28854" spans="9:10" x14ac:dyDescent="0.35">
      <c r="I28854" s="63"/>
      <c r="J28854" s="63"/>
    </row>
    <row r="28855" spans="9:10" x14ac:dyDescent="0.35">
      <c r="I28855" s="63"/>
      <c r="J28855" s="63"/>
    </row>
    <row r="28856" spans="9:10" x14ac:dyDescent="0.35">
      <c r="I28856" s="63"/>
      <c r="J28856" s="63"/>
    </row>
    <row r="28857" spans="9:10" x14ac:dyDescent="0.35">
      <c r="I28857" s="63"/>
      <c r="J28857" s="63"/>
    </row>
    <row r="28858" spans="9:10" x14ac:dyDescent="0.35">
      <c r="I28858" s="63"/>
      <c r="J28858" s="63"/>
    </row>
    <row r="28859" spans="9:10" x14ac:dyDescent="0.35">
      <c r="I28859" s="63"/>
      <c r="J28859" s="63"/>
    </row>
    <row r="28860" spans="9:10" x14ac:dyDescent="0.35">
      <c r="I28860" s="63"/>
      <c r="J28860" s="63"/>
    </row>
    <row r="28861" spans="9:10" x14ac:dyDescent="0.35">
      <c r="I28861" s="63"/>
      <c r="J28861" s="63"/>
    </row>
    <row r="28862" spans="9:10" x14ac:dyDescent="0.35">
      <c r="I28862" s="63"/>
      <c r="J28862" s="63"/>
    </row>
    <row r="28863" spans="9:10" x14ac:dyDescent="0.35">
      <c r="I28863" s="63"/>
      <c r="J28863" s="63"/>
    </row>
    <row r="28864" spans="9:10" x14ac:dyDescent="0.35">
      <c r="I28864" s="63"/>
      <c r="J28864" s="63"/>
    </row>
    <row r="28865" spans="9:10" x14ac:dyDescent="0.35">
      <c r="I28865" s="63"/>
      <c r="J28865" s="63"/>
    </row>
    <row r="28866" spans="9:10" x14ac:dyDescent="0.35">
      <c r="I28866" s="63"/>
      <c r="J28866" s="63"/>
    </row>
    <row r="28867" spans="9:10" x14ac:dyDescent="0.35">
      <c r="I28867" s="63"/>
      <c r="J28867" s="63"/>
    </row>
    <row r="28868" spans="9:10" x14ac:dyDescent="0.35">
      <c r="I28868" s="63"/>
      <c r="J28868" s="63"/>
    </row>
    <row r="28869" spans="9:10" x14ac:dyDescent="0.35">
      <c r="I28869" s="63"/>
      <c r="J28869" s="63"/>
    </row>
    <row r="28870" spans="9:10" x14ac:dyDescent="0.35">
      <c r="I28870" s="63"/>
      <c r="J28870" s="63"/>
    </row>
    <row r="28871" spans="9:10" x14ac:dyDescent="0.35">
      <c r="I28871" s="63"/>
      <c r="J28871" s="63"/>
    </row>
    <row r="28872" spans="9:10" x14ac:dyDescent="0.35">
      <c r="I28872" s="63"/>
      <c r="J28872" s="63"/>
    </row>
    <row r="28873" spans="9:10" x14ac:dyDescent="0.35">
      <c r="I28873" s="63"/>
      <c r="J28873" s="63"/>
    </row>
    <row r="28874" spans="9:10" x14ac:dyDescent="0.35">
      <c r="I28874" s="63"/>
      <c r="J28874" s="63"/>
    </row>
    <row r="28875" spans="9:10" x14ac:dyDescent="0.35">
      <c r="I28875" s="63"/>
      <c r="J28875" s="63"/>
    </row>
    <row r="28876" spans="9:10" x14ac:dyDescent="0.35">
      <c r="I28876" s="63"/>
      <c r="J28876" s="63"/>
    </row>
    <row r="28877" spans="9:10" x14ac:dyDescent="0.35">
      <c r="I28877" s="63"/>
      <c r="J28877" s="63"/>
    </row>
    <row r="28878" spans="9:10" x14ac:dyDescent="0.35">
      <c r="I28878" s="63"/>
      <c r="J28878" s="63"/>
    </row>
    <row r="28879" spans="9:10" x14ac:dyDescent="0.35">
      <c r="I28879" s="63"/>
      <c r="J28879" s="63"/>
    </row>
    <row r="28880" spans="9:10" x14ac:dyDescent="0.35">
      <c r="I28880" s="63"/>
      <c r="J28880" s="63"/>
    </row>
    <row r="28881" spans="9:10" x14ac:dyDescent="0.35">
      <c r="I28881" s="63"/>
      <c r="J28881" s="63"/>
    </row>
    <row r="28882" spans="9:10" x14ac:dyDescent="0.35">
      <c r="I28882" s="63"/>
      <c r="J28882" s="63"/>
    </row>
    <row r="28883" spans="9:10" x14ac:dyDescent="0.35">
      <c r="I28883" s="63"/>
      <c r="J28883" s="63"/>
    </row>
    <row r="28884" spans="9:10" x14ac:dyDescent="0.35">
      <c r="I28884" s="63"/>
      <c r="J28884" s="63"/>
    </row>
    <row r="28885" spans="9:10" x14ac:dyDescent="0.35">
      <c r="I28885" s="63"/>
      <c r="J28885" s="63"/>
    </row>
    <row r="28886" spans="9:10" x14ac:dyDescent="0.35">
      <c r="I28886" s="63"/>
      <c r="J28886" s="63"/>
    </row>
    <row r="28887" spans="9:10" x14ac:dyDescent="0.35">
      <c r="I28887" s="63"/>
      <c r="J28887" s="63"/>
    </row>
    <row r="28888" spans="9:10" x14ac:dyDescent="0.35">
      <c r="I28888" s="63"/>
      <c r="J28888" s="63"/>
    </row>
    <row r="28889" spans="9:10" x14ac:dyDescent="0.35">
      <c r="I28889" s="63"/>
      <c r="J28889" s="63"/>
    </row>
    <row r="28890" spans="9:10" x14ac:dyDescent="0.35">
      <c r="I28890" s="63"/>
      <c r="J28890" s="63"/>
    </row>
    <row r="28891" spans="9:10" x14ac:dyDescent="0.35">
      <c r="I28891" s="63"/>
      <c r="J28891" s="63"/>
    </row>
    <row r="28892" spans="9:10" x14ac:dyDescent="0.35">
      <c r="I28892" s="63"/>
      <c r="J28892" s="63"/>
    </row>
    <row r="28893" spans="9:10" x14ac:dyDescent="0.35">
      <c r="I28893" s="63"/>
      <c r="J28893" s="63"/>
    </row>
    <row r="28894" spans="9:10" x14ac:dyDescent="0.35">
      <c r="I28894" s="63"/>
      <c r="J28894" s="63"/>
    </row>
    <row r="28895" spans="9:10" x14ac:dyDescent="0.35">
      <c r="I28895" s="63"/>
      <c r="J28895" s="63"/>
    </row>
    <row r="28896" spans="9:10" x14ac:dyDescent="0.35">
      <c r="I28896" s="63"/>
      <c r="J28896" s="63"/>
    </row>
    <row r="28897" spans="9:10" x14ac:dyDescent="0.35">
      <c r="I28897" s="63"/>
      <c r="J28897" s="63"/>
    </row>
    <row r="28898" spans="9:10" x14ac:dyDescent="0.35">
      <c r="I28898" s="63"/>
      <c r="J28898" s="63"/>
    </row>
    <row r="28899" spans="9:10" x14ac:dyDescent="0.35">
      <c r="I28899" s="63"/>
      <c r="J28899" s="63"/>
    </row>
    <row r="28900" spans="9:10" x14ac:dyDescent="0.35">
      <c r="I28900" s="63"/>
      <c r="J28900" s="63"/>
    </row>
    <row r="28901" spans="9:10" x14ac:dyDescent="0.35">
      <c r="I28901" s="63"/>
      <c r="J28901" s="63"/>
    </row>
    <row r="28902" spans="9:10" x14ac:dyDescent="0.35">
      <c r="I28902" s="63"/>
      <c r="J28902" s="63"/>
    </row>
    <row r="28903" spans="9:10" x14ac:dyDescent="0.35">
      <c r="I28903" s="63"/>
      <c r="J28903" s="63"/>
    </row>
    <row r="28904" spans="9:10" x14ac:dyDescent="0.35">
      <c r="I28904" s="63"/>
      <c r="J28904" s="63"/>
    </row>
    <row r="28905" spans="9:10" x14ac:dyDescent="0.35">
      <c r="I28905" s="63"/>
      <c r="J28905" s="63"/>
    </row>
    <row r="28906" spans="9:10" x14ac:dyDescent="0.35">
      <c r="I28906" s="63"/>
      <c r="J28906" s="63"/>
    </row>
    <row r="28907" spans="9:10" x14ac:dyDescent="0.35">
      <c r="I28907" s="63"/>
      <c r="J28907" s="63"/>
    </row>
    <row r="28908" spans="9:10" x14ac:dyDescent="0.35">
      <c r="I28908" s="63"/>
      <c r="J28908" s="63"/>
    </row>
    <row r="28909" spans="9:10" x14ac:dyDescent="0.35">
      <c r="I28909" s="63"/>
      <c r="J28909" s="63"/>
    </row>
    <row r="28910" spans="9:10" x14ac:dyDescent="0.35">
      <c r="I28910" s="63"/>
      <c r="J28910" s="63"/>
    </row>
    <row r="28911" spans="9:10" x14ac:dyDescent="0.35">
      <c r="I28911" s="63"/>
      <c r="J28911" s="63"/>
    </row>
    <row r="28912" spans="9:10" x14ac:dyDescent="0.35">
      <c r="I28912" s="63"/>
      <c r="J28912" s="63"/>
    </row>
    <row r="28913" spans="9:10" x14ac:dyDescent="0.35">
      <c r="I28913" s="63"/>
      <c r="J28913" s="63"/>
    </row>
    <row r="28914" spans="9:10" x14ac:dyDescent="0.35">
      <c r="I28914" s="63"/>
      <c r="J28914" s="63"/>
    </row>
    <row r="28915" spans="9:10" x14ac:dyDescent="0.35">
      <c r="I28915" s="63"/>
      <c r="J28915" s="63"/>
    </row>
    <row r="28916" spans="9:10" x14ac:dyDescent="0.35">
      <c r="I28916" s="63"/>
      <c r="J28916" s="63"/>
    </row>
    <row r="28917" spans="9:10" x14ac:dyDescent="0.35">
      <c r="I28917" s="63"/>
      <c r="J28917" s="63"/>
    </row>
    <row r="28918" spans="9:10" x14ac:dyDescent="0.35">
      <c r="I28918" s="63"/>
      <c r="J28918" s="63"/>
    </row>
    <row r="28919" spans="9:10" x14ac:dyDescent="0.35">
      <c r="I28919" s="63"/>
      <c r="J28919" s="63"/>
    </row>
    <row r="28920" spans="9:10" x14ac:dyDescent="0.35">
      <c r="I28920" s="63"/>
      <c r="J28920" s="63"/>
    </row>
    <row r="28921" spans="9:10" x14ac:dyDescent="0.35">
      <c r="I28921" s="63"/>
      <c r="J28921" s="63"/>
    </row>
    <row r="28922" spans="9:10" x14ac:dyDescent="0.35">
      <c r="I28922" s="63"/>
      <c r="J28922" s="63"/>
    </row>
    <row r="28923" spans="9:10" x14ac:dyDescent="0.35">
      <c r="I28923" s="63"/>
      <c r="J28923" s="63"/>
    </row>
    <row r="28924" spans="9:10" x14ac:dyDescent="0.35">
      <c r="I28924" s="63"/>
      <c r="J28924" s="63"/>
    </row>
    <row r="28925" spans="9:10" x14ac:dyDescent="0.35">
      <c r="I28925" s="63"/>
      <c r="J28925" s="63"/>
    </row>
    <row r="28926" spans="9:10" x14ac:dyDescent="0.35">
      <c r="I28926" s="63"/>
      <c r="J28926" s="63"/>
    </row>
    <row r="28927" spans="9:10" x14ac:dyDescent="0.35">
      <c r="I28927" s="63"/>
      <c r="J28927" s="63"/>
    </row>
    <row r="28928" spans="9:10" x14ac:dyDescent="0.35">
      <c r="I28928" s="63"/>
      <c r="J28928" s="63"/>
    </row>
    <row r="28929" spans="9:10" x14ac:dyDescent="0.35">
      <c r="I28929" s="63"/>
      <c r="J28929" s="63"/>
    </row>
    <row r="28930" spans="9:10" x14ac:dyDescent="0.35">
      <c r="I28930" s="63"/>
      <c r="J28930" s="63"/>
    </row>
    <row r="28931" spans="9:10" x14ac:dyDescent="0.35">
      <c r="I28931" s="63"/>
      <c r="J28931" s="63"/>
    </row>
    <row r="28932" spans="9:10" x14ac:dyDescent="0.35">
      <c r="I28932" s="63"/>
      <c r="J28932" s="63"/>
    </row>
    <row r="28933" spans="9:10" x14ac:dyDescent="0.35">
      <c r="I28933" s="63"/>
      <c r="J28933" s="63"/>
    </row>
    <row r="28934" spans="9:10" x14ac:dyDescent="0.35">
      <c r="I28934" s="63"/>
      <c r="J28934" s="63"/>
    </row>
    <row r="28935" spans="9:10" x14ac:dyDescent="0.35">
      <c r="I28935" s="63"/>
      <c r="J28935" s="63"/>
    </row>
    <row r="28936" spans="9:10" x14ac:dyDescent="0.35">
      <c r="I28936" s="63"/>
      <c r="J28936" s="63"/>
    </row>
    <row r="28937" spans="9:10" x14ac:dyDescent="0.35">
      <c r="I28937" s="63"/>
      <c r="J28937" s="63"/>
    </row>
    <row r="28938" spans="9:10" x14ac:dyDescent="0.35">
      <c r="I28938" s="63"/>
      <c r="J28938" s="63"/>
    </row>
    <row r="28939" spans="9:10" x14ac:dyDescent="0.35">
      <c r="I28939" s="63"/>
      <c r="J28939" s="63"/>
    </row>
    <row r="28940" spans="9:10" x14ac:dyDescent="0.35">
      <c r="I28940" s="63"/>
      <c r="J28940" s="63"/>
    </row>
    <row r="28941" spans="9:10" x14ac:dyDescent="0.35">
      <c r="I28941" s="63"/>
      <c r="J28941" s="63"/>
    </row>
    <row r="28942" spans="9:10" x14ac:dyDescent="0.35">
      <c r="I28942" s="63"/>
      <c r="J28942" s="63"/>
    </row>
    <row r="28943" spans="9:10" x14ac:dyDescent="0.35">
      <c r="I28943" s="63"/>
      <c r="J28943" s="63"/>
    </row>
    <row r="28944" spans="9:10" x14ac:dyDescent="0.35">
      <c r="I28944" s="63"/>
      <c r="J28944" s="63"/>
    </row>
    <row r="28945" spans="9:10" x14ac:dyDescent="0.35">
      <c r="I28945" s="63"/>
      <c r="J28945" s="63"/>
    </row>
    <row r="28946" spans="9:10" x14ac:dyDescent="0.35">
      <c r="I28946" s="63"/>
      <c r="J28946" s="63"/>
    </row>
    <row r="28947" spans="9:10" x14ac:dyDescent="0.35">
      <c r="I28947" s="63"/>
      <c r="J28947" s="63"/>
    </row>
    <row r="28948" spans="9:10" x14ac:dyDescent="0.35">
      <c r="I28948" s="63"/>
      <c r="J28948" s="63"/>
    </row>
    <row r="28949" spans="9:10" x14ac:dyDescent="0.35">
      <c r="I28949" s="63"/>
      <c r="J28949" s="63"/>
    </row>
    <row r="28950" spans="9:10" x14ac:dyDescent="0.35">
      <c r="I28950" s="63"/>
      <c r="J28950" s="63"/>
    </row>
    <row r="28951" spans="9:10" x14ac:dyDescent="0.35">
      <c r="I28951" s="63"/>
      <c r="J28951" s="63"/>
    </row>
    <row r="28952" spans="9:10" x14ac:dyDescent="0.35">
      <c r="I28952" s="63"/>
      <c r="J28952" s="63"/>
    </row>
    <row r="28953" spans="9:10" x14ac:dyDescent="0.35">
      <c r="I28953" s="63"/>
      <c r="J28953" s="63"/>
    </row>
    <row r="28954" spans="9:10" x14ac:dyDescent="0.35">
      <c r="I28954" s="63"/>
      <c r="J28954" s="63"/>
    </row>
    <row r="28955" spans="9:10" x14ac:dyDescent="0.35">
      <c r="I28955" s="63"/>
      <c r="J28955" s="63"/>
    </row>
    <row r="28956" spans="9:10" x14ac:dyDescent="0.35">
      <c r="I28956" s="63"/>
      <c r="J28956" s="63"/>
    </row>
    <row r="28957" spans="9:10" x14ac:dyDescent="0.35">
      <c r="I28957" s="63"/>
      <c r="J28957" s="63"/>
    </row>
    <row r="28958" spans="9:10" x14ac:dyDescent="0.35">
      <c r="I28958" s="63"/>
      <c r="J28958" s="63"/>
    </row>
    <row r="28959" spans="9:10" x14ac:dyDescent="0.35">
      <c r="I28959" s="63"/>
      <c r="J28959" s="63"/>
    </row>
    <row r="28960" spans="9:10" x14ac:dyDescent="0.35">
      <c r="I28960" s="63"/>
      <c r="J28960" s="63"/>
    </row>
    <row r="28961" spans="9:10" x14ac:dyDescent="0.35">
      <c r="I28961" s="63"/>
      <c r="J28961" s="63"/>
    </row>
    <row r="28962" spans="9:10" x14ac:dyDescent="0.35">
      <c r="I28962" s="63"/>
      <c r="J28962" s="63"/>
    </row>
    <row r="28963" spans="9:10" x14ac:dyDescent="0.35">
      <c r="I28963" s="63"/>
      <c r="J28963" s="63"/>
    </row>
    <row r="28964" spans="9:10" x14ac:dyDescent="0.35">
      <c r="I28964" s="63"/>
      <c r="J28964" s="63"/>
    </row>
    <row r="28965" spans="9:10" x14ac:dyDescent="0.35">
      <c r="I28965" s="63"/>
      <c r="J28965" s="63"/>
    </row>
    <row r="28966" spans="9:10" x14ac:dyDescent="0.35">
      <c r="I28966" s="63"/>
      <c r="J28966" s="63"/>
    </row>
    <row r="28967" spans="9:10" x14ac:dyDescent="0.35">
      <c r="I28967" s="63"/>
      <c r="J28967" s="63"/>
    </row>
    <row r="28968" spans="9:10" x14ac:dyDescent="0.35">
      <c r="I28968" s="63"/>
      <c r="J28968" s="63"/>
    </row>
    <row r="28969" spans="9:10" x14ac:dyDescent="0.35">
      <c r="I28969" s="63"/>
      <c r="J28969" s="63"/>
    </row>
    <row r="28970" spans="9:10" x14ac:dyDescent="0.35">
      <c r="I28970" s="63"/>
      <c r="J28970" s="63"/>
    </row>
    <row r="28971" spans="9:10" x14ac:dyDescent="0.35">
      <c r="I28971" s="63"/>
      <c r="J28971" s="63"/>
    </row>
    <row r="28972" spans="9:10" x14ac:dyDescent="0.35">
      <c r="I28972" s="63"/>
      <c r="J28972" s="63"/>
    </row>
    <row r="28973" spans="9:10" x14ac:dyDescent="0.35">
      <c r="I28973" s="63"/>
      <c r="J28973" s="63"/>
    </row>
    <row r="28974" spans="9:10" x14ac:dyDescent="0.35">
      <c r="I28974" s="63"/>
      <c r="J28974" s="63"/>
    </row>
    <row r="28975" spans="9:10" x14ac:dyDescent="0.35">
      <c r="I28975" s="63"/>
      <c r="J28975" s="63"/>
    </row>
    <row r="28976" spans="9:10" x14ac:dyDescent="0.35">
      <c r="I28976" s="63"/>
      <c r="J28976" s="63"/>
    </row>
    <row r="28977" spans="9:10" x14ac:dyDescent="0.35">
      <c r="I28977" s="63"/>
      <c r="J28977" s="63"/>
    </row>
    <row r="28978" spans="9:10" x14ac:dyDescent="0.35">
      <c r="I28978" s="63"/>
      <c r="J28978" s="63"/>
    </row>
    <row r="28979" spans="9:10" x14ac:dyDescent="0.35">
      <c r="I28979" s="63"/>
      <c r="J28979" s="63"/>
    </row>
    <row r="28980" spans="9:10" x14ac:dyDescent="0.35">
      <c r="I28980" s="63"/>
      <c r="J28980" s="63"/>
    </row>
    <row r="28981" spans="9:10" x14ac:dyDescent="0.35">
      <c r="I28981" s="63"/>
      <c r="J28981" s="63"/>
    </row>
    <row r="28982" spans="9:10" x14ac:dyDescent="0.35">
      <c r="I28982" s="63"/>
      <c r="J28982" s="63"/>
    </row>
    <row r="28983" spans="9:10" x14ac:dyDescent="0.35">
      <c r="I28983" s="63"/>
      <c r="J28983" s="63"/>
    </row>
    <row r="28984" spans="9:10" x14ac:dyDescent="0.35">
      <c r="I28984" s="63"/>
      <c r="J28984" s="63"/>
    </row>
    <row r="28985" spans="9:10" x14ac:dyDescent="0.35">
      <c r="I28985" s="63"/>
      <c r="J28985" s="63"/>
    </row>
    <row r="28986" spans="9:10" x14ac:dyDescent="0.35">
      <c r="I28986" s="63"/>
      <c r="J28986" s="63"/>
    </row>
    <row r="28987" spans="9:10" x14ac:dyDescent="0.35">
      <c r="I28987" s="63"/>
      <c r="J28987" s="63"/>
    </row>
    <row r="28988" spans="9:10" x14ac:dyDescent="0.35">
      <c r="I28988" s="63"/>
      <c r="J28988" s="63"/>
    </row>
    <row r="28989" spans="9:10" x14ac:dyDescent="0.35">
      <c r="I28989" s="63"/>
      <c r="J28989" s="63"/>
    </row>
    <row r="28990" spans="9:10" x14ac:dyDescent="0.35">
      <c r="I28990" s="63"/>
      <c r="J28990" s="63"/>
    </row>
    <row r="28991" spans="9:10" x14ac:dyDescent="0.35">
      <c r="I28991" s="63"/>
      <c r="J28991" s="63"/>
    </row>
    <row r="28992" spans="9:10" x14ac:dyDescent="0.35">
      <c r="I28992" s="63"/>
      <c r="J28992" s="63"/>
    </row>
    <row r="28993" spans="9:10" x14ac:dyDescent="0.35">
      <c r="I28993" s="63"/>
      <c r="J28993" s="63"/>
    </row>
    <row r="28994" spans="9:10" x14ac:dyDescent="0.35">
      <c r="I28994" s="63"/>
      <c r="J28994" s="63"/>
    </row>
    <row r="28995" spans="9:10" x14ac:dyDescent="0.35">
      <c r="I28995" s="63"/>
      <c r="J28995" s="63"/>
    </row>
    <row r="28996" spans="9:10" x14ac:dyDescent="0.35">
      <c r="I28996" s="63"/>
      <c r="J28996" s="63"/>
    </row>
    <row r="28997" spans="9:10" x14ac:dyDescent="0.35">
      <c r="I28997" s="63"/>
      <c r="J28997" s="63"/>
    </row>
    <row r="28998" spans="9:10" x14ac:dyDescent="0.35">
      <c r="I28998" s="63"/>
      <c r="J28998" s="63"/>
    </row>
    <row r="28999" spans="9:10" x14ac:dyDescent="0.35">
      <c r="I28999" s="63"/>
      <c r="J28999" s="63"/>
    </row>
    <row r="29000" spans="9:10" x14ac:dyDescent="0.35">
      <c r="I29000" s="63"/>
      <c r="J29000" s="63"/>
    </row>
    <row r="29001" spans="9:10" x14ac:dyDescent="0.35">
      <c r="I29001" s="63"/>
      <c r="J29001" s="63"/>
    </row>
    <row r="29002" spans="9:10" x14ac:dyDescent="0.35">
      <c r="I29002" s="63"/>
      <c r="J29002" s="63"/>
    </row>
    <row r="29003" spans="9:10" x14ac:dyDescent="0.35">
      <c r="I29003" s="63"/>
      <c r="J29003" s="63"/>
    </row>
    <row r="29004" spans="9:10" x14ac:dyDescent="0.35">
      <c r="I29004" s="63"/>
      <c r="J29004" s="63"/>
    </row>
    <row r="29005" spans="9:10" x14ac:dyDescent="0.35">
      <c r="I29005" s="63"/>
      <c r="J29005" s="63"/>
    </row>
    <row r="29006" spans="9:10" x14ac:dyDescent="0.35">
      <c r="I29006" s="63"/>
      <c r="J29006" s="63"/>
    </row>
    <row r="29007" spans="9:10" x14ac:dyDescent="0.35">
      <c r="I29007" s="63"/>
      <c r="J29007" s="63"/>
    </row>
    <row r="29008" spans="9:10" x14ac:dyDescent="0.35">
      <c r="I29008" s="63"/>
      <c r="J29008" s="63"/>
    </row>
    <row r="29009" spans="9:10" x14ac:dyDescent="0.35">
      <c r="I29009" s="63"/>
      <c r="J29009" s="63"/>
    </row>
    <row r="29010" spans="9:10" x14ac:dyDescent="0.35">
      <c r="I29010" s="63"/>
      <c r="J29010" s="63"/>
    </row>
    <row r="29011" spans="9:10" x14ac:dyDescent="0.35">
      <c r="I29011" s="63"/>
      <c r="J29011" s="63"/>
    </row>
    <row r="29012" spans="9:10" x14ac:dyDescent="0.35">
      <c r="I29012" s="63"/>
      <c r="J29012" s="63"/>
    </row>
    <row r="29013" spans="9:10" x14ac:dyDescent="0.35">
      <c r="I29013" s="63"/>
      <c r="J29013" s="63"/>
    </row>
    <row r="29014" spans="9:10" x14ac:dyDescent="0.35">
      <c r="I29014" s="63"/>
      <c r="J29014" s="63"/>
    </row>
    <row r="29015" spans="9:10" x14ac:dyDescent="0.35">
      <c r="I29015" s="63"/>
      <c r="J29015" s="63"/>
    </row>
    <row r="29016" spans="9:10" x14ac:dyDescent="0.35">
      <c r="I29016" s="63"/>
      <c r="J29016" s="63"/>
    </row>
    <row r="29017" spans="9:10" x14ac:dyDescent="0.35">
      <c r="I29017" s="63"/>
      <c r="J29017" s="63"/>
    </row>
    <row r="29018" spans="9:10" x14ac:dyDescent="0.35">
      <c r="I29018" s="63"/>
      <c r="J29018" s="63"/>
    </row>
    <row r="29019" spans="9:10" x14ac:dyDescent="0.35">
      <c r="I29019" s="63"/>
      <c r="J29019" s="63"/>
    </row>
    <row r="29020" spans="9:10" x14ac:dyDescent="0.35">
      <c r="I29020" s="63"/>
      <c r="J29020" s="63"/>
    </row>
    <row r="29021" spans="9:10" x14ac:dyDescent="0.35">
      <c r="I29021" s="63"/>
      <c r="J29021" s="63"/>
    </row>
    <row r="29022" spans="9:10" x14ac:dyDescent="0.35">
      <c r="I29022" s="63"/>
      <c r="J29022" s="63"/>
    </row>
    <row r="29023" spans="9:10" x14ac:dyDescent="0.35">
      <c r="I29023" s="63"/>
      <c r="J29023" s="63"/>
    </row>
    <row r="29024" spans="9:10" x14ac:dyDescent="0.35">
      <c r="I29024" s="63"/>
      <c r="J29024" s="63"/>
    </row>
    <row r="29025" spans="9:10" x14ac:dyDescent="0.35">
      <c r="I29025" s="63"/>
      <c r="J29025" s="63"/>
    </row>
    <row r="29026" spans="9:10" x14ac:dyDescent="0.35">
      <c r="I29026" s="63"/>
      <c r="J29026" s="63"/>
    </row>
    <row r="29027" spans="9:10" x14ac:dyDescent="0.35">
      <c r="I29027" s="63"/>
      <c r="J29027" s="63"/>
    </row>
    <row r="29028" spans="9:10" x14ac:dyDescent="0.35">
      <c r="I29028" s="63"/>
      <c r="J29028" s="63"/>
    </row>
    <row r="29029" spans="9:10" x14ac:dyDescent="0.35">
      <c r="I29029" s="63"/>
      <c r="J29029" s="63"/>
    </row>
    <row r="29030" spans="9:10" x14ac:dyDescent="0.35">
      <c r="I29030" s="63"/>
      <c r="J29030" s="63"/>
    </row>
    <row r="29031" spans="9:10" x14ac:dyDescent="0.35">
      <c r="I29031" s="63"/>
      <c r="J29031" s="63"/>
    </row>
    <row r="29032" spans="9:10" x14ac:dyDescent="0.35">
      <c r="I29032" s="63"/>
      <c r="J29032" s="63"/>
    </row>
    <row r="29033" spans="9:10" x14ac:dyDescent="0.35">
      <c r="I29033" s="63"/>
      <c r="J29033" s="63"/>
    </row>
    <row r="29034" spans="9:10" x14ac:dyDescent="0.35">
      <c r="I29034" s="63"/>
      <c r="J29034" s="63"/>
    </row>
    <row r="29035" spans="9:10" x14ac:dyDescent="0.35">
      <c r="I29035" s="63"/>
      <c r="J29035" s="63"/>
    </row>
    <row r="29036" spans="9:10" x14ac:dyDescent="0.35">
      <c r="I29036" s="63"/>
      <c r="J29036" s="63"/>
    </row>
    <row r="29037" spans="9:10" x14ac:dyDescent="0.35">
      <c r="I29037" s="63"/>
      <c r="J29037" s="63"/>
    </row>
    <row r="29038" spans="9:10" x14ac:dyDescent="0.35">
      <c r="I29038" s="63"/>
      <c r="J29038" s="63"/>
    </row>
    <row r="29039" spans="9:10" x14ac:dyDescent="0.35">
      <c r="I29039" s="63"/>
      <c r="J29039" s="63"/>
    </row>
    <row r="29040" spans="9:10" x14ac:dyDescent="0.35">
      <c r="I29040" s="63"/>
      <c r="J29040" s="63"/>
    </row>
    <row r="29041" spans="9:10" x14ac:dyDescent="0.35">
      <c r="I29041" s="63"/>
      <c r="J29041" s="63"/>
    </row>
    <row r="29042" spans="9:10" x14ac:dyDescent="0.35">
      <c r="I29042" s="63"/>
      <c r="J29042" s="63"/>
    </row>
    <row r="29043" spans="9:10" x14ac:dyDescent="0.35">
      <c r="I29043" s="63"/>
      <c r="J29043" s="63"/>
    </row>
    <row r="29044" spans="9:10" x14ac:dyDescent="0.35">
      <c r="I29044" s="63"/>
      <c r="J29044" s="63"/>
    </row>
    <row r="29045" spans="9:10" x14ac:dyDescent="0.35">
      <c r="I29045" s="63"/>
      <c r="J29045" s="63"/>
    </row>
    <row r="29046" spans="9:10" x14ac:dyDescent="0.35">
      <c r="I29046" s="63"/>
      <c r="J29046" s="63"/>
    </row>
    <row r="29047" spans="9:10" x14ac:dyDescent="0.35">
      <c r="I29047" s="63"/>
      <c r="J29047" s="63"/>
    </row>
    <row r="29048" spans="9:10" x14ac:dyDescent="0.35">
      <c r="I29048" s="63"/>
      <c r="J29048" s="63"/>
    </row>
    <row r="29049" spans="9:10" x14ac:dyDescent="0.35">
      <c r="I29049" s="63"/>
      <c r="J29049" s="63"/>
    </row>
    <row r="29050" spans="9:10" x14ac:dyDescent="0.35">
      <c r="I29050" s="63"/>
      <c r="J29050" s="63"/>
    </row>
    <row r="29051" spans="9:10" x14ac:dyDescent="0.35">
      <c r="I29051" s="63"/>
      <c r="J29051" s="63"/>
    </row>
    <row r="29052" spans="9:10" x14ac:dyDescent="0.35">
      <c r="I29052" s="63"/>
      <c r="J29052" s="63"/>
    </row>
    <row r="29053" spans="9:10" x14ac:dyDescent="0.35">
      <c r="I29053" s="63"/>
      <c r="J29053" s="63"/>
    </row>
    <row r="29054" spans="9:10" x14ac:dyDescent="0.35">
      <c r="I29054" s="63"/>
      <c r="J29054" s="63"/>
    </row>
    <row r="29055" spans="9:10" x14ac:dyDescent="0.35">
      <c r="I29055" s="63"/>
      <c r="J29055" s="63"/>
    </row>
    <row r="29056" spans="9:10" x14ac:dyDescent="0.35">
      <c r="I29056" s="63"/>
      <c r="J29056" s="63"/>
    </row>
    <row r="29057" spans="9:10" x14ac:dyDescent="0.35">
      <c r="I29057" s="63"/>
      <c r="J29057" s="63"/>
    </row>
    <row r="29058" spans="9:10" x14ac:dyDescent="0.35">
      <c r="I29058" s="63"/>
      <c r="J29058" s="63"/>
    </row>
    <row r="29059" spans="9:10" x14ac:dyDescent="0.35">
      <c r="I29059" s="63"/>
      <c r="J29059" s="63"/>
    </row>
    <row r="29060" spans="9:10" x14ac:dyDescent="0.35">
      <c r="I29060" s="63"/>
      <c r="J29060" s="63"/>
    </row>
    <row r="29061" spans="9:10" x14ac:dyDescent="0.35">
      <c r="I29061" s="63"/>
      <c r="J29061" s="63"/>
    </row>
    <row r="29062" spans="9:10" x14ac:dyDescent="0.35">
      <c r="I29062" s="63"/>
      <c r="J29062" s="63"/>
    </row>
    <row r="29063" spans="9:10" x14ac:dyDescent="0.35">
      <c r="I29063" s="63"/>
      <c r="J29063" s="63"/>
    </row>
    <row r="29064" spans="9:10" x14ac:dyDescent="0.35">
      <c r="I29064" s="63"/>
      <c r="J29064" s="63"/>
    </row>
    <row r="29065" spans="9:10" x14ac:dyDescent="0.35">
      <c r="I29065" s="63"/>
      <c r="J29065" s="63"/>
    </row>
    <row r="29066" spans="9:10" x14ac:dyDescent="0.35">
      <c r="I29066" s="63"/>
      <c r="J29066" s="63"/>
    </row>
    <row r="29067" spans="9:10" x14ac:dyDescent="0.35">
      <c r="I29067" s="63"/>
      <c r="J29067" s="63"/>
    </row>
    <row r="29068" spans="9:10" x14ac:dyDescent="0.35">
      <c r="I29068" s="63"/>
      <c r="J29068" s="63"/>
    </row>
    <row r="29069" spans="9:10" x14ac:dyDescent="0.35">
      <c r="I29069" s="63"/>
      <c r="J29069" s="63"/>
    </row>
    <row r="29070" spans="9:10" x14ac:dyDescent="0.35">
      <c r="I29070" s="63"/>
      <c r="J29070" s="63"/>
    </row>
    <row r="29071" spans="9:10" x14ac:dyDescent="0.35">
      <c r="I29071" s="63"/>
      <c r="J29071" s="63"/>
    </row>
    <row r="29072" spans="9:10" x14ac:dyDescent="0.35">
      <c r="I29072" s="63"/>
      <c r="J29072" s="63"/>
    </row>
    <row r="29073" spans="9:10" x14ac:dyDescent="0.35">
      <c r="I29073" s="63"/>
      <c r="J29073" s="63"/>
    </row>
    <row r="29074" spans="9:10" x14ac:dyDescent="0.35">
      <c r="I29074" s="63"/>
      <c r="J29074" s="63"/>
    </row>
    <row r="29075" spans="9:10" x14ac:dyDescent="0.35">
      <c r="I29075" s="63"/>
      <c r="J29075" s="63"/>
    </row>
    <row r="29076" spans="9:10" x14ac:dyDescent="0.35">
      <c r="I29076" s="63"/>
      <c r="J29076" s="63"/>
    </row>
    <row r="29077" spans="9:10" x14ac:dyDescent="0.35">
      <c r="I29077" s="63"/>
      <c r="J29077" s="63"/>
    </row>
    <row r="29078" spans="9:10" x14ac:dyDescent="0.35">
      <c r="I29078" s="63"/>
      <c r="J29078" s="63"/>
    </row>
    <row r="29079" spans="9:10" x14ac:dyDescent="0.35">
      <c r="I29079" s="63"/>
      <c r="J29079" s="63"/>
    </row>
    <row r="29080" spans="9:10" x14ac:dyDescent="0.35">
      <c r="I29080" s="63"/>
      <c r="J29080" s="63"/>
    </row>
    <row r="29081" spans="9:10" x14ac:dyDescent="0.35">
      <c r="I29081" s="63"/>
      <c r="J29081" s="63"/>
    </row>
    <row r="29082" spans="9:10" x14ac:dyDescent="0.35">
      <c r="I29082" s="63"/>
      <c r="J29082" s="63"/>
    </row>
    <row r="29083" spans="9:10" x14ac:dyDescent="0.35">
      <c r="I29083" s="63"/>
      <c r="J29083" s="63"/>
    </row>
    <row r="29084" spans="9:10" x14ac:dyDescent="0.35">
      <c r="I29084" s="63"/>
      <c r="J29084" s="63"/>
    </row>
    <row r="29085" spans="9:10" x14ac:dyDescent="0.35">
      <c r="I29085" s="63"/>
      <c r="J29085" s="63"/>
    </row>
    <row r="29086" spans="9:10" x14ac:dyDescent="0.35">
      <c r="I29086" s="63"/>
      <c r="J29086" s="63"/>
    </row>
    <row r="29087" spans="9:10" x14ac:dyDescent="0.35">
      <c r="I29087" s="63"/>
      <c r="J29087" s="63"/>
    </row>
    <row r="29088" spans="9:10" x14ac:dyDescent="0.35">
      <c r="I29088" s="63"/>
      <c r="J29088" s="63"/>
    </row>
    <row r="29089" spans="9:10" x14ac:dyDescent="0.35">
      <c r="I29089" s="63"/>
      <c r="J29089" s="63"/>
    </row>
    <row r="29090" spans="9:10" x14ac:dyDescent="0.35">
      <c r="I29090" s="63"/>
      <c r="J29090" s="63"/>
    </row>
    <row r="29091" spans="9:10" x14ac:dyDescent="0.35">
      <c r="I29091" s="63"/>
      <c r="J29091" s="63"/>
    </row>
    <row r="29092" spans="9:10" x14ac:dyDescent="0.35">
      <c r="I29092" s="63"/>
      <c r="J29092" s="63"/>
    </row>
    <row r="29093" spans="9:10" x14ac:dyDescent="0.35">
      <c r="I29093" s="63"/>
      <c r="J29093" s="63"/>
    </row>
    <row r="29094" spans="9:10" x14ac:dyDescent="0.35">
      <c r="I29094" s="63"/>
      <c r="J29094" s="63"/>
    </row>
    <row r="29095" spans="9:10" x14ac:dyDescent="0.35">
      <c r="I29095" s="63"/>
      <c r="J29095" s="63"/>
    </row>
    <row r="29096" spans="9:10" x14ac:dyDescent="0.35">
      <c r="I29096" s="63"/>
      <c r="J29096" s="63"/>
    </row>
    <row r="29097" spans="9:10" x14ac:dyDescent="0.35">
      <c r="I29097" s="63"/>
      <c r="J29097" s="63"/>
    </row>
    <row r="29098" spans="9:10" x14ac:dyDescent="0.35">
      <c r="I29098" s="63"/>
      <c r="J29098" s="63"/>
    </row>
    <row r="29099" spans="9:10" x14ac:dyDescent="0.35">
      <c r="I29099" s="63"/>
      <c r="J29099" s="63"/>
    </row>
    <row r="29100" spans="9:10" x14ac:dyDescent="0.35">
      <c r="I29100" s="63"/>
      <c r="J29100" s="63"/>
    </row>
    <row r="29101" spans="9:10" x14ac:dyDescent="0.35">
      <c r="I29101" s="63"/>
      <c r="J29101" s="63"/>
    </row>
    <row r="29102" spans="9:10" x14ac:dyDescent="0.35">
      <c r="I29102" s="63"/>
      <c r="J29102" s="63"/>
    </row>
    <row r="29103" spans="9:10" x14ac:dyDescent="0.35">
      <c r="I29103" s="63"/>
      <c r="J29103" s="63"/>
    </row>
    <row r="29104" spans="9:10" x14ac:dyDescent="0.35">
      <c r="I29104" s="63"/>
      <c r="J29104" s="63"/>
    </row>
    <row r="29105" spans="9:10" x14ac:dyDescent="0.35">
      <c r="I29105" s="63"/>
      <c r="J29105" s="63"/>
    </row>
    <row r="29106" spans="9:10" x14ac:dyDescent="0.35">
      <c r="I29106" s="63"/>
      <c r="J29106" s="63"/>
    </row>
    <row r="29107" spans="9:10" x14ac:dyDescent="0.35">
      <c r="I29107" s="63"/>
      <c r="J29107" s="63"/>
    </row>
    <row r="29108" spans="9:10" x14ac:dyDescent="0.35">
      <c r="I29108" s="63"/>
      <c r="J29108" s="63"/>
    </row>
    <row r="29109" spans="9:10" x14ac:dyDescent="0.35">
      <c r="I29109" s="63"/>
      <c r="J29109" s="63"/>
    </row>
    <row r="29110" spans="9:10" x14ac:dyDescent="0.35">
      <c r="I29110" s="63"/>
      <c r="J29110" s="63"/>
    </row>
    <row r="29111" spans="9:10" x14ac:dyDescent="0.35">
      <c r="I29111" s="63"/>
      <c r="J29111" s="63"/>
    </row>
    <row r="29112" spans="9:10" x14ac:dyDescent="0.35">
      <c r="I29112" s="63"/>
      <c r="J29112" s="63"/>
    </row>
    <row r="29113" spans="9:10" x14ac:dyDescent="0.35">
      <c r="I29113" s="63"/>
      <c r="J29113" s="63"/>
    </row>
    <row r="29114" spans="9:10" x14ac:dyDescent="0.35">
      <c r="I29114" s="63"/>
      <c r="J29114" s="63"/>
    </row>
    <row r="29115" spans="9:10" x14ac:dyDescent="0.35">
      <c r="I29115" s="63"/>
      <c r="J29115" s="63"/>
    </row>
    <row r="29116" spans="9:10" x14ac:dyDescent="0.35">
      <c r="I29116" s="63"/>
      <c r="J29116" s="63"/>
    </row>
    <row r="29117" spans="9:10" x14ac:dyDescent="0.35">
      <c r="I29117" s="63"/>
      <c r="J29117" s="63"/>
    </row>
    <row r="29118" spans="9:10" x14ac:dyDescent="0.35">
      <c r="I29118" s="63"/>
      <c r="J29118" s="63"/>
    </row>
    <row r="29119" spans="9:10" x14ac:dyDescent="0.35">
      <c r="I29119" s="63"/>
      <c r="J29119" s="63"/>
    </row>
    <row r="29120" spans="9:10" x14ac:dyDescent="0.35">
      <c r="I29120" s="63"/>
      <c r="J29120" s="63"/>
    </row>
    <row r="29121" spans="9:10" x14ac:dyDescent="0.35">
      <c r="I29121" s="63"/>
      <c r="J29121" s="63"/>
    </row>
    <row r="29122" spans="9:10" x14ac:dyDescent="0.35">
      <c r="I29122" s="63"/>
      <c r="J29122" s="63"/>
    </row>
    <row r="29123" spans="9:10" x14ac:dyDescent="0.35">
      <c r="I29123" s="63"/>
      <c r="J29123" s="63"/>
    </row>
    <row r="29124" spans="9:10" x14ac:dyDescent="0.35">
      <c r="I29124" s="63"/>
      <c r="J29124" s="63"/>
    </row>
    <row r="29125" spans="9:10" x14ac:dyDescent="0.35">
      <c r="I29125" s="63"/>
      <c r="J29125" s="63"/>
    </row>
    <row r="29126" spans="9:10" x14ac:dyDescent="0.35">
      <c r="I29126" s="63"/>
      <c r="J29126" s="63"/>
    </row>
    <row r="29127" spans="9:10" x14ac:dyDescent="0.35">
      <c r="I29127" s="63"/>
      <c r="J29127" s="63"/>
    </row>
    <row r="29128" spans="9:10" x14ac:dyDescent="0.35">
      <c r="I29128" s="63"/>
      <c r="J29128" s="63"/>
    </row>
    <row r="29129" spans="9:10" x14ac:dyDescent="0.35">
      <c r="I29129" s="63"/>
      <c r="J29129" s="63"/>
    </row>
    <row r="29130" spans="9:10" x14ac:dyDescent="0.35">
      <c r="I29130" s="63"/>
      <c r="J29130" s="63"/>
    </row>
    <row r="29131" spans="9:10" x14ac:dyDescent="0.35">
      <c r="I29131" s="63"/>
      <c r="J29131" s="63"/>
    </row>
    <row r="29132" spans="9:10" x14ac:dyDescent="0.35">
      <c r="I29132" s="63"/>
      <c r="J29132" s="63"/>
    </row>
    <row r="29133" spans="9:10" x14ac:dyDescent="0.35">
      <c r="I29133" s="63"/>
      <c r="J29133" s="63"/>
    </row>
    <row r="29134" spans="9:10" x14ac:dyDescent="0.35">
      <c r="I29134" s="63"/>
      <c r="J29134" s="63"/>
    </row>
    <row r="29135" spans="9:10" x14ac:dyDescent="0.35">
      <c r="I29135" s="63"/>
      <c r="J29135" s="63"/>
    </row>
    <row r="29136" spans="9:10" x14ac:dyDescent="0.35">
      <c r="I29136" s="63"/>
      <c r="J29136" s="63"/>
    </row>
    <row r="29137" spans="9:10" x14ac:dyDescent="0.35">
      <c r="I29137" s="63"/>
      <c r="J29137" s="63"/>
    </row>
    <row r="29138" spans="9:10" x14ac:dyDescent="0.35">
      <c r="I29138" s="63"/>
      <c r="J29138" s="63"/>
    </row>
    <row r="29139" spans="9:10" x14ac:dyDescent="0.35">
      <c r="I29139" s="63"/>
      <c r="J29139" s="63"/>
    </row>
    <row r="29140" spans="9:10" x14ac:dyDescent="0.35">
      <c r="I29140" s="63"/>
      <c r="J29140" s="63"/>
    </row>
    <row r="29141" spans="9:10" x14ac:dyDescent="0.35">
      <c r="I29141" s="63"/>
      <c r="J29141" s="63"/>
    </row>
    <row r="29142" spans="9:10" x14ac:dyDescent="0.35">
      <c r="I29142" s="63"/>
      <c r="J29142" s="63"/>
    </row>
    <row r="29143" spans="9:10" x14ac:dyDescent="0.35">
      <c r="I29143" s="63"/>
      <c r="J29143" s="63"/>
    </row>
    <row r="29144" spans="9:10" x14ac:dyDescent="0.35">
      <c r="I29144" s="63"/>
      <c r="J29144" s="63"/>
    </row>
    <row r="29145" spans="9:10" x14ac:dyDescent="0.35">
      <c r="I29145" s="63"/>
      <c r="J29145" s="63"/>
    </row>
    <row r="29146" spans="9:10" x14ac:dyDescent="0.35">
      <c r="I29146" s="63"/>
      <c r="J29146" s="63"/>
    </row>
    <row r="29147" spans="9:10" x14ac:dyDescent="0.35">
      <c r="I29147" s="63"/>
      <c r="J29147" s="63"/>
    </row>
    <row r="29148" spans="9:10" x14ac:dyDescent="0.35">
      <c r="I29148" s="63"/>
      <c r="J29148" s="63"/>
    </row>
    <row r="29149" spans="9:10" x14ac:dyDescent="0.35">
      <c r="I29149" s="63"/>
      <c r="J29149" s="63"/>
    </row>
    <row r="29150" spans="9:10" x14ac:dyDescent="0.35">
      <c r="I29150" s="63"/>
      <c r="J29150" s="63"/>
    </row>
    <row r="29151" spans="9:10" x14ac:dyDescent="0.35">
      <c r="I29151" s="63"/>
      <c r="J29151" s="63"/>
    </row>
    <row r="29152" spans="9:10" x14ac:dyDescent="0.35">
      <c r="I29152" s="63"/>
      <c r="J29152" s="63"/>
    </row>
    <row r="29153" spans="9:10" x14ac:dyDescent="0.35">
      <c r="I29153" s="63"/>
      <c r="J29153" s="63"/>
    </row>
    <row r="29154" spans="9:10" x14ac:dyDescent="0.35">
      <c r="I29154" s="63"/>
      <c r="J29154" s="63"/>
    </row>
    <row r="29155" spans="9:10" x14ac:dyDescent="0.35">
      <c r="I29155" s="63"/>
      <c r="J29155" s="63"/>
    </row>
    <row r="29156" spans="9:10" x14ac:dyDescent="0.35">
      <c r="I29156" s="63"/>
      <c r="J29156" s="63"/>
    </row>
    <row r="29157" spans="9:10" x14ac:dyDescent="0.35">
      <c r="I29157" s="63"/>
      <c r="J29157" s="63"/>
    </row>
    <row r="29158" spans="9:10" x14ac:dyDescent="0.35">
      <c r="I29158" s="63"/>
      <c r="J29158" s="63"/>
    </row>
    <row r="29159" spans="9:10" x14ac:dyDescent="0.35">
      <c r="I29159" s="63"/>
      <c r="J29159" s="63"/>
    </row>
    <row r="29160" spans="9:10" x14ac:dyDescent="0.35">
      <c r="I29160" s="63"/>
      <c r="J29160" s="63"/>
    </row>
    <row r="29161" spans="9:10" x14ac:dyDescent="0.35">
      <c r="I29161" s="63"/>
      <c r="J29161" s="63"/>
    </row>
    <row r="29162" spans="9:10" x14ac:dyDescent="0.35">
      <c r="I29162" s="63"/>
      <c r="J29162" s="63"/>
    </row>
    <row r="29163" spans="9:10" x14ac:dyDescent="0.35">
      <c r="I29163" s="63"/>
      <c r="J29163" s="63"/>
    </row>
    <row r="29164" spans="9:10" x14ac:dyDescent="0.35">
      <c r="I29164" s="63"/>
      <c r="J29164" s="63"/>
    </row>
    <row r="29165" spans="9:10" x14ac:dyDescent="0.35">
      <c r="I29165" s="63"/>
      <c r="J29165" s="63"/>
    </row>
    <row r="29166" spans="9:10" x14ac:dyDescent="0.35">
      <c r="I29166" s="63"/>
      <c r="J29166" s="63"/>
    </row>
    <row r="29167" spans="9:10" x14ac:dyDescent="0.35">
      <c r="I29167" s="63"/>
      <c r="J29167" s="63"/>
    </row>
    <row r="29168" spans="9:10" x14ac:dyDescent="0.35">
      <c r="I29168" s="63"/>
      <c r="J29168" s="63"/>
    </row>
    <row r="29169" spans="9:10" x14ac:dyDescent="0.35">
      <c r="I29169" s="63"/>
      <c r="J29169" s="63"/>
    </row>
    <row r="29170" spans="9:10" x14ac:dyDescent="0.35">
      <c r="I29170" s="63"/>
      <c r="J29170" s="63"/>
    </row>
    <row r="29171" spans="9:10" x14ac:dyDescent="0.35">
      <c r="I29171" s="63"/>
      <c r="J29171" s="63"/>
    </row>
    <row r="29172" spans="9:10" x14ac:dyDescent="0.35">
      <c r="I29172" s="63"/>
      <c r="J29172" s="63"/>
    </row>
    <row r="29173" spans="9:10" x14ac:dyDescent="0.35">
      <c r="I29173" s="63"/>
      <c r="J29173" s="63"/>
    </row>
    <row r="29174" spans="9:10" x14ac:dyDescent="0.35">
      <c r="I29174" s="63"/>
      <c r="J29174" s="63"/>
    </row>
    <row r="29175" spans="9:10" x14ac:dyDescent="0.35">
      <c r="I29175" s="63"/>
      <c r="J29175" s="63"/>
    </row>
    <row r="29176" spans="9:10" x14ac:dyDescent="0.35">
      <c r="I29176" s="63"/>
      <c r="J29176" s="63"/>
    </row>
    <row r="29177" spans="9:10" x14ac:dyDescent="0.35">
      <c r="I29177" s="63"/>
      <c r="J29177" s="63"/>
    </row>
    <row r="29178" spans="9:10" x14ac:dyDescent="0.35">
      <c r="I29178" s="63"/>
      <c r="J29178" s="63"/>
    </row>
    <row r="29179" spans="9:10" x14ac:dyDescent="0.35">
      <c r="I29179" s="63"/>
      <c r="J29179" s="63"/>
    </row>
    <row r="29180" spans="9:10" x14ac:dyDescent="0.35">
      <c r="I29180" s="63"/>
      <c r="J29180" s="63"/>
    </row>
    <row r="29181" spans="9:10" x14ac:dyDescent="0.35">
      <c r="I29181" s="63"/>
      <c r="J29181" s="63"/>
    </row>
    <row r="29182" spans="9:10" x14ac:dyDescent="0.35">
      <c r="I29182" s="63"/>
      <c r="J29182" s="63"/>
    </row>
    <row r="29183" spans="9:10" x14ac:dyDescent="0.35">
      <c r="I29183" s="63"/>
      <c r="J29183" s="63"/>
    </row>
    <row r="29184" spans="9:10" x14ac:dyDescent="0.35">
      <c r="I29184" s="63"/>
      <c r="J29184" s="63"/>
    </row>
    <row r="29185" spans="9:10" x14ac:dyDescent="0.35">
      <c r="I29185" s="63"/>
      <c r="J29185" s="63"/>
    </row>
    <row r="29186" spans="9:10" x14ac:dyDescent="0.35">
      <c r="I29186" s="63"/>
      <c r="J29186" s="63"/>
    </row>
    <row r="29187" spans="9:10" x14ac:dyDescent="0.35">
      <c r="I29187" s="63"/>
      <c r="J29187" s="63"/>
    </row>
    <row r="29188" spans="9:10" x14ac:dyDescent="0.35">
      <c r="I29188" s="63"/>
      <c r="J29188" s="63"/>
    </row>
    <row r="29189" spans="9:10" x14ac:dyDescent="0.35">
      <c r="I29189" s="63"/>
      <c r="J29189" s="63"/>
    </row>
    <row r="29190" spans="9:10" x14ac:dyDescent="0.35">
      <c r="I29190" s="63"/>
      <c r="J29190" s="63"/>
    </row>
    <row r="29191" spans="9:10" x14ac:dyDescent="0.35">
      <c r="I29191" s="63"/>
      <c r="J29191" s="63"/>
    </row>
    <row r="29192" spans="9:10" x14ac:dyDescent="0.35">
      <c r="I29192" s="63"/>
      <c r="J29192" s="63"/>
    </row>
    <row r="29193" spans="9:10" x14ac:dyDescent="0.35">
      <c r="I29193" s="63"/>
      <c r="J29193" s="63"/>
    </row>
    <row r="29194" spans="9:10" x14ac:dyDescent="0.35">
      <c r="I29194" s="63"/>
      <c r="J29194" s="63"/>
    </row>
    <row r="29195" spans="9:10" x14ac:dyDescent="0.35">
      <c r="I29195" s="63"/>
      <c r="J29195" s="63"/>
    </row>
    <row r="29196" spans="9:10" x14ac:dyDescent="0.35">
      <c r="I29196" s="63"/>
      <c r="J29196" s="63"/>
    </row>
    <row r="29197" spans="9:10" x14ac:dyDescent="0.35">
      <c r="I29197" s="63"/>
      <c r="J29197" s="63"/>
    </row>
    <row r="29198" spans="9:10" x14ac:dyDescent="0.35">
      <c r="I29198" s="63"/>
      <c r="J29198" s="63"/>
    </row>
    <row r="29199" spans="9:10" x14ac:dyDescent="0.35">
      <c r="I29199" s="63"/>
      <c r="J29199" s="63"/>
    </row>
    <row r="29200" spans="9:10" x14ac:dyDescent="0.35">
      <c r="I29200" s="63"/>
      <c r="J29200" s="63"/>
    </row>
    <row r="29201" spans="9:10" x14ac:dyDescent="0.35">
      <c r="I29201" s="63"/>
      <c r="J29201" s="63"/>
    </row>
    <row r="29202" spans="9:10" x14ac:dyDescent="0.35">
      <c r="I29202" s="63"/>
      <c r="J29202" s="63"/>
    </row>
    <row r="29203" spans="9:10" x14ac:dyDescent="0.35">
      <c r="I29203" s="63"/>
      <c r="J29203" s="63"/>
    </row>
    <row r="29204" spans="9:10" x14ac:dyDescent="0.35">
      <c r="I29204" s="63"/>
      <c r="J29204" s="63"/>
    </row>
    <row r="29205" spans="9:10" x14ac:dyDescent="0.35">
      <c r="I29205" s="63"/>
      <c r="J29205" s="63"/>
    </row>
    <row r="29206" spans="9:10" x14ac:dyDescent="0.35">
      <c r="I29206" s="63"/>
      <c r="J29206" s="63"/>
    </row>
    <row r="29207" spans="9:10" x14ac:dyDescent="0.35">
      <c r="I29207" s="63"/>
      <c r="J29207" s="63"/>
    </row>
    <row r="29208" spans="9:10" x14ac:dyDescent="0.35">
      <c r="I29208" s="63"/>
      <c r="J29208" s="63"/>
    </row>
    <row r="29209" spans="9:10" x14ac:dyDescent="0.35">
      <c r="I29209" s="63"/>
      <c r="J29209" s="63"/>
    </row>
    <row r="29210" spans="9:10" x14ac:dyDescent="0.35">
      <c r="I29210" s="63"/>
      <c r="J29210" s="63"/>
    </row>
    <row r="29211" spans="9:10" x14ac:dyDescent="0.35">
      <c r="I29211" s="63"/>
      <c r="J29211" s="63"/>
    </row>
    <row r="29212" spans="9:10" x14ac:dyDescent="0.35">
      <c r="I29212" s="63"/>
      <c r="J29212" s="63"/>
    </row>
    <row r="29213" spans="9:10" x14ac:dyDescent="0.35">
      <c r="I29213" s="63"/>
      <c r="J29213" s="63"/>
    </row>
    <row r="29214" spans="9:10" x14ac:dyDescent="0.35">
      <c r="I29214" s="63"/>
      <c r="J29214" s="63"/>
    </row>
    <row r="29215" spans="9:10" x14ac:dyDescent="0.35">
      <c r="I29215" s="63"/>
      <c r="J29215" s="63"/>
    </row>
    <row r="29216" spans="9:10" x14ac:dyDescent="0.35">
      <c r="I29216" s="63"/>
      <c r="J29216" s="63"/>
    </row>
    <row r="29217" spans="9:10" x14ac:dyDescent="0.35">
      <c r="I29217" s="63"/>
      <c r="J29217" s="63"/>
    </row>
    <row r="29218" spans="9:10" x14ac:dyDescent="0.35">
      <c r="I29218" s="63"/>
      <c r="J29218" s="63"/>
    </row>
    <row r="29219" spans="9:10" x14ac:dyDescent="0.35">
      <c r="I29219" s="63"/>
      <c r="J29219" s="63"/>
    </row>
    <row r="29220" spans="9:10" x14ac:dyDescent="0.35">
      <c r="I29220" s="63"/>
      <c r="J29220" s="63"/>
    </row>
    <row r="29221" spans="9:10" x14ac:dyDescent="0.35">
      <c r="I29221" s="63"/>
      <c r="J29221" s="63"/>
    </row>
    <row r="29222" spans="9:10" x14ac:dyDescent="0.35">
      <c r="I29222" s="63"/>
      <c r="J29222" s="63"/>
    </row>
    <row r="29223" spans="9:10" x14ac:dyDescent="0.35">
      <c r="I29223" s="63"/>
      <c r="J29223" s="63"/>
    </row>
    <row r="29224" spans="9:10" x14ac:dyDescent="0.35">
      <c r="I29224" s="63"/>
      <c r="J29224" s="63"/>
    </row>
    <row r="29225" spans="9:10" x14ac:dyDescent="0.35">
      <c r="I29225" s="63"/>
      <c r="J29225" s="63"/>
    </row>
    <row r="29226" spans="9:10" x14ac:dyDescent="0.35">
      <c r="I29226" s="63"/>
      <c r="J29226" s="63"/>
    </row>
    <row r="29227" spans="9:10" x14ac:dyDescent="0.35">
      <c r="I29227" s="63"/>
      <c r="J29227" s="63"/>
    </row>
    <row r="29228" spans="9:10" x14ac:dyDescent="0.35">
      <c r="I29228" s="63"/>
      <c r="J29228" s="63"/>
    </row>
    <row r="29229" spans="9:10" x14ac:dyDescent="0.35">
      <c r="I29229" s="63"/>
      <c r="J29229" s="63"/>
    </row>
    <row r="29230" spans="9:10" x14ac:dyDescent="0.35">
      <c r="I29230" s="63"/>
      <c r="J29230" s="63"/>
    </row>
    <row r="29231" spans="9:10" x14ac:dyDescent="0.35">
      <c r="I29231" s="63"/>
      <c r="J29231" s="63"/>
    </row>
    <row r="29232" spans="9:10" x14ac:dyDescent="0.35">
      <c r="I29232" s="63"/>
      <c r="J29232" s="63"/>
    </row>
    <row r="29233" spans="9:10" x14ac:dyDescent="0.35">
      <c r="I29233" s="63"/>
      <c r="J29233" s="63"/>
    </row>
    <row r="29234" spans="9:10" x14ac:dyDescent="0.35">
      <c r="I29234" s="63"/>
      <c r="J29234" s="63"/>
    </row>
    <row r="29235" spans="9:10" x14ac:dyDescent="0.35">
      <c r="I29235" s="63"/>
      <c r="J29235" s="63"/>
    </row>
    <row r="29236" spans="9:10" x14ac:dyDescent="0.35">
      <c r="I29236" s="63"/>
      <c r="J29236" s="63"/>
    </row>
    <row r="29237" spans="9:10" x14ac:dyDescent="0.35">
      <c r="I29237" s="63"/>
      <c r="J29237" s="63"/>
    </row>
    <row r="29238" spans="9:10" x14ac:dyDescent="0.35">
      <c r="I29238" s="63"/>
      <c r="J29238" s="63"/>
    </row>
    <row r="29239" spans="9:10" x14ac:dyDescent="0.35">
      <c r="I29239" s="63"/>
      <c r="J29239" s="63"/>
    </row>
    <row r="29240" spans="9:10" x14ac:dyDescent="0.35">
      <c r="I29240" s="63"/>
      <c r="J29240" s="63"/>
    </row>
    <row r="29241" spans="9:10" x14ac:dyDescent="0.35">
      <c r="I29241" s="63"/>
      <c r="J29241" s="63"/>
    </row>
    <row r="29242" spans="9:10" x14ac:dyDescent="0.35">
      <c r="I29242" s="63"/>
      <c r="J29242" s="63"/>
    </row>
    <row r="29243" spans="9:10" x14ac:dyDescent="0.35">
      <c r="I29243" s="63"/>
      <c r="J29243" s="63"/>
    </row>
    <row r="29244" spans="9:10" x14ac:dyDescent="0.35">
      <c r="I29244" s="63"/>
      <c r="J29244" s="63"/>
    </row>
    <row r="29245" spans="9:10" x14ac:dyDescent="0.35">
      <c r="I29245" s="63"/>
      <c r="J29245" s="63"/>
    </row>
    <row r="29246" spans="9:10" x14ac:dyDescent="0.35">
      <c r="I29246" s="63"/>
      <c r="J29246" s="63"/>
    </row>
    <row r="29247" spans="9:10" x14ac:dyDescent="0.35">
      <c r="I29247" s="63"/>
      <c r="J29247" s="63"/>
    </row>
    <row r="29248" spans="9:10" x14ac:dyDescent="0.35">
      <c r="I29248" s="63"/>
      <c r="J29248" s="63"/>
    </row>
    <row r="29249" spans="9:10" x14ac:dyDescent="0.35">
      <c r="I29249" s="63"/>
      <c r="J29249" s="63"/>
    </row>
    <row r="29250" spans="9:10" x14ac:dyDescent="0.35">
      <c r="I29250" s="63"/>
      <c r="J29250" s="63"/>
    </row>
    <row r="29251" spans="9:10" x14ac:dyDescent="0.35">
      <c r="I29251" s="63"/>
      <c r="J29251" s="63"/>
    </row>
    <row r="29252" spans="9:10" x14ac:dyDescent="0.35">
      <c r="I29252" s="63"/>
      <c r="J29252" s="63"/>
    </row>
    <row r="29253" spans="9:10" x14ac:dyDescent="0.35">
      <c r="I29253" s="63"/>
      <c r="J29253" s="63"/>
    </row>
    <row r="29254" spans="9:10" x14ac:dyDescent="0.35">
      <c r="I29254" s="63"/>
      <c r="J29254" s="63"/>
    </row>
    <row r="29255" spans="9:10" x14ac:dyDescent="0.35">
      <c r="I29255" s="63"/>
      <c r="J29255" s="63"/>
    </row>
    <row r="29256" spans="9:10" x14ac:dyDescent="0.35">
      <c r="I29256" s="63"/>
      <c r="J29256" s="63"/>
    </row>
    <row r="29257" spans="9:10" x14ac:dyDescent="0.35">
      <c r="I29257" s="63"/>
      <c r="J29257" s="63"/>
    </row>
    <row r="29258" spans="9:10" x14ac:dyDescent="0.35">
      <c r="I29258" s="63"/>
      <c r="J29258" s="63"/>
    </row>
    <row r="29259" spans="9:10" x14ac:dyDescent="0.35">
      <c r="I29259" s="63"/>
      <c r="J29259" s="63"/>
    </row>
    <row r="29260" spans="9:10" x14ac:dyDescent="0.35">
      <c r="I29260" s="63"/>
      <c r="J29260" s="63"/>
    </row>
    <row r="29261" spans="9:10" x14ac:dyDescent="0.35">
      <c r="I29261" s="63"/>
      <c r="J29261" s="63"/>
    </row>
    <row r="29262" spans="9:10" x14ac:dyDescent="0.35">
      <c r="I29262" s="63"/>
      <c r="J29262" s="63"/>
    </row>
    <row r="29263" spans="9:10" x14ac:dyDescent="0.35">
      <c r="I29263" s="63"/>
      <c r="J29263" s="63"/>
    </row>
    <row r="29264" spans="9:10" x14ac:dyDescent="0.35">
      <c r="I29264" s="63"/>
      <c r="J29264" s="63"/>
    </row>
    <row r="29265" spans="9:10" x14ac:dyDescent="0.35">
      <c r="I29265" s="63"/>
      <c r="J29265" s="63"/>
    </row>
    <row r="29266" spans="9:10" x14ac:dyDescent="0.35">
      <c r="I29266" s="63"/>
      <c r="J29266" s="63"/>
    </row>
    <row r="29267" spans="9:10" x14ac:dyDescent="0.35">
      <c r="I29267" s="63"/>
      <c r="J29267" s="63"/>
    </row>
    <row r="29268" spans="9:10" x14ac:dyDescent="0.35">
      <c r="I29268" s="63"/>
      <c r="J29268" s="63"/>
    </row>
    <row r="29269" spans="9:10" x14ac:dyDescent="0.35">
      <c r="I29269" s="63"/>
      <c r="J29269" s="63"/>
    </row>
    <row r="29270" spans="9:10" x14ac:dyDescent="0.35">
      <c r="I29270" s="63"/>
      <c r="J29270" s="63"/>
    </row>
    <row r="29271" spans="9:10" x14ac:dyDescent="0.35">
      <c r="I29271" s="63"/>
      <c r="J29271" s="63"/>
    </row>
    <row r="29272" spans="9:10" x14ac:dyDescent="0.35">
      <c r="I29272" s="63"/>
      <c r="J29272" s="63"/>
    </row>
    <row r="29273" spans="9:10" x14ac:dyDescent="0.35">
      <c r="I29273" s="63"/>
      <c r="J29273" s="63"/>
    </row>
    <row r="29274" spans="9:10" x14ac:dyDescent="0.35">
      <c r="I29274" s="63"/>
      <c r="J29274" s="63"/>
    </row>
    <row r="29275" spans="9:10" x14ac:dyDescent="0.35">
      <c r="I29275" s="63"/>
      <c r="J29275" s="63"/>
    </row>
    <row r="29276" spans="9:10" x14ac:dyDescent="0.35">
      <c r="I29276" s="63"/>
      <c r="J29276" s="63"/>
    </row>
    <row r="29277" spans="9:10" x14ac:dyDescent="0.35">
      <c r="I29277" s="63"/>
      <c r="J29277" s="63"/>
    </row>
    <row r="29278" spans="9:10" x14ac:dyDescent="0.35">
      <c r="I29278" s="63"/>
      <c r="J29278" s="63"/>
    </row>
    <row r="29279" spans="9:10" x14ac:dyDescent="0.35">
      <c r="I29279" s="63"/>
      <c r="J29279" s="63"/>
    </row>
    <row r="29280" spans="9:10" x14ac:dyDescent="0.35">
      <c r="I29280" s="63"/>
      <c r="J29280" s="63"/>
    </row>
    <row r="29281" spans="9:10" x14ac:dyDescent="0.35">
      <c r="I29281" s="63"/>
      <c r="J29281" s="63"/>
    </row>
    <row r="29282" spans="9:10" x14ac:dyDescent="0.35">
      <c r="I29282" s="63"/>
      <c r="J29282" s="63"/>
    </row>
    <row r="29283" spans="9:10" x14ac:dyDescent="0.35">
      <c r="I29283" s="63"/>
      <c r="J29283" s="63"/>
    </row>
    <row r="29284" spans="9:10" x14ac:dyDescent="0.35">
      <c r="I29284" s="63"/>
      <c r="J29284" s="63"/>
    </row>
    <row r="29285" spans="9:10" x14ac:dyDescent="0.35">
      <c r="I29285" s="63"/>
      <c r="J29285" s="63"/>
    </row>
    <row r="29286" spans="9:10" x14ac:dyDescent="0.35">
      <c r="I29286" s="63"/>
      <c r="J29286" s="63"/>
    </row>
    <row r="29287" spans="9:10" x14ac:dyDescent="0.35">
      <c r="I29287" s="63"/>
      <c r="J29287" s="63"/>
    </row>
    <row r="29288" spans="9:10" x14ac:dyDescent="0.35">
      <c r="I29288" s="63"/>
      <c r="J29288" s="63"/>
    </row>
    <row r="29289" spans="9:10" x14ac:dyDescent="0.35">
      <c r="I29289" s="63"/>
      <c r="J29289" s="63"/>
    </row>
    <row r="29290" spans="9:10" x14ac:dyDescent="0.35">
      <c r="I29290" s="63"/>
      <c r="J29290" s="63"/>
    </row>
    <row r="29291" spans="9:10" x14ac:dyDescent="0.35">
      <c r="I29291" s="63"/>
      <c r="J29291" s="63"/>
    </row>
    <row r="29292" spans="9:10" x14ac:dyDescent="0.35">
      <c r="I29292" s="63"/>
      <c r="J29292" s="63"/>
    </row>
    <row r="29293" spans="9:10" x14ac:dyDescent="0.35">
      <c r="I29293" s="63"/>
      <c r="J29293" s="63"/>
    </row>
    <row r="29294" spans="9:10" x14ac:dyDescent="0.35">
      <c r="I29294" s="63"/>
      <c r="J29294" s="63"/>
    </row>
    <row r="29295" spans="9:10" x14ac:dyDescent="0.35">
      <c r="I29295" s="63"/>
      <c r="J29295" s="63"/>
    </row>
    <row r="29296" spans="9:10" x14ac:dyDescent="0.35">
      <c r="I29296" s="63"/>
      <c r="J29296" s="63"/>
    </row>
    <row r="29297" spans="9:10" x14ac:dyDescent="0.35">
      <c r="I29297" s="63"/>
      <c r="J29297" s="63"/>
    </row>
    <row r="29298" spans="9:10" x14ac:dyDescent="0.35">
      <c r="I29298" s="63"/>
      <c r="J29298" s="63"/>
    </row>
    <row r="29299" spans="9:10" x14ac:dyDescent="0.35">
      <c r="I29299" s="63"/>
      <c r="J29299" s="63"/>
    </row>
    <row r="29300" spans="9:10" x14ac:dyDescent="0.35">
      <c r="I29300" s="63"/>
      <c r="J29300" s="63"/>
    </row>
    <row r="29301" spans="9:10" x14ac:dyDescent="0.35">
      <c r="I29301" s="63"/>
      <c r="J29301" s="63"/>
    </row>
    <row r="29302" spans="9:10" x14ac:dyDescent="0.35">
      <c r="I29302" s="63"/>
      <c r="J29302" s="63"/>
    </row>
    <row r="29303" spans="9:10" x14ac:dyDescent="0.35">
      <c r="I29303" s="63"/>
      <c r="J29303" s="63"/>
    </row>
    <row r="29304" spans="9:10" x14ac:dyDescent="0.35">
      <c r="I29304" s="63"/>
      <c r="J29304" s="63"/>
    </row>
    <row r="29305" spans="9:10" x14ac:dyDescent="0.35">
      <c r="I29305" s="63"/>
      <c r="J29305" s="63"/>
    </row>
    <row r="29306" spans="9:10" x14ac:dyDescent="0.35">
      <c r="I29306" s="63"/>
      <c r="J29306" s="63"/>
    </row>
    <row r="29307" spans="9:10" x14ac:dyDescent="0.35">
      <c r="I29307" s="63"/>
      <c r="J29307" s="63"/>
    </row>
    <row r="29308" spans="9:10" x14ac:dyDescent="0.35">
      <c r="I29308" s="63"/>
      <c r="J29308" s="63"/>
    </row>
    <row r="29309" spans="9:10" x14ac:dyDescent="0.35">
      <c r="I29309" s="63"/>
      <c r="J29309" s="63"/>
    </row>
    <row r="29310" spans="9:10" x14ac:dyDescent="0.35">
      <c r="I29310" s="63"/>
      <c r="J29310" s="63"/>
    </row>
    <row r="29311" spans="9:10" x14ac:dyDescent="0.35">
      <c r="I29311" s="63"/>
      <c r="J29311" s="63"/>
    </row>
    <row r="29312" spans="9:10" x14ac:dyDescent="0.35">
      <c r="I29312" s="63"/>
      <c r="J29312" s="63"/>
    </row>
    <row r="29313" spans="9:10" x14ac:dyDescent="0.35">
      <c r="I29313" s="63"/>
      <c r="J29313" s="63"/>
    </row>
    <row r="29314" spans="9:10" x14ac:dyDescent="0.35">
      <c r="I29314" s="63"/>
      <c r="J29314" s="63"/>
    </row>
    <row r="29315" spans="9:10" x14ac:dyDescent="0.35">
      <c r="I29315" s="63"/>
      <c r="J29315" s="63"/>
    </row>
    <row r="29316" spans="9:10" x14ac:dyDescent="0.35">
      <c r="I29316" s="63"/>
      <c r="J29316" s="63"/>
    </row>
    <row r="29317" spans="9:10" x14ac:dyDescent="0.35">
      <c r="I29317" s="63"/>
      <c r="J29317" s="63"/>
    </row>
    <row r="29318" spans="9:10" x14ac:dyDescent="0.35">
      <c r="I29318" s="63"/>
      <c r="J29318" s="63"/>
    </row>
    <row r="29319" spans="9:10" x14ac:dyDescent="0.35">
      <c r="I29319" s="63"/>
      <c r="J29319" s="63"/>
    </row>
    <row r="29320" spans="9:10" x14ac:dyDescent="0.35">
      <c r="I29320" s="63"/>
      <c r="J29320" s="63"/>
    </row>
    <row r="29321" spans="9:10" x14ac:dyDescent="0.35">
      <c r="I29321" s="63"/>
      <c r="J29321" s="63"/>
    </row>
    <row r="29322" spans="9:10" x14ac:dyDescent="0.35">
      <c r="I29322" s="63"/>
      <c r="J29322" s="63"/>
    </row>
    <row r="29323" spans="9:10" x14ac:dyDescent="0.35">
      <c r="I29323" s="63"/>
      <c r="J29323" s="63"/>
    </row>
    <row r="29324" spans="9:10" x14ac:dyDescent="0.35">
      <c r="I29324" s="63"/>
      <c r="J29324" s="63"/>
    </row>
    <row r="29325" spans="9:10" x14ac:dyDescent="0.35">
      <c r="I29325" s="63"/>
      <c r="J29325" s="63"/>
    </row>
    <row r="29326" spans="9:10" x14ac:dyDescent="0.35">
      <c r="I29326" s="63"/>
      <c r="J29326" s="63"/>
    </row>
    <row r="29327" spans="9:10" x14ac:dyDescent="0.35">
      <c r="I29327" s="63"/>
      <c r="J29327" s="63"/>
    </row>
    <row r="29328" spans="9:10" x14ac:dyDescent="0.35">
      <c r="I29328" s="63"/>
      <c r="J29328" s="63"/>
    </row>
    <row r="29329" spans="9:10" x14ac:dyDescent="0.35">
      <c r="I29329" s="63"/>
      <c r="J29329" s="63"/>
    </row>
    <row r="29330" spans="9:10" x14ac:dyDescent="0.35">
      <c r="I29330" s="63"/>
      <c r="J29330" s="63"/>
    </row>
    <row r="29331" spans="9:10" x14ac:dyDescent="0.35">
      <c r="I29331" s="63"/>
      <c r="J29331" s="63"/>
    </row>
    <row r="29332" spans="9:10" x14ac:dyDescent="0.35">
      <c r="I29332" s="63"/>
      <c r="J29332" s="63"/>
    </row>
    <row r="29333" spans="9:10" x14ac:dyDescent="0.35">
      <c r="I29333" s="63"/>
      <c r="J29333" s="63"/>
    </row>
    <row r="29334" spans="9:10" x14ac:dyDescent="0.35">
      <c r="I29334" s="63"/>
      <c r="J29334" s="63"/>
    </row>
    <row r="29335" spans="9:10" x14ac:dyDescent="0.35">
      <c r="I29335" s="63"/>
      <c r="J29335" s="63"/>
    </row>
    <row r="29336" spans="9:10" x14ac:dyDescent="0.35">
      <c r="I29336" s="63"/>
      <c r="J29336" s="63"/>
    </row>
    <row r="29337" spans="9:10" x14ac:dyDescent="0.35">
      <c r="I29337" s="63"/>
      <c r="J29337" s="63"/>
    </row>
    <row r="29338" spans="9:10" x14ac:dyDescent="0.35">
      <c r="I29338" s="63"/>
      <c r="J29338" s="63"/>
    </row>
    <row r="29339" spans="9:10" x14ac:dyDescent="0.35">
      <c r="I29339" s="63"/>
      <c r="J29339" s="63"/>
    </row>
    <row r="29340" spans="9:10" x14ac:dyDescent="0.35">
      <c r="I29340" s="63"/>
      <c r="J29340" s="63"/>
    </row>
    <row r="29341" spans="9:10" x14ac:dyDescent="0.35">
      <c r="I29341" s="63"/>
      <c r="J29341" s="63"/>
    </row>
    <row r="29342" spans="9:10" x14ac:dyDescent="0.35">
      <c r="I29342" s="63"/>
      <c r="J29342" s="63"/>
    </row>
    <row r="29343" spans="9:10" x14ac:dyDescent="0.35">
      <c r="I29343" s="63"/>
      <c r="J29343" s="63"/>
    </row>
    <row r="29344" spans="9:10" x14ac:dyDescent="0.35">
      <c r="I29344" s="63"/>
      <c r="J29344" s="63"/>
    </row>
    <row r="29345" spans="9:10" x14ac:dyDescent="0.35">
      <c r="I29345" s="63"/>
      <c r="J29345" s="63"/>
    </row>
    <row r="29346" spans="9:10" x14ac:dyDescent="0.35">
      <c r="I29346" s="63"/>
      <c r="J29346" s="63"/>
    </row>
    <row r="29347" spans="9:10" x14ac:dyDescent="0.35">
      <c r="I29347" s="63"/>
      <c r="J29347" s="63"/>
    </row>
    <row r="29348" spans="9:10" x14ac:dyDescent="0.35">
      <c r="I29348" s="63"/>
      <c r="J29348" s="63"/>
    </row>
    <row r="29349" spans="9:10" x14ac:dyDescent="0.35">
      <c r="I29349" s="63"/>
      <c r="J29349" s="63"/>
    </row>
    <row r="29350" spans="9:10" x14ac:dyDescent="0.35">
      <c r="I29350" s="63"/>
      <c r="J29350" s="63"/>
    </row>
    <row r="29351" spans="9:10" x14ac:dyDescent="0.35">
      <c r="I29351" s="63"/>
      <c r="J29351" s="63"/>
    </row>
    <row r="29352" spans="9:10" x14ac:dyDescent="0.35">
      <c r="I29352" s="63"/>
      <c r="J29352" s="63"/>
    </row>
    <row r="29353" spans="9:10" x14ac:dyDescent="0.35">
      <c r="I29353" s="63"/>
      <c r="J29353" s="63"/>
    </row>
    <row r="29354" spans="9:10" x14ac:dyDescent="0.35">
      <c r="I29354" s="63"/>
      <c r="J29354" s="63"/>
    </row>
    <row r="29355" spans="9:10" x14ac:dyDescent="0.35">
      <c r="I29355" s="63"/>
      <c r="J29355" s="63"/>
    </row>
    <row r="29356" spans="9:10" x14ac:dyDescent="0.35">
      <c r="I29356" s="63"/>
      <c r="J29356" s="63"/>
    </row>
    <row r="29357" spans="9:10" x14ac:dyDescent="0.35">
      <c r="I29357" s="63"/>
      <c r="J29357" s="63"/>
    </row>
    <row r="29358" spans="9:10" x14ac:dyDescent="0.35">
      <c r="I29358" s="63"/>
      <c r="J29358" s="63"/>
    </row>
    <row r="29359" spans="9:10" x14ac:dyDescent="0.35">
      <c r="I29359" s="63"/>
      <c r="J29359" s="63"/>
    </row>
    <row r="29360" spans="9:10" x14ac:dyDescent="0.35">
      <c r="I29360" s="63"/>
      <c r="J29360" s="63"/>
    </row>
    <row r="29361" spans="9:10" x14ac:dyDescent="0.35">
      <c r="I29361" s="63"/>
      <c r="J29361" s="63"/>
    </row>
    <row r="29362" spans="9:10" x14ac:dyDescent="0.35">
      <c r="I29362" s="63"/>
      <c r="J29362" s="63"/>
    </row>
    <row r="29363" spans="9:10" x14ac:dyDescent="0.35">
      <c r="I29363" s="63"/>
      <c r="J29363" s="63"/>
    </row>
    <row r="29364" spans="9:10" x14ac:dyDescent="0.35">
      <c r="I29364" s="63"/>
      <c r="J29364" s="63"/>
    </row>
    <row r="29365" spans="9:10" x14ac:dyDescent="0.35">
      <c r="I29365" s="63"/>
      <c r="J29365" s="63"/>
    </row>
    <row r="29366" spans="9:10" x14ac:dyDescent="0.35">
      <c r="I29366" s="63"/>
      <c r="J29366" s="63"/>
    </row>
    <row r="29367" spans="9:10" x14ac:dyDescent="0.35">
      <c r="I29367" s="63"/>
      <c r="J29367" s="63"/>
    </row>
    <row r="29368" spans="9:10" x14ac:dyDescent="0.35">
      <c r="I29368" s="63"/>
      <c r="J29368" s="63"/>
    </row>
    <row r="29369" spans="9:10" x14ac:dyDescent="0.35">
      <c r="I29369" s="63"/>
      <c r="J29369" s="63"/>
    </row>
    <row r="29370" spans="9:10" x14ac:dyDescent="0.35">
      <c r="I29370" s="63"/>
      <c r="J29370" s="63"/>
    </row>
    <row r="29371" spans="9:10" x14ac:dyDescent="0.35">
      <c r="I29371" s="63"/>
      <c r="J29371" s="63"/>
    </row>
    <row r="29372" spans="9:10" x14ac:dyDescent="0.35">
      <c r="I29372" s="63"/>
      <c r="J29372" s="63"/>
    </row>
    <row r="29373" spans="9:10" x14ac:dyDescent="0.35">
      <c r="I29373" s="63"/>
      <c r="J29373" s="63"/>
    </row>
    <row r="29374" spans="9:10" x14ac:dyDescent="0.35">
      <c r="I29374" s="63"/>
      <c r="J29374" s="63"/>
    </row>
    <row r="29375" spans="9:10" x14ac:dyDescent="0.35">
      <c r="I29375" s="63"/>
      <c r="J29375" s="63"/>
    </row>
    <row r="29376" spans="9:10" x14ac:dyDescent="0.35">
      <c r="I29376" s="63"/>
      <c r="J29376" s="63"/>
    </row>
    <row r="29377" spans="9:10" x14ac:dyDescent="0.35">
      <c r="I29377" s="63"/>
      <c r="J29377" s="63"/>
    </row>
    <row r="29378" spans="9:10" x14ac:dyDescent="0.35">
      <c r="I29378" s="63"/>
      <c r="J29378" s="63"/>
    </row>
    <row r="29379" spans="9:10" x14ac:dyDescent="0.35">
      <c r="I29379" s="63"/>
      <c r="J29379" s="63"/>
    </row>
    <row r="29380" spans="9:10" x14ac:dyDescent="0.35">
      <c r="I29380" s="63"/>
      <c r="J29380" s="63"/>
    </row>
    <row r="29381" spans="9:10" x14ac:dyDescent="0.35">
      <c r="I29381" s="63"/>
      <c r="J29381" s="63"/>
    </row>
    <row r="29382" spans="9:10" x14ac:dyDescent="0.35">
      <c r="I29382" s="63"/>
      <c r="J29382" s="63"/>
    </row>
    <row r="29383" spans="9:10" x14ac:dyDescent="0.35">
      <c r="I29383" s="63"/>
      <c r="J29383" s="63"/>
    </row>
    <row r="29384" spans="9:10" x14ac:dyDescent="0.35">
      <c r="I29384" s="63"/>
      <c r="J29384" s="63"/>
    </row>
    <row r="29385" spans="9:10" x14ac:dyDescent="0.35">
      <c r="I29385" s="63"/>
      <c r="J29385" s="63"/>
    </row>
    <row r="29386" spans="9:10" x14ac:dyDescent="0.35">
      <c r="I29386" s="63"/>
      <c r="J29386" s="63"/>
    </row>
    <row r="29387" spans="9:10" x14ac:dyDescent="0.35">
      <c r="I29387" s="63"/>
      <c r="J29387" s="63"/>
    </row>
    <row r="29388" spans="9:10" x14ac:dyDescent="0.35">
      <c r="I29388" s="63"/>
      <c r="J29388" s="63"/>
    </row>
    <row r="29389" spans="9:10" x14ac:dyDescent="0.35">
      <c r="I29389" s="63"/>
      <c r="J29389" s="63"/>
    </row>
    <row r="29390" spans="9:10" x14ac:dyDescent="0.35">
      <c r="I29390" s="63"/>
      <c r="J29390" s="63"/>
    </row>
    <row r="29391" spans="9:10" x14ac:dyDescent="0.35">
      <c r="I29391" s="63"/>
      <c r="J29391" s="63"/>
    </row>
    <row r="29392" spans="9:10" x14ac:dyDescent="0.35">
      <c r="I29392" s="63"/>
      <c r="J29392" s="63"/>
    </row>
    <row r="29393" spans="9:10" x14ac:dyDescent="0.35">
      <c r="I29393" s="63"/>
      <c r="J29393" s="63"/>
    </row>
    <row r="29394" spans="9:10" x14ac:dyDescent="0.35">
      <c r="I29394" s="63"/>
      <c r="J29394" s="63"/>
    </row>
    <row r="29395" spans="9:10" x14ac:dyDescent="0.35">
      <c r="I29395" s="63"/>
      <c r="J29395" s="63"/>
    </row>
    <row r="29396" spans="9:10" x14ac:dyDescent="0.35">
      <c r="I29396" s="63"/>
      <c r="J29396" s="63"/>
    </row>
    <row r="29397" spans="9:10" x14ac:dyDescent="0.35">
      <c r="I29397" s="63"/>
      <c r="J29397" s="63"/>
    </row>
    <row r="29398" spans="9:10" x14ac:dyDescent="0.35">
      <c r="I29398" s="63"/>
      <c r="J29398" s="63"/>
    </row>
    <row r="29399" spans="9:10" x14ac:dyDescent="0.35">
      <c r="I29399" s="63"/>
      <c r="J29399" s="63"/>
    </row>
    <row r="29400" spans="9:10" x14ac:dyDescent="0.35">
      <c r="I29400" s="63"/>
      <c r="J29400" s="63"/>
    </row>
    <row r="29401" spans="9:10" x14ac:dyDescent="0.35">
      <c r="I29401" s="63"/>
      <c r="J29401" s="63"/>
    </row>
    <row r="29402" spans="9:10" x14ac:dyDescent="0.35">
      <c r="I29402" s="63"/>
      <c r="J29402" s="63"/>
    </row>
    <row r="29403" spans="9:10" x14ac:dyDescent="0.35">
      <c r="I29403" s="63"/>
      <c r="J29403" s="63"/>
    </row>
    <row r="29404" spans="9:10" x14ac:dyDescent="0.35">
      <c r="I29404" s="63"/>
      <c r="J29404" s="63"/>
    </row>
    <row r="29405" spans="9:10" x14ac:dyDescent="0.35">
      <c r="I29405" s="63"/>
      <c r="J29405" s="63"/>
    </row>
    <row r="29406" spans="9:10" x14ac:dyDescent="0.35">
      <c r="I29406" s="63"/>
      <c r="J29406" s="63"/>
    </row>
    <row r="29407" spans="9:10" x14ac:dyDescent="0.35">
      <c r="I29407" s="63"/>
      <c r="J29407" s="63"/>
    </row>
    <row r="29408" spans="9:10" x14ac:dyDescent="0.35">
      <c r="I29408" s="63"/>
      <c r="J29408" s="63"/>
    </row>
    <row r="29409" spans="9:10" x14ac:dyDescent="0.35">
      <c r="I29409" s="63"/>
      <c r="J29409" s="63"/>
    </row>
    <row r="29410" spans="9:10" x14ac:dyDescent="0.35">
      <c r="I29410" s="63"/>
      <c r="J29410" s="63"/>
    </row>
    <row r="29411" spans="9:10" x14ac:dyDescent="0.35">
      <c r="I29411" s="63"/>
      <c r="J29411" s="63"/>
    </row>
    <row r="29412" spans="9:10" x14ac:dyDescent="0.35">
      <c r="I29412" s="63"/>
      <c r="J29412" s="63"/>
    </row>
    <row r="29413" spans="9:10" x14ac:dyDescent="0.35">
      <c r="I29413" s="63"/>
      <c r="J29413" s="63"/>
    </row>
    <row r="29414" spans="9:10" x14ac:dyDescent="0.35">
      <c r="I29414" s="63"/>
      <c r="J29414" s="63"/>
    </row>
    <row r="29415" spans="9:10" x14ac:dyDescent="0.35">
      <c r="I29415" s="63"/>
      <c r="J29415" s="63"/>
    </row>
    <row r="29416" spans="9:10" x14ac:dyDescent="0.35">
      <c r="I29416" s="63"/>
      <c r="J29416" s="63"/>
    </row>
    <row r="29417" spans="9:10" x14ac:dyDescent="0.35">
      <c r="I29417" s="63"/>
      <c r="J29417" s="63"/>
    </row>
    <row r="29418" spans="9:10" x14ac:dyDescent="0.35">
      <c r="I29418" s="63"/>
      <c r="J29418" s="63"/>
    </row>
    <row r="29419" spans="9:10" x14ac:dyDescent="0.35">
      <c r="I29419" s="63"/>
      <c r="J29419" s="63"/>
    </row>
    <row r="29420" spans="9:10" x14ac:dyDescent="0.35">
      <c r="I29420" s="63"/>
      <c r="J29420" s="63"/>
    </row>
    <row r="29421" spans="9:10" x14ac:dyDescent="0.35">
      <c r="I29421" s="63"/>
      <c r="J29421" s="63"/>
    </row>
    <row r="29422" spans="9:10" x14ac:dyDescent="0.35">
      <c r="I29422" s="63"/>
      <c r="J29422" s="63"/>
    </row>
    <row r="29423" spans="9:10" x14ac:dyDescent="0.35">
      <c r="I29423" s="63"/>
      <c r="J29423" s="63"/>
    </row>
    <row r="29424" spans="9:10" x14ac:dyDescent="0.35">
      <c r="I29424" s="63"/>
      <c r="J29424" s="63"/>
    </row>
    <row r="29425" spans="9:10" x14ac:dyDescent="0.35">
      <c r="I29425" s="63"/>
      <c r="J29425" s="63"/>
    </row>
    <row r="29426" spans="9:10" x14ac:dyDescent="0.35">
      <c r="I29426" s="63"/>
      <c r="J29426" s="63"/>
    </row>
    <row r="29427" spans="9:10" x14ac:dyDescent="0.35">
      <c r="I29427" s="63"/>
      <c r="J29427" s="63"/>
    </row>
    <row r="29428" spans="9:10" x14ac:dyDescent="0.35">
      <c r="I29428" s="63"/>
      <c r="J29428" s="63"/>
    </row>
    <row r="29429" spans="9:10" x14ac:dyDescent="0.35">
      <c r="I29429" s="63"/>
      <c r="J29429" s="63"/>
    </row>
    <row r="29430" spans="9:10" x14ac:dyDescent="0.35">
      <c r="I29430" s="63"/>
      <c r="J29430" s="63"/>
    </row>
    <row r="29431" spans="9:10" x14ac:dyDescent="0.35">
      <c r="I29431" s="63"/>
      <c r="J29431" s="63"/>
    </row>
    <row r="29432" spans="9:10" x14ac:dyDescent="0.35">
      <c r="I29432" s="63"/>
      <c r="J29432" s="63"/>
    </row>
    <row r="29433" spans="9:10" x14ac:dyDescent="0.35">
      <c r="I29433" s="63"/>
      <c r="J29433" s="63"/>
    </row>
    <row r="29434" spans="9:10" x14ac:dyDescent="0.35">
      <c r="I29434" s="63"/>
      <c r="J29434" s="63"/>
    </row>
    <row r="29435" spans="9:10" x14ac:dyDescent="0.35">
      <c r="I29435" s="63"/>
      <c r="J29435" s="63"/>
    </row>
    <row r="29436" spans="9:10" x14ac:dyDescent="0.35">
      <c r="I29436" s="63"/>
      <c r="J29436" s="63"/>
    </row>
    <row r="29437" spans="9:10" x14ac:dyDescent="0.35">
      <c r="I29437" s="63"/>
      <c r="J29437" s="63"/>
    </row>
    <row r="29438" spans="9:10" x14ac:dyDescent="0.35">
      <c r="I29438" s="63"/>
      <c r="J29438" s="63"/>
    </row>
    <row r="29439" spans="9:10" x14ac:dyDescent="0.35">
      <c r="I29439" s="63"/>
      <c r="J29439" s="63"/>
    </row>
    <row r="29440" spans="9:10" x14ac:dyDescent="0.35">
      <c r="I29440" s="63"/>
      <c r="J29440" s="63"/>
    </row>
    <row r="29441" spans="9:10" x14ac:dyDescent="0.35">
      <c r="I29441" s="63"/>
      <c r="J29441" s="63"/>
    </row>
    <row r="29442" spans="9:10" x14ac:dyDescent="0.35">
      <c r="I29442" s="63"/>
      <c r="J29442" s="63"/>
    </row>
    <row r="29443" spans="9:10" x14ac:dyDescent="0.35">
      <c r="I29443" s="63"/>
      <c r="J29443" s="63"/>
    </row>
    <row r="29444" spans="9:10" x14ac:dyDescent="0.35">
      <c r="I29444" s="63"/>
      <c r="J29444" s="63"/>
    </row>
    <row r="29445" spans="9:10" x14ac:dyDescent="0.35">
      <c r="I29445" s="63"/>
      <c r="J29445" s="63"/>
    </row>
    <row r="29446" spans="9:10" x14ac:dyDescent="0.35">
      <c r="I29446" s="63"/>
      <c r="J29446" s="63"/>
    </row>
    <row r="29447" spans="9:10" x14ac:dyDescent="0.35">
      <c r="I29447" s="63"/>
      <c r="J29447" s="63"/>
    </row>
    <row r="29448" spans="9:10" x14ac:dyDescent="0.35">
      <c r="I29448" s="63"/>
      <c r="J29448" s="63"/>
    </row>
    <row r="29449" spans="9:10" x14ac:dyDescent="0.35">
      <c r="I29449" s="63"/>
      <c r="J29449" s="63"/>
    </row>
    <row r="29450" spans="9:10" x14ac:dyDescent="0.35">
      <c r="I29450" s="63"/>
      <c r="J29450" s="63"/>
    </row>
    <row r="29451" spans="9:10" x14ac:dyDescent="0.35">
      <c r="I29451" s="63"/>
      <c r="J29451" s="63"/>
    </row>
    <row r="29452" spans="9:10" x14ac:dyDescent="0.35">
      <c r="I29452" s="63"/>
      <c r="J29452" s="63"/>
    </row>
    <row r="29453" spans="9:10" x14ac:dyDescent="0.35">
      <c r="I29453" s="63"/>
      <c r="J29453" s="63"/>
    </row>
    <row r="29454" spans="9:10" x14ac:dyDescent="0.35">
      <c r="I29454" s="63"/>
      <c r="J29454" s="63"/>
    </row>
    <row r="29455" spans="9:10" x14ac:dyDescent="0.35">
      <c r="I29455" s="63"/>
      <c r="J29455" s="63"/>
    </row>
    <row r="29456" spans="9:10" x14ac:dyDescent="0.35">
      <c r="I29456" s="63"/>
      <c r="J29456" s="63"/>
    </row>
    <row r="29457" spans="9:10" x14ac:dyDescent="0.35">
      <c r="I29457" s="63"/>
      <c r="J29457" s="63"/>
    </row>
    <row r="29458" spans="9:10" x14ac:dyDescent="0.35">
      <c r="I29458" s="63"/>
      <c r="J29458" s="63"/>
    </row>
    <row r="29459" spans="9:10" x14ac:dyDescent="0.35">
      <c r="I29459" s="63"/>
      <c r="J29459" s="63"/>
    </row>
    <row r="29460" spans="9:10" x14ac:dyDescent="0.35">
      <c r="I29460" s="63"/>
      <c r="J29460" s="63"/>
    </row>
    <row r="29461" spans="9:10" x14ac:dyDescent="0.35">
      <c r="I29461" s="63"/>
      <c r="J29461" s="63"/>
    </row>
    <row r="29462" spans="9:10" x14ac:dyDescent="0.35">
      <c r="I29462" s="63"/>
      <c r="J29462" s="63"/>
    </row>
    <row r="29463" spans="9:10" x14ac:dyDescent="0.35">
      <c r="I29463" s="63"/>
      <c r="J29463" s="63"/>
    </row>
    <row r="29464" spans="9:10" x14ac:dyDescent="0.35">
      <c r="I29464" s="63"/>
      <c r="J29464" s="63"/>
    </row>
    <row r="29465" spans="9:10" x14ac:dyDescent="0.35">
      <c r="I29465" s="63"/>
      <c r="J29465" s="63"/>
    </row>
    <row r="29466" spans="9:10" x14ac:dyDescent="0.35">
      <c r="I29466" s="63"/>
      <c r="J29466" s="63"/>
    </row>
    <row r="29467" spans="9:10" x14ac:dyDescent="0.35">
      <c r="I29467" s="63"/>
      <c r="J29467" s="63"/>
    </row>
    <row r="29468" spans="9:10" x14ac:dyDescent="0.35">
      <c r="I29468" s="63"/>
      <c r="J29468" s="63"/>
    </row>
    <row r="29469" spans="9:10" x14ac:dyDescent="0.35">
      <c r="I29469" s="63"/>
      <c r="J29469" s="63"/>
    </row>
    <row r="29470" spans="9:10" x14ac:dyDescent="0.35">
      <c r="I29470" s="63"/>
      <c r="J29470" s="63"/>
    </row>
    <row r="29471" spans="9:10" x14ac:dyDescent="0.35">
      <c r="I29471" s="63"/>
      <c r="J29471" s="63"/>
    </row>
    <row r="29472" spans="9:10" x14ac:dyDescent="0.35">
      <c r="I29472" s="63"/>
      <c r="J29472" s="63"/>
    </row>
    <row r="29473" spans="9:10" x14ac:dyDescent="0.35">
      <c r="I29473" s="63"/>
      <c r="J29473" s="63"/>
    </row>
    <row r="29474" spans="9:10" x14ac:dyDescent="0.35">
      <c r="I29474" s="63"/>
      <c r="J29474" s="63"/>
    </row>
    <row r="29475" spans="9:10" x14ac:dyDescent="0.35">
      <c r="I29475" s="63"/>
      <c r="J29475" s="63"/>
    </row>
    <row r="29476" spans="9:10" x14ac:dyDescent="0.35">
      <c r="I29476" s="63"/>
      <c r="J29476" s="63"/>
    </row>
    <row r="29477" spans="9:10" x14ac:dyDescent="0.35">
      <c r="I29477" s="63"/>
      <c r="J29477" s="63"/>
    </row>
    <row r="29478" spans="9:10" x14ac:dyDescent="0.35">
      <c r="I29478" s="63"/>
      <c r="J29478" s="63"/>
    </row>
    <row r="29479" spans="9:10" x14ac:dyDescent="0.35">
      <c r="I29479" s="63"/>
      <c r="J29479" s="63"/>
    </row>
    <row r="29480" spans="9:10" x14ac:dyDescent="0.35">
      <c r="I29480" s="63"/>
      <c r="J29480" s="63"/>
    </row>
    <row r="29481" spans="9:10" x14ac:dyDescent="0.35">
      <c r="I29481" s="63"/>
      <c r="J29481" s="63"/>
    </row>
    <row r="29482" spans="9:10" x14ac:dyDescent="0.35">
      <c r="I29482" s="63"/>
      <c r="J29482" s="63"/>
    </row>
    <row r="29483" spans="9:10" x14ac:dyDescent="0.35">
      <c r="I29483" s="63"/>
      <c r="J29483" s="63"/>
    </row>
    <row r="29484" spans="9:10" x14ac:dyDescent="0.35">
      <c r="I29484" s="63"/>
      <c r="J29484" s="63"/>
    </row>
    <row r="29485" spans="9:10" x14ac:dyDescent="0.35">
      <c r="I29485" s="63"/>
      <c r="J29485" s="63"/>
    </row>
    <row r="29486" spans="9:10" x14ac:dyDescent="0.35">
      <c r="I29486" s="63"/>
      <c r="J29486" s="63"/>
    </row>
    <row r="29487" spans="9:10" x14ac:dyDescent="0.35">
      <c r="I29487" s="63"/>
      <c r="J29487" s="63"/>
    </row>
    <row r="29488" spans="9:10" x14ac:dyDescent="0.35">
      <c r="I29488" s="63"/>
      <c r="J29488" s="63"/>
    </row>
    <row r="29489" spans="9:10" x14ac:dyDescent="0.35">
      <c r="I29489" s="63"/>
      <c r="J29489" s="63"/>
    </row>
    <row r="29490" spans="9:10" x14ac:dyDescent="0.35">
      <c r="I29490" s="63"/>
      <c r="J29490" s="63"/>
    </row>
    <row r="29491" spans="9:10" x14ac:dyDescent="0.35">
      <c r="I29491" s="63"/>
      <c r="J29491" s="63"/>
    </row>
    <row r="29492" spans="9:10" x14ac:dyDescent="0.35">
      <c r="I29492" s="63"/>
      <c r="J29492" s="63"/>
    </row>
    <row r="29493" spans="9:10" x14ac:dyDescent="0.35">
      <c r="I29493" s="63"/>
      <c r="J29493" s="63"/>
    </row>
    <row r="29494" spans="9:10" x14ac:dyDescent="0.35">
      <c r="I29494" s="63"/>
      <c r="J29494" s="63"/>
    </row>
    <row r="29495" spans="9:10" x14ac:dyDescent="0.35">
      <c r="I29495" s="63"/>
      <c r="J29495" s="63"/>
    </row>
    <row r="29496" spans="9:10" x14ac:dyDescent="0.35">
      <c r="I29496" s="63"/>
      <c r="J29496" s="63"/>
    </row>
    <row r="29497" spans="9:10" x14ac:dyDescent="0.35">
      <c r="I29497" s="63"/>
      <c r="J29497" s="63"/>
    </row>
    <row r="29498" spans="9:10" x14ac:dyDescent="0.35">
      <c r="I29498" s="63"/>
      <c r="J29498" s="63"/>
    </row>
    <row r="29499" spans="9:10" x14ac:dyDescent="0.35">
      <c r="I29499" s="63"/>
      <c r="J29499" s="63"/>
    </row>
    <row r="29500" spans="9:10" x14ac:dyDescent="0.35">
      <c r="I29500" s="63"/>
      <c r="J29500" s="63"/>
    </row>
    <row r="29501" spans="9:10" x14ac:dyDescent="0.35">
      <c r="I29501" s="63"/>
      <c r="J29501" s="63"/>
    </row>
    <row r="29502" spans="9:10" x14ac:dyDescent="0.35">
      <c r="I29502" s="63"/>
      <c r="J29502" s="63"/>
    </row>
    <row r="29503" spans="9:10" x14ac:dyDescent="0.35">
      <c r="I29503" s="63"/>
      <c r="J29503" s="63"/>
    </row>
    <row r="29504" spans="9:10" x14ac:dyDescent="0.35">
      <c r="I29504" s="63"/>
      <c r="J29504" s="63"/>
    </row>
    <row r="29505" spans="9:10" x14ac:dyDescent="0.35">
      <c r="I29505" s="63"/>
      <c r="J29505" s="63"/>
    </row>
    <row r="29506" spans="9:10" x14ac:dyDescent="0.35">
      <c r="I29506" s="63"/>
      <c r="J29506" s="63"/>
    </row>
    <row r="29507" spans="9:10" x14ac:dyDescent="0.35">
      <c r="I29507" s="63"/>
      <c r="J29507" s="63"/>
    </row>
    <row r="29508" spans="9:10" x14ac:dyDescent="0.35">
      <c r="I29508" s="63"/>
      <c r="J29508" s="63"/>
    </row>
    <row r="29509" spans="9:10" x14ac:dyDescent="0.35">
      <c r="I29509" s="63"/>
      <c r="J29509" s="63"/>
    </row>
    <row r="29510" spans="9:10" x14ac:dyDescent="0.35">
      <c r="I29510" s="63"/>
      <c r="J29510" s="63"/>
    </row>
    <row r="29511" spans="9:10" x14ac:dyDescent="0.35">
      <c r="I29511" s="63"/>
      <c r="J29511" s="63"/>
    </row>
    <row r="29512" spans="9:10" x14ac:dyDescent="0.35">
      <c r="I29512" s="63"/>
      <c r="J29512" s="63"/>
    </row>
    <row r="29513" spans="9:10" x14ac:dyDescent="0.35">
      <c r="I29513" s="63"/>
      <c r="J29513" s="63"/>
    </row>
    <row r="29514" spans="9:10" x14ac:dyDescent="0.35">
      <c r="I29514" s="63"/>
      <c r="J29514" s="63"/>
    </row>
    <row r="29515" spans="9:10" x14ac:dyDescent="0.35">
      <c r="I29515" s="63"/>
      <c r="J29515" s="63"/>
    </row>
    <row r="29516" spans="9:10" x14ac:dyDescent="0.35">
      <c r="I29516" s="63"/>
      <c r="J29516" s="63"/>
    </row>
    <row r="29517" spans="9:10" x14ac:dyDescent="0.35">
      <c r="I29517" s="63"/>
      <c r="J29517" s="63"/>
    </row>
    <row r="29518" spans="9:10" x14ac:dyDescent="0.35">
      <c r="I29518" s="63"/>
      <c r="J29518" s="63"/>
    </row>
    <row r="29519" spans="9:10" x14ac:dyDescent="0.35">
      <c r="I29519" s="63"/>
      <c r="J29519" s="63"/>
    </row>
    <row r="29520" spans="9:10" x14ac:dyDescent="0.35">
      <c r="I29520" s="63"/>
      <c r="J29520" s="63"/>
    </row>
    <row r="29521" spans="9:10" x14ac:dyDescent="0.35">
      <c r="I29521" s="63"/>
      <c r="J29521" s="63"/>
    </row>
    <row r="29522" spans="9:10" x14ac:dyDescent="0.35">
      <c r="I29522" s="63"/>
      <c r="J29522" s="63"/>
    </row>
    <row r="29523" spans="9:10" x14ac:dyDescent="0.35">
      <c r="I29523" s="63"/>
      <c r="J29523" s="63"/>
    </row>
    <row r="29524" spans="9:10" x14ac:dyDescent="0.35">
      <c r="I29524" s="63"/>
      <c r="J29524" s="63"/>
    </row>
    <row r="29525" spans="9:10" x14ac:dyDescent="0.35">
      <c r="I29525" s="63"/>
      <c r="J29525" s="63"/>
    </row>
    <row r="29526" spans="9:10" x14ac:dyDescent="0.35">
      <c r="I29526" s="63"/>
      <c r="J29526" s="63"/>
    </row>
    <row r="29527" spans="9:10" x14ac:dyDescent="0.35">
      <c r="I29527" s="63"/>
      <c r="J29527" s="63"/>
    </row>
    <row r="29528" spans="9:10" x14ac:dyDescent="0.35">
      <c r="I29528" s="63"/>
      <c r="J29528" s="63"/>
    </row>
    <row r="29529" spans="9:10" x14ac:dyDescent="0.35">
      <c r="I29529" s="63"/>
      <c r="J29529" s="63"/>
    </row>
    <row r="29530" spans="9:10" x14ac:dyDescent="0.35">
      <c r="I29530" s="63"/>
      <c r="J29530" s="63"/>
    </row>
    <row r="29531" spans="9:10" x14ac:dyDescent="0.35">
      <c r="I29531" s="63"/>
      <c r="J29531" s="63"/>
    </row>
    <row r="29532" spans="9:10" x14ac:dyDescent="0.35">
      <c r="I29532" s="63"/>
      <c r="J29532" s="63"/>
    </row>
    <row r="29533" spans="9:10" x14ac:dyDescent="0.35">
      <c r="I29533" s="63"/>
      <c r="J29533" s="63"/>
    </row>
    <row r="29534" spans="9:10" x14ac:dyDescent="0.35">
      <c r="I29534" s="63"/>
      <c r="J29534" s="63"/>
    </row>
    <row r="29535" spans="9:10" x14ac:dyDescent="0.35">
      <c r="I29535" s="63"/>
      <c r="J29535" s="63"/>
    </row>
    <row r="29536" spans="9:10" x14ac:dyDescent="0.35">
      <c r="I29536" s="63"/>
      <c r="J29536" s="63"/>
    </row>
    <row r="29537" spans="9:10" x14ac:dyDescent="0.35">
      <c r="I29537" s="63"/>
      <c r="J29537" s="63"/>
    </row>
    <row r="29538" spans="9:10" x14ac:dyDescent="0.35">
      <c r="I29538" s="63"/>
      <c r="J29538" s="63"/>
    </row>
    <row r="29539" spans="9:10" x14ac:dyDescent="0.35">
      <c r="I29539" s="63"/>
      <c r="J29539" s="63"/>
    </row>
    <row r="29540" spans="9:10" x14ac:dyDescent="0.35">
      <c r="I29540" s="63"/>
      <c r="J29540" s="63"/>
    </row>
    <row r="29541" spans="9:10" x14ac:dyDescent="0.35">
      <c r="I29541" s="63"/>
      <c r="J29541" s="63"/>
    </row>
    <row r="29542" spans="9:10" x14ac:dyDescent="0.35">
      <c r="I29542" s="63"/>
      <c r="J29542" s="63"/>
    </row>
    <row r="29543" spans="9:10" x14ac:dyDescent="0.35">
      <c r="I29543" s="63"/>
      <c r="J29543" s="63"/>
    </row>
    <row r="29544" spans="9:10" x14ac:dyDescent="0.35">
      <c r="I29544" s="63"/>
      <c r="J29544" s="63"/>
    </row>
    <row r="29545" spans="9:10" x14ac:dyDescent="0.35">
      <c r="I29545" s="63"/>
      <c r="J29545" s="63"/>
    </row>
    <row r="29546" spans="9:10" x14ac:dyDescent="0.35">
      <c r="I29546" s="63"/>
      <c r="J29546" s="63"/>
    </row>
    <row r="29547" spans="9:10" x14ac:dyDescent="0.35">
      <c r="I29547" s="63"/>
      <c r="J29547" s="63"/>
    </row>
    <row r="29548" spans="9:10" x14ac:dyDescent="0.35">
      <c r="I29548" s="63"/>
      <c r="J29548" s="63"/>
    </row>
    <row r="29549" spans="9:10" x14ac:dyDescent="0.35">
      <c r="I29549" s="63"/>
      <c r="J29549" s="63"/>
    </row>
    <row r="29550" spans="9:10" x14ac:dyDescent="0.35">
      <c r="I29550" s="63"/>
      <c r="J29550" s="63"/>
    </row>
    <row r="29551" spans="9:10" x14ac:dyDescent="0.35">
      <c r="I29551" s="63"/>
      <c r="J29551" s="63"/>
    </row>
    <row r="29552" spans="9:10" x14ac:dyDescent="0.35">
      <c r="I29552" s="63"/>
      <c r="J29552" s="63"/>
    </row>
    <row r="29553" spans="9:10" x14ac:dyDescent="0.35">
      <c r="I29553" s="63"/>
      <c r="J29553" s="63"/>
    </row>
    <row r="29554" spans="9:10" x14ac:dyDescent="0.35">
      <c r="I29554" s="63"/>
      <c r="J29554" s="63"/>
    </row>
    <row r="29555" spans="9:10" x14ac:dyDescent="0.35">
      <c r="I29555" s="63"/>
      <c r="J29555" s="63"/>
    </row>
    <row r="29556" spans="9:10" x14ac:dyDescent="0.35">
      <c r="I29556" s="63"/>
      <c r="J29556" s="63"/>
    </row>
    <row r="29557" spans="9:10" x14ac:dyDescent="0.35">
      <c r="I29557" s="63"/>
      <c r="J29557" s="63"/>
    </row>
    <row r="29558" spans="9:10" x14ac:dyDescent="0.35">
      <c r="I29558" s="63"/>
      <c r="J29558" s="63"/>
    </row>
    <row r="29559" spans="9:10" x14ac:dyDescent="0.35">
      <c r="I29559" s="63"/>
      <c r="J29559" s="63"/>
    </row>
    <row r="29560" spans="9:10" x14ac:dyDescent="0.35">
      <c r="I29560" s="63"/>
      <c r="J29560" s="63"/>
    </row>
    <row r="29561" spans="9:10" x14ac:dyDescent="0.35">
      <c r="I29561" s="63"/>
      <c r="J29561" s="63"/>
    </row>
    <row r="29562" spans="9:10" x14ac:dyDescent="0.35">
      <c r="I29562" s="63"/>
      <c r="J29562" s="63"/>
    </row>
    <row r="29563" spans="9:10" x14ac:dyDescent="0.35">
      <c r="I29563" s="63"/>
      <c r="J29563" s="63"/>
    </row>
    <row r="29564" spans="9:10" x14ac:dyDescent="0.35">
      <c r="I29564" s="63"/>
      <c r="J29564" s="63"/>
    </row>
    <row r="29565" spans="9:10" x14ac:dyDescent="0.35">
      <c r="I29565" s="63"/>
      <c r="J29565" s="63"/>
    </row>
    <row r="29566" spans="9:10" x14ac:dyDescent="0.35">
      <c r="I29566" s="63"/>
      <c r="J29566" s="63"/>
    </row>
    <row r="29567" spans="9:10" x14ac:dyDescent="0.35">
      <c r="I29567" s="63"/>
      <c r="J29567" s="63"/>
    </row>
    <row r="29568" spans="9:10" x14ac:dyDescent="0.35">
      <c r="I29568" s="63"/>
      <c r="J29568" s="63"/>
    </row>
    <row r="29569" spans="9:10" x14ac:dyDescent="0.35">
      <c r="I29569" s="63"/>
      <c r="J29569" s="63"/>
    </row>
    <row r="29570" spans="9:10" x14ac:dyDescent="0.35">
      <c r="I29570" s="63"/>
      <c r="J29570" s="63"/>
    </row>
    <row r="29571" spans="9:10" x14ac:dyDescent="0.35">
      <c r="I29571" s="63"/>
      <c r="J29571" s="63"/>
    </row>
    <row r="29572" spans="9:10" x14ac:dyDescent="0.35">
      <c r="I29572" s="63"/>
      <c r="J29572" s="63"/>
    </row>
    <row r="29573" spans="9:10" x14ac:dyDescent="0.35">
      <c r="I29573" s="63"/>
      <c r="J29573" s="63"/>
    </row>
    <row r="29574" spans="9:10" x14ac:dyDescent="0.35">
      <c r="I29574" s="63"/>
      <c r="J29574" s="63"/>
    </row>
    <row r="29575" spans="9:10" x14ac:dyDescent="0.35">
      <c r="I29575" s="63"/>
      <c r="J29575" s="63"/>
    </row>
    <row r="29576" spans="9:10" x14ac:dyDescent="0.35">
      <c r="I29576" s="63"/>
      <c r="J29576" s="63"/>
    </row>
    <row r="29577" spans="9:10" x14ac:dyDescent="0.35">
      <c r="I29577" s="63"/>
      <c r="J29577" s="63"/>
    </row>
    <row r="29578" spans="9:10" x14ac:dyDescent="0.35">
      <c r="I29578" s="63"/>
      <c r="J29578" s="63"/>
    </row>
    <row r="29579" spans="9:10" x14ac:dyDescent="0.35">
      <c r="I29579" s="63"/>
      <c r="J29579" s="63"/>
    </row>
    <row r="29580" spans="9:10" x14ac:dyDescent="0.35">
      <c r="I29580" s="63"/>
      <c r="J29580" s="63"/>
    </row>
    <row r="29581" spans="9:10" x14ac:dyDescent="0.35">
      <c r="I29581" s="63"/>
      <c r="J29581" s="63"/>
    </row>
    <row r="29582" spans="9:10" x14ac:dyDescent="0.35">
      <c r="I29582" s="63"/>
      <c r="J29582" s="63"/>
    </row>
    <row r="29583" spans="9:10" x14ac:dyDescent="0.35">
      <c r="I29583" s="63"/>
      <c r="J29583" s="63"/>
    </row>
    <row r="29584" spans="9:10" x14ac:dyDescent="0.35">
      <c r="I29584" s="63"/>
      <c r="J29584" s="63"/>
    </row>
    <row r="29585" spans="9:10" x14ac:dyDescent="0.35">
      <c r="I29585" s="63"/>
      <c r="J29585" s="63"/>
    </row>
    <row r="29586" spans="9:10" x14ac:dyDescent="0.35">
      <c r="I29586" s="63"/>
      <c r="J29586" s="63"/>
    </row>
    <row r="29587" spans="9:10" x14ac:dyDescent="0.35">
      <c r="I29587" s="63"/>
      <c r="J29587" s="63"/>
    </row>
    <row r="29588" spans="9:10" x14ac:dyDescent="0.35">
      <c r="I29588" s="63"/>
      <c r="J29588" s="63"/>
    </row>
    <row r="29589" spans="9:10" x14ac:dyDescent="0.35">
      <c r="I29589" s="63"/>
      <c r="J29589" s="63"/>
    </row>
    <row r="29590" spans="9:10" x14ac:dyDescent="0.35">
      <c r="I29590" s="63"/>
      <c r="J29590" s="63"/>
    </row>
    <row r="29591" spans="9:10" x14ac:dyDescent="0.35">
      <c r="I29591" s="63"/>
      <c r="J29591" s="63"/>
    </row>
    <row r="29592" spans="9:10" x14ac:dyDescent="0.35">
      <c r="I29592" s="63"/>
      <c r="J29592" s="63"/>
    </row>
    <row r="29593" spans="9:10" x14ac:dyDescent="0.35">
      <c r="I29593" s="63"/>
      <c r="J29593" s="63"/>
    </row>
    <row r="29594" spans="9:10" x14ac:dyDescent="0.35">
      <c r="I29594" s="63"/>
      <c r="J29594" s="63"/>
    </row>
    <row r="29595" spans="9:10" x14ac:dyDescent="0.35">
      <c r="I29595" s="63"/>
      <c r="J29595" s="63"/>
    </row>
    <row r="29596" spans="9:10" x14ac:dyDescent="0.35">
      <c r="I29596" s="63"/>
      <c r="J29596" s="63"/>
    </row>
    <row r="29597" spans="9:10" x14ac:dyDescent="0.35">
      <c r="I29597" s="63"/>
      <c r="J29597" s="63"/>
    </row>
    <row r="29598" spans="9:10" x14ac:dyDescent="0.35">
      <c r="I29598" s="63"/>
      <c r="J29598" s="63"/>
    </row>
    <row r="29599" spans="9:10" x14ac:dyDescent="0.35">
      <c r="I29599" s="63"/>
      <c r="J29599" s="63"/>
    </row>
    <row r="29600" spans="9:10" x14ac:dyDescent="0.35">
      <c r="I29600" s="63"/>
      <c r="J29600" s="63"/>
    </row>
    <row r="29601" spans="9:10" x14ac:dyDescent="0.35">
      <c r="I29601" s="63"/>
      <c r="J29601" s="63"/>
    </row>
    <row r="29602" spans="9:10" x14ac:dyDescent="0.35">
      <c r="I29602" s="63"/>
      <c r="J29602" s="63"/>
    </row>
    <row r="29603" spans="9:10" x14ac:dyDescent="0.35">
      <c r="I29603" s="63"/>
      <c r="J29603" s="63"/>
    </row>
    <row r="29604" spans="9:10" x14ac:dyDescent="0.35">
      <c r="I29604" s="63"/>
      <c r="J29604" s="63"/>
    </row>
    <row r="29605" spans="9:10" x14ac:dyDescent="0.35">
      <c r="I29605" s="63"/>
      <c r="J29605" s="63"/>
    </row>
    <row r="29606" spans="9:10" x14ac:dyDescent="0.35">
      <c r="I29606" s="63"/>
      <c r="J29606" s="63"/>
    </row>
    <row r="29607" spans="9:10" x14ac:dyDescent="0.35">
      <c r="I29607" s="63"/>
      <c r="J29607" s="63"/>
    </row>
    <row r="29608" spans="9:10" x14ac:dyDescent="0.35">
      <c r="I29608" s="63"/>
      <c r="J29608" s="63"/>
    </row>
    <row r="29609" spans="9:10" x14ac:dyDescent="0.35">
      <c r="I29609" s="63"/>
      <c r="J29609" s="63"/>
    </row>
    <row r="29610" spans="9:10" x14ac:dyDescent="0.35">
      <c r="I29610" s="63"/>
      <c r="J29610" s="63"/>
    </row>
    <row r="29611" spans="9:10" x14ac:dyDescent="0.35">
      <c r="I29611" s="63"/>
      <c r="J29611" s="63"/>
    </row>
    <row r="29612" spans="9:10" x14ac:dyDescent="0.35">
      <c r="I29612" s="63"/>
      <c r="J29612" s="63"/>
    </row>
    <row r="29613" spans="9:10" x14ac:dyDescent="0.35">
      <c r="I29613" s="63"/>
      <c r="J29613" s="63"/>
    </row>
    <row r="29614" spans="9:10" x14ac:dyDescent="0.35">
      <c r="I29614" s="63"/>
      <c r="J29614" s="63"/>
    </row>
    <row r="29615" spans="9:10" x14ac:dyDescent="0.35">
      <c r="I29615" s="63"/>
      <c r="J29615" s="63"/>
    </row>
    <row r="29616" spans="9:10" x14ac:dyDescent="0.35">
      <c r="I29616" s="63"/>
      <c r="J29616" s="63"/>
    </row>
    <row r="29617" spans="9:10" x14ac:dyDescent="0.35">
      <c r="I29617" s="63"/>
      <c r="J29617" s="63"/>
    </row>
    <row r="29618" spans="9:10" x14ac:dyDescent="0.35">
      <c r="I29618" s="63"/>
      <c r="J29618" s="63"/>
    </row>
    <row r="29619" spans="9:10" x14ac:dyDescent="0.35">
      <c r="I29619" s="63"/>
      <c r="J29619" s="63"/>
    </row>
    <row r="29620" spans="9:10" x14ac:dyDescent="0.35">
      <c r="I29620" s="63"/>
      <c r="J29620" s="63"/>
    </row>
    <row r="29621" spans="9:10" x14ac:dyDescent="0.35">
      <c r="I29621" s="63"/>
      <c r="J29621" s="63"/>
    </row>
    <row r="29622" spans="9:10" x14ac:dyDescent="0.35">
      <c r="I29622" s="63"/>
      <c r="J29622" s="63"/>
    </row>
    <row r="29623" spans="9:10" x14ac:dyDescent="0.35">
      <c r="I29623" s="63"/>
      <c r="J29623" s="63"/>
    </row>
    <row r="29624" spans="9:10" x14ac:dyDescent="0.35">
      <c r="I29624" s="63"/>
      <c r="J29624" s="63"/>
    </row>
    <row r="29625" spans="9:10" x14ac:dyDescent="0.35">
      <c r="I29625" s="63"/>
      <c r="J29625" s="63"/>
    </row>
    <row r="29626" spans="9:10" x14ac:dyDescent="0.35">
      <c r="I29626" s="63"/>
      <c r="J29626" s="63"/>
    </row>
    <row r="29627" spans="9:10" x14ac:dyDescent="0.35">
      <c r="I29627" s="63"/>
      <c r="J29627" s="63"/>
    </row>
    <row r="29628" spans="9:10" x14ac:dyDescent="0.35">
      <c r="I29628" s="63"/>
      <c r="J29628" s="63"/>
    </row>
    <row r="29629" spans="9:10" x14ac:dyDescent="0.35">
      <c r="I29629" s="63"/>
      <c r="J29629" s="63"/>
    </row>
    <row r="29630" spans="9:10" x14ac:dyDescent="0.35">
      <c r="I29630" s="63"/>
      <c r="J29630" s="63"/>
    </row>
    <row r="29631" spans="9:10" x14ac:dyDescent="0.35">
      <c r="I29631" s="63"/>
      <c r="J29631" s="63"/>
    </row>
    <row r="29632" spans="9:10" x14ac:dyDescent="0.35">
      <c r="I29632" s="63"/>
      <c r="J29632" s="63"/>
    </row>
    <row r="29633" spans="9:10" x14ac:dyDescent="0.35">
      <c r="I29633" s="63"/>
      <c r="J29633" s="63"/>
    </row>
    <row r="29634" spans="9:10" x14ac:dyDescent="0.35">
      <c r="I29634" s="63"/>
      <c r="J29634" s="63"/>
    </row>
    <row r="29635" spans="9:10" x14ac:dyDescent="0.35">
      <c r="I29635" s="63"/>
      <c r="J29635" s="63"/>
    </row>
    <row r="29636" spans="9:10" x14ac:dyDescent="0.35">
      <c r="I29636" s="63"/>
      <c r="J29636" s="63"/>
    </row>
    <row r="29637" spans="9:10" x14ac:dyDescent="0.35">
      <c r="I29637" s="63"/>
      <c r="J29637" s="63"/>
    </row>
    <row r="29638" spans="9:10" x14ac:dyDescent="0.35">
      <c r="I29638" s="63"/>
      <c r="J29638" s="63"/>
    </row>
    <row r="29639" spans="9:10" x14ac:dyDescent="0.35">
      <c r="I29639" s="63"/>
      <c r="J29639" s="63"/>
    </row>
    <row r="29640" spans="9:10" x14ac:dyDescent="0.35">
      <c r="I29640" s="63"/>
      <c r="J29640" s="63"/>
    </row>
    <row r="29641" spans="9:10" x14ac:dyDescent="0.35">
      <c r="I29641" s="63"/>
      <c r="J29641" s="63"/>
    </row>
    <row r="29642" spans="9:10" x14ac:dyDescent="0.35">
      <c r="I29642" s="63"/>
      <c r="J29642" s="63"/>
    </row>
    <row r="29643" spans="9:10" x14ac:dyDescent="0.35">
      <c r="I29643" s="63"/>
      <c r="J29643" s="63"/>
    </row>
    <row r="29644" spans="9:10" x14ac:dyDescent="0.35">
      <c r="I29644" s="63"/>
      <c r="J29644" s="63"/>
    </row>
    <row r="29645" spans="9:10" x14ac:dyDescent="0.35">
      <c r="I29645" s="63"/>
      <c r="J29645" s="63"/>
    </row>
    <row r="29646" spans="9:10" x14ac:dyDescent="0.35">
      <c r="I29646" s="63"/>
      <c r="J29646" s="63"/>
    </row>
    <row r="29647" spans="9:10" x14ac:dyDescent="0.35">
      <c r="I29647" s="63"/>
      <c r="J29647" s="63"/>
    </row>
    <row r="29648" spans="9:10" x14ac:dyDescent="0.35">
      <c r="I29648" s="63"/>
      <c r="J29648" s="63"/>
    </row>
    <row r="29649" spans="9:10" x14ac:dyDescent="0.35">
      <c r="I29649" s="63"/>
      <c r="J29649" s="63"/>
    </row>
    <row r="29650" spans="9:10" x14ac:dyDescent="0.35">
      <c r="I29650" s="63"/>
      <c r="J29650" s="63"/>
    </row>
    <row r="29651" spans="9:10" x14ac:dyDescent="0.35">
      <c r="I29651" s="63"/>
      <c r="J29651" s="63"/>
    </row>
    <row r="29652" spans="9:10" x14ac:dyDescent="0.35">
      <c r="I29652" s="63"/>
      <c r="J29652" s="63"/>
    </row>
    <row r="29653" spans="9:10" x14ac:dyDescent="0.35">
      <c r="I29653" s="63"/>
      <c r="J29653" s="63"/>
    </row>
    <row r="29654" spans="9:10" x14ac:dyDescent="0.35">
      <c r="I29654" s="63"/>
      <c r="J29654" s="63"/>
    </row>
    <row r="29655" spans="9:10" x14ac:dyDescent="0.35">
      <c r="I29655" s="63"/>
      <c r="J29655" s="63"/>
    </row>
    <row r="29656" spans="9:10" x14ac:dyDescent="0.35">
      <c r="I29656" s="63"/>
      <c r="J29656" s="63"/>
    </row>
    <row r="29657" spans="9:10" x14ac:dyDescent="0.35">
      <c r="I29657" s="63"/>
      <c r="J29657" s="63"/>
    </row>
    <row r="29658" spans="9:10" x14ac:dyDescent="0.35">
      <c r="I29658" s="63"/>
      <c r="J29658" s="63"/>
    </row>
    <row r="29659" spans="9:10" x14ac:dyDescent="0.35">
      <c r="I29659" s="63"/>
      <c r="J29659" s="63"/>
    </row>
    <row r="29660" spans="9:10" x14ac:dyDescent="0.35">
      <c r="I29660" s="63"/>
      <c r="J29660" s="63"/>
    </row>
    <row r="29661" spans="9:10" x14ac:dyDescent="0.35">
      <c r="I29661" s="63"/>
      <c r="J29661" s="63"/>
    </row>
    <row r="29662" spans="9:10" x14ac:dyDescent="0.35">
      <c r="I29662" s="63"/>
      <c r="J29662" s="63"/>
    </row>
    <row r="29663" spans="9:10" x14ac:dyDescent="0.35">
      <c r="I29663" s="63"/>
      <c r="J29663" s="63"/>
    </row>
    <row r="29664" spans="9:10" x14ac:dyDescent="0.35">
      <c r="I29664" s="63"/>
      <c r="J29664" s="63"/>
    </row>
    <row r="29665" spans="9:10" x14ac:dyDescent="0.35">
      <c r="I29665" s="63"/>
      <c r="J29665" s="63"/>
    </row>
    <row r="29666" spans="9:10" x14ac:dyDescent="0.35">
      <c r="I29666" s="63"/>
      <c r="J29666" s="63"/>
    </row>
    <row r="29667" spans="9:10" x14ac:dyDescent="0.35">
      <c r="I29667" s="63"/>
      <c r="J29667" s="63"/>
    </row>
    <row r="29668" spans="9:10" x14ac:dyDescent="0.35">
      <c r="I29668" s="63"/>
      <c r="J29668" s="63"/>
    </row>
    <row r="29669" spans="9:10" x14ac:dyDescent="0.35">
      <c r="I29669" s="63"/>
      <c r="J29669" s="63"/>
    </row>
    <row r="29670" spans="9:10" x14ac:dyDescent="0.35">
      <c r="I29670" s="63"/>
      <c r="J29670" s="63"/>
    </row>
    <row r="29671" spans="9:10" x14ac:dyDescent="0.35">
      <c r="I29671" s="63"/>
      <c r="J29671" s="63"/>
    </row>
    <row r="29672" spans="9:10" x14ac:dyDescent="0.35">
      <c r="I29672" s="63"/>
      <c r="J29672" s="63"/>
    </row>
    <row r="29673" spans="9:10" x14ac:dyDescent="0.35">
      <c r="I29673" s="63"/>
      <c r="J29673" s="63"/>
    </row>
    <row r="29674" spans="9:10" x14ac:dyDescent="0.35">
      <c r="I29674" s="63"/>
      <c r="J29674" s="63"/>
    </row>
    <row r="29675" spans="9:10" x14ac:dyDescent="0.35">
      <c r="I29675" s="63"/>
      <c r="J29675" s="63"/>
    </row>
    <row r="29676" spans="9:10" x14ac:dyDescent="0.35">
      <c r="I29676" s="63"/>
      <c r="J29676" s="63"/>
    </row>
    <row r="29677" spans="9:10" x14ac:dyDescent="0.35">
      <c r="I29677" s="63"/>
      <c r="J29677" s="63"/>
    </row>
    <row r="29678" spans="9:10" x14ac:dyDescent="0.35">
      <c r="I29678" s="63"/>
      <c r="J29678" s="63"/>
    </row>
    <row r="29679" spans="9:10" x14ac:dyDescent="0.35">
      <c r="I29679" s="63"/>
      <c r="J29679" s="63"/>
    </row>
    <row r="29680" spans="9:10" x14ac:dyDescent="0.35">
      <c r="I29680" s="63"/>
      <c r="J29680" s="63"/>
    </row>
    <row r="29681" spans="9:10" x14ac:dyDescent="0.35">
      <c r="I29681" s="63"/>
      <c r="J29681" s="63"/>
    </row>
    <row r="29682" spans="9:10" x14ac:dyDescent="0.35">
      <c r="I29682" s="63"/>
      <c r="J29682" s="63"/>
    </row>
    <row r="29683" spans="9:10" x14ac:dyDescent="0.35">
      <c r="I29683" s="63"/>
      <c r="J29683" s="63"/>
    </row>
    <row r="29684" spans="9:10" x14ac:dyDescent="0.35">
      <c r="I29684" s="63"/>
      <c r="J29684" s="63"/>
    </row>
    <row r="29685" spans="9:10" x14ac:dyDescent="0.35">
      <c r="I29685" s="63"/>
      <c r="J29685" s="63"/>
    </row>
    <row r="29686" spans="9:10" x14ac:dyDescent="0.35">
      <c r="I29686" s="63"/>
      <c r="J29686" s="63"/>
    </row>
    <row r="29687" spans="9:10" x14ac:dyDescent="0.35">
      <c r="I29687" s="63"/>
      <c r="J29687" s="63"/>
    </row>
    <row r="29688" spans="9:10" x14ac:dyDescent="0.35">
      <c r="I29688" s="63"/>
      <c r="J29688" s="63"/>
    </row>
    <row r="29689" spans="9:10" x14ac:dyDescent="0.35">
      <c r="I29689" s="63"/>
      <c r="J29689" s="63"/>
    </row>
    <row r="29690" spans="9:10" x14ac:dyDescent="0.35">
      <c r="I29690" s="63"/>
      <c r="J29690" s="63"/>
    </row>
    <row r="29691" spans="9:10" x14ac:dyDescent="0.35">
      <c r="I29691" s="63"/>
      <c r="J29691" s="63"/>
    </row>
    <row r="29692" spans="9:10" x14ac:dyDescent="0.35">
      <c r="I29692" s="63"/>
      <c r="J29692" s="63"/>
    </row>
    <row r="29693" spans="9:10" x14ac:dyDescent="0.35">
      <c r="I29693" s="63"/>
      <c r="J29693" s="63"/>
    </row>
    <row r="29694" spans="9:10" x14ac:dyDescent="0.35">
      <c r="I29694" s="63"/>
      <c r="J29694" s="63"/>
    </row>
    <row r="29695" spans="9:10" x14ac:dyDescent="0.35">
      <c r="I29695" s="63"/>
      <c r="J29695" s="63"/>
    </row>
    <row r="29696" spans="9:10" x14ac:dyDescent="0.35">
      <c r="I29696" s="63"/>
      <c r="J29696" s="63"/>
    </row>
    <row r="29697" spans="9:10" x14ac:dyDescent="0.35">
      <c r="I29697" s="63"/>
      <c r="J29697" s="63"/>
    </row>
    <row r="29698" spans="9:10" x14ac:dyDescent="0.35">
      <c r="I29698" s="63"/>
      <c r="J29698" s="63"/>
    </row>
    <row r="29699" spans="9:10" x14ac:dyDescent="0.35">
      <c r="I29699" s="63"/>
      <c r="J29699" s="63"/>
    </row>
    <row r="29700" spans="9:10" x14ac:dyDescent="0.35">
      <c r="I29700" s="63"/>
      <c r="J29700" s="63"/>
    </row>
    <row r="29701" spans="9:10" x14ac:dyDescent="0.35">
      <c r="I29701" s="63"/>
      <c r="J29701" s="63"/>
    </row>
    <row r="29702" spans="9:10" x14ac:dyDescent="0.35">
      <c r="I29702" s="63"/>
      <c r="J29702" s="63"/>
    </row>
    <row r="29703" spans="9:10" x14ac:dyDescent="0.35">
      <c r="I29703" s="63"/>
      <c r="J29703" s="63"/>
    </row>
    <row r="29704" spans="9:10" x14ac:dyDescent="0.35">
      <c r="I29704" s="63"/>
      <c r="J29704" s="63"/>
    </row>
    <row r="29705" spans="9:10" x14ac:dyDescent="0.35">
      <c r="I29705" s="63"/>
      <c r="J29705" s="63"/>
    </row>
    <row r="29706" spans="9:10" x14ac:dyDescent="0.35">
      <c r="I29706" s="63"/>
      <c r="J29706" s="63"/>
    </row>
    <row r="29707" spans="9:10" x14ac:dyDescent="0.35">
      <c r="I29707" s="63"/>
      <c r="J29707" s="63"/>
    </row>
    <row r="29708" spans="9:10" x14ac:dyDescent="0.35">
      <c r="I29708" s="63"/>
      <c r="J29708" s="63"/>
    </row>
    <row r="29709" spans="9:10" x14ac:dyDescent="0.35">
      <c r="I29709" s="63"/>
      <c r="J29709" s="63"/>
    </row>
    <row r="29710" spans="9:10" x14ac:dyDescent="0.35">
      <c r="I29710" s="63"/>
      <c r="J29710" s="63"/>
    </row>
    <row r="29711" spans="9:10" x14ac:dyDescent="0.35">
      <c r="I29711" s="63"/>
      <c r="J29711" s="63"/>
    </row>
    <row r="29712" spans="9:10" x14ac:dyDescent="0.35">
      <c r="I29712" s="63"/>
      <c r="J29712" s="63"/>
    </row>
    <row r="29713" spans="9:10" x14ac:dyDescent="0.35">
      <c r="I29713" s="63"/>
      <c r="J29713" s="63"/>
    </row>
    <row r="29714" spans="9:10" x14ac:dyDescent="0.35">
      <c r="I29714" s="63"/>
      <c r="J29714" s="63"/>
    </row>
    <row r="29715" spans="9:10" x14ac:dyDescent="0.35">
      <c r="I29715" s="63"/>
      <c r="J29715" s="63"/>
    </row>
    <row r="29716" spans="9:10" x14ac:dyDescent="0.35">
      <c r="I29716" s="63"/>
      <c r="J29716" s="63"/>
    </row>
    <row r="29717" spans="9:10" x14ac:dyDescent="0.35">
      <c r="I29717" s="63"/>
      <c r="J29717" s="63"/>
    </row>
    <row r="29718" spans="9:10" x14ac:dyDescent="0.35">
      <c r="I29718" s="63"/>
      <c r="J29718" s="63"/>
    </row>
    <row r="29719" spans="9:10" x14ac:dyDescent="0.35">
      <c r="I29719" s="63"/>
      <c r="J29719" s="63"/>
    </row>
    <row r="29720" spans="9:10" x14ac:dyDescent="0.35">
      <c r="I29720" s="63"/>
      <c r="J29720" s="63"/>
    </row>
    <row r="29721" spans="9:10" x14ac:dyDescent="0.35">
      <c r="I29721" s="63"/>
      <c r="J29721" s="63"/>
    </row>
    <row r="29722" spans="9:10" x14ac:dyDescent="0.35">
      <c r="I29722" s="63"/>
      <c r="J29722" s="63"/>
    </row>
    <row r="29723" spans="9:10" x14ac:dyDescent="0.35">
      <c r="I29723" s="63"/>
      <c r="J29723" s="63"/>
    </row>
    <row r="29724" spans="9:10" x14ac:dyDescent="0.35">
      <c r="I29724" s="63"/>
      <c r="J29724" s="63"/>
    </row>
    <row r="29725" spans="9:10" x14ac:dyDescent="0.35">
      <c r="I29725" s="63"/>
      <c r="J29725" s="63"/>
    </row>
    <row r="29726" spans="9:10" x14ac:dyDescent="0.35">
      <c r="I29726" s="63"/>
      <c r="J29726" s="63"/>
    </row>
    <row r="29727" spans="9:10" x14ac:dyDescent="0.35">
      <c r="I29727" s="63"/>
      <c r="J29727" s="63"/>
    </row>
    <row r="29728" spans="9:10" x14ac:dyDescent="0.35">
      <c r="I29728" s="63"/>
      <c r="J29728" s="63"/>
    </row>
    <row r="29729" spans="9:10" x14ac:dyDescent="0.35">
      <c r="I29729" s="63"/>
      <c r="J29729" s="63"/>
    </row>
    <row r="29730" spans="9:10" x14ac:dyDescent="0.35">
      <c r="I29730" s="63"/>
      <c r="J29730" s="63"/>
    </row>
    <row r="29731" spans="9:10" x14ac:dyDescent="0.35">
      <c r="I29731" s="63"/>
      <c r="J29731" s="63"/>
    </row>
    <row r="29732" spans="9:10" x14ac:dyDescent="0.35">
      <c r="I29732" s="63"/>
      <c r="J29732" s="63"/>
    </row>
    <row r="29733" spans="9:10" x14ac:dyDescent="0.35">
      <c r="I29733" s="63"/>
      <c r="J29733" s="63"/>
    </row>
    <row r="29734" spans="9:10" x14ac:dyDescent="0.35">
      <c r="I29734" s="63"/>
      <c r="J29734" s="63"/>
    </row>
    <row r="29735" spans="9:10" x14ac:dyDescent="0.35">
      <c r="I29735" s="63"/>
      <c r="J29735" s="63"/>
    </row>
    <row r="29736" spans="9:10" x14ac:dyDescent="0.35">
      <c r="I29736" s="63"/>
      <c r="J29736" s="63"/>
    </row>
    <row r="29737" spans="9:10" x14ac:dyDescent="0.35">
      <c r="I29737" s="63"/>
      <c r="J29737" s="63"/>
    </row>
    <row r="29738" spans="9:10" x14ac:dyDescent="0.35">
      <c r="I29738" s="63"/>
      <c r="J29738" s="63"/>
    </row>
    <row r="29739" spans="9:10" x14ac:dyDescent="0.35">
      <c r="I29739" s="63"/>
      <c r="J29739" s="63"/>
    </row>
    <row r="29740" spans="9:10" x14ac:dyDescent="0.35">
      <c r="I29740" s="63"/>
      <c r="J29740" s="63"/>
    </row>
    <row r="29741" spans="9:10" x14ac:dyDescent="0.35">
      <c r="I29741" s="63"/>
      <c r="J29741" s="63"/>
    </row>
    <row r="29742" spans="9:10" x14ac:dyDescent="0.35">
      <c r="I29742" s="63"/>
      <c r="J29742" s="63"/>
    </row>
    <row r="29743" spans="9:10" x14ac:dyDescent="0.35">
      <c r="I29743" s="63"/>
      <c r="J29743" s="63"/>
    </row>
    <row r="29744" spans="9:10" x14ac:dyDescent="0.35">
      <c r="I29744" s="63"/>
      <c r="J29744" s="63"/>
    </row>
    <row r="29745" spans="9:10" x14ac:dyDescent="0.35">
      <c r="I29745" s="63"/>
      <c r="J29745" s="63"/>
    </row>
    <row r="29746" spans="9:10" x14ac:dyDescent="0.35">
      <c r="I29746" s="63"/>
      <c r="J29746" s="63"/>
    </row>
    <row r="29747" spans="9:10" x14ac:dyDescent="0.35">
      <c r="I29747" s="63"/>
      <c r="J29747" s="63"/>
    </row>
    <row r="29748" spans="9:10" x14ac:dyDescent="0.35">
      <c r="I29748" s="63"/>
      <c r="J29748" s="63"/>
    </row>
    <row r="29749" spans="9:10" x14ac:dyDescent="0.35">
      <c r="I29749" s="63"/>
      <c r="J29749" s="63"/>
    </row>
    <row r="29750" spans="9:10" x14ac:dyDescent="0.35">
      <c r="I29750" s="63"/>
      <c r="J29750" s="63"/>
    </row>
    <row r="29751" spans="9:10" x14ac:dyDescent="0.35">
      <c r="I29751" s="63"/>
      <c r="J29751" s="63"/>
    </row>
    <row r="29752" spans="9:10" x14ac:dyDescent="0.35">
      <c r="I29752" s="63"/>
      <c r="J29752" s="63"/>
    </row>
    <row r="29753" spans="9:10" x14ac:dyDescent="0.35">
      <c r="I29753" s="63"/>
      <c r="J29753" s="63"/>
    </row>
    <row r="29754" spans="9:10" x14ac:dyDescent="0.35">
      <c r="I29754" s="63"/>
      <c r="J29754" s="63"/>
    </row>
    <row r="29755" spans="9:10" x14ac:dyDescent="0.35">
      <c r="I29755" s="63"/>
      <c r="J29755" s="63"/>
    </row>
    <row r="29756" spans="9:10" x14ac:dyDescent="0.35">
      <c r="I29756" s="63"/>
      <c r="J29756" s="63"/>
    </row>
    <row r="29757" spans="9:10" x14ac:dyDescent="0.35">
      <c r="I29757" s="63"/>
      <c r="J29757" s="63"/>
    </row>
    <row r="29758" spans="9:10" x14ac:dyDescent="0.35">
      <c r="I29758" s="63"/>
      <c r="J29758" s="63"/>
    </row>
    <row r="29759" spans="9:10" x14ac:dyDescent="0.35">
      <c r="I29759" s="63"/>
      <c r="J29759" s="63"/>
    </row>
    <row r="29760" spans="9:10" x14ac:dyDescent="0.35">
      <c r="I29760" s="63"/>
      <c r="J29760" s="63"/>
    </row>
    <row r="29761" spans="9:10" x14ac:dyDescent="0.35">
      <c r="I29761" s="63"/>
      <c r="J29761" s="63"/>
    </row>
    <row r="29762" spans="9:10" x14ac:dyDescent="0.35">
      <c r="I29762" s="63"/>
      <c r="J29762" s="63"/>
    </row>
    <row r="29763" spans="9:10" x14ac:dyDescent="0.35">
      <c r="I29763" s="63"/>
      <c r="J29763" s="63"/>
    </row>
    <row r="29764" spans="9:10" x14ac:dyDescent="0.35">
      <c r="I29764" s="63"/>
      <c r="J29764" s="63"/>
    </row>
    <row r="29765" spans="9:10" x14ac:dyDescent="0.35">
      <c r="I29765" s="63"/>
      <c r="J29765" s="63"/>
    </row>
    <row r="29766" spans="9:10" x14ac:dyDescent="0.35">
      <c r="I29766" s="63"/>
      <c r="J29766" s="63"/>
    </row>
    <row r="29767" spans="9:10" x14ac:dyDescent="0.35">
      <c r="I29767" s="63"/>
      <c r="J29767" s="63"/>
    </row>
    <row r="29768" spans="9:10" x14ac:dyDescent="0.35">
      <c r="I29768" s="63"/>
      <c r="J29768" s="63"/>
    </row>
    <row r="29769" spans="9:10" x14ac:dyDescent="0.35">
      <c r="I29769" s="63"/>
      <c r="J29769" s="63"/>
    </row>
    <row r="29770" spans="9:10" x14ac:dyDescent="0.35">
      <c r="I29770" s="63"/>
      <c r="J29770" s="63"/>
    </row>
    <row r="29771" spans="9:10" x14ac:dyDescent="0.35">
      <c r="I29771" s="63"/>
      <c r="J29771" s="63"/>
    </row>
    <row r="29772" spans="9:10" x14ac:dyDescent="0.35">
      <c r="I29772" s="63"/>
      <c r="J29772" s="63"/>
    </row>
    <row r="29773" spans="9:10" x14ac:dyDescent="0.35">
      <c r="I29773" s="63"/>
      <c r="J29773" s="63"/>
    </row>
    <row r="29774" spans="9:10" x14ac:dyDescent="0.35">
      <c r="I29774" s="63"/>
      <c r="J29774" s="63"/>
    </row>
    <row r="29775" spans="9:10" x14ac:dyDescent="0.35">
      <c r="I29775" s="63"/>
      <c r="J29775" s="63"/>
    </row>
    <row r="29776" spans="9:10" x14ac:dyDescent="0.35">
      <c r="I29776" s="63"/>
      <c r="J29776" s="63"/>
    </row>
    <row r="29777" spans="9:10" x14ac:dyDescent="0.35">
      <c r="I29777" s="63"/>
      <c r="J29777" s="63"/>
    </row>
    <row r="29778" spans="9:10" x14ac:dyDescent="0.35">
      <c r="I29778" s="63"/>
      <c r="J29778" s="63"/>
    </row>
    <row r="29779" spans="9:10" x14ac:dyDescent="0.35">
      <c r="I29779" s="63"/>
      <c r="J29779" s="63"/>
    </row>
    <row r="29780" spans="9:10" x14ac:dyDescent="0.35">
      <c r="I29780" s="63"/>
      <c r="J29780" s="63"/>
    </row>
    <row r="29781" spans="9:10" x14ac:dyDescent="0.35">
      <c r="I29781" s="63"/>
      <c r="J29781" s="63"/>
    </row>
    <row r="29782" spans="9:10" x14ac:dyDescent="0.35">
      <c r="I29782" s="63"/>
      <c r="J29782" s="63"/>
    </row>
    <row r="29783" spans="9:10" x14ac:dyDescent="0.35">
      <c r="I29783" s="63"/>
      <c r="J29783" s="63"/>
    </row>
    <row r="29784" spans="9:10" x14ac:dyDescent="0.35">
      <c r="I29784" s="63"/>
      <c r="J29784" s="63"/>
    </row>
    <row r="29785" spans="9:10" x14ac:dyDescent="0.35">
      <c r="I29785" s="63"/>
      <c r="J29785" s="63"/>
    </row>
    <row r="29786" spans="9:10" x14ac:dyDescent="0.35">
      <c r="I29786" s="63"/>
      <c r="J29786" s="63"/>
    </row>
    <row r="29787" spans="9:10" x14ac:dyDescent="0.35">
      <c r="I29787" s="63"/>
      <c r="J29787" s="63"/>
    </row>
    <row r="29788" spans="9:10" x14ac:dyDescent="0.35">
      <c r="I29788" s="63"/>
      <c r="J29788" s="63"/>
    </row>
    <row r="29789" spans="9:10" x14ac:dyDescent="0.35">
      <c r="I29789" s="63"/>
      <c r="J29789" s="63"/>
    </row>
    <row r="29790" spans="9:10" x14ac:dyDescent="0.35">
      <c r="I29790" s="63"/>
      <c r="J29790" s="63"/>
    </row>
    <row r="29791" spans="9:10" x14ac:dyDescent="0.35">
      <c r="I29791" s="63"/>
      <c r="J29791" s="63"/>
    </row>
    <row r="29792" spans="9:10" x14ac:dyDescent="0.35">
      <c r="I29792" s="63"/>
      <c r="J29792" s="63"/>
    </row>
    <row r="29793" spans="9:10" x14ac:dyDescent="0.35">
      <c r="I29793" s="63"/>
      <c r="J29793" s="63"/>
    </row>
    <row r="29794" spans="9:10" x14ac:dyDescent="0.35">
      <c r="I29794" s="63"/>
      <c r="J29794" s="63"/>
    </row>
    <row r="29795" spans="9:10" x14ac:dyDescent="0.35">
      <c r="I29795" s="63"/>
      <c r="J29795" s="63"/>
    </row>
    <row r="29796" spans="9:10" x14ac:dyDescent="0.35">
      <c r="I29796" s="63"/>
      <c r="J29796" s="63"/>
    </row>
    <row r="29797" spans="9:10" x14ac:dyDescent="0.35">
      <c r="I29797" s="63"/>
      <c r="J29797" s="63"/>
    </row>
    <row r="29798" spans="9:10" x14ac:dyDescent="0.35">
      <c r="I29798" s="63"/>
      <c r="J29798" s="63"/>
    </row>
    <row r="29799" spans="9:10" x14ac:dyDescent="0.35">
      <c r="I29799" s="63"/>
      <c r="J29799" s="63"/>
    </row>
    <row r="29800" spans="9:10" x14ac:dyDescent="0.35">
      <c r="I29800" s="63"/>
      <c r="J29800" s="63"/>
    </row>
    <row r="29801" spans="9:10" x14ac:dyDescent="0.35">
      <c r="I29801" s="63"/>
      <c r="J29801" s="63"/>
    </row>
    <row r="29802" spans="9:10" x14ac:dyDescent="0.35">
      <c r="I29802" s="63"/>
      <c r="J29802" s="63"/>
    </row>
    <row r="29803" spans="9:10" x14ac:dyDescent="0.35">
      <c r="I29803" s="63"/>
      <c r="J29803" s="63"/>
    </row>
    <row r="29804" spans="9:10" x14ac:dyDescent="0.35">
      <c r="I29804" s="63"/>
      <c r="J29804" s="63"/>
    </row>
    <row r="29805" spans="9:10" x14ac:dyDescent="0.35">
      <c r="I29805" s="63"/>
      <c r="J29805" s="63"/>
    </row>
    <row r="29806" spans="9:10" x14ac:dyDescent="0.35">
      <c r="I29806" s="63"/>
      <c r="J29806" s="63"/>
    </row>
    <row r="29807" spans="9:10" x14ac:dyDescent="0.35">
      <c r="I29807" s="63"/>
      <c r="J29807" s="63"/>
    </row>
    <row r="29808" spans="9:10" x14ac:dyDescent="0.35">
      <c r="I29808" s="63"/>
      <c r="J29808" s="63"/>
    </row>
    <row r="29809" spans="9:10" x14ac:dyDescent="0.35">
      <c r="I29809" s="63"/>
      <c r="J29809" s="63"/>
    </row>
    <row r="29810" spans="9:10" x14ac:dyDescent="0.35">
      <c r="I29810" s="63"/>
      <c r="J29810" s="63"/>
    </row>
    <row r="29811" spans="9:10" x14ac:dyDescent="0.35">
      <c r="I29811" s="63"/>
      <c r="J29811" s="63"/>
    </row>
    <row r="29812" spans="9:10" x14ac:dyDescent="0.35">
      <c r="I29812" s="63"/>
      <c r="J29812" s="63"/>
    </row>
    <row r="29813" spans="9:10" x14ac:dyDescent="0.35">
      <c r="I29813" s="63"/>
      <c r="J29813" s="63"/>
    </row>
    <row r="29814" spans="9:10" x14ac:dyDescent="0.35">
      <c r="I29814" s="63"/>
      <c r="J29814" s="63"/>
    </row>
    <row r="29815" spans="9:10" x14ac:dyDescent="0.35">
      <c r="I29815" s="63"/>
      <c r="J29815" s="63"/>
    </row>
    <row r="29816" spans="9:10" x14ac:dyDescent="0.35">
      <c r="I29816" s="63"/>
      <c r="J29816" s="63"/>
    </row>
    <row r="29817" spans="9:10" x14ac:dyDescent="0.35">
      <c r="I29817" s="63"/>
      <c r="J29817" s="63"/>
    </row>
    <row r="29818" spans="9:10" x14ac:dyDescent="0.35">
      <c r="I29818" s="63"/>
      <c r="J29818" s="63"/>
    </row>
    <row r="29819" spans="9:10" x14ac:dyDescent="0.35">
      <c r="I29819" s="63"/>
      <c r="J29819" s="63"/>
    </row>
    <row r="29820" spans="9:10" x14ac:dyDescent="0.35">
      <c r="I29820" s="63"/>
      <c r="J29820" s="63"/>
    </row>
    <row r="29821" spans="9:10" x14ac:dyDescent="0.35">
      <c r="I29821" s="63"/>
      <c r="J29821" s="63"/>
    </row>
    <row r="29822" spans="9:10" x14ac:dyDescent="0.35">
      <c r="I29822" s="63"/>
      <c r="J29822" s="63"/>
    </row>
    <row r="29823" spans="9:10" x14ac:dyDescent="0.35">
      <c r="I29823" s="63"/>
      <c r="J29823" s="63"/>
    </row>
    <row r="29824" spans="9:10" x14ac:dyDescent="0.35">
      <c r="I29824" s="63"/>
      <c r="J29824" s="63"/>
    </row>
    <row r="29825" spans="9:10" x14ac:dyDescent="0.35">
      <c r="I29825" s="63"/>
      <c r="J29825" s="63"/>
    </row>
    <row r="29826" spans="9:10" x14ac:dyDescent="0.35">
      <c r="I29826" s="63"/>
      <c r="J29826" s="63"/>
    </row>
    <row r="29827" spans="9:10" x14ac:dyDescent="0.35">
      <c r="I29827" s="63"/>
      <c r="J29827" s="63"/>
    </row>
    <row r="29828" spans="9:10" x14ac:dyDescent="0.35">
      <c r="I29828" s="63"/>
      <c r="J29828" s="63"/>
    </row>
    <row r="29829" spans="9:10" x14ac:dyDescent="0.35">
      <c r="I29829" s="63"/>
      <c r="J29829" s="63"/>
    </row>
    <row r="29830" spans="9:10" x14ac:dyDescent="0.35">
      <c r="I29830" s="63"/>
      <c r="J29830" s="63"/>
    </row>
    <row r="29831" spans="9:10" x14ac:dyDescent="0.35">
      <c r="I29831" s="63"/>
      <c r="J29831" s="63"/>
    </row>
    <row r="29832" spans="9:10" x14ac:dyDescent="0.35">
      <c r="I29832" s="63"/>
      <c r="J29832" s="63"/>
    </row>
    <row r="29833" spans="9:10" x14ac:dyDescent="0.35">
      <c r="I29833" s="63"/>
      <c r="J29833" s="63"/>
    </row>
    <row r="29834" spans="9:10" x14ac:dyDescent="0.35">
      <c r="I29834" s="63"/>
      <c r="J29834" s="63"/>
    </row>
    <row r="29835" spans="9:10" x14ac:dyDescent="0.35">
      <c r="I29835" s="63"/>
      <c r="J29835" s="63"/>
    </row>
    <row r="29836" spans="9:10" x14ac:dyDescent="0.35">
      <c r="I29836" s="63"/>
      <c r="J29836" s="63"/>
    </row>
    <row r="29837" spans="9:10" x14ac:dyDescent="0.35">
      <c r="I29837" s="63"/>
      <c r="J29837" s="63"/>
    </row>
    <row r="29838" spans="9:10" x14ac:dyDescent="0.35">
      <c r="I29838" s="63"/>
      <c r="J29838" s="63"/>
    </row>
    <row r="29839" spans="9:10" x14ac:dyDescent="0.35">
      <c r="I29839" s="63"/>
      <c r="J29839" s="63"/>
    </row>
    <row r="29840" spans="9:10" x14ac:dyDescent="0.35">
      <c r="I29840" s="63"/>
      <c r="J29840" s="63"/>
    </row>
    <row r="29841" spans="9:10" x14ac:dyDescent="0.35">
      <c r="I29841" s="63"/>
      <c r="J29841" s="63"/>
    </row>
    <row r="29842" spans="9:10" x14ac:dyDescent="0.35">
      <c r="I29842" s="63"/>
      <c r="J29842" s="63"/>
    </row>
    <row r="29843" spans="9:10" x14ac:dyDescent="0.35">
      <c r="I29843" s="63"/>
      <c r="J29843" s="63"/>
    </row>
    <row r="29844" spans="9:10" x14ac:dyDescent="0.35">
      <c r="I29844" s="63"/>
      <c r="J29844" s="63"/>
    </row>
    <row r="29845" spans="9:10" x14ac:dyDescent="0.35">
      <c r="I29845" s="63"/>
      <c r="J29845" s="63"/>
    </row>
    <row r="29846" spans="9:10" x14ac:dyDescent="0.35">
      <c r="I29846" s="63"/>
      <c r="J29846" s="63"/>
    </row>
    <row r="29847" spans="9:10" x14ac:dyDescent="0.35">
      <c r="I29847" s="63"/>
      <c r="J29847" s="63"/>
    </row>
    <row r="29848" spans="9:10" x14ac:dyDescent="0.35">
      <c r="I29848" s="63"/>
      <c r="J29848" s="63"/>
    </row>
    <row r="29849" spans="9:10" x14ac:dyDescent="0.35">
      <c r="I29849" s="63"/>
      <c r="J29849" s="63"/>
    </row>
    <row r="29850" spans="9:10" x14ac:dyDescent="0.35">
      <c r="I29850" s="63"/>
      <c r="J29850" s="63"/>
    </row>
    <row r="29851" spans="9:10" x14ac:dyDescent="0.35">
      <c r="I29851" s="63"/>
      <c r="J29851" s="63"/>
    </row>
    <row r="29852" spans="9:10" x14ac:dyDescent="0.35">
      <c r="I29852" s="63"/>
      <c r="J29852" s="63"/>
    </row>
    <row r="29853" spans="9:10" x14ac:dyDescent="0.35">
      <c r="I29853" s="63"/>
      <c r="J29853" s="63"/>
    </row>
    <row r="29854" spans="9:10" x14ac:dyDescent="0.35">
      <c r="I29854" s="63"/>
      <c r="J29854" s="63"/>
    </row>
    <row r="29855" spans="9:10" x14ac:dyDescent="0.35">
      <c r="I29855" s="63"/>
      <c r="J29855" s="63"/>
    </row>
    <row r="29856" spans="9:10" x14ac:dyDescent="0.35">
      <c r="I29856" s="63"/>
      <c r="J29856" s="63"/>
    </row>
    <row r="29857" spans="9:10" x14ac:dyDescent="0.35">
      <c r="I29857" s="63"/>
      <c r="J29857" s="63"/>
    </row>
    <row r="29858" spans="9:10" x14ac:dyDescent="0.35">
      <c r="I29858" s="63"/>
      <c r="J29858" s="63"/>
    </row>
    <row r="29859" spans="9:10" x14ac:dyDescent="0.35">
      <c r="I29859" s="63"/>
      <c r="J29859" s="63"/>
    </row>
    <row r="29860" spans="9:10" x14ac:dyDescent="0.35">
      <c r="I29860" s="63"/>
      <c r="J29860" s="63"/>
    </row>
    <row r="29861" spans="9:10" x14ac:dyDescent="0.35">
      <c r="I29861" s="63"/>
      <c r="J29861" s="63"/>
    </row>
    <row r="29862" spans="9:10" x14ac:dyDescent="0.35">
      <c r="I29862" s="63"/>
      <c r="J29862" s="63"/>
    </row>
    <row r="29863" spans="9:10" x14ac:dyDescent="0.35">
      <c r="I29863" s="63"/>
      <c r="J29863" s="63"/>
    </row>
    <row r="29864" spans="9:10" x14ac:dyDescent="0.35">
      <c r="I29864" s="63"/>
      <c r="J29864" s="63"/>
    </row>
    <row r="29865" spans="9:10" x14ac:dyDescent="0.35">
      <c r="I29865" s="63"/>
      <c r="J29865" s="63"/>
    </row>
    <row r="29866" spans="9:10" x14ac:dyDescent="0.35">
      <c r="I29866" s="63"/>
      <c r="J29866" s="63"/>
    </row>
    <row r="29867" spans="9:10" x14ac:dyDescent="0.35">
      <c r="I29867" s="63"/>
      <c r="J29867" s="63"/>
    </row>
    <row r="29868" spans="9:10" x14ac:dyDescent="0.35">
      <c r="I29868" s="63"/>
      <c r="J29868" s="63"/>
    </row>
    <row r="29869" spans="9:10" x14ac:dyDescent="0.35">
      <c r="I29869" s="63"/>
      <c r="J29869" s="63"/>
    </row>
    <row r="29870" spans="9:10" x14ac:dyDescent="0.35">
      <c r="I29870" s="63"/>
      <c r="J29870" s="63"/>
    </row>
    <row r="29871" spans="9:10" x14ac:dyDescent="0.35">
      <c r="I29871" s="63"/>
      <c r="J29871" s="63"/>
    </row>
    <row r="29872" spans="9:10" x14ac:dyDescent="0.35">
      <c r="I29872" s="63"/>
      <c r="J29872" s="63"/>
    </row>
    <row r="29873" spans="9:10" x14ac:dyDescent="0.35">
      <c r="I29873" s="63"/>
      <c r="J29873" s="63"/>
    </row>
    <row r="29874" spans="9:10" x14ac:dyDescent="0.35">
      <c r="I29874" s="63"/>
      <c r="J29874" s="63"/>
    </row>
    <row r="29875" spans="9:10" x14ac:dyDescent="0.35">
      <c r="I29875" s="63"/>
      <c r="J29875" s="63"/>
    </row>
    <row r="29876" spans="9:10" x14ac:dyDescent="0.35">
      <c r="I29876" s="63"/>
      <c r="J29876" s="63"/>
    </row>
    <row r="29877" spans="9:10" x14ac:dyDescent="0.35">
      <c r="I29877" s="63"/>
      <c r="J29877" s="63"/>
    </row>
    <row r="29878" spans="9:10" x14ac:dyDescent="0.35">
      <c r="I29878" s="63"/>
      <c r="J29878" s="63"/>
    </row>
    <row r="29879" spans="9:10" x14ac:dyDescent="0.35">
      <c r="I29879" s="63"/>
      <c r="J29879" s="63"/>
    </row>
    <row r="29880" spans="9:10" x14ac:dyDescent="0.35">
      <c r="I29880" s="63"/>
      <c r="J29880" s="63"/>
    </row>
    <row r="29881" spans="9:10" x14ac:dyDescent="0.35">
      <c r="I29881" s="63"/>
      <c r="J29881" s="63"/>
    </row>
    <row r="29882" spans="9:10" x14ac:dyDescent="0.35">
      <c r="I29882" s="63"/>
      <c r="J29882" s="63"/>
    </row>
    <row r="29883" spans="9:10" x14ac:dyDescent="0.35">
      <c r="I29883" s="63"/>
      <c r="J29883" s="63"/>
    </row>
    <row r="29884" spans="9:10" x14ac:dyDescent="0.35">
      <c r="I29884" s="63"/>
      <c r="J29884" s="63"/>
    </row>
    <row r="29885" spans="9:10" x14ac:dyDescent="0.35">
      <c r="I29885" s="63"/>
      <c r="J29885" s="63"/>
    </row>
    <row r="29886" spans="9:10" x14ac:dyDescent="0.35">
      <c r="I29886" s="63"/>
      <c r="J29886" s="63"/>
    </row>
    <row r="29887" spans="9:10" x14ac:dyDescent="0.35">
      <c r="I29887" s="63"/>
      <c r="J29887" s="63"/>
    </row>
    <row r="29888" spans="9:10" x14ac:dyDescent="0.35">
      <c r="I29888" s="63"/>
      <c r="J29888" s="63"/>
    </row>
    <row r="29889" spans="9:10" x14ac:dyDescent="0.35">
      <c r="I29889" s="63"/>
      <c r="J29889" s="63"/>
    </row>
    <row r="29890" spans="9:10" x14ac:dyDescent="0.35">
      <c r="I29890" s="63"/>
      <c r="J29890" s="63"/>
    </row>
    <row r="29891" spans="9:10" x14ac:dyDescent="0.35">
      <c r="I29891" s="63"/>
      <c r="J29891" s="63"/>
    </row>
    <row r="29892" spans="9:10" x14ac:dyDescent="0.35">
      <c r="I29892" s="63"/>
      <c r="J29892" s="63"/>
    </row>
    <row r="29893" spans="9:10" x14ac:dyDescent="0.35">
      <c r="I29893" s="63"/>
      <c r="J29893" s="63"/>
    </row>
    <row r="29894" spans="9:10" x14ac:dyDescent="0.35">
      <c r="I29894" s="63"/>
      <c r="J29894" s="63"/>
    </row>
    <row r="29895" spans="9:10" x14ac:dyDescent="0.35">
      <c r="I29895" s="63"/>
      <c r="J29895" s="63"/>
    </row>
    <row r="29896" spans="9:10" x14ac:dyDescent="0.35">
      <c r="I29896" s="63"/>
      <c r="J29896" s="63"/>
    </row>
    <row r="29897" spans="9:10" x14ac:dyDescent="0.35">
      <c r="I29897" s="63"/>
      <c r="J29897" s="63"/>
    </row>
    <row r="29898" spans="9:10" x14ac:dyDescent="0.35">
      <c r="I29898" s="63"/>
      <c r="J29898" s="63"/>
    </row>
    <row r="29899" spans="9:10" x14ac:dyDescent="0.35">
      <c r="I29899" s="63"/>
      <c r="J29899" s="63"/>
    </row>
    <row r="29900" spans="9:10" x14ac:dyDescent="0.35">
      <c r="I29900" s="63"/>
      <c r="J29900" s="63"/>
    </row>
    <row r="29901" spans="9:10" x14ac:dyDescent="0.35">
      <c r="I29901" s="63"/>
      <c r="J29901" s="63"/>
    </row>
    <row r="29902" spans="9:10" x14ac:dyDescent="0.35">
      <c r="I29902" s="63"/>
      <c r="J29902" s="63"/>
    </row>
    <row r="29903" spans="9:10" x14ac:dyDescent="0.35">
      <c r="I29903" s="63"/>
      <c r="J29903" s="63"/>
    </row>
    <row r="29904" spans="9:10" x14ac:dyDescent="0.35">
      <c r="I29904" s="63"/>
      <c r="J29904" s="63"/>
    </row>
    <row r="29905" spans="9:10" x14ac:dyDescent="0.35">
      <c r="I29905" s="63"/>
      <c r="J29905" s="63"/>
    </row>
    <row r="29906" spans="9:10" x14ac:dyDescent="0.35">
      <c r="I29906" s="63"/>
      <c r="J29906" s="63"/>
    </row>
    <row r="29907" spans="9:10" x14ac:dyDescent="0.35">
      <c r="I29907" s="63"/>
      <c r="J29907" s="63"/>
    </row>
    <row r="29908" spans="9:10" x14ac:dyDescent="0.35">
      <c r="I29908" s="63"/>
      <c r="J29908" s="63"/>
    </row>
    <row r="29909" spans="9:10" x14ac:dyDescent="0.35">
      <c r="I29909" s="63"/>
      <c r="J29909" s="63"/>
    </row>
    <row r="29910" spans="9:10" x14ac:dyDescent="0.35">
      <c r="I29910" s="63"/>
      <c r="J29910" s="63"/>
    </row>
    <row r="29911" spans="9:10" x14ac:dyDescent="0.35">
      <c r="I29911" s="63"/>
      <c r="J29911" s="63"/>
    </row>
    <row r="29912" spans="9:10" x14ac:dyDescent="0.35">
      <c r="I29912" s="63"/>
      <c r="J29912" s="63"/>
    </row>
    <row r="29913" spans="9:10" x14ac:dyDescent="0.35">
      <c r="I29913" s="63"/>
      <c r="J29913" s="63"/>
    </row>
    <row r="29914" spans="9:10" x14ac:dyDescent="0.35">
      <c r="I29914" s="63"/>
      <c r="J29914" s="63"/>
    </row>
    <row r="29915" spans="9:10" x14ac:dyDescent="0.35">
      <c r="I29915" s="63"/>
      <c r="J29915" s="63"/>
    </row>
    <row r="29916" spans="9:10" x14ac:dyDescent="0.35">
      <c r="I29916" s="63"/>
      <c r="J29916" s="63"/>
    </row>
    <row r="29917" spans="9:10" x14ac:dyDescent="0.35">
      <c r="I29917" s="63"/>
      <c r="J29917" s="63"/>
    </row>
    <row r="29918" spans="9:10" x14ac:dyDescent="0.35">
      <c r="I29918" s="63"/>
      <c r="J29918" s="63"/>
    </row>
    <row r="29919" spans="9:10" x14ac:dyDescent="0.35">
      <c r="I29919" s="63"/>
      <c r="J29919" s="63"/>
    </row>
    <row r="29920" spans="9:10" x14ac:dyDescent="0.35">
      <c r="I29920" s="63"/>
      <c r="J29920" s="63"/>
    </row>
    <row r="29921" spans="9:10" x14ac:dyDescent="0.35">
      <c r="I29921" s="63"/>
      <c r="J29921" s="63"/>
    </row>
    <row r="29922" spans="9:10" x14ac:dyDescent="0.35">
      <c r="I29922" s="63"/>
      <c r="J29922" s="63"/>
    </row>
    <row r="29923" spans="9:10" x14ac:dyDescent="0.35">
      <c r="I29923" s="63"/>
      <c r="J29923" s="63"/>
    </row>
    <row r="29924" spans="9:10" x14ac:dyDescent="0.35">
      <c r="I29924" s="63"/>
      <c r="J29924" s="63"/>
    </row>
    <row r="29925" spans="9:10" x14ac:dyDescent="0.35">
      <c r="I29925" s="63"/>
      <c r="J29925" s="63"/>
    </row>
    <row r="29926" spans="9:10" x14ac:dyDescent="0.35">
      <c r="I29926" s="63"/>
      <c r="J29926" s="63"/>
    </row>
    <row r="29927" spans="9:10" x14ac:dyDescent="0.35">
      <c r="I29927" s="63"/>
      <c r="J29927" s="63"/>
    </row>
    <row r="29928" spans="9:10" x14ac:dyDescent="0.35">
      <c r="I29928" s="63"/>
      <c r="J29928" s="63"/>
    </row>
    <row r="29929" spans="9:10" x14ac:dyDescent="0.35">
      <c r="I29929" s="63"/>
      <c r="J29929" s="63"/>
    </row>
    <row r="29930" spans="9:10" x14ac:dyDescent="0.35">
      <c r="I29930" s="63"/>
      <c r="J29930" s="63"/>
    </row>
    <row r="29931" spans="9:10" x14ac:dyDescent="0.35">
      <c r="I29931" s="63"/>
      <c r="J29931" s="63"/>
    </row>
    <row r="29932" spans="9:10" x14ac:dyDescent="0.35">
      <c r="I29932" s="63"/>
      <c r="J29932" s="63"/>
    </row>
    <row r="29933" spans="9:10" x14ac:dyDescent="0.35">
      <c r="I29933" s="63"/>
      <c r="J29933" s="63"/>
    </row>
    <row r="29934" spans="9:10" x14ac:dyDescent="0.35">
      <c r="I29934" s="63"/>
      <c r="J29934" s="63"/>
    </row>
    <row r="29935" spans="9:10" x14ac:dyDescent="0.35">
      <c r="I29935" s="63"/>
      <c r="J29935" s="63"/>
    </row>
    <row r="29936" spans="9:10" x14ac:dyDescent="0.35">
      <c r="I29936" s="63"/>
      <c r="J29936" s="63"/>
    </row>
    <row r="29937" spans="9:10" x14ac:dyDescent="0.35">
      <c r="I29937" s="63"/>
      <c r="J29937" s="63"/>
    </row>
    <row r="29938" spans="9:10" x14ac:dyDescent="0.35">
      <c r="I29938" s="63"/>
      <c r="J29938" s="63"/>
    </row>
    <row r="29939" spans="9:10" x14ac:dyDescent="0.35">
      <c r="I29939" s="63"/>
      <c r="J29939" s="63"/>
    </row>
    <row r="29940" spans="9:10" x14ac:dyDescent="0.35">
      <c r="I29940" s="63"/>
      <c r="J29940" s="63"/>
    </row>
    <row r="29941" spans="9:10" x14ac:dyDescent="0.35">
      <c r="I29941" s="63"/>
      <c r="J29941" s="63"/>
    </row>
    <row r="29942" spans="9:10" x14ac:dyDescent="0.35">
      <c r="I29942" s="63"/>
      <c r="J29942" s="63"/>
    </row>
    <row r="29943" spans="9:10" x14ac:dyDescent="0.35">
      <c r="I29943" s="63"/>
      <c r="J29943" s="63"/>
    </row>
    <row r="29944" spans="9:10" x14ac:dyDescent="0.35">
      <c r="I29944" s="63"/>
      <c r="J29944" s="63"/>
    </row>
    <row r="29945" spans="9:10" x14ac:dyDescent="0.35">
      <c r="I29945" s="63"/>
      <c r="J29945" s="63"/>
    </row>
    <row r="29946" spans="9:10" x14ac:dyDescent="0.35">
      <c r="I29946" s="63"/>
      <c r="J29946" s="63"/>
    </row>
    <row r="29947" spans="9:10" x14ac:dyDescent="0.35">
      <c r="I29947" s="63"/>
      <c r="J29947" s="63"/>
    </row>
    <row r="29948" spans="9:10" x14ac:dyDescent="0.35">
      <c r="I29948" s="63"/>
      <c r="J29948" s="63"/>
    </row>
    <row r="29949" spans="9:10" x14ac:dyDescent="0.35">
      <c r="I29949" s="63"/>
      <c r="J29949" s="63"/>
    </row>
    <row r="29950" spans="9:10" x14ac:dyDescent="0.35">
      <c r="I29950" s="63"/>
      <c r="J29950" s="63"/>
    </row>
    <row r="29951" spans="9:10" x14ac:dyDescent="0.35">
      <c r="I29951" s="63"/>
      <c r="J29951" s="63"/>
    </row>
    <row r="29952" spans="9:10" x14ac:dyDescent="0.35">
      <c r="I29952" s="63"/>
      <c r="J29952" s="63"/>
    </row>
    <row r="29953" spans="9:10" x14ac:dyDescent="0.35">
      <c r="I29953" s="63"/>
      <c r="J29953" s="63"/>
    </row>
    <row r="29954" spans="9:10" x14ac:dyDescent="0.35">
      <c r="I29954" s="63"/>
      <c r="J29954" s="63"/>
    </row>
    <row r="29955" spans="9:10" x14ac:dyDescent="0.35">
      <c r="I29955" s="63"/>
      <c r="J29955" s="63"/>
    </row>
    <row r="29956" spans="9:10" x14ac:dyDescent="0.35">
      <c r="I29956" s="63"/>
      <c r="J29956" s="63"/>
    </row>
    <row r="29957" spans="9:10" x14ac:dyDescent="0.35">
      <c r="I29957" s="63"/>
      <c r="J29957" s="63"/>
    </row>
    <row r="29958" spans="9:10" x14ac:dyDescent="0.35">
      <c r="I29958" s="63"/>
      <c r="J29958" s="63"/>
    </row>
    <row r="29959" spans="9:10" x14ac:dyDescent="0.35">
      <c r="I29959" s="63"/>
      <c r="J29959" s="63"/>
    </row>
    <row r="29960" spans="9:10" x14ac:dyDescent="0.35">
      <c r="I29960" s="63"/>
      <c r="J29960" s="63"/>
    </row>
    <row r="29961" spans="9:10" x14ac:dyDescent="0.35">
      <c r="I29961" s="63"/>
      <c r="J29961" s="63"/>
    </row>
    <row r="29962" spans="9:10" x14ac:dyDescent="0.35">
      <c r="I29962" s="63"/>
      <c r="J29962" s="63"/>
    </row>
    <row r="29963" spans="9:10" x14ac:dyDescent="0.35">
      <c r="I29963" s="63"/>
      <c r="J29963" s="63"/>
    </row>
    <row r="29964" spans="9:10" x14ac:dyDescent="0.35">
      <c r="I29964" s="63"/>
      <c r="J29964" s="63"/>
    </row>
    <row r="29965" spans="9:10" x14ac:dyDescent="0.35">
      <c r="I29965" s="63"/>
      <c r="J29965" s="63"/>
    </row>
    <row r="29966" spans="9:10" x14ac:dyDescent="0.35">
      <c r="I29966" s="63"/>
      <c r="J29966" s="63"/>
    </row>
    <row r="29967" spans="9:10" x14ac:dyDescent="0.35">
      <c r="I29967" s="63"/>
      <c r="J29967" s="63"/>
    </row>
    <row r="29968" spans="9:10" x14ac:dyDescent="0.35">
      <c r="I29968" s="63"/>
      <c r="J29968" s="63"/>
    </row>
    <row r="29969" spans="9:10" x14ac:dyDescent="0.35">
      <c r="I29969" s="63"/>
      <c r="J29969" s="63"/>
    </row>
    <row r="29970" spans="9:10" x14ac:dyDescent="0.35">
      <c r="I29970" s="63"/>
      <c r="J29970" s="63"/>
    </row>
    <row r="29971" spans="9:10" x14ac:dyDescent="0.35">
      <c r="I29971" s="63"/>
      <c r="J29971" s="63"/>
    </row>
    <row r="29972" spans="9:10" x14ac:dyDescent="0.35">
      <c r="I29972" s="63"/>
      <c r="J29972" s="63"/>
    </row>
    <row r="29973" spans="9:10" x14ac:dyDescent="0.35">
      <c r="I29973" s="63"/>
      <c r="J29973" s="63"/>
    </row>
    <row r="29974" spans="9:10" x14ac:dyDescent="0.35">
      <c r="I29974" s="63"/>
      <c r="J29974" s="63"/>
    </row>
    <row r="29975" spans="9:10" x14ac:dyDescent="0.35">
      <c r="I29975" s="63"/>
      <c r="J29975" s="63"/>
    </row>
    <row r="29976" spans="9:10" x14ac:dyDescent="0.35">
      <c r="I29976" s="63"/>
      <c r="J29976" s="63"/>
    </row>
    <row r="29977" spans="9:10" x14ac:dyDescent="0.35">
      <c r="I29977" s="63"/>
      <c r="J29977" s="63"/>
    </row>
    <row r="29978" spans="9:10" x14ac:dyDescent="0.35">
      <c r="I29978" s="63"/>
      <c r="J29978" s="63"/>
    </row>
    <row r="29979" spans="9:10" x14ac:dyDescent="0.35">
      <c r="I29979" s="63"/>
      <c r="J29979" s="63"/>
    </row>
    <row r="29980" spans="9:10" x14ac:dyDescent="0.35">
      <c r="I29980" s="63"/>
      <c r="J29980" s="63"/>
    </row>
    <row r="29981" spans="9:10" x14ac:dyDescent="0.35">
      <c r="I29981" s="63"/>
      <c r="J29981" s="63"/>
    </row>
    <row r="29982" spans="9:10" x14ac:dyDescent="0.35">
      <c r="I29982" s="63"/>
      <c r="J29982" s="63"/>
    </row>
    <row r="29983" spans="9:10" x14ac:dyDescent="0.35">
      <c r="I29983" s="63"/>
      <c r="J29983" s="63"/>
    </row>
    <row r="29984" spans="9:10" x14ac:dyDescent="0.35">
      <c r="I29984" s="63"/>
      <c r="J29984" s="63"/>
    </row>
    <row r="29985" spans="9:10" x14ac:dyDescent="0.35">
      <c r="I29985" s="63"/>
      <c r="J29985" s="63"/>
    </row>
    <row r="29986" spans="9:10" x14ac:dyDescent="0.35">
      <c r="I29986" s="63"/>
      <c r="J29986" s="63"/>
    </row>
    <row r="29987" spans="9:10" x14ac:dyDescent="0.35">
      <c r="I29987" s="63"/>
      <c r="J29987" s="63"/>
    </row>
    <row r="29988" spans="9:10" x14ac:dyDescent="0.35">
      <c r="I29988" s="63"/>
      <c r="J29988" s="63"/>
    </row>
    <row r="29989" spans="9:10" x14ac:dyDescent="0.35">
      <c r="I29989" s="63"/>
      <c r="J29989" s="63"/>
    </row>
    <row r="29990" spans="9:10" x14ac:dyDescent="0.35">
      <c r="I29990" s="63"/>
      <c r="J29990" s="63"/>
    </row>
    <row r="29991" spans="9:10" x14ac:dyDescent="0.35">
      <c r="I29991" s="63"/>
      <c r="J29991" s="63"/>
    </row>
    <row r="29992" spans="9:10" x14ac:dyDescent="0.35">
      <c r="I29992" s="63"/>
      <c r="J29992" s="63"/>
    </row>
    <row r="29993" spans="9:10" x14ac:dyDescent="0.35">
      <c r="I29993" s="63"/>
      <c r="J29993" s="63"/>
    </row>
    <row r="29994" spans="9:10" x14ac:dyDescent="0.35">
      <c r="I29994" s="63"/>
      <c r="J29994" s="63"/>
    </row>
    <row r="29995" spans="9:10" x14ac:dyDescent="0.35">
      <c r="I29995" s="63"/>
      <c r="J29995" s="63"/>
    </row>
    <row r="29996" spans="9:10" x14ac:dyDescent="0.35">
      <c r="I29996" s="63"/>
      <c r="J29996" s="63"/>
    </row>
    <row r="29997" spans="9:10" x14ac:dyDescent="0.35">
      <c r="I29997" s="63"/>
      <c r="J29997" s="63"/>
    </row>
    <row r="29998" spans="9:10" x14ac:dyDescent="0.35">
      <c r="I29998" s="63"/>
      <c r="J29998" s="63"/>
    </row>
    <row r="29999" spans="9:10" x14ac:dyDescent="0.35">
      <c r="I29999" s="63"/>
      <c r="J29999" s="63"/>
    </row>
    <row r="30000" spans="9:10" x14ac:dyDescent="0.35">
      <c r="I30000" s="63"/>
      <c r="J30000" s="63"/>
    </row>
    <row r="30001" spans="9:10" x14ac:dyDescent="0.35">
      <c r="I30001" s="63"/>
      <c r="J30001" s="63"/>
    </row>
    <row r="30002" spans="9:10" x14ac:dyDescent="0.35">
      <c r="I30002" s="63"/>
      <c r="J30002" s="63"/>
    </row>
    <row r="30003" spans="9:10" x14ac:dyDescent="0.35">
      <c r="I30003" s="63"/>
      <c r="J30003" s="63"/>
    </row>
    <row r="30004" spans="9:10" x14ac:dyDescent="0.35">
      <c r="I30004" s="63"/>
      <c r="J30004" s="63"/>
    </row>
    <row r="30005" spans="9:10" x14ac:dyDescent="0.35">
      <c r="I30005" s="63"/>
      <c r="J30005" s="63"/>
    </row>
    <row r="30006" spans="9:10" x14ac:dyDescent="0.35">
      <c r="I30006" s="63"/>
      <c r="J30006" s="63"/>
    </row>
    <row r="30007" spans="9:10" x14ac:dyDescent="0.35">
      <c r="I30007" s="63"/>
      <c r="J30007" s="63"/>
    </row>
    <row r="30008" spans="9:10" x14ac:dyDescent="0.35">
      <c r="I30008" s="63"/>
      <c r="J30008" s="63"/>
    </row>
    <row r="30009" spans="9:10" x14ac:dyDescent="0.35">
      <c r="I30009" s="63"/>
      <c r="J30009" s="63"/>
    </row>
    <row r="30010" spans="9:10" x14ac:dyDescent="0.35">
      <c r="I30010" s="63"/>
      <c r="J30010" s="63"/>
    </row>
    <row r="30011" spans="9:10" x14ac:dyDescent="0.35">
      <c r="I30011" s="63"/>
      <c r="J30011" s="63"/>
    </row>
    <row r="30012" spans="9:10" x14ac:dyDescent="0.35">
      <c r="I30012" s="63"/>
      <c r="J30012" s="63"/>
    </row>
    <row r="30013" spans="9:10" x14ac:dyDescent="0.35">
      <c r="I30013" s="63"/>
      <c r="J30013" s="63"/>
    </row>
    <row r="30014" spans="9:10" x14ac:dyDescent="0.35">
      <c r="I30014" s="63"/>
      <c r="J30014" s="63"/>
    </row>
    <row r="30015" spans="9:10" x14ac:dyDescent="0.35">
      <c r="I30015" s="63"/>
      <c r="J30015" s="63"/>
    </row>
    <row r="30016" spans="9:10" x14ac:dyDescent="0.35">
      <c r="I30016" s="63"/>
      <c r="J30016" s="63"/>
    </row>
    <row r="30017" spans="9:10" x14ac:dyDescent="0.35">
      <c r="I30017" s="63"/>
      <c r="J30017" s="63"/>
    </row>
    <row r="30018" spans="9:10" x14ac:dyDescent="0.35">
      <c r="I30018" s="63"/>
      <c r="J30018" s="63"/>
    </row>
    <row r="30019" spans="9:10" x14ac:dyDescent="0.35">
      <c r="I30019" s="63"/>
      <c r="J30019" s="63"/>
    </row>
    <row r="30020" spans="9:10" x14ac:dyDescent="0.35">
      <c r="I30020" s="63"/>
      <c r="J30020" s="63"/>
    </row>
    <row r="30021" spans="9:10" x14ac:dyDescent="0.35">
      <c r="I30021" s="63"/>
      <c r="J30021" s="63"/>
    </row>
    <row r="30022" spans="9:10" x14ac:dyDescent="0.35">
      <c r="I30022" s="63"/>
      <c r="J30022" s="63"/>
    </row>
    <row r="30023" spans="9:10" x14ac:dyDescent="0.35">
      <c r="I30023" s="63"/>
      <c r="J30023" s="63"/>
    </row>
    <row r="30024" spans="9:10" x14ac:dyDescent="0.35">
      <c r="I30024" s="63"/>
      <c r="J30024" s="63"/>
    </row>
    <row r="30025" spans="9:10" x14ac:dyDescent="0.35">
      <c r="I30025" s="63"/>
      <c r="J30025" s="63"/>
    </row>
    <row r="30026" spans="9:10" x14ac:dyDescent="0.35">
      <c r="I30026" s="63"/>
      <c r="J30026" s="63"/>
    </row>
    <row r="30027" spans="9:10" x14ac:dyDescent="0.35">
      <c r="I30027" s="63"/>
      <c r="J30027" s="63"/>
    </row>
    <row r="30028" spans="9:10" x14ac:dyDescent="0.35">
      <c r="I30028" s="63"/>
      <c r="J30028" s="63"/>
    </row>
    <row r="30029" spans="9:10" x14ac:dyDescent="0.35">
      <c r="I30029" s="63"/>
      <c r="J30029" s="63"/>
    </row>
    <row r="30030" spans="9:10" x14ac:dyDescent="0.35">
      <c r="I30030" s="63"/>
      <c r="J30030" s="63"/>
    </row>
    <row r="30031" spans="9:10" x14ac:dyDescent="0.35">
      <c r="I30031" s="63"/>
      <c r="J30031" s="63"/>
    </row>
    <row r="30032" spans="9:10" x14ac:dyDescent="0.35">
      <c r="I30032" s="63"/>
      <c r="J30032" s="63"/>
    </row>
    <row r="30033" spans="9:10" x14ac:dyDescent="0.35">
      <c r="I30033" s="63"/>
      <c r="J30033" s="63"/>
    </row>
    <row r="30034" spans="9:10" x14ac:dyDescent="0.35">
      <c r="I30034" s="63"/>
      <c r="J30034" s="63"/>
    </row>
    <row r="30035" spans="9:10" x14ac:dyDescent="0.35">
      <c r="I30035" s="63"/>
      <c r="J30035" s="63"/>
    </row>
    <row r="30036" spans="9:10" x14ac:dyDescent="0.35">
      <c r="I30036" s="63"/>
      <c r="J30036" s="63"/>
    </row>
    <row r="30037" spans="9:10" x14ac:dyDescent="0.35">
      <c r="I30037" s="63"/>
      <c r="J30037" s="63"/>
    </row>
    <row r="30038" spans="9:10" x14ac:dyDescent="0.35">
      <c r="I30038" s="63"/>
      <c r="J30038" s="63"/>
    </row>
    <row r="30039" spans="9:10" x14ac:dyDescent="0.35">
      <c r="I30039" s="63"/>
      <c r="J30039" s="63"/>
    </row>
    <row r="30040" spans="9:10" x14ac:dyDescent="0.35">
      <c r="I30040" s="63"/>
      <c r="J30040" s="63"/>
    </row>
    <row r="30041" spans="9:10" x14ac:dyDescent="0.35">
      <c r="I30041" s="63"/>
      <c r="J30041" s="63"/>
    </row>
    <row r="30042" spans="9:10" x14ac:dyDescent="0.35">
      <c r="I30042" s="63"/>
      <c r="J30042" s="63"/>
    </row>
    <row r="30043" spans="9:10" x14ac:dyDescent="0.35">
      <c r="I30043" s="63"/>
      <c r="J30043" s="63"/>
    </row>
    <row r="30044" spans="9:10" x14ac:dyDescent="0.35">
      <c r="I30044" s="63"/>
      <c r="J30044" s="63"/>
    </row>
    <row r="30045" spans="9:10" x14ac:dyDescent="0.35">
      <c r="I30045" s="63"/>
      <c r="J30045" s="63"/>
    </row>
    <row r="30046" spans="9:10" x14ac:dyDescent="0.35">
      <c r="I30046" s="63"/>
      <c r="J30046" s="63"/>
    </row>
    <row r="30047" spans="9:10" x14ac:dyDescent="0.35">
      <c r="I30047" s="63"/>
      <c r="J30047" s="63"/>
    </row>
    <row r="30048" spans="9:10" x14ac:dyDescent="0.35">
      <c r="I30048" s="63"/>
      <c r="J30048" s="63"/>
    </row>
    <row r="30049" spans="9:10" x14ac:dyDescent="0.35">
      <c r="I30049" s="63"/>
      <c r="J30049" s="63"/>
    </row>
    <row r="30050" spans="9:10" x14ac:dyDescent="0.35">
      <c r="I30050" s="63"/>
      <c r="J30050" s="63"/>
    </row>
    <row r="30051" spans="9:10" x14ac:dyDescent="0.35">
      <c r="I30051" s="63"/>
      <c r="J30051" s="63"/>
    </row>
    <row r="30052" spans="9:10" x14ac:dyDescent="0.35">
      <c r="I30052" s="63"/>
      <c r="J30052" s="63"/>
    </row>
    <row r="30053" spans="9:10" x14ac:dyDescent="0.35">
      <c r="I30053" s="63"/>
      <c r="J30053" s="63"/>
    </row>
    <row r="30054" spans="9:10" x14ac:dyDescent="0.35">
      <c r="I30054" s="63"/>
      <c r="J30054" s="63"/>
    </row>
    <row r="30055" spans="9:10" x14ac:dyDescent="0.35">
      <c r="I30055" s="63"/>
      <c r="J30055" s="63"/>
    </row>
    <row r="30056" spans="9:10" x14ac:dyDescent="0.35">
      <c r="I30056" s="63"/>
      <c r="J30056" s="63"/>
    </row>
    <row r="30057" spans="9:10" x14ac:dyDescent="0.35">
      <c r="I30057" s="63"/>
      <c r="J30057" s="63"/>
    </row>
    <row r="30058" spans="9:10" x14ac:dyDescent="0.35">
      <c r="I30058" s="63"/>
      <c r="J30058" s="63"/>
    </row>
    <row r="30059" spans="9:10" x14ac:dyDescent="0.35">
      <c r="I30059" s="63"/>
      <c r="J30059" s="63"/>
    </row>
    <row r="30060" spans="9:10" x14ac:dyDescent="0.35">
      <c r="I30060" s="63"/>
      <c r="J30060" s="63"/>
    </row>
    <row r="30061" spans="9:10" x14ac:dyDescent="0.35">
      <c r="I30061" s="63"/>
      <c r="J30061" s="63"/>
    </row>
    <row r="30062" spans="9:10" x14ac:dyDescent="0.35">
      <c r="I30062" s="63"/>
      <c r="J30062" s="63"/>
    </row>
    <row r="30063" spans="9:10" x14ac:dyDescent="0.35">
      <c r="I30063" s="63"/>
      <c r="J30063" s="63"/>
    </row>
    <row r="30064" spans="9:10" x14ac:dyDescent="0.35">
      <c r="I30064" s="63"/>
      <c r="J30064" s="63"/>
    </row>
    <row r="30065" spans="9:10" x14ac:dyDescent="0.35">
      <c r="I30065" s="63"/>
      <c r="J30065" s="63"/>
    </row>
    <row r="30066" spans="9:10" x14ac:dyDescent="0.35">
      <c r="I30066" s="63"/>
      <c r="J30066" s="63"/>
    </row>
    <row r="30067" spans="9:10" x14ac:dyDescent="0.35">
      <c r="I30067" s="63"/>
      <c r="J30067" s="63"/>
    </row>
    <row r="30068" spans="9:10" x14ac:dyDescent="0.35">
      <c r="I30068" s="63"/>
      <c r="J30068" s="63"/>
    </row>
    <row r="30069" spans="9:10" x14ac:dyDescent="0.35">
      <c r="I30069" s="63"/>
      <c r="J30069" s="63"/>
    </row>
    <row r="30070" spans="9:10" x14ac:dyDescent="0.35">
      <c r="I30070" s="63"/>
      <c r="J30070" s="63"/>
    </row>
    <row r="30071" spans="9:10" x14ac:dyDescent="0.35">
      <c r="I30071" s="63"/>
      <c r="J30071" s="63"/>
    </row>
    <row r="30072" spans="9:10" x14ac:dyDescent="0.35">
      <c r="I30072" s="63"/>
      <c r="J30072" s="63"/>
    </row>
    <row r="30073" spans="9:10" x14ac:dyDescent="0.35">
      <c r="I30073" s="63"/>
      <c r="J30073" s="63"/>
    </row>
    <row r="30074" spans="9:10" x14ac:dyDescent="0.35">
      <c r="I30074" s="63"/>
      <c r="J30074" s="63"/>
    </row>
    <row r="30075" spans="9:10" x14ac:dyDescent="0.35">
      <c r="I30075" s="63"/>
      <c r="J30075" s="63"/>
    </row>
    <row r="30076" spans="9:10" x14ac:dyDescent="0.35">
      <c r="I30076" s="63"/>
      <c r="J30076" s="63"/>
    </row>
    <row r="30077" spans="9:10" x14ac:dyDescent="0.35">
      <c r="I30077" s="63"/>
      <c r="J30077" s="63"/>
    </row>
    <row r="30078" spans="9:10" x14ac:dyDescent="0.35">
      <c r="I30078" s="63"/>
      <c r="J30078" s="63"/>
    </row>
    <row r="30079" spans="9:10" x14ac:dyDescent="0.35">
      <c r="I30079" s="63"/>
      <c r="J30079" s="63"/>
    </row>
    <row r="30080" spans="9:10" x14ac:dyDescent="0.35">
      <c r="I30080" s="63"/>
      <c r="J30080" s="63"/>
    </row>
    <row r="30081" spans="9:10" x14ac:dyDescent="0.35">
      <c r="I30081" s="63"/>
      <c r="J30081" s="63"/>
    </row>
    <row r="30082" spans="9:10" x14ac:dyDescent="0.35">
      <c r="I30082" s="63"/>
      <c r="J30082" s="63"/>
    </row>
    <row r="30083" spans="9:10" x14ac:dyDescent="0.35">
      <c r="I30083" s="63"/>
      <c r="J30083" s="63"/>
    </row>
    <row r="30084" spans="9:10" x14ac:dyDescent="0.35">
      <c r="I30084" s="63"/>
      <c r="J30084" s="63"/>
    </row>
    <row r="30085" spans="9:10" x14ac:dyDescent="0.35">
      <c r="I30085" s="63"/>
      <c r="J30085" s="63"/>
    </row>
    <row r="30086" spans="9:10" x14ac:dyDescent="0.35">
      <c r="I30086" s="63"/>
      <c r="J30086" s="63"/>
    </row>
    <row r="30087" spans="9:10" x14ac:dyDescent="0.35">
      <c r="I30087" s="63"/>
      <c r="J30087" s="63"/>
    </row>
    <row r="30088" spans="9:10" x14ac:dyDescent="0.35">
      <c r="I30088" s="63"/>
      <c r="J30088" s="63"/>
    </row>
    <row r="30089" spans="9:10" x14ac:dyDescent="0.35">
      <c r="I30089" s="63"/>
      <c r="J30089" s="63"/>
    </row>
    <row r="30090" spans="9:10" x14ac:dyDescent="0.35">
      <c r="I30090" s="63"/>
      <c r="J30090" s="63"/>
    </row>
    <row r="30091" spans="9:10" x14ac:dyDescent="0.35">
      <c r="I30091" s="63"/>
      <c r="J30091" s="63"/>
    </row>
    <row r="30092" spans="9:10" x14ac:dyDescent="0.35">
      <c r="I30092" s="63"/>
      <c r="J30092" s="63"/>
    </row>
    <row r="30093" spans="9:10" x14ac:dyDescent="0.35">
      <c r="I30093" s="63"/>
      <c r="J30093" s="63"/>
    </row>
    <row r="30094" spans="9:10" x14ac:dyDescent="0.35">
      <c r="I30094" s="63"/>
      <c r="J30094" s="63"/>
    </row>
    <row r="30095" spans="9:10" x14ac:dyDescent="0.35">
      <c r="I30095" s="63"/>
      <c r="J30095" s="63"/>
    </row>
    <row r="30096" spans="9:10" x14ac:dyDescent="0.35">
      <c r="I30096" s="63"/>
      <c r="J30096" s="63"/>
    </row>
    <row r="30097" spans="9:10" x14ac:dyDescent="0.35">
      <c r="I30097" s="63"/>
      <c r="J30097" s="63"/>
    </row>
    <row r="30098" spans="9:10" x14ac:dyDescent="0.35">
      <c r="I30098" s="63"/>
      <c r="J30098" s="63"/>
    </row>
    <row r="30099" spans="9:10" x14ac:dyDescent="0.35">
      <c r="I30099" s="63"/>
      <c r="J30099" s="63"/>
    </row>
    <row r="30100" spans="9:10" x14ac:dyDescent="0.35">
      <c r="I30100" s="63"/>
      <c r="J30100" s="63"/>
    </row>
    <row r="30101" spans="9:10" x14ac:dyDescent="0.35">
      <c r="I30101" s="63"/>
      <c r="J30101" s="63"/>
    </row>
    <row r="30102" spans="9:10" x14ac:dyDescent="0.35">
      <c r="I30102" s="63"/>
      <c r="J30102" s="63"/>
    </row>
    <row r="30103" spans="9:10" x14ac:dyDescent="0.35">
      <c r="I30103" s="63"/>
      <c r="J30103" s="63"/>
    </row>
    <row r="30104" spans="9:10" x14ac:dyDescent="0.35">
      <c r="I30104" s="63"/>
      <c r="J30104" s="63"/>
    </row>
    <row r="30105" spans="9:10" x14ac:dyDescent="0.35">
      <c r="I30105" s="63"/>
      <c r="J30105" s="63"/>
    </row>
    <row r="30106" spans="9:10" x14ac:dyDescent="0.35">
      <c r="I30106" s="63"/>
      <c r="J30106" s="63"/>
    </row>
    <row r="30107" spans="9:10" x14ac:dyDescent="0.35">
      <c r="I30107" s="63"/>
      <c r="J30107" s="63"/>
    </row>
    <row r="30108" spans="9:10" x14ac:dyDescent="0.35">
      <c r="I30108" s="63"/>
      <c r="J30108" s="63"/>
    </row>
    <row r="30109" spans="9:10" x14ac:dyDescent="0.35">
      <c r="I30109" s="63"/>
      <c r="J30109" s="63"/>
    </row>
    <row r="30110" spans="9:10" x14ac:dyDescent="0.35">
      <c r="I30110" s="63"/>
      <c r="J30110" s="63"/>
    </row>
    <row r="30111" spans="9:10" x14ac:dyDescent="0.35">
      <c r="I30111" s="63"/>
      <c r="J30111" s="63"/>
    </row>
    <row r="30112" spans="9:10" x14ac:dyDescent="0.35">
      <c r="I30112" s="63"/>
      <c r="J30112" s="63"/>
    </row>
    <row r="30113" spans="9:10" x14ac:dyDescent="0.35">
      <c r="I30113" s="63"/>
      <c r="J30113" s="63"/>
    </row>
    <row r="30114" spans="9:10" x14ac:dyDescent="0.35">
      <c r="I30114" s="63"/>
      <c r="J30114" s="63"/>
    </row>
    <row r="30115" spans="9:10" x14ac:dyDescent="0.35">
      <c r="I30115" s="63"/>
      <c r="J30115" s="63"/>
    </row>
    <row r="30116" spans="9:10" x14ac:dyDescent="0.35">
      <c r="I30116" s="63"/>
      <c r="J30116" s="63"/>
    </row>
    <row r="30117" spans="9:10" x14ac:dyDescent="0.35">
      <c r="I30117" s="63"/>
      <c r="J30117" s="63"/>
    </row>
    <row r="30118" spans="9:10" x14ac:dyDescent="0.35">
      <c r="I30118" s="63"/>
      <c r="J30118" s="63"/>
    </row>
    <row r="30119" spans="9:10" x14ac:dyDescent="0.35">
      <c r="I30119" s="63"/>
      <c r="J30119" s="63"/>
    </row>
    <row r="30120" spans="9:10" x14ac:dyDescent="0.35">
      <c r="I30120" s="63"/>
      <c r="J30120" s="63"/>
    </row>
    <row r="30121" spans="9:10" x14ac:dyDescent="0.35">
      <c r="I30121" s="63"/>
      <c r="J30121" s="63"/>
    </row>
    <row r="30122" spans="9:10" x14ac:dyDescent="0.35">
      <c r="I30122" s="63"/>
      <c r="J30122" s="63"/>
    </row>
    <row r="30123" spans="9:10" x14ac:dyDescent="0.35">
      <c r="I30123" s="63"/>
      <c r="J30123" s="63"/>
    </row>
    <row r="30124" spans="9:10" x14ac:dyDescent="0.35">
      <c r="I30124" s="63"/>
      <c r="J30124" s="63"/>
    </row>
    <row r="30125" spans="9:10" x14ac:dyDescent="0.35">
      <c r="I30125" s="63"/>
      <c r="J30125" s="63"/>
    </row>
    <row r="30126" spans="9:10" x14ac:dyDescent="0.35">
      <c r="I30126" s="63"/>
      <c r="J30126" s="63"/>
    </row>
    <row r="30127" spans="9:10" x14ac:dyDescent="0.35">
      <c r="I30127" s="63"/>
      <c r="J30127" s="63"/>
    </row>
    <row r="30128" spans="9:10" x14ac:dyDescent="0.35">
      <c r="I30128" s="63"/>
      <c r="J30128" s="63"/>
    </row>
    <row r="30129" spans="9:10" x14ac:dyDescent="0.35">
      <c r="I30129" s="63"/>
      <c r="J30129" s="63"/>
    </row>
    <row r="30130" spans="9:10" x14ac:dyDescent="0.35">
      <c r="I30130" s="63"/>
      <c r="J30130" s="63"/>
    </row>
    <row r="30131" spans="9:10" x14ac:dyDescent="0.35">
      <c r="I30131" s="63"/>
      <c r="J30131" s="63"/>
    </row>
    <row r="30132" spans="9:10" x14ac:dyDescent="0.35">
      <c r="I30132" s="63"/>
      <c r="J30132" s="63"/>
    </row>
    <row r="30133" spans="9:10" x14ac:dyDescent="0.35">
      <c r="I30133" s="63"/>
      <c r="J30133" s="63"/>
    </row>
    <row r="30134" spans="9:10" x14ac:dyDescent="0.35">
      <c r="I30134" s="63"/>
      <c r="J30134" s="63"/>
    </row>
    <row r="30135" spans="9:10" x14ac:dyDescent="0.35">
      <c r="I30135" s="63"/>
      <c r="J30135" s="63"/>
    </row>
    <row r="30136" spans="9:10" x14ac:dyDescent="0.35">
      <c r="I30136" s="63"/>
      <c r="J30136" s="63"/>
    </row>
    <row r="30137" spans="9:10" x14ac:dyDescent="0.35">
      <c r="I30137" s="63"/>
      <c r="J30137" s="63"/>
    </row>
    <row r="30138" spans="9:10" x14ac:dyDescent="0.35">
      <c r="I30138" s="63"/>
      <c r="J30138" s="63"/>
    </row>
    <row r="30139" spans="9:10" x14ac:dyDescent="0.35">
      <c r="I30139" s="63"/>
      <c r="J30139" s="63"/>
    </row>
    <row r="30140" spans="9:10" x14ac:dyDescent="0.35">
      <c r="I30140" s="63"/>
      <c r="J30140" s="63"/>
    </row>
    <row r="30141" spans="9:10" x14ac:dyDescent="0.35">
      <c r="I30141" s="63"/>
      <c r="J30141" s="63"/>
    </row>
    <row r="30142" spans="9:10" x14ac:dyDescent="0.35">
      <c r="I30142" s="63"/>
      <c r="J30142" s="63"/>
    </row>
    <row r="30143" spans="9:10" x14ac:dyDescent="0.35">
      <c r="I30143" s="63"/>
      <c r="J30143" s="63"/>
    </row>
    <row r="30144" spans="9:10" x14ac:dyDescent="0.35">
      <c r="I30144" s="63"/>
      <c r="J30144" s="63"/>
    </row>
    <row r="30145" spans="9:10" x14ac:dyDescent="0.35">
      <c r="I30145" s="63"/>
      <c r="J30145" s="63"/>
    </row>
    <row r="30146" spans="9:10" x14ac:dyDescent="0.35">
      <c r="I30146" s="63"/>
      <c r="J30146" s="63"/>
    </row>
    <row r="30147" spans="9:10" x14ac:dyDescent="0.35">
      <c r="I30147" s="63"/>
      <c r="J30147" s="63"/>
    </row>
    <row r="30148" spans="9:10" x14ac:dyDescent="0.35">
      <c r="I30148" s="63"/>
      <c r="J30148" s="63"/>
    </row>
    <row r="30149" spans="9:10" x14ac:dyDescent="0.35">
      <c r="I30149" s="63"/>
      <c r="J30149" s="63"/>
    </row>
    <row r="30150" spans="9:10" x14ac:dyDescent="0.35">
      <c r="I30150" s="63"/>
      <c r="J30150" s="63"/>
    </row>
    <row r="30151" spans="9:10" x14ac:dyDescent="0.35">
      <c r="I30151" s="63"/>
      <c r="J30151" s="63"/>
    </row>
    <row r="30152" spans="9:10" x14ac:dyDescent="0.35">
      <c r="I30152" s="63"/>
      <c r="J30152" s="63"/>
    </row>
    <row r="30153" spans="9:10" x14ac:dyDescent="0.35">
      <c r="I30153" s="63"/>
      <c r="J30153" s="63"/>
    </row>
    <row r="30154" spans="9:10" x14ac:dyDescent="0.35">
      <c r="I30154" s="63"/>
      <c r="J30154" s="63"/>
    </row>
    <row r="30155" spans="9:10" x14ac:dyDescent="0.35">
      <c r="I30155" s="63"/>
      <c r="J30155" s="63"/>
    </row>
    <row r="30156" spans="9:10" x14ac:dyDescent="0.35">
      <c r="I30156" s="63"/>
      <c r="J30156" s="63"/>
    </row>
    <row r="30157" spans="9:10" x14ac:dyDescent="0.35">
      <c r="I30157" s="63"/>
      <c r="J30157" s="63"/>
    </row>
    <row r="30158" spans="9:10" x14ac:dyDescent="0.35">
      <c r="I30158" s="63"/>
      <c r="J30158" s="63"/>
    </row>
    <row r="30159" spans="9:10" x14ac:dyDescent="0.35">
      <c r="I30159" s="63"/>
      <c r="J30159" s="63"/>
    </row>
    <row r="30160" spans="9:10" x14ac:dyDescent="0.35">
      <c r="I30160" s="63"/>
      <c r="J30160" s="63"/>
    </row>
    <row r="30161" spans="9:10" x14ac:dyDescent="0.35">
      <c r="I30161" s="63"/>
      <c r="J30161" s="63"/>
    </row>
    <row r="30162" spans="9:10" x14ac:dyDescent="0.35">
      <c r="I30162" s="63"/>
      <c r="J30162" s="63"/>
    </row>
    <row r="30163" spans="9:10" x14ac:dyDescent="0.35">
      <c r="I30163" s="63"/>
      <c r="J30163" s="63"/>
    </row>
    <row r="30164" spans="9:10" x14ac:dyDescent="0.35">
      <c r="I30164" s="63"/>
      <c r="J30164" s="63"/>
    </row>
    <row r="30165" spans="9:10" x14ac:dyDescent="0.35">
      <c r="I30165" s="63"/>
      <c r="J30165" s="63"/>
    </row>
    <row r="30166" spans="9:10" x14ac:dyDescent="0.35">
      <c r="I30166" s="63"/>
      <c r="J30166" s="63"/>
    </row>
    <row r="30167" spans="9:10" x14ac:dyDescent="0.35">
      <c r="I30167" s="63"/>
      <c r="J30167" s="63"/>
    </row>
    <row r="30168" spans="9:10" x14ac:dyDescent="0.35">
      <c r="I30168" s="63"/>
      <c r="J30168" s="63"/>
    </row>
    <row r="30169" spans="9:10" x14ac:dyDescent="0.35">
      <c r="I30169" s="63"/>
      <c r="J30169" s="63"/>
    </row>
    <row r="30170" spans="9:10" x14ac:dyDescent="0.35">
      <c r="I30170" s="63"/>
      <c r="J30170" s="63"/>
    </row>
    <row r="30171" spans="9:10" x14ac:dyDescent="0.35">
      <c r="I30171" s="63"/>
      <c r="J30171" s="63"/>
    </row>
    <row r="30172" spans="9:10" x14ac:dyDescent="0.35">
      <c r="I30172" s="63"/>
      <c r="J30172" s="63"/>
    </row>
    <row r="30173" spans="9:10" x14ac:dyDescent="0.35">
      <c r="I30173" s="63"/>
      <c r="J30173" s="63"/>
    </row>
    <row r="30174" spans="9:10" x14ac:dyDescent="0.35">
      <c r="I30174" s="63"/>
      <c r="J30174" s="63"/>
    </row>
    <row r="30175" spans="9:10" x14ac:dyDescent="0.35">
      <c r="I30175" s="63"/>
      <c r="J30175" s="63"/>
    </row>
    <row r="30176" spans="9:10" x14ac:dyDescent="0.35">
      <c r="I30176" s="63"/>
      <c r="J30176" s="63"/>
    </row>
    <row r="30177" spans="9:10" x14ac:dyDescent="0.35">
      <c r="I30177" s="63"/>
      <c r="J30177" s="63"/>
    </row>
    <row r="30178" spans="9:10" x14ac:dyDescent="0.35">
      <c r="I30178" s="63"/>
      <c r="J30178" s="63"/>
    </row>
    <row r="30179" spans="9:10" x14ac:dyDescent="0.35">
      <c r="I30179" s="63"/>
      <c r="J30179" s="63"/>
    </row>
    <row r="30180" spans="9:10" x14ac:dyDescent="0.35">
      <c r="I30180" s="63"/>
      <c r="J30180" s="63"/>
    </row>
    <row r="30181" spans="9:10" x14ac:dyDescent="0.35">
      <c r="I30181" s="63"/>
      <c r="J30181" s="63"/>
    </row>
    <row r="30182" spans="9:10" x14ac:dyDescent="0.35">
      <c r="I30182" s="63"/>
      <c r="J30182" s="63"/>
    </row>
    <row r="30183" spans="9:10" x14ac:dyDescent="0.35">
      <c r="I30183" s="63"/>
      <c r="J30183" s="63"/>
    </row>
    <row r="30184" spans="9:10" x14ac:dyDescent="0.35">
      <c r="I30184" s="63"/>
      <c r="J30184" s="63"/>
    </row>
    <row r="30185" spans="9:10" x14ac:dyDescent="0.35">
      <c r="I30185" s="63"/>
      <c r="J30185" s="63"/>
    </row>
    <row r="30186" spans="9:10" x14ac:dyDescent="0.35">
      <c r="I30186" s="63"/>
      <c r="J30186" s="63"/>
    </row>
    <row r="30187" spans="9:10" x14ac:dyDescent="0.35">
      <c r="I30187" s="63"/>
      <c r="J30187" s="63"/>
    </row>
    <row r="30188" spans="9:10" x14ac:dyDescent="0.35">
      <c r="I30188" s="63"/>
      <c r="J30188" s="63"/>
    </row>
    <row r="30189" spans="9:10" x14ac:dyDescent="0.35">
      <c r="I30189" s="63"/>
      <c r="J30189" s="63"/>
    </row>
    <row r="30190" spans="9:10" x14ac:dyDescent="0.35">
      <c r="I30190" s="63"/>
      <c r="J30190" s="63"/>
    </row>
    <row r="30191" spans="9:10" x14ac:dyDescent="0.35">
      <c r="I30191" s="63"/>
      <c r="J30191" s="63"/>
    </row>
    <row r="30192" spans="9:10" x14ac:dyDescent="0.35">
      <c r="I30192" s="63"/>
      <c r="J30192" s="63"/>
    </row>
    <row r="30193" spans="9:10" x14ac:dyDescent="0.35">
      <c r="I30193" s="63"/>
      <c r="J30193" s="63"/>
    </row>
    <row r="30194" spans="9:10" x14ac:dyDescent="0.35">
      <c r="I30194" s="63"/>
      <c r="J30194" s="63"/>
    </row>
    <row r="30195" spans="9:10" x14ac:dyDescent="0.35">
      <c r="I30195" s="63"/>
      <c r="J30195" s="63"/>
    </row>
    <row r="30196" spans="9:10" x14ac:dyDescent="0.35">
      <c r="I30196" s="63"/>
      <c r="J30196" s="63"/>
    </row>
    <row r="30197" spans="9:10" x14ac:dyDescent="0.35">
      <c r="I30197" s="63"/>
      <c r="J30197" s="63"/>
    </row>
    <row r="30198" spans="9:10" x14ac:dyDescent="0.35">
      <c r="I30198" s="63"/>
      <c r="J30198" s="63"/>
    </row>
    <row r="30199" spans="9:10" x14ac:dyDescent="0.35">
      <c r="I30199" s="63"/>
      <c r="J30199" s="63"/>
    </row>
    <row r="30200" spans="9:10" x14ac:dyDescent="0.35">
      <c r="I30200" s="63"/>
      <c r="J30200" s="63"/>
    </row>
    <row r="30201" spans="9:10" x14ac:dyDescent="0.35">
      <c r="I30201" s="63"/>
      <c r="J30201" s="63"/>
    </row>
    <row r="30202" spans="9:10" x14ac:dyDescent="0.35">
      <c r="I30202" s="63"/>
      <c r="J30202" s="63"/>
    </row>
    <row r="30203" spans="9:10" x14ac:dyDescent="0.35">
      <c r="I30203" s="63"/>
      <c r="J30203" s="63"/>
    </row>
    <row r="30204" spans="9:10" x14ac:dyDescent="0.35">
      <c r="I30204" s="63"/>
      <c r="J30204" s="63"/>
    </row>
    <row r="30205" spans="9:10" x14ac:dyDescent="0.35">
      <c r="I30205" s="63"/>
      <c r="J30205" s="63"/>
    </row>
    <row r="30206" spans="9:10" x14ac:dyDescent="0.35">
      <c r="I30206" s="63"/>
      <c r="J30206" s="63"/>
    </row>
    <row r="30207" spans="9:10" x14ac:dyDescent="0.35">
      <c r="I30207" s="63"/>
      <c r="J30207" s="63"/>
    </row>
    <row r="30208" spans="9:10" x14ac:dyDescent="0.35">
      <c r="I30208" s="63"/>
      <c r="J30208" s="63"/>
    </row>
    <row r="30209" spans="9:10" x14ac:dyDescent="0.35">
      <c r="I30209" s="63"/>
      <c r="J30209" s="63"/>
    </row>
    <row r="30210" spans="9:10" x14ac:dyDescent="0.35">
      <c r="I30210" s="63"/>
      <c r="J30210" s="63"/>
    </row>
    <row r="30211" spans="9:10" x14ac:dyDescent="0.35">
      <c r="I30211" s="63"/>
      <c r="J30211" s="63"/>
    </row>
    <row r="30212" spans="9:10" x14ac:dyDescent="0.35">
      <c r="I30212" s="63"/>
      <c r="J30212" s="63"/>
    </row>
    <row r="30213" spans="9:10" x14ac:dyDescent="0.35">
      <c r="I30213" s="63"/>
      <c r="J30213" s="63"/>
    </row>
    <row r="30214" spans="9:10" x14ac:dyDescent="0.35">
      <c r="I30214" s="63"/>
      <c r="J30214" s="63"/>
    </row>
    <row r="30215" spans="9:10" x14ac:dyDescent="0.35">
      <c r="I30215" s="63"/>
      <c r="J30215" s="63"/>
    </row>
    <row r="30216" spans="9:10" x14ac:dyDescent="0.35">
      <c r="I30216" s="63"/>
      <c r="J30216" s="63"/>
    </row>
    <row r="30217" spans="9:10" x14ac:dyDescent="0.35">
      <c r="I30217" s="63"/>
      <c r="J30217" s="63"/>
    </row>
    <row r="30218" spans="9:10" x14ac:dyDescent="0.35">
      <c r="I30218" s="63"/>
      <c r="J30218" s="63"/>
    </row>
    <row r="30219" spans="9:10" x14ac:dyDescent="0.35">
      <c r="I30219" s="63"/>
      <c r="J30219" s="63"/>
    </row>
    <row r="30220" spans="9:10" x14ac:dyDescent="0.35">
      <c r="I30220" s="63"/>
      <c r="J30220" s="63"/>
    </row>
    <row r="30221" spans="9:10" x14ac:dyDescent="0.35">
      <c r="I30221" s="63"/>
      <c r="J30221" s="63"/>
    </row>
    <row r="30222" spans="9:10" x14ac:dyDescent="0.35">
      <c r="I30222" s="63"/>
      <c r="J30222" s="63"/>
    </row>
    <row r="30223" spans="9:10" x14ac:dyDescent="0.35">
      <c r="I30223" s="63"/>
      <c r="J30223" s="63"/>
    </row>
    <row r="30224" spans="9:10" x14ac:dyDescent="0.35">
      <c r="I30224" s="63"/>
      <c r="J30224" s="63"/>
    </row>
    <row r="30225" spans="9:10" x14ac:dyDescent="0.35">
      <c r="I30225" s="63"/>
      <c r="J30225" s="63"/>
    </row>
    <row r="30226" spans="9:10" x14ac:dyDescent="0.35">
      <c r="I30226" s="63"/>
      <c r="J30226" s="63"/>
    </row>
    <row r="30227" spans="9:10" x14ac:dyDescent="0.35">
      <c r="I30227" s="63"/>
      <c r="J30227" s="63"/>
    </row>
    <row r="30228" spans="9:10" x14ac:dyDescent="0.35">
      <c r="I30228" s="63"/>
      <c r="J30228" s="63"/>
    </row>
    <row r="30229" spans="9:10" x14ac:dyDescent="0.35">
      <c r="I30229" s="63"/>
      <c r="J30229" s="63"/>
    </row>
    <row r="30230" spans="9:10" x14ac:dyDescent="0.35">
      <c r="I30230" s="63"/>
      <c r="J30230" s="63"/>
    </row>
    <row r="30231" spans="9:10" x14ac:dyDescent="0.35">
      <c r="I30231" s="63"/>
      <c r="J30231" s="63"/>
    </row>
    <row r="30232" spans="9:10" x14ac:dyDescent="0.35">
      <c r="I30232" s="63"/>
      <c r="J30232" s="63"/>
    </row>
    <row r="30233" spans="9:10" x14ac:dyDescent="0.35">
      <c r="I30233" s="63"/>
      <c r="J30233" s="63"/>
    </row>
    <row r="30234" spans="9:10" x14ac:dyDescent="0.35">
      <c r="I30234" s="63"/>
      <c r="J30234" s="63"/>
    </row>
    <row r="30235" spans="9:10" x14ac:dyDescent="0.35">
      <c r="I30235" s="63"/>
      <c r="J30235" s="63"/>
    </row>
    <row r="30236" spans="9:10" x14ac:dyDescent="0.35">
      <c r="I30236" s="63"/>
      <c r="J30236" s="63"/>
    </row>
    <row r="30237" spans="9:10" x14ac:dyDescent="0.35">
      <c r="I30237" s="63"/>
      <c r="J30237" s="63"/>
    </row>
    <row r="30238" spans="9:10" x14ac:dyDescent="0.35">
      <c r="I30238" s="63"/>
      <c r="J30238" s="63"/>
    </row>
    <row r="30239" spans="9:10" x14ac:dyDescent="0.35">
      <c r="I30239" s="63"/>
      <c r="J30239" s="63"/>
    </row>
    <row r="30240" spans="9:10" x14ac:dyDescent="0.35">
      <c r="I30240" s="63"/>
      <c r="J30240" s="63"/>
    </row>
    <row r="30241" spans="9:10" x14ac:dyDescent="0.35">
      <c r="I30241" s="63"/>
      <c r="J30241" s="63"/>
    </row>
    <row r="30242" spans="9:10" x14ac:dyDescent="0.35">
      <c r="I30242" s="63"/>
      <c r="J30242" s="63"/>
    </row>
    <row r="30243" spans="9:10" x14ac:dyDescent="0.35">
      <c r="I30243" s="63"/>
      <c r="J30243" s="63"/>
    </row>
    <row r="30244" spans="9:10" x14ac:dyDescent="0.35">
      <c r="I30244" s="63"/>
      <c r="J30244" s="63"/>
    </row>
    <row r="30245" spans="9:10" x14ac:dyDescent="0.35">
      <c r="I30245" s="63"/>
      <c r="J30245" s="63"/>
    </row>
    <row r="30246" spans="9:10" x14ac:dyDescent="0.35">
      <c r="I30246" s="63"/>
      <c r="J30246" s="63"/>
    </row>
    <row r="30247" spans="9:10" x14ac:dyDescent="0.35">
      <c r="I30247" s="63"/>
      <c r="J30247" s="63"/>
    </row>
    <row r="30248" spans="9:10" x14ac:dyDescent="0.35">
      <c r="I30248" s="63"/>
      <c r="J30248" s="63"/>
    </row>
    <row r="30249" spans="9:10" x14ac:dyDescent="0.35">
      <c r="I30249" s="63"/>
      <c r="J30249" s="63"/>
    </row>
    <row r="30250" spans="9:10" x14ac:dyDescent="0.35">
      <c r="I30250" s="63"/>
      <c r="J30250" s="63"/>
    </row>
    <row r="30251" spans="9:10" x14ac:dyDescent="0.35">
      <c r="I30251" s="63"/>
      <c r="J30251" s="63"/>
    </row>
    <row r="30252" spans="9:10" x14ac:dyDescent="0.35">
      <c r="I30252" s="63"/>
      <c r="J30252" s="63"/>
    </row>
    <row r="30253" spans="9:10" x14ac:dyDescent="0.35">
      <c r="I30253" s="63"/>
      <c r="J30253" s="63"/>
    </row>
    <row r="30254" spans="9:10" x14ac:dyDescent="0.35">
      <c r="I30254" s="63"/>
      <c r="J30254" s="63"/>
    </row>
    <row r="30255" spans="9:10" x14ac:dyDescent="0.35">
      <c r="I30255" s="63"/>
      <c r="J30255" s="63"/>
    </row>
    <row r="30256" spans="9:10" x14ac:dyDescent="0.35">
      <c r="I30256" s="63"/>
      <c r="J30256" s="63"/>
    </row>
    <row r="30257" spans="9:10" x14ac:dyDescent="0.35">
      <c r="I30257" s="63"/>
      <c r="J30257" s="63"/>
    </row>
    <row r="30258" spans="9:10" x14ac:dyDescent="0.35">
      <c r="I30258" s="63"/>
      <c r="J30258" s="63"/>
    </row>
    <row r="30259" spans="9:10" x14ac:dyDescent="0.35">
      <c r="I30259" s="63"/>
      <c r="J30259" s="63"/>
    </row>
    <row r="30260" spans="9:10" x14ac:dyDescent="0.35">
      <c r="I30260" s="63"/>
      <c r="J30260" s="63"/>
    </row>
    <row r="30261" spans="9:10" x14ac:dyDescent="0.35">
      <c r="I30261" s="63"/>
      <c r="J30261" s="63"/>
    </row>
    <row r="30262" spans="9:10" x14ac:dyDescent="0.35">
      <c r="I30262" s="63"/>
      <c r="J30262" s="63"/>
    </row>
    <row r="30263" spans="9:10" x14ac:dyDescent="0.35">
      <c r="I30263" s="63"/>
      <c r="J30263" s="63"/>
    </row>
    <row r="30264" spans="9:10" x14ac:dyDescent="0.35">
      <c r="I30264" s="63"/>
      <c r="J30264" s="63"/>
    </row>
    <row r="30265" spans="9:10" x14ac:dyDescent="0.35">
      <c r="I30265" s="63"/>
      <c r="J30265" s="63"/>
    </row>
    <row r="30266" spans="9:10" x14ac:dyDescent="0.35">
      <c r="I30266" s="63"/>
      <c r="J30266" s="63"/>
    </row>
    <row r="30267" spans="9:10" x14ac:dyDescent="0.35">
      <c r="I30267" s="63"/>
      <c r="J30267" s="63"/>
    </row>
    <row r="30268" spans="9:10" x14ac:dyDescent="0.35">
      <c r="I30268" s="63"/>
      <c r="J30268" s="63"/>
    </row>
    <row r="30269" spans="9:10" x14ac:dyDescent="0.35">
      <c r="I30269" s="63"/>
      <c r="J30269" s="63"/>
    </row>
    <row r="30270" spans="9:10" x14ac:dyDescent="0.35">
      <c r="I30270" s="63"/>
      <c r="J30270" s="63"/>
    </row>
    <row r="30271" spans="9:10" x14ac:dyDescent="0.35">
      <c r="I30271" s="63"/>
      <c r="J30271" s="63"/>
    </row>
    <row r="30272" spans="9:10" x14ac:dyDescent="0.35">
      <c r="I30272" s="63"/>
      <c r="J30272" s="63"/>
    </row>
    <row r="30273" spans="9:10" x14ac:dyDescent="0.35">
      <c r="I30273" s="63"/>
      <c r="J30273" s="63"/>
    </row>
    <row r="30274" spans="9:10" x14ac:dyDescent="0.35">
      <c r="I30274" s="63"/>
      <c r="J30274" s="63"/>
    </row>
    <row r="30275" spans="9:10" x14ac:dyDescent="0.35">
      <c r="I30275" s="63"/>
      <c r="J30275" s="63"/>
    </row>
    <row r="30276" spans="9:10" x14ac:dyDescent="0.35">
      <c r="I30276" s="63"/>
      <c r="J30276" s="63"/>
    </row>
    <row r="30277" spans="9:10" x14ac:dyDescent="0.35">
      <c r="I30277" s="63"/>
      <c r="J30277" s="63"/>
    </row>
    <row r="30278" spans="9:10" x14ac:dyDescent="0.35">
      <c r="I30278" s="63"/>
      <c r="J30278" s="63"/>
    </row>
    <row r="30279" spans="9:10" x14ac:dyDescent="0.35">
      <c r="I30279" s="63"/>
      <c r="J30279" s="63"/>
    </row>
    <row r="30280" spans="9:10" x14ac:dyDescent="0.35">
      <c r="I30280" s="63"/>
      <c r="J30280" s="63"/>
    </row>
    <row r="30281" spans="9:10" x14ac:dyDescent="0.35">
      <c r="I30281" s="63"/>
      <c r="J30281" s="63"/>
    </row>
    <row r="30282" spans="9:10" x14ac:dyDescent="0.35">
      <c r="I30282" s="63"/>
      <c r="J30282" s="63"/>
    </row>
    <row r="30283" spans="9:10" x14ac:dyDescent="0.35">
      <c r="I30283" s="63"/>
      <c r="J30283" s="63"/>
    </row>
    <row r="30284" spans="9:10" x14ac:dyDescent="0.35">
      <c r="I30284" s="63"/>
      <c r="J30284" s="63"/>
    </row>
    <row r="30285" spans="9:10" x14ac:dyDescent="0.35">
      <c r="I30285" s="63"/>
      <c r="J30285" s="63"/>
    </row>
    <row r="30286" spans="9:10" x14ac:dyDescent="0.35">
      <c r="I30286" s="63"/>
      <c r="J30286" s="63"/>
    </row>
    <row r="30287" spans="9:10" x14ac:dyDescent="0.35">
      <c r="I30287" s="63"/>
      <c r="J30287" s="63"/>
    </row>
    <row r="30288" spans="9:10" x14ac:dyDescent="0.35">
      <c r="I30288" s="63"/>
      <c r="J30288" s="63"/>
    </row>
    <row r="30289" spans="9:10" x14ac:dyDescent="0.35">
      <c r="I30289" s="63"/>
      <c r="J30289" s="63"/>
    </row>
    <row r="30290" spans="9:10" x14ac:dyDescent="0.35">
      <c r="I30290" s="63"/>
      <c r="J30290" s="63"/>
    </row>
    <row r="30291" spans="9:10" x14ac:dyDescent="0.35">
      <c r="I30291" s="63"/>
      <c r="J30291" s="63"/>
    </row>
    <row r="30292" spans="9:10" x14ac:dyDescent="0.35">
      <c r="I30292" s="63"/>
      <c r="J30292" s="63"/>
    </row>
    <row r="30293" spans="9:10" x14ac:dyDescent="0.35">
      <c r="I30293" s="63"/>
      <c r="J30293" s="63"/>
    </row>
    <row r="30294" spans="9:10" x14ac:dyDescent="0.35">
      <c r="I30294" s="63"/>
      <c r="J30294" s="63"/>
    </row>
    <row r="30295" spans="9:10" x14ac:dyDescent="0.35">
      <c r="I30295" s="63"/>
      <c r="J30295" s="63"/>
    </row>
    <row r="30296" spans="9:10" x14ac:dyDescent="0.35">
      <c r="I30296" s="63"/>
      <c r="J30296" s="63"/>
    </row>
    <row r="30297" spans="9:10" x14ac:dyDescent="0.35">
      <c r="I30297" s="63"/>
      <c r="J30297" s="63"/>
    </row>
    <row r="30298" spans="9:10" x14ac:dyDescent="0.35">
      <c r="I30298" s="63"/>
      <c r="J30298" s="63"/>
    </row>
    <row r="30299" spans="9:10" x14ac:dyDescent="0.35">
      <c r="I30299" s="63"/>
      <c r="J30299" s="63"/>
    </row>
    <row r="30300" spans="9:10" x14ac:dyDescent="0.35">
      <c r="I30300" s="63"/>
      <c r="J30300" s="63"/>
    </row>
    <row r="30301" spans="9:10" x14ac:dyDescent="0.35">
      <c r="I30301" s="63"/>
      <c r="J30301" s="63"/>
    </row>
    <row r="30302" spans="9:10" x14ac:dyDescent="0.35">
      <c r="I30302" s="63"/>
      <c r="J30302" s="63"/>
    </row>
    <row r="30303" spans="9:10" x14ac:dyDescent="0.35">
      <c r="I30303" s="63"/>
      <c r="J30303" s="63"/>
    </row>
    <row r="30304" spans="9:10" x14ac:dyDescent="0.35">
      <c r="I30304" s="63"/>
      <c r="J30304" s="63"/>
    </row>
    <row r="30305" spans="9:10" x14ac:dyDescent="0.35">
      <c r="I30305" s="63"/>
      <c r="J30305" s="63"/>
    </row>
    <row r="30306" spans="9:10" x14ac:dyDescent="0.35">
      <c r="I30306" s="63"/>
      <c r="J30306" s="63"/>
    </row>
    <row r="30307" spans="9:10" x14ac:dyDescent="0.35">
      <c r="I30307" s="63"/>
      <c r="J30307" s="63"/>
    </row>
    <row r="30308" spans="9:10" x14ac:dyDescent="0.35">
      <c r="I30308" s="63"/>
      <c r="J30308" s="63"/>
    </row>
    <row r="30309" spans="9:10" x14ac:dyDescent="0.35">
      <c r="I30309" s="63"/>
      <c r="J30309" s="63"/>
    </row>
    <row r="30310" spans="9:10" x14ac:dyDescent="0.35">
      <c r="I30310" s="63"/>
      <c r="J30310" s="63"/>
    </row>
    <row r="30311" spans="9:10" x14ac:dyDescent="0.35">
      <c r="I30311" s="63"/>
      <c r="J30311" s="63"/>
    </row>
    <row r="30312" spans="9:10" x14ac:dyDescent="0.35">
      <c r="I30312" s="63"/>
      <c r="J30312" s="63"/>
    </row>
    <row r="30313" spans="9:10" x14ac:dyDescent="0.35">
      <c r="I30313" s="63"/>
      <c r="J30313" s="63"/>
    </row>
    <row r="30314" spans="9:10" x14ac:dyDescent="0.35">
      <c r="I30314" s="63"/>
      <c r="J30314" s="63"/>
    </row>
    <row r="30315" spans="9:10" x14ac:dyDescent="0.35">
      <c r="I30315" s="63"/>
      <c r="J30315" s="63"/>
    </row>
    <row r="30316" spans="9:10" x14ac:dyDescent="0.35">
      <c r="I30316" s="63"/>
      <c r="J30316" s="63"/>
    </row>
    <row r="30317" spans="9:10" x14ac:dyDescent="0.35">
      <c r="I30317" s="63"/>
      <c r="J30317" s="63"/>
    </row>
    <row r="30318" spans="9:10" x14ac:dyDescent="0.35">
      <c r="I30318" s="63"/>
      <c r="J30318" s="63"/>
    </row>
    <row r="30319" spans="9:10" x14ac:dyDescent="0.35">
      <c r="I30319" s="63"/>
      <c r="J30319" s="63"/>
    </row>
    <row r="30320" spans="9:10" x14ac:dyDescent="0.35">
      <c r="I30320" s="63"/>
      <c r="J30320" s="63"/>
    </row>
    <row r="30321" spans="9:10" x14ac:dyDescent="0.35">
      <c r="I30321" s="63"/>
      <c r="J30321" s="63"/>
    </row>
    <row r="30322" spans="9:10" x14ac:dyDescent="0.35">
      <c r="I30322" s="63"/>
      <c r="J30322" s="63"/>
    </row>
    <row r="30323" spans="9:10" x14ac:dyDescent="0.35">
      <c r="I30323" s="63"/>
      <c r="J30323" s="63"/>
    </row>
    <row r="30324" spans="9:10" x14ac:dyDescent="0.35">
      <c r="I30324" s="63"/>
      <c r="J30324" s="63"/>
    </row>
    <row r="30325" spans="9:10" x14ac:dyDescent="0.35">
      <c r="I30325" s="63"/>
      <c r="J30325" s="63"/>
    </row>
    <row r="30326" spans="9:10" x14ac:dyDescent="0.35">
      <c r="I30326" s="63"/>
      <c r="J30326" s="63"/>
    </row>
    <row r="30327" spans="9:10" x14ac:dyDescent="0.35">
      <c r="I30327" s="63"/>
      <c r="J30327" s="63"/>
    </row>
    <row r="30328" spans="9:10" x14ac:dyDescent="0.35">
      <c r="I30328" s="63"/>
      <c r="J30328" s="63"/>
    </row>
    <row r="30329" spans="9:10" x14ac:dyDescent="0.35">
      <c r="I30329" s="63"/>
      <c r="J30329" s="63"/>
    </row>
    <row r="30330" spans="9:10" x14ac:dyDescent="0.35">
      <c r="I30330" s="63"/>
      <c r="J30330" s="63"/>
    </row>
    <row r="30331" spans="9:10" x14ac:dyDescent="0.35">
      <c r="I30331" s="63"/>
      <c r="J30331" s="63"/>
    </row>
    <row r="30332" spans="9:10" x14ac:dyDescent="0.35">
      <c r="I30332" s="63"/>
      <c r="J30332" s="63"/>
    </row>
    <row r="30333" spans="9:10" x14ac:dyDescent="0.35">
      <c r="I30333" s="63"/>
      <c r="J30333" s="63"/>
    </row>
    <row r="30334" spans="9:10" x14ac:dyDescent="0.35">
      <c r="I30334" s="63"/>
      <c r="J30334" s="63"/>
    </row>
    <row r="30335" spans="9:10" x14ac:dyDescent="0.35">
      <c r="I30335" s="63"/>
      <c r="J30335" s="63"/>
    </row>
    <row r="30336" spans="9:10" x14ac:dyDescent="0.35">
      <c r="I30336" s="63"/>
      <c r="J30336" s="63"/>
    </row>
    <row r="30337" spans="9:10" x14ac:dyDescent="0.35">
      <c r="I30337" s="63"/>
      <c r="J30337" s="63"/>
    </row>
    <row r="30338" spans="9:10" x14ac:dyDescent="0.35">
      <c r="I30338" s="63"/>
      <c r="J30338" s="63"/>
    </row>
    <row r="30339" spans="9:10" x14ac:dyDescent="0.35">
      <c r="I30339" s="63"/>
      <c r="J30339" s="63"/>
    </row>
    <row r="30340" spans="9:10" x14ac:dyDescent="0.35">
      <c r="I30340" s="63"/>
      <c r="J30340" s="63"/>
    </row>
    <row r="30341" spans="9:10" x14ac:dyDescent="0.35">
      <c r="I30341" s="63"/>
      <c r="J30341" s="63"/>
    </row>
    <row r="30342" spans="9:10" x14ac:dyDescent="0.35">
      <c r="I30342" s="63"/>
      <c r="J30342" s="63"/>
    </row>
    <row r="30343" spans="9:10" x14ac:dyDescent="0.35">
      <c r="I30343" s="63"/>
      <c r="J30343" s="63"/>
    </row>
    <row r="30344" spans="9:10" x14ac:dyDescent="0.35">
      <c r="I30344" s="63"/>
      <c r="J30344" s="63"/>
    </row>
    <row r="30345" spans="9:10" x14ac:dyDescent="0.35">
      <c r="I30345" s="63"/>
      <c r="J30345" s="63"/>
    </row>
    <row r="30346" spans="9:10" x14ac:dyDescent="0.35">
      <c r="I30346" s="63"/>
      <c r="J30346" s="63"/>
    </row>
    <row r="30347" spans="9:10" x14ac:dyDescent="0.35">
      <c r="I30347" s="63"/>
      <c r="J30347" s="63"/>
    </row>
    <row r="30348" spans="9:10" x14ac:dyDescent="0.35">
      <c r="I30348" s="63"/>
      <c r="J30348" s="63"/>
    </row>
    <row r="30349" spans="9:10" x14ac:dyDescent="0.35">
      <c r="I30349" s="63"/>
      <c r="J30349" s="63"/>
    </row>
    <row r="30350" spans="9:10" x14ac:dyDescent="0.35">
      <c r="I30350" s="63"/>
      <c r="J30350" s="63"/>
    </row>
    <row r="30351" spans="9:10" x14ac:dyDescent="0.35">
      <c r="I30351" s="63"/>
      <c r="J30351" s="63"/>
    </row>
    <row r="30352" spans="9:10" x14ac:dyDescent="0.35">
      <c r="I30352" s="63"/>
      <c r="J30352" s="63"/>
    </row>
    <row r="30353" spans="9:10" x14ac:dyDescent="0.35">
      <c r="I30353" s="63"/>
      <c r="J30353" s="63"/>
    </row>
    <row r="30354" spans="9:10" x14ac:dyDescent="0.35">
      <c r="I30354" s="63"/>
      <c r="J30354" s="63"/>
    </row>
    <row r="30355" spans="9:10" x14ac:dyDescent="0.35">
      <c r="I30355" s="63"/>
      <c r="J30355" s="63"/>
    </row>
    <row r="30356" spans="9:10" x14ac:dyDescent="0.35">
      <c r="I30356" s="63"/>
      <c r="J30356" s="63"/>
    </row>
    <row r="30357" spans="9:10" x14ac:dyDescent="0.35">
      <c r="I30357" s="63"/>
      <c r="J30357" s="63"/>
    </row>
    <row r="30358" spans="9:10" x14ac:dyDescent="0.35">
      <c r="I30358" s="63"/>
      <c r="J30358" s="63"/>
    </row>
    <row r="30359" spans="9:10" x14ac:dyDescent="0.35">
      <c r="I30359" s="63"/>
      <c r="J30359" s="63"/>
    </row>
    <row r="30360" spans="9:10" x14ac:dyDescent="0.35">
      <c r="I30360" s="63"/>
      <c r="J30360" s="63"/>
    </row>
    <row r="30361" spans="9:10" x14ac:dyDescent="0.35">
      <c r="I30361" s="63"/>
      <c r="J30361" s="63"/>
    </row>
    <row r="30362" spans="9:10" x14ac:dyDescent="0.35">
      <c r="I30362" s="63"/>
      <c r="J30362" s="63"/>
    </row>
    <row r="30363" spans="9:10" x14ac:dyDescent="0.35">
      <c r="I30363" s="63"/>
      <c r="J30363" s="63"/>
    </row>
    <row r="30364" spans="9:10" x14ac:dyDescent="0.35">
      <c r="I30364" s="63"/>
      <c r="J30364" s="63"/>
    </row>
    <row r="30365" spans="9:10" x14ac:dyDescent="0.35">
      <c r="I30365" s="63"/>
      <c r="J30365" s="63"/>
    </row>
    <row r="30366" spans="9:10" x14ac:dyDescent="0.35">
      <c r="I30366" s="63"/>
      <c r="J30366" s="63"/>
    </row>
    <row r="30367" spans="9:10" x14ac:dyDescent="0.35">
      <c r="I30367" s="63"/>
      <c r="J30367" s="63"/>
    </row>
    <row r="30368" spans="9:10" x14ac:dyDescent="0.35">
      <c r="I30368" s="63"/>
      <c r="J30368" s="63"/>
    </row>
    <row r="30369" spans="9:10" x14ac:dyDescent="0.35">
      <c r="I30369" s="63"/>
      <c r="J30369" s="63"/>
    </row>
    <row r="30370" spans="9:10" x14ac:dyDescent="0.35">
      <c r="I30370" s="63"/>
      <c r="J30370" s="63"/>
    </row>
    <row r="30371" spans="9:10" x14ac:dyDescent="0.35">
      <c r="I30371" s="63"/>
      <c r="J30371" s="63"/>
    </row>
    <row r="30372" spans="9:10" x14ac:dyDescent="0.35">
      <c r="I30372" s="63"/>
      <c r="J30372" s="63"/>
    </row>
    <row r="30373" spans="9:10" x14ac:dyDescent="0.35">
      <c r="I30373" s="63"/>
      <c r="J30373" s="63"/>
    </row>
    <row r="30374" spans="9:10" x14ac:dyDescent="0.35">
      <c r="I30374" s="63"/>
      <c r="J30374" s="63"/>
    </row>
    <row r="30375" spans="9:10" x14ac:dyDescent="0.35">
      <c r="I30375" s="63"/>
      <c r="J30375" s="63"/>
    </row>
    <row r="30376" spans="9:10" x14ac:dyDescent="0.35">
      <c r="I30376" s="63"/>
      <c r="J30376" s="63"/>
    </row>
    <row r="30377" spans="9:10" x14ac:dyDescent="0.35">
      <c r="I30377" s="63"/>
      <c r="J30377" s="63"/>
    </row>
    <row r="30378" spans="9:10" x14ac:dyDescent="0.35">
      <c r="I30378" s="63"/>
      <c r="J30378" s="63"/>
    </row>
    <row r="30379" spans="9:10" x14ac:dyDescent="0.35">
      <c r="I30379" s="63"/>
      <c r="J30379" s="63"/>
    </row>
    <row r="30380" spans="9:10" x14ac:dyDescent="0.35">
      <c r="I30380" s="63"/>
      <c r="J30380" s="63"/>
    </row>
    <row r="30381" spans="9:10" x14ac:dyDescent="0.35">
      <c r="I30381" s="63"/>
      <c r="J30381" s="63"/>
    </row>
    <row r="30382" spans="9:10" x14ac:dyDescent="0.35">
      <c r="I30382" s="63"/>
      <c r="J30382" s="63"/>
    </row>
    <row r="30383" spans="9:10" x14ac:dyDescent="0.35">
      <c r="I30383" s="63"/>
      <c r="J30383" s="63"/>
    </row>
    <row r="30384" spans="9:10" x14ac:dyDescent="0.35">
      <c r="I30384" s="63"/>
      <c r="J30384" s="63"/>
    </row>
    <row r="30385" spans="9:10" x14ac:dyDescent="0.35">
      <c r="I30385" s="63"/>
      <c r="J30385" s="63"/>
    </row>
    <row r="30386" spans="9:10" x14ac:dyDescent="0.35">
      <c r="I30386" s="63"/>
      <c r="J30386" s="63"/>
    </row>
    <row r="30387" spans="9:10" x14ac:dyDescent="0.35">
      <c r="I30387" s="63"/>
      <c r="J30387" s="63"/>
    </row>
    <row r="30388" spans="9:10" x14ac:dyDescent="0.35">
      <c r="I30388" s="63"/>
      <c r="J30388" s="63"/>
    </row>
    <row r="30389" spans="9:10" x14ac:dyDescent="0.35">
      <c r="I30389" s="63"/>
      <c r="J30389" s="63"/>
    </row>
    <row r="30390" spans="9:10" x14ac:dyDescent="0.35">
      <c r="I30390" s="63"/>
      <c r="J30390" s="63"/>
    </row>
    <row r="30391" spans="9:10" x14ac:dyDescent="0.35">
      <c r="I30391" s="63"/>
      <c r="J30391" s="63"/>
    </row>
    <row r="30392" spans="9:10" x14ac:dyDescent="0.35">
      <c r="I30392" s="63"/>
      <c r="J30392" s="63"/>
    </row>
    <row r="30393" spans="9:10" x14ac:dyDescent="0.35">
      <c r="I30393" s="63"/>
      <c r="J30393" s="63"/>
    </row>
    <row r="30394" spans="9:10" x14ac:dyDescent="0.35">
      <c r="I30394" s="63"/>
      <c r="J30394" s="63"/>
    </row>
    <row r="30395" spans="9:10" x14ac:dyDescent="0.35">
      <c r="I30395" s="63"/>
      <c r="J30395" s="63"/>
    </row>
    <row r="30396" spans="9:10" x14ac:dyDescent="0.35">
      <c r="I30396" s="63"/>
      <c r="J30396" s="63"/>
    </row>
    <row r="30397" spans="9:10" x14ac:dyDescent="0.35">
      <c r="I30397" s="63"/>
      <c r="J30397" s="63"/>
    </row>
    <row r="30398" spans="9:10" x14ac:dyDescent="0.35">
      <c r="I30398" s="63"/>
      <c r="J30398" s="63"/>
    </row>
    <row r="30399" spans="9:10" x14ac:dyDescent="0.35">
      <c r="I30399" s="63"/>
      <c r="J30399" s="63"/>
    </row>
    <row r="30400" spans="9:10" x14ac:dyDescent="0.35">
      <c r="I30400" s="63"/>
      <c r="J30400" s="63"/>
    </row>
    <row r="30401" spans="9:10" x14ac:dyDescent="0.35">
      <c r="I30401" s="63"/>
      <c r="J30401" s="63"/>
    </row>
    <row r="30402" spans="9:10" x14ac:dyDescent="0.35">
      <c r="I30402" s="63"/>
      <c r="J30402" s="63"/>
    </row>
    <row r="30403" spans="9:10" x14ac:dyDescent="0.35">
      <c r="I30403" s="63"/>
      <c r="J30403" s="63"/>
    </row>
    <row r="30404" spans="9:10" x14ac:dyDescent="0.35">
      <c r="I30404" s="63"/>
      <c r="J30404" s="63"/>
    </row>
    <row r="30405" spans="9:10" x14ac:dyDescent="0.35">
      <c r="I30405" s="63"/>
      <c r="J30405" s="63"/>
    </row>
    <row r="30406" spans="9:10" x14ac:dyDescent="0.35">
      <c r="I30406" s="63"/>
      <c r="J30406" s="63"/>
    </row>
    <row r="30407" spans="9:10" x14ac:dyDescent="0.35">
      <c r="I30407" s="63"/>
      <c r="J30407" s="63"/>
    </row>
    <row r="30408" spans="9:10" x14ac:dyDescent="0.35">
      <c r="I30408" s="63"/>
      <c r="J30408" s="63"/>
    </row>
    <row r="30409" spans="9:10" x14ac:dyDescent="0.35">
      <c r="I30409" s="63"/>
      <c r="J30409" s="63"/>
    </row>
    <row r="30410" spans="9:10" x14ac:dyDescent="0.35">
      <c r="I30410" s="63"/>
      <c r="J30410" s="63"/>
    </row>
    <row r="30411" spans="9:10" x14ac:dyDescent="0.35">
      <c r="I30411" s="63"/>
      <c r="J30411" s="63"/>
    </row>
    <row r="30412" spans="9:10" x14ac:dyDescent="0.35">
      <c r="I30412" s="63"/>
      <c r="J30412" s="63"/>
    </row>
    <row r="30413" spans="9:10" x14ac:dyDescent="0.35">
      <c r="I30413" s="63"/>
      <c r="J30413" s="63"/>
    </row>
    <row r="30414" spans="9:10" x14ac:dyDescent="0.35">
      <c r="I30414" s="63"/>
      <c r="J30414" s="63"/>
    </row>
    <row r="30415" spans="9:10" x14ac:dyDescent="0.35">
      <c r="I30415" s="63"/>
      <c r="J30415" s="63"/>
    </row>
    <row r="30416" spans="9:10" x14ac:dyDescent="0.35">
      <c r="I30416" s="63"/>
      <c r="J30416" s="63"/>
    </row>
    <row r="30417" spans="9:10" x14ac:dyDescent="0.35">
      <c r="I30417" s="63"/>
      <c r="J30417" s="63"/>
    </row>
    <row r="30418" spans="9:10" x14ac:dyDescent="0.35">
      <c r="I30418" s="63"/>
      <c r="J30418" s="63"/>
    </row>
    <row r="30419" spans="9:10" x14ac:dyDescent="0.35">
      <c r="I30419" s="63"/>
      <c r="J30419" s="63"/>
    </row>
    <row r="30420" spans="9:10" x14ac:dyDescent="0.35">
      <c r="I30420" s="63"/>
      <c r="J30420" s="63"/>
    </row>
    <row r="30421" spans="9:10" x14ac:dyDescent="0.35">
      <c r="I30421" s="63"/>
      <c r="J30421" s="63"/>
    </row>
    <row r="30422" spans="9:10" x14ac:dyDescent="0.35">
      <c r="I30422" s="63"/>
      <c r="J30422" s="63"/>
    </row>
    <row r="30423" spans="9:10" x14ac:dyDescent="0.35">
      <c r="I30423" s="63"/>
      <c r="J30423" s="63"/>
    </row>
    <row r="30424" spans="9:10" x14ac:dyDescent="0.35">
      <c r="I30424" s="63"/>
      <c r="J30424" s="63"/>
    </row>
    <row r="30425" spans="9:10" x14ac:dyDescent="0.35">
      <c r="I30425" s="63"/>
      <c r="J30425" s="63"/>
    </row>
    <row r="30426" spans="9:10" x14ac:dyDescent="0.35">
      <c r="I30426" s="63"/>
      <c r="J30426" s="63"/>
    </row>
    <row r="30427" spans="9:10" x14ac:dyDescent="0.35">
      <c r="I30427" s="63"/>
      <c r="J30427" s="63"/>
    </row>
    <row r="30428" spans="9:10" x14ac:dyDescent="0.35">
      <c r="I30428" s="63"/>
      <c r="J30428" s="63"/>
    </row>
    <row r="30429" spans="9:10" x14ac:dyDescent="0.35">
      <c r="I30429" s="63"/>
      <c r="J30429" s="63"/>
    </row>
    <row r="30430" spans="9:10" x14ac:dyDescent="0.35">
      <c r="I30430" s="63"/>
      <c r="J30430" s="63"/>
    </row>
    <row r="30431" spans="9:10" x14ac:dyDescent="0.35">
      <c r="I30431" s="63"/>
      <c r="J30431" s="63"/>
    </row>
    <row r="30432" spans="9:10" x14ac:dyDescent="0.35">
      <c r="I30432" s="63"/>
      <c r="J30432" s="63"/>
    </row>
    <row r="30433" spans="9:10" x14ac:dyDescent="0.35">
      <c r="I30433" s="63"/>
      <c r="J30433" s="63"/>
    </row>
    <row r="30434" spans="9:10" x14ac:dyDescent="0.35">
      <c r="I30434" s="63"/>
      <c r="J30434" s="63"/>
    </row>
    <row r="30435" spans="9:10" x14ac:dyDescent="0.35">
      <c r="I30435" s="63"/>
      <c r="J30435" s="63"/>
    </row>
    <row r="30436" spans="9:10" x14ac:dyDescent="0.35">
      <c r="I30436" s="63"/>
      <c r="J30436" s="63"/>
    </row>
    <row r="30437" spans="9:10" x14ac:dyDescent="0.35">
      <c r="I30437" s="63"/>
      <c r="J30437" s="63"/>
    </row>
    <row r="30438" spans="9:10" x14ac:dyDescent="0.35">
      <c r="I30438" s="63"/>
      <c r="J30438" s="63"/>
    </row>
    <row r="30439" spans="9:10" x14ac:dyDescent="0.35">
      <c r="I30439" s="63"/>
      <c r="J30439" s="63"/>
    </row>
    <row r="30440" spans="9:10" x14ac:dyDescent="0.35">
      <c r="I30440" s="63"/>
      <c r="J30440" s="63"/>
    </row>
    <row r="30441" spans="9:10" x14ac:dyDescent="0.35">
      <c r="I30441" s="63"/>
      <c r="J30441" s="63"/>
    </row>
    <row r="30442" spans="9:10" x14ac:dyDescent="0.35">
      <c r="I30442" s="63"/>
      <c r="J30442" s="63"/>
    </row>
    <row r="30443" spans="9:10" x14ac:dyDescent="0.35">
      <c r="I30443" s="63"/>
      <c r="J30443" s="63"/>
    </row>
    <row r="30444" spans="9:10" x14ac:dyDescent="0.35">
      <c r="I30444" s="63"/>
      <c r="J30444" s="63"/>
    </row>
    <row r="30445" spans="9:10" x14ac:dyDescent="0.35">
      <c r="I30445" s="63"/>
      <c r="J30445" s="63"/>
    </row>
    <row r="30446" spans="9:10" x14ac:dyDescent="0.35">
      <c r="I30446" s="63"/>
      <c r="J30446" s="63"/>
    </row>
    <row r="30447" spans="9:10" x14ac:dyDescent="0.35">
      <c r="I30447" s="63"/>
      <c r="J30447" s="63"/>
    </row>
    <row r="30448" spans="9:10" x14ac:dyDescent="0.35">
      <c r="I30448" s="63"/>
      <c r="J30448" s="63"/>
    </row>
    <row r="30449" spans="9:10" x14ac:dyDescent="0.35">
      <c r="I30449" s="63"/>
      <c r="J30449" s="63"/>
    </row>
    <row r="30450" spans="9:10" x14ac:dyDescent="0.35">
      <c r="I30450" s="63"/>
      <c r="J30450" s="63"/>
    </row>
    <row r="30451" spans="9:10" x14ac:dyDescent="0.35">
      <c r="I30451" s="63"/>
      <c r="J30451" s="63"/>
    </row>
    <row r="30452" spans="9:10" x14ac:dyDescent="0.35">
      <c r="I30452" s="63"/>
      <c r="J30452" s="63"/>
    </row>
    <row r="30453" spans="9:10" x14ac:dyDescent="0.35">
      <c r="I30453" s="63"/>
      <c r="J30453" s="63"/>
    </row>
    <row r="30454" spans="9:10" x14ac:dyDescent="0.35">
      <c r="I30454" s="63"/>
      <c r="J30454" s="63"/>
    </row>
    <row r="30455" spans="9:10" x14ac:dyDescent="0.35">
      <c r="I30455" s="63"/>
      <c r="J30455" s="63"/>
    </row>
    <row r="30456" spans="9:10" x14ac:dyDescent="0.35">
      <c r="I30456" s="63"/>
      <c r="J30456" s="63"/>
    </row>
    <row r="30457" spans="9:10" x14ac:dyDescent="0.35">
      <c r="I30457" s="63"/>
      <c r="J30457" s="63"/>
    </row>
    <row r="30458" spans="9:10" x14ac:dyDescent="0.35">
      <c r="I30458" s="63"/>
      <c r="J30458" s="63"/>
    </row>
    <row r="30459" spans="9:10" x14ac:dyDescent="0.35">
      <c r="I30459" s="63"/>
      <c r="J30459" s="63"/>
    </row>
    <row r="30460" spans="9:10" x14ac:dyDescent="0.35">
      <c r="I30460" s="63"/>
      <c r="J30460" s="63"/>
    </row>
    <row r="30461" spans="9:10" x14ac:dyDescent="0.35">
      <c r="I30461" s="63"/>
      <c r="J30461" s="63"/>
    </row>
    <row r="30462" spans="9:10" x14ac:dyDescent="0.35">
      <c r="I30462" s="63"/>
      <c r="J30462" s="63"/>
    </row>
    <row r="30463" spans="9:10" x14ac:dyDescent="0.35">
      <c r="I30463" s="63"/>
      <c r="J30463" s="63"/>
    </row>
    <row r="30464" spans="9:10" x14ac:dyDescent="0.35">
      <c r="I30464" s="63"/>
      <c r="J30464" s="63"/>
    </row>
    <row r="30465" spans="9:10" x14ac:dyDescent="0.35">
      <c r="I30465" s="63"/>
      <c r="J30465" s="63"/>
    </row>
    <row r="30466" spans="9:10" x14ac:dyDescent="0.35">
      <c r="I30466" s="63"/>
      <c r="J30466" s="63"/>
    </row>
    <row r="30467" spans="9:10" x14ac:dyDescent="0.35">
      <c r="I30467" s="63"/>
      <c r="J30467" s="63"/>
    </row>
    <row r="30468" spans="9:10" x14ac:dyDescent="0.35">
      <c r="I30468" s="63"/>
      <c r="J30468" s="63"/>
    </row>
    <row r="30469" spans="9:10" x14ac:dyDescent="0.35">
      <c r="I30469" s="63"/>
      <c r="J30469" s="63"/>
    </row>
    <row r="30470" spans="9:10" x14ac:dyDescent="0.35">
      <c r="I30470" s="63"/>
      <c r="J30470" s="63"/>
    </row>
    <row r="30471" spans="9:10" x14ac:dyDescent="0.35">
      <c r="I30471" s="63"/>
      <c r="J30471" s="63"/>
    </row>
    <row r="30472" spans="9:10" x14ac:dyDescent="0.35">
      <c r="I30472" s="63"/>
      <c r="J30472" s="63"/>
    </row>
    <row r="30473" spans="9:10" x14ac:dyDescent="0.35">
      <c r="I30473" s="63"/>
      <c r="J30473" s="63"/>
    </row>
    <row r="30474" spans="9:10" x14ac:dyDescent="0.35">
      <c r="I30474" s="63"/>
      <c r="J30474" s="63"/>
    </row>
    <row r="30475" spans="9:10" x14ac:dyDescent="0.35">
      <c r="I30475" s="63"/>
      <c r="J30475" s="63"/>
    </row>
    <row r="30476" spans="9:10" x14ac:dyDescent="0.35">
      <c r="I30476" s="63"/>
      <c r="J30476" s="63"/>
    </row>
    <row r="30477" spans="9:10" x14ac:dyDescent="0.35">
      <c r="I30477" s="63"/>
      <c r="J30477" s="63"/>
    </row>
    <row r="30478" spans="9:10" x14ac:dyDescent="0.35">
      <c r="I30478" s="63"/>
      <c r="J30478" s="63"/>
    </row>
    <row r="30479" spans="9:10" x14ac:dyDescent="0.35">
      <c r="I30479" s="63"/>
      <c r="J30479" s="63"/>
    </row>
    <row r="30480" spans="9:10" x14ac:dyDescent="0.35">
      <c r="I30480" s="63"/>
      <c r="J30480" s="63"/>
    </row>
    <row r="30481" spans="9:10" x14ac:dyDescent="0.35">
      <c r="I30481" s="63"/>
      <c r="J30481" s="63"/>
    </row>
    <row r="30482" spans="9:10" x14ac:dyDescent="0.35">
      <c r="I30482" s="63"/>
      <c r="J30482" s="63"/>
    </row>
    <row r="30483" spans="9:10" x14ac:dyDescent="0.35">
      <c r="I30483" s="63"/>
      <c r="J30483" s="63"/>
    </row>
    <row r="30484" spans="9:10" x14ac:dyDescent="0.35">
      <c r="I30484" s="63"/>
      <c r="J30484" s="63"/>
    </row>
    <row r="30485" spans="9:10" x14ac:dyDescent="0.35">
      <c r="I30485" s="63"/>
      <c r="J30485" s="63"/>
    </row>
    <row r="30486" spans="9:10" x14ac:dyDescent="0.35">
      <c r="I30486" s="63"/>
      <c r="J30486" s="63"/>
    </row>
    <row r="30487" spans="9:10" x14ac:dyDescent="0.35">
      <c r="I30487" s="63"/>
      <c r="J30487" s="63"/>
    </row>
    <row r="30488" spans="9:10" x14ac:dyDescent="0.35">
      <c r="I30488" s="63"/>
      <c r="J30488" s="63"/>
    </row>
    <row r="30489" spans="9:10" x14ac:dyDescent="0.35">
      <c r="I30489" s="63"/>
      <c r="J30489" s="63"/>
    </row>
    <row r="30490" spans="9:10" x14ac:dyDescent="0.35">
      <c r="I30490" s="63"/>
      <c r="J30490" s="63"/>
    </row>
    <row r="30491" spans="9:10" x14ac:dyDescent="0.35">
      <c r="I30491" s="63"/>
      <c r="J30491" s="63"/>
    </row>
    <row r="30492" spans="9:10" x14ac:dyDescent="0.35">
      <c r="I30492" s="63"/>
      <c r="J30492" s="63"/>
    </row>
    <row r="30493" spans="9:10" x14ac:dyDescent="0.35">
      <c r="I30493" s="63"/>
      <c r="J30493" s="63"/>
    </row>
    <row r="30494" spans="9:10" x14ac:dyDescent="0.35">
      <c r="I30494" s="63"/>
      <c r="J30494" s="63"/>
    </row>
    <row r="30495" spans="9:10" x14ac:dyDescent="0.35">
      <c r="I30495" s="63"/>
      <c r="J30495" s="63"/>
    </row>
    <row r="30496" spans="9:10" x14ac:dyDescent="0.35">
      <c r="I30496" s="63"/>
      <c r="J30496" s="63"/>
    </row>
    <row r="30497" spans="9:10" x14ac:dyDescent="0.35">
      <c r="I30497" s="63"/>
      <c r="J30497" s="63"/>
    </row>
    <row r="30498" spans="9:10" x14ac:dyDescent="0.35">
      <c r="I30498" s="63"/>
      <c r="J30498" s="63"/>
    </row>
    <row r="30499" spans="9:10" x14ac:dyDescent="0.35">
      <c r="I30499" s="63"/>
      <c r="J30499" s="63"/>
    </row>
    <row r="30500" spans="9:10" x14ac:dyDescent="0.35">
      <c r="I30500" s="63"/>
      <c r="J30500" s="63"/>
    </row>
    <row r="30501" spans="9:10" x14ac:dyDescent="0.35">
      <c r="I30501" s="63"/>
      <c r="J30501" s="63"/>
    </row>
    <row r="30502" spans="9:10" x14ac:dyDescent="0.35">
      <c r="I30502" s="63"/>
      <c r="J30502" s="63"/>
    </row>
    <row r="30503" spans="9:10" x14ac:dyDescent="0.35">
      <c r="I30503" s="63"/>
      <c r="J30503" s="63"/>
    </row>
    <row r="30504" spans="9:10" x14ac:dyDescent="0.35">
      <c r="I30504" s="63"/>
      <c r="J30504" s="63"/>
    </row>
    <row r="30505" spans="9:10" x14ac:dyDescent="0.35">
      <c r="I30505" s="63"/>
      <c r="J30505" s="63"/>
    </row>
    <row r="30506" spans="9:10" x14ac:dyDescent="0.35">
      <c r="I30506" s="63"/>
      <c r="J30506" s="63"/>
    </row>
    <row r="30507" spans="9:10" x14ac:dyDescent="0.35">
      <c r="I30507" s="63"/>
      <c r="J30507" s="63"/>
    </row>
    <row r="30508" spans="9:10" x14ac:dyDescent="0.35">
      <c r="I30508" s="63"/>
      <c r="J30508" s="63"/>
    </row>
    <row r="30509" spans="9:10" x14ac:dyDescent="0.35">
      <c r="I30509" s="63"/>
      <c r="J30509" s="63"/>
    </row>
    <row r="30510" spans="9:10" x14ac:dyDescent="0.35">
      <c r="I30510" s="63"/>
      <c r="J30510" s="63"/>
    </row>
    <row r="30511" spans="9:10" x14ac:dyDescent="0.35">
      <c r="I30511" s="63"/>
      <c r="J30511" s="63"/>
    </row>
    <row r="30512" spans="9:10" x14ac:dyDescent="0.35">
      <c r="I30512" s="63"/>
      <c r="J30512" s="63"/>
    </row>
    <row r="30513" spans="9:10" x14ac:dyDescent="0.35">
      <c r="I30513" s="63"/>
      <c r="J30513" s="63"/>
    </row>
    <row r="30514" spans="9:10" x14ac:dyDescent="0.35">
      <c r="I30514" s="63"/>
      <c r="J30514" s="63"/>
    </row>
    <row r="30515" spans="9:10" x14ac:dyDescent="0.35">
      <c r="I30515" s="63"/>
      <c r="J30515" s="63"/>
    </row>
    <row r="30516" spans="9:10" x14ac:dyDescent="0.35">
      <c r="I30516" s="63"/>
      <c r="J30516" s="63"/>
    </row>
    <row r="30517" spans="9:10" x14ac:dyDescent="0.35">
      <c r="I30517" s="63"/>
      <c r="J30517" s="63"/>
    </row>
    <row r="30518" spans="9:10" x14ac:dyDescent="0.35">
      <c r="I30518" s="63"/>
      <c r="J30518" s="63"/>
    </row>
    <row r="30519" spans="9:10" x14ac:dyDescent="0.35">
      <c r="I30519" s="63"/>
      <c r="J30519" s="63"/>
    </row>
    <row r="30520" spans="9:10" x14ac:dyDescent="0.35">
      <c r="I30520" s="63"/>
      <c r="J30520" s="63"/>
    </row>
    <row r="30521" spans="9:10" x14ac:dyDescent="0.35">
      <c r="I30521" s="63"/>
      <c r="J30521" s="63"/>
    </row>
    <row r="30522" spans="9:10" x14ac:dyDescent="0.35">
      <c r="I30522" s="63"/>
      <c r="J30522" s="63"/>
    </row>
    <row r="30523" spans="9:10" x14ac:dyDescent="0.35">
      <c r="I30523" s="63"/>
      <c r="J30523" s="63"/>
    </row>
    <row r="30524" spans="9:10" x14ac:dyDescent="0.35">
      <c r="I30524" s="63"/>
      <c r="J30524" s="63"/>
    </row>
    <row r="30525" spans="9:10" x14ac:dyDescent="0.35">
      <c r="I30525" s="63"/>
      <c r="J30525" s="63"/>
    </row>
    <row r="30526" spans="9:10" x14ac:dyDescent="0.35">
      <c r="I30526" s="63"/>
      <c r="J30526" s="63"/>
    </row>
    <row r="30527" spans="9:10" x14ac:dyDescent="0.35">
      <c r="I30527" s="63"/>
      <c r="J30527" s="63"/>
    </row>
    <row r="30528" spans="9:10" x14ac:dyDescent="0.35">
      <c r="I30528" s="63"/>
      <c r="J30528" s="63"/>
    </row>
    <row r="30529" spans="9:10" x14ac:dyDescent="0.35">
      <c r="I30529" s="63"/>
      <c r="J30529" s="63"/>
    </row>
    <row r="30530" spans="9:10" x14ac:dyDescent="0.35">
      <c r="I30530" s="63"/>
      <c r="J30530" s="63"/>
    </row>
    <row r="30531" spans="9:10" x14ac:dyDescent="0.35">
      <c r="I30531" s="63"/>
      <c r="J30531" s="63"/>
    </row>
    <row r="30532" spans="9:10" x14ac:dyDescent="0.35">
      <c r="I30532" s="63"/>
      <c r="J30532" s="63"/>
    </row>
    <row r="30533" spans="9:10" x14ac:dyDescent="0.35">
      <c r="I30533" s="63"/>
      <c r="J30533" s="63"/>
    </row>
    <row r="30534" spans="9:10" x14ac:dyDescent="0.35">
      <c r="I30534" s="63"/>
      <c r="J30534" s="63"/>
    </row>
    <row r="30535" spans="9:10" x14ac:dyDescent="0.35">
      <c r="I30535" s="63"/>
      <c r="J30535" s="63"/>
    </row>
    <row r="30536" spans="9:10" x14ac:dyDescent="0.35">
      <c r="I30536" s="63"/>
      <c r="J30536" s="63"/>
    </row>
    <row r="30537" spans="9:10" x14ac:dyDescent="0.35">
      <c r="I30537" s="63"/>
      <c r="J30537" s="63"/>
    </row>
    <row r="30538" spans="9:10" x14ac:dyDescent="0.35">
      <c r="I30538" s="63"/>
      <c r="J30538" s="63"/>
    </row>
    <row r="30539" spans="9:10" x14ac:dyDescent="0.35">
      <c r="I30539" s="63"/>
      <c r="J30539" s="63"/>
    </row>
    <row r="30540" spans="9:10" x14ac:dyDescent="0.35">
      <c r="I30540" s="63"/>
      <c r="J30540" s="63"/>
    </row>
    <row r="30541" spans="9:10" x14ac:dyDescent="0.35">
      <c r="I30541" s="63"/>
      <c r="J30541" s="63"/>
    </row>
    <row r="30542" spans="9:10" x14ac:dyDescent="0.35">
      <c r="I30542" s="63"/>
      <c r="J30542" s="63"/>
    </row>
    <row r="30543" spans="9:10" x14ac:dyDescent="0.35">
      <c r="I30543" s="63"/>
      <c r="J30543" s="63"/>
    </row>
    <row r="30544" spans="9:10" x14ac:dyDescent="0.35">
      <c r="I30544" s="63"/>
      <c r="J30544" s="63"/>
    </row>
    <row r="30545" spans="9:10" x14ac:dyDescent="0.35">
      <c r="I30545" s="63"/>
      <c r="J30545" s="63"/>
    </row>
    <row r="30546" spans="9:10" x14ac:dyDescent="0.35">
      <c r="I30546" s="63"/>
      <c r="J30546" s="63"/>
    </row>
    <row r="30547" spans="9:10" x14ac:dyDescent="0.35">
      <c r="I30547" s="63"/>
      <c r="J30547" s="63"/>
    </row>
    <row r="30548" spans="9:10" x14ac:dyDescent="0.35">
      <c r="I30548" s="63"/>
      <c r="J30548" s="63"/>
    </row>
    <row r="30549" spans="9:10" x14ac:dyDescent="0.35">
      <c r="I30549" s="63"/>
      <c r="J30549" s="63"/>
    </row>
    <row r="30550" spans="9:10" x14ac:dyDescent="0.35">
      <c r="I30550" s="63"/>
      <c r="J30550" s="63"/>
    </row>
    <row r="30551" spans="9:10" x14ac:dyDescent="0.35">
      <c r="I30551" s="63"/>
      <c r="J30551" s="63"/>
    </row>
    <row r="30552" spans="9:10" x14ac:dyDescent="0.35">
      <c r="I30552" s="63"/>
      <c r="J30552" s="63"/>
    </row>
    <row r="30553" spans="9:10" x14ac:dyDescent="0.35">
      <c r="I30553" s="63"/>
      <c r="J30553" s="63"/>
    </row>
    <row r="30554" spans="9:10" x14ac:dyDescent="0.35">
      <c r="I30554" s="63"/>
      <c r="J30554" s="63"/>
    </row>
    <row r="30555" spans="9:10" x14ac:dyDescent="0.35">
      <c r="I30555" s="63"/>
      <c r="J30555" s="63"/>
    </row>
    <row r="30556" spans="9:10" x14ac:dyDescent="0.35">
      <c r="I30556" s="63"/>
      <c r="J30556" s="63"/>
    </row>
    <row r="30557" spans="9:10" x14ac:dyDescent="0.35">
      <c r="I30557" s="63"/>
      <c r="J30557" s="63"/>
    </row>
    <row r="30558" spans="9:10" x14ac:dyDescent="0.35">
      <c r="I30558" s="63"/>
      <c r="J30558" s="63"/>
    </row>
    <row r="30559" spans="9:10" x14ac:dyDescent="0.35">
      <c r="I30559" s="63"/>
      <c r="J30559" s="63"/>
    </row>
    <row r="30560" spans="9:10" x14ac:dyDescent="0.35">
      <c r="I30560" s="63"/>
      <c r="J30560" s="63"/>
    </row>
    <row r="30561" spans="9:10" x14ac:dyDescent="0.35">
      <c r="I30561" s="63"/>
      <c r="J30561" s="63"/>
    </row>
    <row r="30562" spans="9:10" x14ac:dyDescent="0.35">
      <c r="I30562" s="63"/>
      <c r="J30562" s="63"/>
    </row>
    <row r="30563" spans="9:10" x14ac:dyDescent="0.35">
      <c r="I30563" s="63"/>
      <c r="J30563" s="63"/>
    </row>
    <row r="30564" spans="9:10" x14ac:dyDescent="0.35">
      <c r="I30564" s="63"/>
      <c r="J30564" s="63"/>
    </row>
    <row r="30565" spans="9:10" x14ac:dyDescent="0.35">
      <c r="I30565" s="63"/>
      <c r="J30565" s="63"/>
    </row>
    <row r="30566" spans="9:10" x14ac:dyDescent="0.35">
      <c r="I30566" s="63"/>
      <c r="J30566" s="63"/>
    </row>
    <row r="30567" spans="9:10" x14ac:dyDescent="0.35">
      <c r="I30567" s="63"/>
      <c r="J30567" s="63"/>
    </row>
    <row r="30568" spans="9:10" x14ac:dyDescent="0.35">
      <c r="I30568" s="63"/>
      <c r="J30568" s="63"/>
    </row>
    <row r="30569" spans="9:10" x14ac:dyDescent="0.35">
      <c r="I30569" s="63"/>
      <c r="J30569" s="63"/>
    </row>
    <row r="30570" spans="9:10" x14ac:dyDescent="0.35">
      <c r="I30570" s="63"/>
      <c r="J30570" s="63"/>
    </row>
    <row r="30571" spans="9:10" x14ac:dyDescent="0.35">
      <c r="I30571" s="63"/>
      <c r="J30571" s="63"/>
    </row>
    <row r="30572" spans="9:10" x14ac:dyDescent="0.35">
      <c r="I30572" s="63"/>
      <c r="J30572" s="63"/>
    </row>
    <row r="30573" spans="9:10" x14ac:dyDescent="0.35">
      <c r="I30573" s="63"/>
      <c r="J30573" s="63"/>
    </row>
    <row r="30574" spans="9:10" x14ac:dyDescent="0.35">
      <c r="I30574" s="63"/>
      <c r="J30574" s="63"/>
    </row>
    <row r="30575" spans="9:10" x14ac:dyDescent="0.35">
      <c r="I30575" s="63"/>
      <c r="J30575" s="63"/>
    </row>
    <row r="30576" spans="9:10" x14ac:dyDescent="0.35">
      <c r="I30576" s="63"/>
      <c r="J30576" s="63"/>
    </row>
    <row r="30577" spans="9:10" x14ac:dyDescent="0.35">
      <c r="I30577" s="63"/>
      <c r="J30577" s="63"/>
    </row>
    <row r="30578" spans="9:10" x14ac:dyDescent="0.35">
      <c r="I30578" s="63"/>
      <c r="J30578" s="63"/>
    </row>
    <row r="30579" spans="9:10" x14ac:dyDescent="0.35">
      <c r="I30579" s="63"/>
      <c r="J30579" s="63"/>
    </row>
    <row r="30580" spans="9:10" x14ac:dyDescent="0.35">
      <c r="I30580" s="63"/>
      <c r="J30580" s="63"/>
    </row>
    <row r="30581" spans="9:10" x14ac:dyDescent="0.35">
      <c r="I30581" s="63"/>
      <c r="J30581" s="63"/>
    </row>
    <row r="30582" spans="9:10" x14ac:dyDescent="0.35">
      <c r="I30582" s="63"/>
      <c r="J30582" s="63"/>
    </row>
    <row r="30583" spans="9:10" x14ac:dyDescent="0.35">
      <c r="I30583" s="63"/>
      <c r="J30583" s="63"/>
    </row>
    <row r="30584" spans="9:10" x14ac:dyDescent="0.35">
      <c r="I30584" s="63"/>
      <c r="J30584" s="63"/>
    </row>
    <row r="30585" spans="9:10" x14ac:dyDescent="0.35">
      <c r="I30585" s="63"/>
      <c r="J30585" s="63"/>
    </row>
    <row r="30586" spans="9:10" x14ac:dyDescent="0.35">
      <c r="I30586" s="63"/>
      <c r="J30586" s="63"/>
    </row>
    <row r="30587" spans="9:10" x14ac:dyDescent="0.35">
      <c r="I30587" s="63"/>
      <c r="J30587" s="63"/>
    </row>
    <row r="30588" spans="9:10" x14ac:dyDescent="0.35">
      <c r="I30588" s="63"/>
      <c r="J30588" s="63"/>
    </row>
    <row r="30589" spans="9:10" x14ac:dyDescent="0.35">
      <c r="I30589" s="63"/>
      <c r="J30589" s="63"/>
    </row>
    <row r="30590" spans="9:10" x14ac:dyDescent="0.35">
      <c r="I30590" s="63"/>
      <c r="J30590" s="63"/>
    </row>
    <row r="30591" spans="9:10" x14ac:dyDescent="0.35">
      <c r="I30591" s="63"/>
      <c r="J30591" s="63"/>
    </row>
    <row r="30592" spans="9:10" x14ac:dyDescent="0.35">
      <c r="I30592" s="63"/>
      <c r="J30592" s="63"/>
    </row>
    <row r="30593" spans="9:10" x14ac:dyDescent="0.35">
      <c r="I30593" s="63"/>
      <c r="J30593" s="63"/>
    </row>
    <row r="30594" spans="9:10" x14ac:dyDescent="0.35">
      <c r="I30594" s="63"/>
      <c r="J30594" s="63"/>
    </row>
    <row r="30595" spans="9:10" x14ac:dyDescent="0.35">
      <c r="I30595" s="63"/>
      <c r="J30595" s="63"/>
    </row>
    <row r="30596" spans="9:10" x14ac:dyDescent="0.35">
      <c r="I30596" s="63"/>
      <c r="J30596" s="63"/>
    </row>
    <row r="30597" spans="9:10" x14ac:dyDescent="0.35">
      <c r="I30597" s="63"/>
      <c r="J30597" s="63"/>
    </row>
    <row r="30598" spans="9:10" x14ac:dyDescent="0.35">
      <c r="I30598" s="63"/>
      <c r="J30598" s="63"/>
    </row>
    <row r="30599" spans="9:10" x14ac:dyDescent="0.35">
      <c r="I30599" s="63"/>
      <c r="J30599" s="63"/>
    </row>
    <row r="30600" spans="9:10" x14ac:dyDescent="0.35">
      <c r="I30600" s="63"/>
      <c r="J30600" s="63"/>
    </row>
    <row r="30601" spans="9:10" x14ac:dyDescent="0.35">
      <c r="I30601" s="63"/>
      <c r="J30601" s="63"/>
    </row>
    <row r="30602" spans="9:10" x14ac:dyDescent="0.35">
      <c r="I30602" s="63"/>
      <c r="J30602" s="63"/>
    </row>
    <row r="30603" spans="9:10" x14ac:dyDescent="0.35">
      <c r="I30603" s="63"/>
      <c r="J30603" s="63"/>
    </row>
    <row r="30604" spans="9:10" x14ac:dyDescent="0.35">
      <c r="I30604" s="63"/>
      <c r="J30604" s="63"/>
    </row>
    <row r="30605" spans="9:10" x14ac:dyDescent="0.35">
      <c r="I30605" s="63"/>
      <c r="J30605" s="63"/>
    </row>
    <row r="30606" spans="9:10" x14ac:dyDescent="0.35">
      <c r="I30606" s="63"/>
      <c r="J30606" s="63"/>
    </row>
    <row r="30607" spans="9:10" x14ac:dyDescent="0.35">
      <c r="I30607" s="63"/>
      <c r="J30607" s="63"/>
    </row>
    <row r="30608" spans="9:10" x14ac:dyDescent="0.35">
      <c r="I30608" s="63"/>
      <c r="J30608" s="63"/>
    </row>
    <row r="30609" spans="9:10" x14ac:dyDescent="0.35">
      <c r="I30609" s="63"/>
      <c r="J30609" s="63"/>
    </row>
    <row r="30610" spans="9:10" x14ac:dyDescent="0.35">
      <c r="I30610" s="63"/>
      <c r="J30610" s="63"/>
    </row>
    <row r="30611" spans="9:10" x14ac:dyDescent="0.35">
      <c r="I30611" s="63"/>
      <c r="J30611" s="63"/>
    </row>
    <row r="30612" spans="9:10" x14ac:dyDescent="0.35">
      <c r="I30612" s="63"/>
      <c r="J30612" s="63"/>
    </row>
    <row r="30613" spans="9:10" x14ac:dyDescent="0.35">
      <c r="I30613" s="63"/>
      <c r="J30613" s="63"/>
    </row>
    <row r="30614" spans="9:10" x14ac:dyDescent="0.35">
      <c r="I30614" s="63"/>
      <c r="J30614" s="63"/>
    </row>
    <row r="30615" spans="9:10" x14ac:dyDescent="0.35">
      <c r="I30615" s="63"/>
      <c r="J30615" s="63"/>
    </row>
    <row r="30616" spans="9:10" x14ac:dyDescent="0.35">
      <c r="I30616" s="63"/>
      <c r="J30616" s="63"/>
    </row>
    <row r="30617" spans="9:10" x14ac:dyDescent="0.35">
      <c r="I30617" s="63"/>
      <c r="J30617" s="63"/>
    </row>
    <row r="30618" spans="9:10" x14ac:dyDescent="0.35">
      <c r="I30618" s="63"/>
      <c r="J30618" s="63"/>
    </row>
    <row r="30619" spans="9:10" x14ac:dyDescent="0.35">
      <c r="I30619" s="63"/>
      <c r="J30619" s="63"/>
    </row>
    <row r="30620" spans="9:10" x14ac:dyDescent="0.35">
      <c r="I30620" s="63"/>
      <c r="J30620" s="63"/>
    </row>
    <row r="30621" spans="9:10" x14ac:dyDescent="0.35">
      <c r="I30621" s="63"/>
      <c r="J30621" s="63"/>
    </row>
    <row r="30622" spans="9:10" x14ac:dyDescent="0.35">
      <c r="I30622" s="63"/>
      <c r="J30622" s="63"/>
    </row>
    <row r="30623" spans="9:10" x14ac:dyDescent="0.35">
      <c r="I30623" s="63"/>
      <c r="J30623" s="63"/>
    </row>
    <row r="30624" spans="9:10" x14ac:dyDescent="0.35">
      <c r="I30624" s="63"/>
      <c r="J30624" s="63"/>
    </row>
    <row r="30625" spans="9:10" x14ac:dyDescent="0.35">
      <c r="I30625" s="63"/>
      <c r="J30625" s="63"/>
    </row>
    <row r="30626" spans="9:10" x14ac:dyDescent="0.35">
      <c r="I30626" s="63"/>
      <c r="J30626" s="63"/>
    </row>
    <row r="30627" spans="9:10" x14ac:dyDescent="0.35">
      <c r="I30627" s="63"/>
      <c r="J30627" s="63"/>
    </row>
    <row r="30628" spans="9:10" x14ac:dyDescent="0.35">
      <c r="I30628" s="63"/>
      <c r="J30628" s="63"/>
    </row>
    <row r="30629" spans="9:10" x14ac:dyDescent="0.35">
      <c r="I30629" s="63"/>
      <c r="J30629" s="63"/>
    </row>
    <row r="30630" spans="9:10" x14ac:dyDescent="0.35">
      <c r="I30630" s="63"/>
      <c r="J30630" s="63"/>
    </row>
    <row r="30631" spans="9:10" x14ac:dyDescent="0.35">
      <c r="I30631" s="63"/>
      <c r="J30631" s="63"/>
    </row>
    <row r="30632" spans="9:10" x14ac:dyDescent="0.35">
      <c r="I30632" s="63"/>
      <c r="J30632" s="63"/>
    </row>
    <row r="30633" spans="9:10" x14ac:dyDescent="0.35">
      <c r="I30633" s="63"/>
      <c r="J30633" s="63"/>
    </row>
    <row r="30634" spans="9:10" x14ac:dyDescent="0.35">
      <c r="I30634" s="63"/>
      <c r="J30634" s="63"/>
    </row>
    <row r="30635" spans="9:10" x14ac:dyDescent="0.35">
      <c r="I30635" s="63"/>
      <c r="J30635" s="63"/>
    </row>
    <row r="30636" spans="9:10" x14ac:dyDescent="0.35">
      <c r="I30636" s="63"/>
      <c r="J30636" s="63"/>
    </row>
    <row r="30637" spans="9:10" x14ac:dyDescent="0.35">
      <c r="I30637" s="63"/>
      <c r="J30637" s="63"/>
    </row>
    <row r="30638" spans="9:10" x14ac:dyDescent="0.35">
      <c r="I30638" s="63"/>
      <c r="J30638" s="63"/>
    </row>
    <row r="30639" spans="9:10" x14ac:dyDescent="0.35">
      <c r="I30639" s="63"/>
      <c r="J30639" s="63"/>
    </row>
    <row r="30640" spans="9:10" x14ac:dyDescent="0.35">
      <c r="I30640" s="63"/>
      <c r="J30640" s="63"/>
    </row>
    <row r="30641" spans="9:10" x14ac:dyDescent="0.35">
      <c r="I30641" s="63"/>
      <c r="J30641" s="63"/>
    </row>
    <row r="30642" spans="9:10" x14ac:dyDescent="0.35">
      <c r="I30642" s="63"/>
      <c r="J30642" s="63"/>
    </row>
    <row r="30643" spans="9:10" x14ac:dyDescent="0.35">
      <c r="I30643" s="63"/>
      <c r="J30643" s="63"/>
    </row>
    <row r="30644" spans="9:10" x14ac:dyDescent="0.35">
      <c r="I30644" s="63"/>
      <c r="J30644" s="63"/>
    </row>
    <row r="30645" spans="9:10" x14ac:dyDescent="0.35">
      <c r="I30645" s="63"/>
      <c r="J30645" s="63"/>
    </row>
    <row r="30646" spans="9:10" x14ac:dyDescent="0.35">
      <c r="I30646" s="63"/>
      <c r="J30646" s="63"/>
    </row>
    <row r="30647" spans="9:10" x14ac:dyDescent="0.35">
      <c r="I30647" s="63"/>
      <c r="J30647" s="63"/>
    </row>
    <row r="30648" spans="9:10" x14ac:dyDescent="0.35">
      <c r="I30648" s="63"/>
      <c r="J30648" s="63"/>
    </row>
    <row r="30649" spans="9:10" x14ac:dyDescent="0.35">
      <c r="I30649" s="63"/>
      <c r="J30649" s="63"/>
    </row>
    <row r="30650" spans="9:10" x14ac:dyDescent="0.35">
      <c r="I30650" s="63"/>
      <c r="J30650" s="63"/>
    </row>
    <row r="30651" spans="9:10" x14ac:dyDescent="0.35">
      <c r="I30651" s="63"/>
      <c r="J30651" s="63"/>
    </row>
    <row r="30652" spans="9:10" x14ac:dyDescent="0.35">
      <c r="I30652" s="63"/>
      <c r="J30652" s="63"/>
    </row>
    <row r="30653" spans="9:10" x14ac:dyDescent="0.35">
      <c r="I30653" s="63"/>
      <c r="J30653" s="63"/>
    </row>
    <row r="30654" spans="9:10" x14ac:dyDescent="0.35">
      <c r="I30654" s="63"/>
      <c r="J30654" s="63"/>
    </row>
    <row r="30655" spans="9:10" x14ac:dyDescent="0.35">
      <c r="I30655" s="63"/>
      <c r="J30655" s="63"/>
    </row>
    <row r="30656" spans="9:10" x14ac:dyDescent="0.35">
      <c r="I30656" s="63"/>
      <c r="J30656" s="63"/>
    </row>
    <row r="30657" spans="9:10" x14ac:dyDescent="0.35">
      <c r="I30657" s="63"/>
      <c r="J30657" s="63"/>
    </row>
    <row r="30658" spans="9:10" x14ac:dyDescent="0.35">
      <c r="I30658" s="63"/>
      <c r="J30658" s="63"/>
    </row>
    <row r="30659" spans="9:10" x14ac:dyDescent="0.35">
      <c r="I30659" s="63"/>
      <c r="J30659" s="63"/>
    </row>
    <row r="30660" spans="9:10" x14ac:dyDescent="0.35">
      <c r="I30660" s="63"/>
      <c r="J30660" s="63"/>
    </row>
    <row r="30661" spans="9:10" x14ac:dyDescent="0.35">
      <c r="I30661" s="63"/>
      <c r="J30661" s="63"/>
    </row>
    <row r="30662" spans="9:10" x14ac:dyDescent="0.35">
      <c r="I30662" s="63"/>
      <c r="J30662" s="63"/>
    </row>
    <row r="30663" spans="9:10" x14ac:dyDescent="0.35">
      <c r="I30663" s="63"/>
      <c r="J30663" s="63"/>
    </row>
    <row r="30664" spans="9:10" x14ac:dyDescent="0.35">
      <c r="I30664" s="63"/>
      <c r="J30664" s="63"/>
    </row>
    <row r="30665" spans="9:10" x14ac:dyDescent="0.35">
      <c r="I30665" s="63"/>
      <c r="J30665" s="63"/>
    </row>
    <row r="30666" spans="9:10" x14ac:dyDescent="0.35">
      <c r="I30666" s="63"/>
      <c r="J30666" s="63"/>
    </row>
    <row r="30667" spans="9:10" x14ac:dyDescent="0.35">
      <c r="I30667" s="63"/>
      <c r="J30667" s="63"/>
    </row>
    <row r="30668" spans="9:10" x14ac:dyDescent="0.35">
      <c r="I30668" s="63"/>
      <c r="J30668" s="63"/>
    </row>
    <row r="30669" spans="9:10" x14ac:dyDescent="0.35">
      <c r="I30669" s="63"/>
      <c r="J30669" s="63"/>
    </row>
    <row r="30670" spans="9:10" x14ac:dyDescent="0.35">
      <c r="I30670" s="63"/>
      <c r="J30670" s="63"/>
    </row>
    <row r="30671" spans="9:10" x14ac:dyDescent="0.35">
      <c r="I30671" s="63"/>
      <c r="J30671" s="63"/>
    </row>
    <row r="30672" spans="9:10" x14ac:dyDescent="0.35">
      <c r="I30672" s="63"/>
      <c r="J30672" s="63"/>
    </row>
    <row r="30673" spans="9:10" x14ac:dyDescent="0.35">
      <c r="I30673" s="63"/>
      <c r="J30673" s="63"/>
    </row>
    <row r="30674" spans="9:10" x14ac:dyDescent="0.35">
      <c r="I30674" s="63"/>
      <c r="J30674" s="63"/>
    </row>
    <row r="30675" spans="9:10" x14ac:dyDescent="0.35">
      <c r="I30675" s="63"/>
      <c r="J30675" s="63"/>
    </row>
    <row r="30676" spans="9:10" x14ac:dyDescent="0.35">
      <c r="I30676" s="63"/>
      <c r="J30676" s="63"/>
    </row>
    <row r="30677" spans="9:10" x14ac:dyDescent="0.35">
      <c r="I30677" s="63"/>
      <c r="J30677" s="63"/>
    </row>
    <row r="30678" spans="9:10" x14ac:dyDescent="0.35">
      <c r="I30678" s="63"/>
      <c r="J30678" s="63"/>
    </row>
    <row r="30679" spans="9:10" x14ac:dyDescent="0.35">
      <c r="I30679" s="63"/>
      <c r="J30679" s="63"/>
    </row>
    <row r="30680" spans="9:10" x14ac:dyDescent="0.35">
      <c r="I30680" s="63"/>
      <c r="J30680" s="63"/>
    </row>
    <row r="30681" spans="9:10" x14ac:dyDescent="0.35">
      <c r="I30681" s="63"/>
      <c r="J30681" s="63"/>
    </row>
    <row r="30682" spans="9:10" x14ac:dyDescent="0.35">
      <c r="I30682" s="63"/>
      <c r="J30682" s="63"/>
    </row>
    <row r="30683" spans="9:10" x14ac:dyDescent="0.35">
      <c r="I30683" s="63"/>
      <c r="J30683" s="63"/>
    </row>
    <row r="30684" spans="9:10" x14ac:dyDescent="0.35">
      <c r="I30684" s="63"/>
      <c r="J30684" s="63"/>
    </row>
    <row r="30685" spans="9:10" x14ac:dyDescent="0.35">
      <c r="I30685" s="63"/>
      <c r="J30685" s="63"/>
    </row>
    <row r="30686" spans="9:10" x14ac:dyDescent="0.35">
      <c r="I30686" s="63"/>
      <c r="J30686" s="63"/>
    </row>
    <row r="30687" spans="9:10" x14ac:dyDescent="0.35">
      <c r="I30687" s="63"/>
      <c r="J30687" s="63"/>
    </row>
    <row r="30688" spans="9:10" x14ac:dyDescent="0.35">
      <c r="I30688" s="63"/>
      <c r="J30688" s="63"/>
    </row>
    <row r="30689" spans="9:10" x14ac:dyDescent="0.35">
      <c r="I30689" s="63"/>
      <c r="J30689" s="63"/>
    </row>
    <row r="30690" spans="9:10" x14ac:dyDescent="0.35">
      <c r="I30690" s="63"/>
      <c r="J30690" s="63"/>
    </row>
    <row r="30691" spans="9:10" x14ac:dyDescent="0.35">
      <c r="I30691" s="63"/>
      <c r="J30691" s="63"/>
    </row>
    <row r="30692" spans="9:10" x14ac:dyDescent="0.35">
      <c r="I30692" s="63"/>
      <c r="J30692" s="63"/>
    </row>
    <row r="30693" spans="9:10" x14ac:dyDescent="0.35">
      <c r="I30693" s="63"/>
      <c r="J30693" s="63"/>
    </row>
    <row r="30694" spans="9:10" x14ac:dyDescent="0.35">
      <c r="I30694" s="63"/>
      <c r="J30694" s="63"/>
    </row>
    <row r="30695" spans="9:10" x14ac:dyDescent="0.35">
      <c r="I30695" s="63"/>
      <c r="J30695" s="63"/>
    </row>
    <row r="30696" spans="9:10" x14ac:dyDescent="0.35">
      <c r="I30696" s="63"/>
      <c r="J30696" s="63"/>
    </row>
    <row r="30697" spans="9:10" x14ac:dyDescent="0.35">
      <c r="I30697" s="63"/>
      <c r="J30697" s="63"/>
    </row>
    <row r="30698" spans="9:10" x14ac:dyDescent="0.35">
      <c r="I30698" s="63"/>
      <c r="J30698" s="63"/>
    </row>
    <row r="30699" spans="9:10" x14ac:dyDescent="0.35">
      <c r="I30699" s="63"/>
      <c r="J30699" s="63"/>
    </row>
    <row r="30700" spans="9:10" x14ac:dyDescent="0.35">
      <c r="I30700" s="63"/>
      <c r="J30700" s="63"/>
    </row>
    <row r="30701" spans="9:10" x14ac:dyDescent="0.35">
      <c r="I30701" s="63"/>
      <c r="J30701" s="63"/>
    </row>
    <row r="30702" spans="9:10" x14ac:dyDescent="0.35">
      <c r="I30702" s="63"/>
      <c r="J30702" s="63"/>
    </row>
    <row r="30703" spans="9:10" x14ac:dyDescent="0.35">
      <c r="I30703" s="63"/>
      <c r="J30703" s="63"/>
    </row>
    <row r="30704" spans="9:10" x14ac:dyDescent="0.35">
      <c r="I30704" s="63"/>
      <c r="J30704" s="63"/>
    </row>
    <row r="30705" spans="9:10" x14ac:dyDescent="0.35">
      <c r="I30705" s="63"/>
      <c r="J30705" s="63"/>
    </row>
    <row r="30706" spans="9:10" x14ac:dyDescent="0.35">
      <c r="I30706" s="63"/>
      <c r="J30706" s="63"/>
    </row>
    <row r="30707" spans="9:10" x14ac:dyDescent="0.35">
      <c r="I30707" s="63"/>
      <c r="J30707" s="63"/>
    </row>
    <row r="30708" spans="9:10" x14ac:dyDescent="0.35">
      <c r="I30708" s="63"/>
      <c r="J30708" s="63"/>
    </row>
    <row r="30709" spans="9:10" x14ac:dyDescent="0.35">
      <c r="I30709" s="63"/>
      <c r="J30709" s="63"/>
    </row>
    <row r="30710" spans="9:10" x14ac:dyDescent="0.35">
      <c r="I30710" s="63"/>
      <c r="J30710" s="63"/>
    </row>
    <row r="30711" spans="9:10" x14ac:dyDescent="0.35">
      <c r="I30711" s="63"/>
      <c r="J30711" s="63"/>
    </row>
    <row r="30712" spans="9:10" x14ac:dyDescent="0.35">
      <c r="I30712" s="63"/>
      <c r="J30712" s="63"/>
    </row>
    <row r="30713" spans="9:10" x14ac:dyDescent="0.35">
      <c r="I30713" s="63"/>
      <c r="J30713" s="63"/>
    </row>
    <row r="30714" spans="9:10" x14ac:dyDescent="0.35">
      <c r="I30714" s="63"/>
      <c r="J30714" s="63"/>
    </row>
    <row r="30715" spans="9:10" x14ac:dyDescent="0.35">
      <c r="I30715" s="63"/>
      <c r="J30715" s="63"/>
    </row>
    <row r="30716" spans="9:10" x14ac:dyDescent="0.35">
      <c r="I30716" s="63"/>
      <c r="J30716" s="63"/>
    </row>
    <row r="30717" spans="9:10" x14ac:dyDescent="0.35">
      <c r="I30717" s="63"/>
      <c r="J30717" s="63"/>
    </row>
    <row r="30718" spans="9:10" x14ac:dyDescent="0.35">
      <c r="I30718" s="63"/>
      <c r="J30718" s="63"/>
    </row>
    <row r="30719" spans="9:10" x14ac:dyDescent="0.35">
      <c r="I30719" s="63"/>
      <c r="J30719" s="63"/>
    </row>
    <row r="30720" spans="9:10" x14ac:dyDescent="0.35">
      <c r="I30720" s="63"/>
      <c r="J30720" s="63"/>
    </row>
    <row r="30721" spans="9:10" x14ac:dyDescent="0.35">
      <c r="I30721" s="63"/>
      <c r="J30721" s="63"/>
    </row>
    <row r="30722" spans="9:10" x14ac:dyDescent="0.35">
      <c r="I30722" s="63"/>
      <c r="J30722" s="63"/>
    </row>
    <row r="30723" spans="9:10" x14ac:dyDescent="0.35">
      <c r="I30723" s="63"/>
      <c r="J30723" s="63"/>
    </row>
    <row r="30724" spans="9:10" x14ac:dyDescent="0.35">
      <c r="I30724" s="63"/>
      <c r="J30724" s="63"/>
    </row>
    <row r="30725" spans="9:10" x14ac:dyDescent="0.35">
      <c r="I30725" s="63"/>
      <c r="J30725" s="63"/>
    </row>
    <row r="30726" spans="9:10" x14ac:dyDescent="0.35">
      <c r="I30726" s="63"/>
      <c r="J30726" s="63"/>
    </row>
    <row r="30727" spans="9:10" x14ac:dyDescent="0.35">
      <c r="I30727" s="63"/>
      <c r="J30727" s="63"/>
    </row>
    <row r="30728" spans="9:10" x14ac:dyDescent="0.35">
      <c r="I30728" s="63"/>
      <c r="J30728" s="63"/>
    </row>
    <row r="30729" spans="9:10" x14ac:dyDescent="0.35">
      <c r="I30729" s="63"/>
      <c r="J30729" s="63"/>
    </row>
    <row r="30730" spans="9:10" x14ac:dyDescent="0.35">
      <c r="I30730" s="63"/>
      <c r="J30730" s="63"/>
    </row>
    <row r="30731" spans="9:10" x14ac:dyDescent="0.35">
      <c r="I30731" s="63"/>
      <c r="J30731" s="63"/>
    </row>
    <row r="30732" spans="9:10" x14ac:dyDescent="0.35">
      <c r="I30732" s="63"/>
      <c r="J30732" s="63"/>
    </row>
    <row r="30733" spans="9:10" x14ac:dyDescent="0.35">
      <c r="I30733" s="63"/>
      <c r="J30733" s="63"/>
    </row>
    <row r="30734" spans="9:10" x14ac:dyDescent="0.35">
      <c r="I30734" s="63"/>
      <c r="J30734" s="63"/>
    </row>
    <row r="30735" spans="9:10" x14ac:dyDescent="0.35">
      <c r="I30735" s="63"/>
      <c r="J30735" s="63"/>
    </row>
    <row r="30736" spans="9:10" x14ac:dyDescent="0.35">
      <c r="I30736" s="63"/>
      <c r="J30736" s="63"/>
    </row>
    <row r="30737" spans="9:10" x14ac:dyDescent="0.35">
      <c r="I30737" s="63"/>
      <c r="J30737" s="63"/>
    </row>
    <row r="30738" spans="9:10" x14ac:dyDescent="0.35">
      <c r="I30738" s="63"/>
      <c r="J30738" s="63"/>
    </row>
    <row r="30739" spans="9:10" x14ac:dyDescent="0.35">
      <c r="I30739" s="63"/>
      <c r="J30739" s="63"/>
    </row>
    <row r="30740" spans="9:10" x14ac:dyDescent="0.35">
      <c r="I30740" s="63"/>
      <c r="J30740" s="63"/>
    </row>
    <row r="30741" spans="9:10" x14ac:dyDescent="0.35">
      <c r="I30741" s="63"/>
      <c r="J30741" s="63"/>
    </row>
    <row r="30742" spans="9:10" x14ac:dyDescent="0.35">
      <c r="I30742" s="63"/>
      <c r="J30742" s="63"/>
    </row>
    <row r="30743" spans="9:10" x14ac:dyDescent="0.35">
      <c r="I30743" s="63"/>
      <c r="J30743" s="63"/>
    </row>
    <row r="30744" spans="9:10" x14ac:dyDescent="0.35">
      <c r="I30744" s="63"/>
      <c r="J30744" s="63"/>
    </row>
    <row r="30745" spans="9:10" x14ac:dyDescent="0.35">
      <c r="I30745" s="63"/>
      <c r="J30745" s="63"/>
    </row>
    <row r="30746" spans="9:10" x14ac:dyDescent="0.35">
      <c r="I30746" s="63"/>
      <c r="J30746" s="63"/>
    </row>
    <row r="30747" spans="9:10" x14ac:dyDescent="0.35">
      <c r="I30747" s="63"/>
      <c r="J30747" s="63"/>
    </row>
    <row r="30748" spans="9:10" x14ac:dyDescent="0.35">
      <c r="I30748" s="63"/>
      <c r="J30748" s="63"/>
    </row>
    <row r="30749" spans="9:10" x14ac:dyDescent="0.35">
      <c r="I30749" s="63"/>
      <c r="J30749" s="63"/>
    </row>
    <row r="30750" spans="9:10" x14ac:dyDescent="0.35">
      <c r="I30750" s="63"/>
      <c r="J30750" s="63"/>
    </row>
    <row r="30751" spans="9:10" x14ac:dyDescent="0.35">
      <c r="I30751" s="63"/>
      <c r="J30751" s="63"/>
    </row>
    <row r="30752" spans="9:10" x14ac:dyDescent="0.35">
      <c r="I30752" s="63"/>
      <c r="J30752" s="63"/>
    </row>
    <row r="30753" spans="9:10" x14ac:dyDescent="0.35">
      <c r="I30753" s="63"/>
      <c r="J30753" s="63"/>
    </row>
    <row r="30754" spans="9:10" x14ac:dyDescent="0.35">
      <c r="I30754" s="63"/>
      <c r="J30754" s="63"/>
    </row>
    <row r="30755" spans="9:10" x14ac:dyDescent="0.35">
      <c r="I30755" s="63"/>
      <c r="J30755" s="63"/>
    </row>
    <row r="30756" spans="9:10" x14ac:dyDescent="0.35">
      <c r="I30756" s="63"/>
      <c r="J30756" s="63"/>
    </row>
    <row r="30757" spans="9:10" x14ac:dyDescent="0.35">
      <c r="I30757" s="63"/>
      <c r="J30757" s="63"/>
    </row>
    <row r="30758" spans="9:10" x14ac:dyDescent="0.35">
      <c r="I30758" s="63"/>
      <c r="J30758" s="63"/>
    </row>
    <row r="30759" spans="9:10" x14ac:dyDescent="0.35">
      <c r="I30759" s="63"/>
      <c r="J30759" s="63"/>
    </row>
    <row r="30760" spans="9:10" x14ac:dyDescent="0.35">
      <c r="I30760" s="63"/>
      <c r="J30760" s="63"/>
    </row>
    <row r="30761" spans="9:10" x14ac:dyDescent="0.35">
      <c r="I30761" s="63"/>
      <c r="J30761" s="63"/>
    </row>
    <row r="30762" spans="9:10" x14ac:dyDescent="0.35">
      <c r="I30762" s="63"/>
      <c r="J30762" s="63"/>
    </row>
    <row r="30763" spans="9:10" x14ac:dyDescent="0.35">
      <c r="I30763" s="63"/>
      <c r="J30763" s="63"/>
    </row>
    <row r="30764" spans="9:10" x14ac:dyDescent="0.35">
      <c r="I30764" s="63"/>
      <c r="J30764" s="63"/>
    </row>
    <row r="30765" spans="9:10" x14ac:dyDescent="0.35">
      <c r="I30765" s="63"/>
      <c r="J30765" s="63"/>
    </row>
    <row r="30766" spans="9:10" x14ac:dyDescent="0.35">
      <c r="I30766" s="63"/>
      <c r="J30766" s="63"/>
    </row>
    <row r="30767" spans="9:10" x14ac:dyDescent="0.35">
      <c r="I30767" s="63"/>
      <c r="J30767" s="63"/>
    </row>
    <row r="30768" spans="9:10" x14ac:dyDescent="0.35">
      <c r="I30768" s="63"/>
      <c r="J30768" s="63"/>
    </row>
    <row r="30769" spans="9:10" x14ac:dyDescent="0.35">
      <c r="I30769" s="63"/>
      <c r="J30769" s="63"/>
    </row>
    <row r="30770" spans="9:10" x14ac:dyDescent="0.35">
      <c r="I30770" s="63"/>
      <c r="J30770" s="63"/>
    </row>
    <row r="30771" spans="9:10" x14ac:dyDescent="0.35">
      <c r="I30771" s="63"/>
      <c r="J30771" s="63"/>
    </row>
    <row r="30772" spans="9:10" x14ac:dyDescent="0.35">
      <c r="I30772" s="63"/>
      <c r="J30772" s="63"/>
    </row>
    <row r="30773" spans="9:10" x14ac:dyDescent="0.35">
      <c r="I30773" s="63"/>
      <c r="J30773" s="63"/>
    </row>
    <row r="30774" spans="9:10" x14ac:dyDescent="0.35">
      <c r="I30774" s="63"/>
      <c r="J30774" s="63"/>
    </row>
    <row r="30775" spans="9:10" x14ac:dyDescent="0.35">
      <c r="I30775" s="63"/>
      <c r="J30775" s="63"/>
    </row>
    <row r="30776" spans="9:10" x14ac:dyDescent="0.35">
      <c r="I30776" s="63"/>
      <c r="J30776" s="63"/>
    </row>
    <row r="30777" spans="9:10" x14ac:dyDescent="0.35">
      <c r="I30777" s="63"/>
      <c r="J30777" s="63"/>
    </row>
    <row r="30778" spans="9:10" x14ac:dyDescent="0.35">
      <c r="I30778" s="63"/>
      <c r="J30778" s="63"/>
    </row>
    <row r="30779" spans="9:10" x14ac:dyDescent="0.35">
      <c r="I30779" s="63"/>
      <c r="J30779" s="63"/>
    </row>
    <row r="30780" spans="9:10" x14ac:dyDescent="0.35">
      <c r="I30780" s="63"/>
      <c r="J30780" s="63"/>
    </row>
    <row r="30781" spans="9:10" x14ac:dyDescent="0.35">
      <c r="I30781" s="63"/>
      <c r="J30781" s="63"/>
    </row>
    <row r="30782" spans="9:10" x14ac:dyDescent="0.35">
      <c r="I30782" s="63"/>
      <c r="J30782" s="63"/>
    </row>
    <row r="30783" spans="9:10" x14ac:dyDescent="0.35">
      <c r="I30783" s="63"/>
      <c r="J30783" s="63"/>
    </row>
    <row r="30784" spans="9:10" x14ac:dyDescent="0.35">
      <c r="I30784" s="63"/>
      <c r="J30784" s="63"/>
    </row>
    <row r="30785" spans="9:10" x14ac:dyDescent="0.35">
      <c r="I30785" s="63"/>
      <c r="J30785" s="63"/>
    </row>
    <row r="30786" spans="9:10" x14ac:dyDescent="0.35">
      <c r="I30786" s="63"/>
      <c r="J30786" s="63"/>
    </row>
    <row r="30787" spans="9:10" x14ac:dyDescent="0.35">
      <c r="I30787" s="63"/>
      <c r="J30787" s="63"/>
    </row>
    <row r="30788" spans="9:10" x14ac:dyDescent="0.35">
      <c r="I30788" s="63"/>
      <c r="J30788" s="63"/>
    </row>
    <row r="30789" spans="9:10" x14ac:dyDescent="0.35">
      <c r="I30789" s="63"/>
      <c r="J30789" s="63"/>
    </row>
    <row r="30790" spans="9:10" x14ac:dyDescent="0.35">
      <c r="I30790" s="63"/>
      <c r="J30790" s="63"/>
    </row>
    <row r="30791" spans="9:10" x14ac:dyDescent="0.35">
      <c r="I30791" s="63"/>
      <c r="J30791" s="63"/>
    </row>
    <row r="30792" spans="9:10" x14ac:dyDescent="0.35">
      <c r="I30792" s="63"/>
      <c r="J30792" s="63"/>
    </row>
    <row r="30793" spans="9:10" x14ac:dyDescent="0.35">
      <c r="I30793" s="63"/>
      <c r="J30793" s="63"/>
    </row>
    <row r="30794" spans="9:10" x14ac:dyDescent="0.35">
      <c r="I30794" s="63"/>
      <c r="J30794" s="63"/>
    </row>
    <row r="30795" spans="9:10" x14ac:dyDescent="0.35">
      <c r="I30795" s="63"/>
      <c r="J30795" s="63"/>
    </row>
    <row r="30796" spans="9:10" x14ac:dyDescent="0.35">
      <c r="I30796" s="63"/>
      <c r="J30796" s="63"/>
    </row>
    <row r="30797" spans="9:10" x14ac:dyDescent="0.35">
      <c r="I30797" s="63"/>
      <c r="J30797" s="63"/>
    </row>
    <row r="30798" spans="9:10" x14ac:dyDescent="0.35">
      <c r="I30798" s="63"/>
      <c r="J30798" s="63"/>
    </row>
    <row r="30799" spans="9:10" x14ac:dyDescent="0.35">
      <c r="I30799" s="63"/>
      <c r="J30799" s="63"/>
    </row>
    <row r="30800" spans="9:10" x14ac:dyDescent="0.35">
      <c r="I30800" s="63"/>
      <c r="J30800" s="63"/>
    </row>
    <row r="30801" spans="9:10" x14ac:dyDescent="0.35">
      <c r="I30801" s="63"/>
      <c r="J30801" s="63"/>
    </row>
    <row r="30802" spans="9:10" x14ac:dyDescent="0.35">
      <c r="I30802" s="63"/>
      <c r="J30802" s="63"/>
    </row>
    <row r="30803" spans="9:10" x14ac:dyDescent="0.35">
      <c r="I30803" s="63"/>
      <c r="J30803" s="63"/>
    </row>
    <row r="30804" spans="9:10" x14ac:dyDescent="0.35">
      <c r="I30804" s="63"/>
      <c r="J30804" s="63"/>
    </row>
    <row r="30805" spans="9:10" x14ac:dyDescent="0.35">
      <c r="I30805" s="63"/>
      <c r="J30805" s="63"/>
    </row>
    <row r="30806" spans="9:10" x14ac:dyDescent="0.35">
      <c r="I30806" s="63"/>
      <c r="J30806" s="63"/>
    </row>
    <row r="30807" spans="9:10" x14ac:dyDescent="0.35">
      <c r="I30807" s="63"/>
      <c r="J30807" s="63"/>
    </row>
    <row r="30808" spans="9:10" x14ac:dyDescent="0.35">
      <c r="I30808" s="63"/>
      <c r="J30808" s="63"/>
    </row>
    <row r="30809" spans="9:10" x14ac:dyDescent="0.35">
      <c r="I30809" s="63"/>
      <c r="J30809" s="63"/>
    </row>
    <row r="30810" spans="9:10" x14ac:dyDescent="0.35">
      <c r="I30810" s="63"/>
      <c r="J30810" s="63"/>
    </row>
    <row r="30811" spans="9:10" x14ac:dyDescent="0.35">
      <c r="I30811" s="63"/>
      <c r="J30811" s="63"/>
    </row>
    <row r="30812" spans="9:10" x14ac:dyDescent="0.35">
      <c r="I30812" s="63"/>
      <c r="J30812" s="63"/>
    </row>
    <row r="30813" spans="9:10" x14ac:dyDescent="0.35">
      <c r="I30813" s="63"/>
      <c r="J30813" s="63"/>
    </row>
    <row r="30814" spans="9:10" x14ac:dyDescent="0.35">
      <c r="I30814" s="63"/>
      <c r="J30814" s="63"/>
    </row>
    <row r="30815" spans="9:10" x14ac:dyDescent="0.35">
      <c r="I30815" s="63"/>
      <c r="J30815" s="63"/>
    </row>
    <row r="30816" spans="9:10" x14ac:dyDescent="0.35">
      <c r="I30816" s="63"/>
      <c r="J30816" s="63"/>
    </row>
    <row r="30817" spans="9:10" x14ac:dyDescent="0.35">
      <c r="I30817" s="63"/>
      <c r="J30817" s="63"/>
    </row>
    <row r="30818" spans="9:10" x14ac:dyDescent="0.35">
      <c r="I30818" s="63"/>
      <c r="J30818" s="63"/>
    </row>
    <row r="30819" spans="9:10" x14ac:dyDescent="0.35">
      <c r="I30819" s="63"/>
      <c r="J30819" s="63"/>
    </row>
    <row r="30820" spans="9:10" x14ac:dyDescent="0.35">
      <c r="I30820" s="63"/>
      <c r="J30820" s="63"/>
    </row>
    <row r="30821" spans="9:10" x14ac:dyDescent="0.35">
      <c r="I30821" s="63"/>
      <c r="J30821" s="63"/>
    </row>
    <row r="30822" spans="9:10" x14ac:dyDescent="0.35">
      <c r="I30822" s="63"/>
      <c r="J30822" s="63"/>
    </row>
    <row r="30823" spans="9:10" x14ac:dyDescent="0.35">
      <c r="I30823" s="63"/>
      <c r="J30823" s="63"/>
    </row>
    <row r="30824" spans="9:10" x14ac:dyDescent="0.35">
      <c r="I30824" s="63"/>
      <c r="J30824" s="63"/>
    </row>
    <row r="30825" spans="9:10" x14ac:dyDescent="0.35">
      <c r="I30825" s="63"/>
      <c r="J30825" s="63"/>
    </row>
    <row r="30826" spans="9:10" x14ac:dyDescent="0.35">
      <c r="I30826" s="63"/>
      <c r="J30826" s="63"/>
    </row>
    <row r="30827" spans="9:10" x14ac:dyDescent="0.35">
      <c r="I30827" s="63"/>
      <c r="J30827" s="63"/>
    </row>
    <row r="30828" spans="9:10" x14ac:dyDescent="0.35">
      <c r="I30828" s="63"/>
      <c r="J30828" s="63"/>
    </row>
    <row r="30829" spans="9:10" x14ac:dyDescent="0.35">
      <c r="I30829" s="63"/>
      <c r="J30829" s="63"/>
    </row>
    <row r="30830" spans="9:10" x14ac:dyDescent="0.35">
      <c r="I30830" s="63"/>
      <c r="J30830" s="63"/>
    </row>
    <row r="30831" spans="9:10" x14ac:dyDescent="0.35">
      <c r="I30831" s="63"/>
      <c r="J30831" s="63"/>
    </row>
    <row r="30832" spans="9:10" x14ac:dyDescent="0.35">
      <c r="I30832" s="63"/>
      <c r="J30832" s="63"/>
    </row>
    <row r="30833" spans="9:10" x14ac:dyDescent="0.35">
      <c r="I30833" s="63"/>
      <c r="J30833" s="63"/>
    </row>
    <row r="30834" spans="9:10" x14ac:dyDescent="0.35">
      <c r="I30834" s="63"/>
      <c r="J30834" s="63"/>
    </row>
    <row r="30835" spans="9:10" x14ac:dyDescent="0.35">
      <c r="I30835" s="63"/>
      <c r="J30835" s="63"/>
    </row>
    <row r="30836" spans="9:10" x14ac:dyDescent="0.35">
      <c r="I30836" s="63"/>
      <c r="J30836" s="63"/>
    </row>
    <row r="30837" spans="9:10" x14ac:dyDescent="0.35">
      <c r="I30837" s="63"/>
      <c r="J30837" s="63"/>
    </row>
    <row r="30838" spans="9:10" x14ac:dyDescent="0.35">
      <c r="I30838" s="63"/>
      <c r="J30838" s="63"/>
    </row>
    <row r="30839" spans="9:10" x14ac:dyDescent="0.35">
      <c r="I30839" s="63"/>
      <c r="J30839" s="63"/>
    </row>
    <row r="30840" spans="9:10" x14ac:dyDescent="0.35">
      <c r="I30840" s="63"/>
      <c r="J30840" s="63"/>
    </row>
    <row r="30841" spans="9:10" x14ac:dyDescent="0.35">
      <c r="I30841" s="63"/>
      <c r="J30841" s="63"/>
    </row>
    <row r="30842" spans="9:10" x14ac:dyDescent="0.35">
      <c r="I30842" s="63"/>
      <c r="J30842" s="63"/>
    </row>
    <row r="30843" spans="9:10" x14ac:dyDescent="0.35">
      <c r="I30843" s="63"/>
      <c r="J30843" s="63"/>
    </row>
    <row r="30844" spans="9:10" x14ac:dyDescent="0.35">
      <c r="I30844" s="63"/>
      <c r="J30844" s="63"/>
    </row>
    <row r="30845" spans="9:10" x14ac:dyDescent="0.35">
      <c r="I30845" s="63"/>
      <c r="J30845" s="63"/>
    </row>
    <row r="30846" spans="9:10" x14ac:dyDescent="0.35">
      <c r="I30846" s="63"/>
      <c r="J30846" s="63"/>
    </row>
    <row r="30847" spans="9:10" x14ac:dyDescent="0.35">
      <c r="I30847" s="63"/>
      <c r="J30847" s="63"/>
    </row>
    <row r="30848" spans="9:10" x14ac:dyDescent="0.35">
      <c r="I30848" s="63"/>
      <c r="J30848" s="63"/>
    </row>
    <row r="30849" spans="9:10" x14ac:dyDescent="0.35">
      <c r="I30849" s="63"/>
      <c r="J30849" s="63"/>
    </row>
    <row r="30850" spans="9:10" x14ac:dyDescent="0.35">
      <c r="I30850" s="63"/>
      <c r="J30850" s="63"/>
    </row>
    <row r="30851" spans="9:10" x14ac:dyDescent="0.35">
      <c r="I30851" s="63"/>
      <c r="J30851" s="63"/>
    </row>
    <row r="30852" spans="9:10" x14ac:dyDescent="0.35">
      <c r="I30852" s="63"/>
      <c r="J30852" s="63"/>
    </row>
    <row r="30853" spans="9:10" x14ac:dyDescent="0.35">
      <c r="I30853" s="63"/>
      <c r="J30853" s="63"/>
    </row>
    <row r="30854" spans="9:10" x14ac:dyDescent="0.35">
      <c r="I30854" s="63"/>
      <c r="J30854" s="63"/>
    </row>
    <row r="30855" spans="9:10" x14ac:dyDescent="0.35">
      <c r="I30855" s="63"/>
      <c r="J30855" s="63"/>
    </row>
    <row r="30856" spans="9:10" x14ac:dyDescent="0.35">
      <c r="I30856" s="63"/>
      <c r="J30856" s="63"/>
    </row>
    <row r="30857" spans="9:10" x14ac:dyDescent="0.35">
      <c r="I30857" s="63"/>
      <c r="J30857" s="63"/>
    </row>
    <row r="30858" spans="9:10" x14ac:dyDescent="0.35">
      <c r="I30858" s="63"/>
      <c r="J30858" s="63"/>
    </row>
    <row r="30859" spans="9:10" x14ac:dyDescent="0.35">
      <c r="I30859" s="63"/>
      <c r="J30859" s="63"/>
    </row>
    <row r="30860" spans="9:10" x14ac:dyDescent="0.35">
      <c r="I30860" s="63"/>
      <c r="J30860" s="63"/>
    </row>
    <row r="30861" spans="9:10" x14ac:dyDescent="0.35">
      <c r="I30861" s="63"/>
      <c r="J30861" s="63"/>
    </row>
    <row r="30862" spans="9:10" x14ac:dyDescent="0.35">
      <c r="I30862" s="63"/>
      <c r="J30862" s="63"/>
    </row>
    <row r="30863" spans="9:10" x14ac:dyDescent="0.35">
      <c r="I30863" s="63"/>
      <c r="J30863" s="63"/>
    </row>
    <row r="30864" spans="9:10" x14ac:dyDescent="0.35">
      <c r="I30864" s="63"/>
      <c r="J30864" s="63"/>
    </row>
    <row r="30865" spans="9:10" x14ac:dyDescent="0.35">
      <c r="I30865" s="63"/>
      <c r="J30865" s="63"/>
    </row>
    <row r="30866" spans="9:10" x14ac:dyDescent="0.35">
      <c r="I30866" s="63"/>
      <c r="J30866" s="63"/>
    </row>
    <row r="30867" spans="9:10" x14ac:dyDescent="0.35">
      <c r="I30867" s="63"/>
      <c r="J30867" s="63"/>
    </row>
    <row r="30868" spans="9:10" x14ac:dyDescent="0.35">
      <c r="I30868" s="63"/>
      <c r="J30868" s="63"/>
    </row>
    <row r="30869" spans="9:10" x14ac:dyDescent="0.35">
      <c r="I30869" s="63"/>
      <c r="J30869" s="63"/>
    </row>
    <row r="30870" spans="9:10" x14ac:dyDescent="0.35">
      <c r="I30870" s="63"/>
      <c r="J30870" s="63"/>
    </row>
    <row r="30871" spans="9:10" x14ac:dyDescent="0.35">
      <c r="I30871" s="63"/>
      <c r="J30871" s="63"/>
    </row>
    <row r="30872" spans="9:10" x14ac:dyDescent="0.35">
      <c r="I30872" s="63"/>
      <c r="J30872" s="63"/>
    </row>
    <row r="30873" spans="9:10" x14ac:dyDescent="0.35">
      <c r="I30873" s="63"/>
      <c r="J30873" s="63"/>
    </row>
    <row r="30874" spans="9:10" x14ac:dyDescent="0.35">
      <c r="I30874" s="63"/>
      <c r="J30874" s="63"/>
    </row>
    <row r="30875" spans="9:10" x14ac:dyDescent="0.35">
      <c r="I30875" s="63"/>
      <c r="J30875" s="63"/>
    </row>
    <row r="30876" spans="9:10" x14ac:dyDescent="0.35">
      <c r="I30876" s="63"/>
      <c r="J30876" s="63"/>
    </row>
    <row r="30877" spans="9:10" x14ac:dyDescent="0.35">
      <c r="I30877" s="63"/>
      <c r="J30877" s="63"/>
    </row>
    <row r="30878" spans="9:10" x14ac:dyDescent="0.35">
      <c r="I30878" s="63"/>
      <c r="J30878" s="63"/>
    </row>
    <row r="30879" spans="9:10" x14ac:dyDescent="0.35">
      <c r="I30879" s="63"/>
      <c r="J30879" s="63"/>
    </row>
    <row r="30880" spans="9:10" x14ac:dyDescent="0.35">
      <c r="I30880" s="63"/>
      <c r="J30880" s="63"/>
    </row>
    <row r="30881" spans="9:10" x14ac:dyDescent="0.35">
      <c r="I30881" s="63"/>
      <c r="J30881" s="63"/>
    </row>
    <row r="30882" spans="9:10" x14ac:dyDescent="0.35">
      <c r="I30882" s="63"/>
      <c r="J30882" s="63"/>
    </row>
    <row r="30883" spans="9:10" x14ac:dyDescent="0.35">
      <c r="I30883" s="63"/>
      <c r="J30883" s="63"/>
    </row>
    <row r="30884" spans="9:10" x14ac:dyDescent="0.35">
      <c r="I30884" s="63"/>
      <c r="J30884" s="63"/>
    </row>
    <row r="30885" spans="9:10" x14ac:dyDescent="0.35">
      <c r="I30885" s="63"/>
      <c r="J30885" s="63"/>
    </row>
    <row r="30886" spans="9:10" x14ac:dyDescent="0.35">
      <c r="I30886" s="63"/>
      <c r="J30886" s="63"/>
    </row>
    <row r="30887" spans="9:10" x14ac:dyDescent="0.35">
      <c r="I30887" s="63"/>
      <c r="J30887" s="63"/>
    </row>
    <row r="30888" spans="9:10" x14ac:dyDescent="0.35">
      <c r="I30888" s="63"/>
      <c r="J30888" s="63"/>
    </row>
    <row r="30889" spans="9:10" x14ac:dyDescent="0.35">
      <c r="I30889" s="63"/>
      <c r="J30889" s="63"/>
    </row>
    <row r="30890" spans="9:10" x14ac:dyDescent="0.35">
      <c r="I30890" s="63"/>
      <c r="J30890" s="63"/>
    </row>
    <row r="30891" spans="9:10" x14ac:dyDescent="0.35">
      <c r="I30891" s="63"/>
      <c r="J30891" s="63"/>
    </row>
    <row r="30892" spans="9:10" x14ac:dyDescent="0.35">
      <c r="I30892" s="63"/>
      <c r="J30892" s="63"/>
    </row>
    <row r="30893" spans="9:10" x14ac:dyDescent="0.35">
      <c r="I30893" s="63"/>
      <c r="J30893" s="63"/>
    </row>
    <row r="30894" spans="9:10" x14ac:dyDescent="0.35">
      <c r="I30894" s="63"/>
      <c r="J30894" s="63"/>
    </row>
    <row r="30895" spans="9:10" x14ac:dyDescent="0.35">
      <c r="I30895" s="63"/>
      <c r="J30895" s="63"/>
    </row>
    <row r="30896" spans="9:10" x14ac:dyDescent="0.35">
      <c r="I30896" s="63"/>
      <c r="J30896" s="63"/>
    </row>
    <row r="30897" spans="9:10" x14ac:dyDescent="0.35">
      <c r="I30897" s="63"/>
      <c r="J30897" s="63"/>
    </row>
    <row r="30898" spans="9:10" x14ac:dyDescent="0.35">
      <c r="I30898" s="63"/>
      <c r="J30898" s="63"/>
    </row>
    <row r="30899" spans="9:10" x14ac:dyDescent="0.35">
      <c r="I30899" s="63"/>
      <c r="J30899" s="63"/>
    </row>
    <row r="30900" spans="9:10" x14ac:dyDescent="0.35">
      <c r="I30900" s="63"/>
      <c r="J30900" s="63"/>
    </row>
    <row r="30901" spans="9:10" x14ac:dyDescent="0.35">
      <c r="I30901" s="63"/>
      <c r="J30901" s="63"/>
    </row>
    <row r="30902" spans="9:10" x14ac:dyDescent="0.35">
      <c r="I30902" s="63"/>
      <c r="J30902" s="63"/>
    </row>
    <row r="30903" spans="9:10" x14ac:dyDescent="0.35">
      <c r="I30903" s="63"/>
      <c r="J30903" s="63"/>
    </row>
    <row r="30904" spans="9:10" x14ac:dyDescent="0.35">
      <c r="I30904" s="63"/>
      <c r="J30904" s="63"/>
    </row>
    <row r="30905" spans="9:10" x14ac:dyDescent="0.35">
      <c r="I30905" s="63"/>
      <c r="J30905" s="63"/>
    </row>
    <row r="30906" spans="9:10" x14ac:dyDescent="0.35">
      <c r="I30906" s="63"/>
      <c r="J30906" s="63"/>
    </row>
    <row r="30907" spans="9:10" x14ac:dyDescent="0.35">
      <c r="I30907" s="63"/>
      <c r="J30907" s="63"/>
    </row>
    <row r="30908" spans="9:10" x14ac:dyDescent="0.35">
      <c r="I30908" s="63"/>
      <c r="J30908" s="63"/>
    </row>
    <row r="30909" spans="9:10" x14ac:dyDescent="0.35">
      <c r="I30909" s="63"/>
      <c r="J30909" s="63"/>
    </row>
    <row r="30910" spans="9:10" x14ac:dyDescent="0.35">
      <c r="I30910" s="63"/>
      <c r="J30910" s="63"/>
    </row>
    <row r="30911" spans="9:10" x14ac:dyDescent="0.35">
      <c r="I30911" s="63"/>
      <c r="J30911" s="63"/>
    </row>
    <row r="30912" spans="9:10" x14ac:dyDescent="0.35">
      <c r="I30912" s="63"/>
      <c r="J30912" s="63"/>
    </row>
    <row r="30913" spans="9:10" x14ac:dyDescent="0.35">
      <c r="I30913" s="63"/>
      <c r="J30913" s="63"/>
    </row>
    <row r="30914" spans="9:10" x14ac:dyDescent="0.35">
      <c r="I30914" s="63"/>
      <c r="J30914" s="63"/>
    </row>
    <row r="30915" spans="9:10" x14ac:dyDescent="0.35">
      <c r="I30915" s="63"/>
      <c r="J30915" s="63"/>
    </row>
    <row r="30916" spans="9:10" x14ac:dyDescent="0.35">
      <c r="I30916" s="63"/>
      <c r="J30916" s="63"/>
    </row>
    <row r="30917" spans="9:10" x14ac:dyDescent="0.35">
      <c r="I30917" s="63"/>
      <c r="J30917" s="63"/>
    </row>
    <row r="30918" spans="9:10" x14ac:dyDescent="0.35">
      <c r="I30918" s="63"/>
      <c r="J30918" s="63"/>
    </row>
    <row r="30919" spans="9:10" x14ac:dyDescent="0.35">
      <c r="I30919" s="63"/>
      <c r="J30919" s="63"/>
    </row>
    <row r="30920" spans="9:10" x14ac:dyDescent="0.35">
      <c r="I30920" s="63"/>
      <c r="J30920" s="63"/>
    </row>
    <row r="30921" spans="9:10" x14ac:dyDescent="0.35">
      <c r="I30921" s="63"/>
      <c r="J30921" s="63"/>
    </row>
    <row r="30922" spans="9:10" x14ac:dyDescent="0.35">
      <c r="I30922" s="63"/>
      <c r="J30922" s="63"/>
    </row>
    <row r="30923" spans="9:10" x14ac:dyDescent="0.35">
      <c r="I30923" s="63"/>
      <c r="J30923" s="63"/>
    </row>
    <row r="30924" spans="9:10" x14ac:dyDescent="0.35">
      <c r="I30924" s="63"/>
      <c r="J30924" s="63"/>
    </row>
    <row r="30925" spans="9:10" x14ac:dyDescent="0.35">
      <c r="I30925" s="63"/>
      <c r="J30925" s="63"/>
    </row>
    <row r="30926" spans="9:10" x14ac:dyDescent="0.35">
      <c r="I30926" s="63"/>
      <c r="J30926" s="63"/>
    </row>
    <row r="30927" spans="9:10" x14ac:dyDescent="0.35">
      <c r="I30927" s="63"/>
      <c r="J30927" s="63"/>
    </row>
    <row r="30928" spans="9:10" x14ac:dyDescent="0.35">
      <c r="I30928" s="63"/>
      <c r="J30928" s="63"/>
    </row>
    <row r="30929" spans="9:10" x14ac:dyDescent="0.35">
      <c r="I30929" s="63"/>
      <c r="J30929" s="63"/>
    </row>
    <row r="30930" spans="9:10" x14ac:dyDescent="0.35">
      <c r="I30930" s="63"/>
      <c r="J30930" s="63"/>
    </row>
    <row r="30931" spans="9:10" x14ac:dyDescent="0.35">
      <c r="I30931" s="63"/>
      <c r="J30931" s="63"/>
    </row>
    <row r="30932" spans="9:10" x14ac:dyDescent="0.35">
      <c r="I30932" s="63"/>
      <c r="J30932" s="63"/>
    </row>
    <row r="30933" spans="9:10" x14ac:dyDescent="0.35">
      <c r="I30933" s="63"/>
      <c r="J30933" s="63"/>
    </row>
    <row r="30934" spans="9:10" x14ac:dyDescent="0.35">
      <c r="I30934" s="63"/>
      <c r="J30934" s="63"/>
    </row>
    <row r="30935" spans="9:10" x14ac:dyDescent="0.35">
      <c r="I30935" s="63"/>
      <c r="J30935" s="63"/>
    </row>
    <row r="30936" spans="9:10" x14ac:dyDescent="0.35">
      <c r="I30936" s="63"/>
      <c r="J30936" s="63"/>
    </row>
    <row r="30937" spans="9:10" x14ac:dyDescent="0.35">
      <c r="I30937" s="63"/>
      <c r="J30937" s="63"/>
    </row>
    <row r="30938" spans="9:10" x14ac:dyDescent="0.35">
      <c r="I30938" s="63"/>
      <c r="J30938" s="63"/>
    </row>
    <row r="30939" spans="9:10" x14ac:dyDescent="0.35">
      <c r="I30939" s="63"/>
      <c r="J30939" s="63"/>
    </row>
    <row r="30940" spans="9:10" x14ac:dyDescent="0.35">
      <c r="I30940" s="63"/>
      <c r="J30940" s="63"/>
    </row>
    <row r="30941" spans="9:10" x14ac:dyDescent="0.35">
      <c r="I30941" s="63"/>
      <c r="J30941" s="63"/>
    </row>
    <row r="30942" spans="9:10" x14ac:dyDescent="0.35">
      <c r="I30942" s="63"/>
      <c r="J30942" s="63"/>
    </row>
    <row r="30943" spans="9:10" x14ac:dyDescent="0.35">
      <c r="I30943" s="63"/>
      <c r="J30943" s="63"/>
    </row>
    <row r="30944" spans="9:10" x14ac:dyDescent="0.35">
      <c r="I30944" s="63"/>
      <c r="J30944" s="63"/>
    </row>
    <row r="30945" spans="9:10" x14ac:dyDescent="0.35">
      <c r="I30945" s="63"/>
      <c r="J30945" s="63"/>
    </row>
    <row r="30946" spans="9:10" x14ac:dyDescent="0.35">
      <c r="I30946" s="63"/>
      <c r="J30946" s="63"/>
    </row>
    <row r="30947" spans="9:10" x14ac:dyDescent="0.35">
      <c r="I30947" s="63"/>
      <c r="J30947" s="63"/>
    </row>
    <row r="30948" spans="9:10" x14ac:dyDescent="0.35">
      <c r="I30948" s="63"/>
      <c r="J30948" s="63"/>
    </row>
    <row r="30949" spans="9:10" x14ac:dyDescent="0.35">
      <c r="I30949" s="63"/>
      <c r="J30949" s="63"/>
    </row>
    <row r="30950" spans="9:10" x14ac:dyDescent="0.35">
      <c r="I30950" s="63"/>
      <c r="J30950" s="63"/>
    </row>
    <row r="30951" spans="9:10" x14ac:dyDescent="0.35">
      <c r="I30951" s="63"/>
      <c r="J30951" s="63"/>
    </row>
    <row r="30952" spans="9:10" x14ac:dyDescent="0.35">
      <c r="I30952" s="63"/>
      <c r="J30952" s="63"/>
    </row>
    <row r="30953" spans="9:10" x14ac:dyDescent="0.35">
      <c r="I30953" s="63"/>
      <c r="J30953" s="63"/>
    </row>
    <row r="30954" spans="9:10" x14ac:dyDescent="0.35">
      <c r="I30954" s="63"/>
      <c r="J30954" s="63"/>
    </row>
    <row r="30955" spans="9:10" x14ac:dyDescent="0.35">
      <c r="I30955" s="63"/>
      <c r="J30955" s="63"/>
    </row>
    <row r="30956" spans="9:10" x14ac:dyDescent="0.35">
      <c r="I30956" s="63"/>
      <c r="J30956" s="63"/>
    </row>
    <row r="30957" spans="9:10" x14ac:dyDescent="0.35">
      <c r="I30957" s="63"/>
      <c r="J30957" s="63"/>
    </row>
    <row r="30958" spans="9:10" x14ac:dyDescent="0.35">
      <c r="I30958" s="63"/>
      <c r="J30958" s="63"/>
    </row>
    <row r="30959" spans="9:10" x14ac:dyDescent="0.35">
      <c r="I30959" s="63"/>
      <c r="J30959" s="63"/>
    </row>
    <row r="30960" spans="9:10" x14ac:dyDescent="0.35">
      <c r="I30960" s="63"/>
      <c r="J30960" s="63"/>
    </row>
    <row r="30961" spans="9:10" x14ac:dyDescent="0.35">
      <c r="I30961" s="63"/>
      <c r="J30961" s="63"/>
    </row>
    <row r="30962" spans="9:10" x14ac:dyDescent="0.35">
      <c r="I30962" s="63"/>
      <c r="J30962" s="63"/>
    </row>
    <row r="30963" spans="9:10" x14ac:dyDescent="0.35">
      <c r="I30963" s="63"/>
      <c r="J30963" s="63"/>
    </row>
    <row r="30964" spans="9:10" x14ac:dyDescent="0.35">
      <c r="I30964" s="63"/>
      <c r="J30964" s="63"/>
    </row>
    <row r="30965" spans="9:10" x14ac:dyDescent="0.35">
      <c r="I30965" s="63"/>
      <c r="J30965" s="63"/>
    </row>
    <row r="30966" spans="9:10" x14ac:dyDescent="0.35">
      <c r="I30966" s="63"/>
      <c r="J30966" s="63"/>
    </row>
    <row r="30967" spans="9:10" x14ac:dyDescent="0.35">
      <c r="I30967" s="63"/>
      <c r="J30967" s="63"/>
    </row>
    <row r="30968" spans="9:10" x14ac:dyDescent="0.35">
      <c r="I30968" s="63"/>
      <c r="J30968" s="63"/>
    </row>
    <row r="30969" spans="9:10" x14ac:dyDescent="0.35">
      <c r="I30969" s="63"/>
      <c r="J30969" s="63"/>
    </row>
    <row r="30970" spans="9:10" x14ac:dyDescent="0.35">
      <c r="I30970" s="63"/>
      <c r="J30970" s="63"/>
    </row>
    <row r="30971" spans="9:10" x14ac:dyDescent="0.35">
      <c r="I30971" s="63"/>
      <c r="J30971" s="63"/>
    </row>
    <row r="30972" spans="9:10" x14ac:dyDescent="0.35">
      <c r="I30972" s="63"/>
      <c r="J30972" s="63"/>
    </row>
    <row r="30973" spans="9:10" x14ac:dyDescent="0.35">
      <c r="I30973" s="63"/>
      <c r="J30973" s="63"/>
    </row>
    <row r="30974" spans="9:10" x14ac:dyDescent="0.35">
      <c r="I30974" s="63"/>
      <c r="J30974" s="63"/>
    </row>
    <row r="30975" spans="9:10" x14ac:dyDescent="0.35">
      <c r="I30975" s="63"/>
      <c r="J30975" s="63"/>
    </row>
    <row r="30976" spans="9:10" x14ac:dyDescent="0.35">
      <c r="I30976" s="63"/>
      <c r="J30976" s="63"/>
    </row>
    <row r="30977" spans="9:10" x14ac:dyDescent="0.35">
      <c r="I30977" s="63"/>
      <c r="J30977" s="63"/>
    </row>
    <row r="30978" spans="9:10" x14ac:dyDescent="0.35">
      <c r="I30978" s="63"/>
      <c r="J30978" s="63"/>
    </row>
    <row r="30979" spans="9:10" x14ac:dyDescent="0.35">
      <c r="I30979" s="63"/>
      <c r="J30979" s="63"/>
    </row>
    <row r="30980" spans="9:10" x14ac:dyDescent="0.35">
      <c r="I30980" s="63"/>
      <c r="J30980" s="63"/>
    </row>
    <row r="30981" spans="9:10" x14ac:dyDescent="0.35">
      <c r="I30981" s="63"/>
      <c r="J30981" s="63"/>
    </row>
    <row r="30982" spans="9:10" x14ac:dyDescent="0.35">
      <c r="I30982" s="63"/>
      <c r="J30982" s="63"/>
    </row>
    <row r="30983" spans="9:10" x14ac:dyDescent="0.35">
      <c r="I30983" s="63"/>
      <c r="J30983" s="63"/>
    </row>
    <row r="30984" spans="9:10" x14ac:dyDescent="0.35">
      <c r="I30984" s="63"/>
      <c r="J30984" s="63"/>
    </row>
    <row r="30985" spans="9:10" x14ac:dyDescent="0.35">
      <c r="I30985" s="63"/>
      <c r="J30985" s="63"/>
    </row>
    <row r="30986" spans="9:10" x14ac:dyDescent="0.35">
      <c r="I30986" s="63"/>
      <c r="J30986" s="63"/>
    </row>
    <row r="30987" spans="9:10" x14ac:dyDescent="0.35">
      <c r="I30987" s="63"/>
      <c r="J30987" s="63"/>
    </row>
    <row r="30988" spans="9:10" x14ac:dyDescent="0.35">
      <c r="I30988" s="63"/>
      <c r="J30988" s="63"/>
    </row>
    <row r="30989" spans="9:10" x14ac:dyDescent="0.35">
      <c r="I30989" s="63"/>
      <c r="J30989" s="63"/>
    </row>
    <row r="30990" spans="9:10" x14ac:dyDescent="0.35">
      <c r="I30990" s="63"/>
      <c r="J30990" s="63"/>
    </row>
    <row r="30991" spans="9:10" x14ac:dyDescent="0.35">
      <c r="I30991" s="63"/>
      <c r="J30991" s="63"/>
    </row>
    <row r="30992" spans="9:10" x14ac:dyDescent="0.35">
      <c r="I30992" s="63"/>
      <c r="J30992" s="63"/>
    </row>
    <row r="30993" spans="9:10" x14ac:dyDescent="0.35">
      <c r="I30993" s="63"/>
      <c r="J30993" s="63"/>
    </row>
    <row r="30994" spans="9:10" x14ac:dyDescent="0.35">
      <c r="I30994" s="63"/>
      <c r="J30994" s="63"/>
    </row>
    <row r="30995" spans="9:10" x14ac:dyDescent="0.35">
      <c r="I30995" s="63"/>
      <c r="J30995" s="63"/>
    </row>
    <row r="30996" spans="9:10" x14ac:dyDescent="0.35">
      <c r="I30996" s="63"/>
      <c r="J30996" s="63"/>
    </row>
    <row r="30997" spans="9:10" x14ac:dyDescent="0.35">
      <c r="I30997" s="63"/>
      <c r="J30997" s="63"/>
    </row>
    <row r="30998" spans="9:10" x14ac:dyDescent="0.35">
      <c r="I30998" s="63"/>
      <c r="J30998" s="63"/>
    </row>
    <row r="30999" spans="9:10" x14ac:dyDescent="0.35">
      <c r="I30999" s="63"/>
      <c r="J30999" s="63"/>
    </row>
    <row r="31000" spans="9:10" x14ac:dyDescent="0.35">
      <c r="I31000" s="63"/>
      <c r="J31000" s="63"/>
    </row>
    <row r="31001" spans="9:10" x14ac:dyDescent="0.35">
      <c r="I31001" s="63"/>
      <c r="J31001" s="63"/>
    </row>
    <row r="31002" spans="9:10" x14ac:dyDescent="0.35">
      <c r="I31002" s="63"/>
      <c r="J31002" s="63"/>
    </row>
    <row r="31003" spans="9:10" x14ac:dyDescent="0.35">
      <c r="I31003" s="63"/>
      <c r="J31003" s="63"/>
    </row>
    <row r="31004" spans="9:10" x14ac:dyDescent="0.35">
      <c r="I31004" s="63"/>
      <c r="J31004" s="63"/>
    </row>
    <row r="31005" spans="9:10" x14ac:dyDescent="0.35">
      <c r="I31005" s="63"/>
      <c r="J31005" s="63"/>
    </row>
    <row r="31006" spans="9:10" x14ac:dyDescent="0.35">
      <c r="I31006" s="63"/>
      <c r="J31006" s="63"/>
    </row>
    <row r="31007" spans="9:10" x14ac:dyDescent="0.35">
      <c r="I31007" s="63"/>
      <c r="J31007" s="63"/>
    </row>
    <row r="31008" spans="9:10" x14ac:dyDescent="0.35">
      <c r="I31008" s="63"/>
      <c r="J31008" s="63"/>
    </row>
    <row r="31009" spans="9:10" x14ac:dyDescent="0.35">
      <c r="I31009" s="63"/>
      <c r="J31009" s="63"/>
    </row>
    <row r="31010" spans="9:10" x14ac:dyDescent="0.35">
      <c r="I31010" s="63"/>
      <c r="J31010" s="63"/>
    </row>
    <row r="31011" spans="9:10" x14ac:dyDescent="0.35">
      <c r="I31011" s="63"/>
      <c r="J31011" s="63"/>
    </row>
    <row r="31012" spans="9:10" x14ac:dyDescent="0.35">
      <c r="I31012" s="63"/>
      <c r="J31012" s="63"/>
    </row>
    <row r="31013" spans="9:10" x14ac:dyDescent="0.35">
      <c r="I31013" s="63"/>
      <c r="J31013" s="63"/>
    </row>
    <row r="31014" spans="9:10" x14ac:dyDescent="0.35">
      <c r="I31014" s="63"/>
      <c r="J31014" s="63"/>
    </row>
    <row r="31015" spans="9:10" x14ac:dyDescent="0.35">
      <c r="I31015" s="63"/>
      <c r="J31015" s="63"/>
    </row>
    <row r="31016" spans="9:10" x14ac:dyDescent="0.35">
      <c r="I31016" s="63"/>
      <c r="J31016" s="63"/>
    </row>
    <row r="31017" spans="9:10" x14ac:dyDescent="0.35">
      <c r="I31017" s="63"/>
      <c r="J31017" s="63"/>
    </row>
    <row r="31018" spans="9:10" x14ac:dyDescent="0.35">
      <c r="I31018" s="63"/>
      <c r="J31018" s="63"/>
    </row>
    <row r="31019" spans="9:10" x14ac:dyDescent="0.35">
      <c r="I31019" s="63"/>
      <c r="J31019" s="63"/>
    </row>
    <row r="31020" spans="9:10" x14ac:dyDescent="0.35">
      <c r="I31020" s="63"/>
      <c r="J31020" s="63"/>
    </row>
    <row r="31021" spans="9:10" x14ac:dyDescent="0.35">
      <c r="I31021" s="63"/>
      <c r="J31021" s="63"/>
    </row>
    <row r="31022" spans="9:10" x14ac:dyDescent="0.35">
      <c r="I31022" s="63"/>
      <c r="J31022" s="63"/>
    </row>
    <row r="31023" spans="9:10" x14ac:dyDescent="0.35">
      <c r="I31023" s="63"/>
      <c r="J31023" s="63"/>
    </row>
    <row r="31024" spans="9:10" x14ac:dyDescent="0.35">
      <c r="I31024" s="63"/>
      <c r="J31024" s="63"/>
    </row>
    <row r="31025" spans="9:10" x14ac:dyDescent="0.35">
      <c r="I31025" s="63"/>
      <c r="J31025" s="63"/>
    </row>
    <row r="31026" spans="9:10" x14ac:dyDescent="0.35">
      <c r="I31026" s="63"/>
      <c r="J31026" s="63"/>
    </row>
    <row r="31027" spans="9:10" x14ac:dyDescent="0.35">
      <c r="I31027" s="63"/>
      <c r="J31027" s="63"/>
    </row>
    <row r="31028" spans="9:10" x14ac:dyDescent="0.35">
      <c r="I31028" s="63"/>
      <c r="J31028" s="63"/>
    </row>
    <row r="31029" spans="9:10" x14ac:dyDescent="0.35">
      <c r="I31029" s="63"/>
      <c r="J31029" s="63"/>
    </row>
    <row r="31030" spans="9:10" x14ac:dyDescent="0.35">
      <c r="I31030" s="63"/>
      <c r="J31030" s="63"/>
    </row>
    <row r="31031" spans="9:10" x14ac:dyDescent="0.35">
      <c r="I31031" s="63"/>
      <c r="J31031" s="63"/>
    </row>
    <row r="31032" spans="9:10" x14ac:dyDescent="0.35">
      <c r="I31032" s="63"/>
      <c r="J31032" s="63"/>
    </row>
    <row r="31033" spans="9:10" x14ac:dyDescent="0.35">
      <c r="I31033" s="63"/>
      <c r="J31033" s="63"/>
    </row>
    <row r="31034" spans="9:10" x14ac:dyDescent="0.35">
      <c r="I31034" s="63"/>
      <c r="J31034" s="63"/>
    </row>
    <row r="31035" spans="9:10" x14ac:dyDescent="0.35">
      <c r="I31035" s="63"/>
      <c r="J31035" s="63"/>
    </row>
    <row r="31036" spans="9:10" x14ac:dyDescent="0.35">
      <c r="I31036" s="63"/>
      <c r="J31036" s="63"/>
    </row>
    <row r="31037" spans="9:10" x14ac:dyDescent="0.35">
      <c r="I31037" s="63"/>
      <c r="J31037" s="63"/>
    </row>
    <row r="31038" spans="9:10" x14ac:dyDescent="0.35">
      <c r="I31038" s="63"/>
      <c r="J31038" s="63"/>
    </row>
    <row r="31039" spans="9:10" x14ac:dyDescent="0.35">
      <c r="I31039" s="63"/>
      <c r="J31039" s="63"/>
    </row>
    <row r="31040" spans="9:10" x14ac:dyDescent="0.35">
      <c r="I31040" s="63"/>
      <c r="J31040" s="63"/>
    </row>
    <row r="31041" spans="9:10" x14ac:dyDescent="0.35">
      <c r="I31041" s="63"/>
      <c r="J31041" s="63"/>
    </row>
    <row r="31042" spans="9:10" x14ac:dyDescent="0.35">
      <c r="I31042" s="63"/>
      <c r="J31042" s="63"/>
    </row>
    <row r="31043" spans="9:10" x14ac:dyDescent="0.35">
      <c r="I31043" s="63"/>
      <c r="J31043" s="63"/>
    </row>
    <row r="31044" spans="9:10" x14ac:dyDescent="0.35">
      <c r="I31044" s="63"/>
      <c r="J31044" s="63"/>
    </row>
    <row r="31045" spans="9:10" x14ac:dyDescent="0.35">
      <c r="I31045" s="63"/>
      <c r="J31045" s="63"/>
    </row>
    <row r="31046" spans="9:10" x14ac:dyDescent="0.35">
      <c r="I31046" s="63"/>
      <c r="J31046" s="63"/>
    </row>
    <row r="31047" spans="9:10" x14ac:dyDescent="0.35">
      <c r="I31047" s="63"/>
      <c r="J31047" s="63"/>
    </row>
    <row r="31048" spans="9:10" x14ac:dyDescent="0.35">
      <c r="I31048" s="63"/>
      <c r="J31048" s="63"/>
    </row>
    <row r="31049" spans="9:10" x14ac:dyDescent="0.35">
      <c r="I31049" s="63"/>
      <c r="J31049" s="63"/>
    </row>
    <row r="31050" spans="9:10" x14ac:dyDescent="0.35">
      <c r="I31050" s="63"/>
      <c r="J31050" s="63"/>
    </row>
    <row r="31051" spans="9:10" x14ac:dyDescent="0.35">
      <c r="I31051" s="63"/>
      <c r="J31051" s="63"/>
    </row>
    <row r="31052" spans="9:10" x14ac:dyDescent="0.35">
      <c r="I31052" s="63"/>
      <c r="J31052" s="63"/>
    </row>
    <row r="31053" spans="9:10" x14ac:dyDescent="0.35">
      <c r="I31053" s="63"/>
      <c r="J31053" s="63"/>
    </row>
    <row r="31054" spans="9:10" x14ac:dyDescent="0.35">
      <c r="I31054" s="63"/>
      <c r="J31054" s="63"/>
    </row>
    <row r="31055" spans="9:10" x14ac:dyDescent="0.35">
      <c r="I31055" s="63"/>
      <c r="J31055" s="63"/>
    </row>
    <row r="31056" spans="9:10" x14ac:dyDescent="0.35">
      <c r="I31056" s="63"/>
      <c r="J31056" s="63"/>
    </row>
    <row r="31057" spans="9:10" x14ac:dyDescent="0.35">
      <c r="I31057" s="63"/>
      <c r="J31057" s="63"/>
    </row>
    <row r="31058" spans="9:10" x14ac:dyDescent="0.35">
      <c r="I31058" s="63"/>
      <c r="J31058" s="63"/>
    </row>
    <row r="31059" spans="9:10" x14ac:dyDescent="0.35">
      <c r="I31059" s="63"/>
      <c r="J31059" s="63"/>
    </row>
    <row r="31060" spans="9:10" x14ac:dyDescent="0.35">
      <c r="I31060" s="63"/>
      <c r="J31060" s="63"/>
    </row>
    <row r="31061" spans="9:10" x14ac:dyDescent="0.35">
      <c r="I31061" s="63"/>
      <c r="J31061" s="63"/>
    </row>
    <row r="31062" spans="9:10" x14ac:dyDescent="0.35">
      <c r="I31062" s="63"/>
      <c r="J31062" s="63"/>
    </row>
    <row r="31063" spans="9:10" x14ac:dyDescent="0.35">
      <c r="I31063" s="63"/>
      <c r="J31063" s="63"/>
    </row>
    <row r="31064" spans="9:10" x14ac:dyDescent="0.35">
      <c r="I31064" s="63"/>
      <c r="J31064" s="63"/>
    </row>
    <row r="31065" spans="9:10" x14ac:dyDescent="0.35">
      <c r="I31065" s="63"/>
      <c r="J31065" s="63"/>
    </row>
    <row r="31066" spans="9:10" x14ac:dyDescent="0.35">
      <c r="I31066" s="63"/>
      <c r="J31066" s="63"/>
    </row>
    <row r="31067" spans="9:10" x14ac:dyDescent="0.35">
      <c r="I31067" s="63"/>
      <c r="J31067" s="63"/>
    </row>
    <row r="31068" spans="9:10" x14ac:dyDescent="0.35">
      <c r="I31068" s="63"/>
      <c r="J31068" s="63"/>
    </row>
    <row r="31069" spans="9:10" x14ac:dyDescent="0.35">
      <c r="I31069" s="63"/>
      <c r="J31069" s="63"/>
    </row>
    <row r="31070" spans="9:10" x14ac:dyDescent="0.35">
      <c r="I31070" s="63"/>
      <c r="J31070" s="63"/>
    </row>
    <row r="31071" spans="9:10" x14ac:dyDescent="0.35">
      <c r="I31071" s="63"/>
      <c r="J31071" s="63"/>
    </row>
    <row r="31072" spans="9:10" x14ac:dyDescent="0.35">
      <c r="I31072" s="63"/>
      <c r="J31072" s="63"/>
    </row>
    <row r="31073" spans="9:10" x14ac:dyDescent="0.35">
      <c r="I31073" s="63"/>
      <c r="J31073" s="63"/>
    </row>
    <row r="31074" spans="9:10" x14ac:dyDescent="0.35">
      <c r="I31074" s="63"/>
      <c r="J31074" s="63"/>
    </row>
    <row r="31075" spans="9:10" x14ac:dyDescent="0.35">
      <c r="I31075" s="63"/>
      <c r="J31075" s="63"/>
    </row>
    <row r="31076" spans="9:10" x14ac:dyDescent="0.35">
      <c r="I31076" s="63"/>
      <c r="J31076" s="63"/>
    </row>
    <row r="31077" spans="9:10" x14ac:dyDescent="0.35">
      <c r="I31077" s="63"/>
      <c r="J31077" s="63"/>
    </row>
    <row r="31078" spans="9:10" x14ac:dyDescent="0.35">
      <c r="I31078" s="63"/>
      <c r="J31078" s="63"/>
    </row>
    <row r="31079" spans="9:10" x14ac:dyDescent="0.35">
      <c r="I31079" s="63"/>
      <c r="J31079" s="63"/>
    </row>
    <row r="31080" spans="9:10" x14ac:dyDescent="0.35">
      <c r="I31080" s="63"/>
      <c r="J31080" s="63"/>
    </row>
    <row r="31081" spans="9:10" x14ac:dyDescent="0.35">
      <c r="I31081" s="63"/>
      <c r="J31081" s="63"/>
    </row>
    <row r="31082" spans="9:10" x14ac:dyDescent="0.35">
      <c r="I31082" s="63"/>
      <c r="J31082" s="63"/>
    </row>
    <row r="31083" spans="9:10" x14ac:dyDescent="0.35">
      <c r="I31083" s="63"/>
      <c r="J31083" s="63"/>
    </row>
    <row r="31084" spans="9:10" x14ac:dyDescent="0.35">
      <c r="I31084" s="63"/>
      <c r="J31084" s="63"/>
    </row>
    <row r="31085" spans="9:10" x14ac:dyDescent="0.35">
      <c r="I31085" s="63"/>
      <c r="J31085" s="63"/>
    </row>
    <row r="31086" spans="9:10" x14ac:dyDescent="0.35">
      <c r="I31086" s="63"/>
      <c r="J31086" s="63"/>
    </row>
    <row r="31087" spans="9:10" x14ac:dyDescent="0.35">
      <c r="I31087" s="63"/>
      <c r="J31087" s="63"/>
    </row>
    <row r="31088" spans="9:10" x14ac:dyDescent="0.35">
      <c r="I31088" s="63"/>
      <c r="J31088" s="63"/>
    </row>
    <row r="31089" spans="9:10" x14ac:dyDescent="0.35">
      <c r="I31089" s="63"/>
      <c r="J31089" s="63"/>
    </row>
    <row r="31090" spans="9:10" x14ac:dyDescent="0.35">
      <c r="I31090" s="63"/>
      <c r="J31090" s="63"/>
    </row>
    <row r="31091" spans="9:10" x14ac:dyDescent="0.35">
      <c r="I31091" s="63"/>
      <c r="J31091" s="63"/>
    </row>
    <row r="31092" spans="9:10" x14ac:dyDescent="0.35">
      <c r="I31092" s="63"/>
      <c r="J31092" s="63"/>
    </row>
    <row r="31093" spans="9:10" x14ac:dyDescent="0.35">
      <c r="I31093" s="63"/>
      <c r="J31093" s="63"/>
    </row>
    <row r="31094" spans="9:10" x14ac:dyDescent="0.35">
      <c r="I31094" s="63"/>
      <c r="J31094" s="63"/>
    </row>
    <row r="31095" spans="9:10" x14ac:dyDescent="0.35">
      <c r="I31095" s="63"/>
      <c r="J31095" s="63"/>
    </row>
    <row r="31096" spans="9:10" x14ac:dyDescent="0.35">
      <c r="I31096" s="63"/>
      <c r="J31096" s="63"/>
    </row>
    <row r="31097" spans="9:10" x14ac:dyDescent="0.35">
      <c r="I31097" s="63"/>
      <c r="J31097" s="63"/>
    </row>
    <row r="31098" spans="9:10" x14ac:dyDescent="0.35">
      <c r="I31098" s="63"/>
      <c r="J31098" s="63"/>
    </row>
    <row r="31099" spans="9:10" x14ac:dyDescent="0.35">
      <c r="I31099" s="63"/>
      <c r="J31099" s="63"/>
    </row>
    <row r="31100" spans="9:10" x14ac:dyDescent="0.35">
      <c r="I31100" s="63"/>
      <c r="J31100" s="63"/>
    </row>
    <row r="31101" spans="9:10" x14ac:dyDescent="0.35">
      <c r="I31101" s="63"/>
      <c r="J31101" s="63"/>
    </row>
    <row r="31102" spans="9:10" x14ac:dyDescent="0.35">
      <c r="I31102" s="63"/>
      <c r="J31102" s="63"/>
    </row>
    <row r="31103" spans="9:10" x14ac:dyDescent="0.35">
      <c r="I31103" s="63"/>
      <c r="J31103" s="63"/>
    </row>
    <row r="31104" spans="9:10" x14ac:dyDescent="0.35">
      <c r="I31104" s="63"/>
      <c r="J31104" s="63"/>
    </row>
    <row r="31105" spans="9:10" x14ac:dyDescent="0.35">
      <c r="I31105" s="63"/>
      <c r="J31105" s="63"/>
    </row>
    <row r="31106" spans="9:10" x14ac:dyDescent="0.35">
      <c r="I31106" s="63"/>
      <c r="J31106" s="63"/>
    </row>
    <row r="31107" spans="9:10" x14ac:dyDescent="0.35">
      <c r="I31107" s="63"/>
      <c r="J31107" s="63"/>
    </row>
    <row r="31108" spans="9:10" x14ac:dyDescent="0.35">
      <c r="I31108" s="63"/>
      <c r="J31108" s="63"/>
    </row>
    <row r="31109" spans="9:10" x14ac:dyDescent="0.35">
      <c r="I31109" s="63"/>
      <c r="J31109" s="63"/>
    </row>
    <row r="31110" spans="9:10" x14ac:dyDescent="0.35">
      <c r="I31110" s="63"/>
      <c r="J31110" s="63"/>
    </row>
    <row r="31111" spans="9:10" x14ac:dyDescent="0.35">
      <c r="I31111" s="63"/>
      <c r="J31111" s="63"/>
    </row>
    <row r="31112" spans="9:10" x14ac:dyDescent="0.35">
      <c r="I31112" s="63"/>
      <c r="J31112" s="63"/>
    </row>
    <row r="31113" spans="9:10" x14ac:dyDescent="0.35">
      <c r="I31113" s="63"/>
      <c r="J31113" s="63"/>
    </row>
    <row r="31114" spans="9:10" x14ac:dyDescent="0.35">
      <c r="I31114" s="63"/>
      <c r="J31114" s="63"/>
    </row>
    <row r="31115" spans="9:10" x14ac:dyDescent="0.35">
      <c r="I31115" s="63"/>
      <c r="J31115" s="63"/>
    </row>
    <row r="31116" spans="9:10" x14ac:dyDescent="0.35">
      <c r="I31116" s="63"/>
      <c r="J31116" s="63"/>
    </row>
    <row r="31117" spans="9:10" x14ac:dyDescent="0.35">
      <c r="I31117" s="63"/>
      <c r="J31117" s="63"/>
    </row>
    <row r="31118" spans="9:10" x14ac:dyDescent="0.35">
      <c r="I31118" s="63"/>
      <c r="J31118" s="63"/>
    </row>
    <row r="31119" spans="9:10" x14ac:dyDescent="0.35">
      <c r="I31119" s="63"/>
      <c r="J31119" s="63"/>
    </row>
    <row r="31120" spans="9:10" x14ac:dyDescent="0.35">
      <c r="I31120" s="63"/>
      <c r="J31120" s="63"/>
    </row>
    <row r="31121" spans="9:10" x14ac:dyDescent="0.35">
      <c r="I31121" s="63"/>
      <c r="J31121" s="63"/>
    </row>
    <row r="31122" spans="9:10" x14ac:dyDescent="0.35">
      <c r="I31122" s="63"/>
      <c r="J31122" s="63"/>
    </row>
    <row r="31123" spans="9:10" x14ac:dyDescent="0.35">
      <c r="I31123" s="63"/>
      <c r="J31123" s="63"/>
    </row>
    <row r="31124" spans="9:10" x14ac:dyDescent="0.35">
      <c r="I31124" s="63"/>
      <c r="J31124" s="63"/>
    </row>
    <row r="31125" spans="9:10" x14ac:dyDescent="0.35">
      <c r="I31125" s="63"/>
      <c r="J31125" s="63"/>
    </row>
    <row r="31126" spans="9:10" x14ac:dyDescent="0.35">
      <c r="I31126" s="63"/>
      <c r="J31126" s="63"/>
    </row>
    <row r="31127" spans="9:10" x14ac:dyDescent="0.35">
      <c r="I31127" s="63"/>
      <c r="J31127" s="63"/>
    </row>
    <row r="31128" spans="9:10" x14ac:dyDescent="0.35">
      <c r="I31128" s="63"/>
      <c r="J31128" s="63"/>
    </row>
    <row r="31129" spans="9:10" x14ac:dyDescent="0.35">
      <c r="I31129" s="63"/>
      <c r="J31129" s="63"/>
    </row>
    <row r="31130" spans="9:10" x14ac:dyDescent="0.35">
      <c r="I31130" s="63"/>
      <c r="J31130" s="63"/>
    </row>
    <row r="31131" spans="9:10" x14ac:dyDescent="0.35">
      <c r="I31131" s="63"/>
      <c r="J31131" s="63"/>
    </row>
    <row r="31132" spans="9:10" x14ac:dyDescent="0.35">
      <c r="I31132" s="63"/>
      <c r="J31132" s="63"/>
    </row>
    <row r="31133" spans="9:10" x14ac:dyDescent="0.35">
      <c r="I31133" s="63"/>
      <c r="J31133" s="63"/>
    </row>
    <row r="31134" spans="9:10" x14ac:dyDescent="0.35">
      <c r="I31134" s="63"/>
      <c r="J31134" s="63"/>
    </row>
    <row r="31135" spans="9:10" x14ac:dyDescent="0.35">
      <c r="I31135" s="63"/>
      <c r="J31135" s="63"/>
    </row>
    <row r="31136" spans="9:10" x14ac:dyDescent="0.35">
      <c r="I31136" s="63"/>
      <c r="J31136" s="63"/>
    </row>
    <row r="31137" spans="9:10" x14ac:dyDescent="0.35">
      <c r="I31137" s="63"/>
      <c r="J31137" s="63"/>
    </row>
    <row r="31138" spans="9:10" x14ac:dyDescent="0.35">
      <c r="I31138" s="63"/>
      <c r="J31138" s="63"/>
    </row>
    <row r="31139" spans="9:10" x14ac:dyDescent="0.35">
      <c r="I31139" s="63"/>
      <c r="J31139" s="63"/>
    </row>
    <row r="31140" spans="9:10" x14ac:dyDescent="0.35">
      <c r="I31140" s="63"/>
      <c r="J31140" s="63"/>
    </row>
    <row r="31141" spans="9:10" x14ac:dyDescent="0.35">
      <c r="I31141" s="63"/>
      <c r="J31141" s="63"/>
    </row>
    <row r="31142" spans="9:10" x14ac:dyDescent="0.35">
      <c r="I31142" s="63"/>
      <c r="J31142" s="63"/>
    </row>
    <row r="31143" spans="9:10" x14ac:dyDescent="0.35">
      <c r="I31143" s="63"/>
      <c r="J31143" s="63"/>
    </row>
    <row r="31144" spans="9:10" x14ac:dyDescent="0.35">
      <c r="I31144" s="63"/>
      <c r="J31144" s="63"/>
    </row>
    <row r="31145" spans="9:10" x14ac:dyDescent="0.35">
      <c r="I31145" s="63"/>
      <c r="J31145" s="63"/>
    </row>
    <row r="31146" spans="9:10" x14ac:dyDescent="0.35">
      <c r="I31146" s="63"/>
      <c r="J31146" s="63"/>
    </row>
    <row r="31147" spans="9:10" x14ac:dyDescent="0.35">
      <c r="I31147" s="63"/>
      <c r="J31147" s="63"/>
    </row>
    <row r="31148" spans="9:10" x14ac:dyDescent="0.35">
      <c r="I31148" s="63"/>
      <c r="J31148" s="63"/>
    </row>
    <row r="31149" spans="9:10" x14ac:dyDescent="0.35">
      <c r="I31149" s="63"/>
      <c r="J31149" s="63"/>
    </row>
    <row r="31150" spans="9:10" x14ac:dyDescent="0.35">
      <c r="I31150" s="63"/>
      <c r="J31150" s="63"/>
    </row>
    <row r="31151" spans="9:10" x14ac:dyDescent="0.35">
      <c r="I31151" s="63"/>
      <c r="J31151" s="63"/>
    </row>
    <row r="31152" spans="9:10" x14ac:dyDescent="0.35">
      <c r="I31152" s="63"/>
      <c r="J31152" s="63"/>
    </row>
    <row r="31153" spans="9:10" x14ac:dyDescent="0.35">
      <c r="I31153" s="63"/>
      <c r="J31153" s="63"/>
    </row>
    <row r="31154" spans="9:10" x14ac:dyDescent="0.35">
      <c r="I31154" s="63"/>
      <c r="J31154" s="63"/>
    </row>
    <row r="31155" spans="9:10" x14ac:dyDescent="0.35">
      <c r="I31155" s="63"/>
      <c r="J31155" s="63"/>
    </row>
    <row r="31156" spans="9:10" x14ac:dyDescent="0.35">
      <c r="I31156" s="63"/>
      <c r="J31156" s="63"/>
    </row>
    <row r="31157" spans="9:10" x14ac:dyDescent="0.35">
      <c r="I31157" s="63"/>
      <c r="J31157" s="63"/>
    </row>
    <row r="31158" spans="9:10" x14ac:dyDescent="0.35">
      <c r="I31158" s="63"/>
      <c r="J31158" s="63"/>
    </row>
    <row r="31159" spans="9:10" x14ac:dyDescent="0.35">
      <c r="I31159" s="63"/>
      <c r="J31159" s="63"/>
    </row>
    <row r="31160" spans="9:10" x14ac:dyDescent="0.35">
      <c r="I31160" s="63"/>
      <c r="J31160" s="63"/>
    </row>
    <row r="31161" spans="9:10" x14ac:dyDescent="0.35">
      <c r="I31161" s="63"/>
      <c r="J31161" s="63"/>
    </row>
    <row r="31162" spans="9:10" x14ac:dyDescent="0.35">
      <c r="I31162" s="63"/>
      <c r="J31162" s="63"/>
    </row>
    <row r="31163" spans="9:10" x14ac:dyDescent="0.35">
      <c r="I31163" s="63"/>
      <c r="J31163" s="63"/>
    </row>
    <row r="31164" spans="9:10" x14ac:dyDescent="0.35">
      <c r="I31164" s="63"/>
      <c r="J31164" s="63"/>
    </row>
    <row r="31165" spans="9:10" x14ac:dyDescent="0.35">
      <c r="I31165" s="63"/>
      <c r="J31165" s="63"/>
    </row>
    <row r="31166" spans="9:10" x14ac:dyDescent="0.35">
      <c r="I31166" s="63"/>
      <c r="J31166" s="63"/>
    </row>
    <row r="31167" spans="9:10" x14ac:dyDescent="0.35">
      <c r="I31167" s="63"/>
      <c r="J31167" s="63"/>
    </row>
    <row r="31168" spans="9:10" x14ac:dyDescent="0.35">
      <c r="I31168" s="63"/>
      <c r="J31168" s="63"/>
    </row>
    <row r="31169" spans="9:10" x14ac:dyDescent="0.35">
      <c r="I31169" s="63"/>
      <c r="J31169" s="63"/>
    </row>
    <row r="31170" spans="9:10" x14ac:dyDescent="0.35">
      <c r="I31170" s="63"/>
      <c r="J31170" s="63"/>
    </row>
    <row r="31171" spans="9:10" x14ac:dyDescent="0.35">
      <c r="I31171" s="63"/>
      <c r="J31171" s="63"/>
    </row>
    <row r="31172" spans="9:10" x14ac:dyDescent="0.35">
      <c r="I31172" s="63"/>
      <c r="J31172" s="63"/>
    </row>
    <row r="31173" spans="9:10" x14ac:dyDescent="0.35">
      <c r="I31173" s="63"/>
      <c r="J31173" s="63"/>
    </row>
    <row r="31174" spans="9:10" x14ac:dyDescent="0.35">
      <c r="I31174" s="63"/>
      <c r="J31174" s="63"/>
    </row>
    <row r="31175" spans="9:10" x14ac:dyDescent="0.35">
      <c r="I31175" s="63"/>
      <c r="J31175" s="63"/>
    </row>
    <row r="31176" spans="9:10" x14ac:dyDescent="0.35">
      <c r="I31176" s="63"/>
      <c r="J31176" s="63"/>
    </row>
    <row r="31177" spans="9:10" x14ac:dyDescent="0.35">
      <c r="I31177" s="63"/>
      <c r="J31177" s="63"/>
    </row>
    <row r="31178" spans="9:10" x14ac:dyDescent="0.35">
      <c r="I31178" s="63"/>
      <c r="J31178" s="63"/>
    </row>
    <row r="31179" spans="9:10" x14ac:dyDescent="0.35">
      <c r="I31179" s="63"/>
      <c r="J31179" s="63"/>
    </row>
    <row r="31180" spans="9:10" x14ac:dyDescent="0.35">
      <c r="I31180" s="63"/>
      <c r="J31180" s="63"/>
    </row>
    <row r="31181" spans="9:10" x14ac:dyDescent="0.35">
      <c r="I31181" s="63"/>
      <c r="J31181" s="63"/>
    </row>
    <row r="31182" spans="9:10" x14ac:dyDescent="0.35">
      <c r="I31182" s="63"/>
      <c r="J31182" s="63"/>
    </row>
    <row r="31183" spans="9:10" x14ac:dyDescent="0.35">
      <c r="I31183" s="63"/>
      <c r="J31183" s="63"/>
    </row>
    <row r="31184" spans="9:10" x14ac:dyDescent="0.35">
      <c r="I31184" s="63"/>
      <c r="J31184" s="63"/>
    </row>
    <row r="31185" spans="9:10" x14ac:dyDescent="0.35">
      <c r="I31185" s="63"/>
      <c r="J31185" s="63"/>
    </row>
    <row r="31186" spans="9:10" x14ac:dyDescent="0.35">
      <c r="I31186" s="63"/>
      <c r="J31186" s="63"/>
    </row>
    <row r="31187" spans="9:10" x14ac:dyDescent="0.35">
      <c r="I31187" s="63"/>
      <c r="J31187" s="63"/>
    </row>
    <row r="31188" spans="9:10" x14ac:dyDescent="0.35">
      <c r="I31188" s="63"/>
      <c r="J31188" s="63"/>
    </row>
    <row r="31189" spans="9:10" x14ac:dyDescent="0.35">
      <c r="I31189" s="63"/>
      <c r="J31189" s="63"/>
    </row>
    <row r="31190" spans="9:10" x14ac:dyDescent="0.35">
      <c r="I31190" s="63"/>
      <c r="J31190" s="63"/>
    </row>
    <row r="31191" spans="9:10" x14ac:dyDescent="0.35">
      <c r="I31191" s="63"/>
      <c r="J31191" s="63"/>
    </row>
    <row r="31192" spans="9:10" x14ac:dyDescent="0.35">
      <c r="I31192" s="63"/>
      <c r="J31192" s="63"/>
    </row>
    <row r="31193" spans="9:10" x14ac:dyDescent="0.35">
      <c r="I31193" s="63"/>
      <c r="J31193" s="63"/>
    </row>
    <row r="31194" spans="9:10" x14ac:dyDescent="0.35">
      <c r="I31194" s="63"/>
      <c r="J31194" s="63"/>
    </row>
    <row r="31195" spans="9:10" x14ac:dyDescent="0.35">
      <c r="I31195" s="63"/>
      <c r="J31195" s="63"/>
    </row>
    <row r="31196" spans="9:10" x14ac:dyDescent="0.35">
      <c r="I31196" s="63"/>
      <c r="J31196" s="63"/>
    </row>
    <row r="31197" spans="9:10" x14ac:dyDescent="0.35">
      <c r="I31197" s="63"/>
      <c r="J31197" s="63"/>
    </row>
    <row r="31198" spans="9:10" x14ac:dyDescent="0.35">
      <c r="I31198" s="63"/>
      <c r="J31198" s="63"/>
    </row>
    <row r="31199" spans="9:10" x14ac:dyDescent="0.35">
      <c r="I31199" s="63"/>
      <c r="J31199" s="63"/>
    </row>
    <row r="31200" spans="9:10" x14ac:dyDescent="0.35">
      <c r="I31200" s="63"/>
      <c r="J31200" s="63"/>
    </row>
    <row r="31201" spans="9:10" x14ac:dyDescent="0.35">
      <c r="I31201" s="63"/>
      <c r="J31201" s="63"/>
    </row>
    <row r="31202" spans="9:10" x14ac:dyDescent="0.35">
      <c r="I31202" s="63"/>
      <c r="J31202" s="63"/>
    </row>
    <row r="31203" spans="9:10" x14ac:dyDescent="0.35">
      <c r="I31203" s="63"/>
      <c r="J31203" s="63"/>
    </row>
    <row r="31204" spans="9:10" x14ac:dyDescent="0.35">
      <c r="I31204" s="63"/>
      <c r="J31204" s="63"/>
    </row>
    <row r="31205" spans="9:10" x14ac:dyDescent="0.35">
      <c r="I31205" s="63"/>
      <c r="J31205" s="63"/>
    </row>
    <row r="31206" spans="9:10" x14ac:dyDescent="0.35">
      <c r="I31206" s="63"/>
      <c r="J31206" s="63"/>
    </row>
    <row r="31207" spans="9:10" x14ac:dyDescent="0.35">
      <c r="I31207" s="63"/>
      <c r="J31207" s="63"/>
    </row>
    <row r="31208" spans="9:10" x14ac:dyDescent="0.35">
      <c r="I31208" s="63"/>
      <c r="J31208" s="63"/>
    </row>
    <row r="31209" spans="9:10" x14ac:dyDescent="0.35">
      <c r="I31209" s="63"/>
      <c r="J31209" s="63"/>
    </row>
    <row r="31210" spans="9:10" x14ac:dyDescent="0.35">
      <c r="I31210" s="63"/>
      <c r="J31210" s="63"/>
    </row>
    <row r="31211" spans="9:10" x14ac:dyDescent="0.35">
      <c r="I31211" s="63"/>
      <c r="J31211" s="63"/>
    </row>
    <row r="31212" spans="9:10" x14ac:dyDescent="0.35">
      <c r="I31212" s="63"/>
      <c r="J31212" s="63"/>
    </row>
    <row r="31213" spans="9:10" x14ac:dyDescent="0.35">
      <c r="I31213" s="63"/>
      <c r="J31213" s="63"/>
    </row>
    <row r="31214" spans="9:10" x14ac:dyDescent="0.35">
      <c r="I31214" s="63"/>
      <c r="J31214" s="63"/>
    </row>
    <row r="31215" spans="9:10" x14ac:dyDescent="0.35">
      <c r="I31215" s="63"/>
      <c r="J31215" s="63"/>
    </row>
    <row r="31216" spans="9:10" x14ac:dyDescent="0.35">
      <c r="I31216" s="63"/>
      <c r="J31216" s="63"/>
    </row>
    <row r="31217" spans="9:10" x14ac:dyDescent="0.35">
      <c r="I31217" s="63"/>
      <c r="J31217" s="63"/>
    </row>
    <row r="31218" spans="9:10" x14ac:dyDescent="0.35">
      <c r="I31218" s="63"/>
      <c r="J31218" s="63"/>
    </row>
    <row r="31219" spans="9:10" x14ac:dyDescent="0.35">
      <c r="I31219" s="63"/>
      <c r="J31219" s="63"/>
    </row>
    <row r="31220" spans="9:10" x14ac:dyDescent="0.35">
      <c r="I31220" s="63"/>
      <c r="J31220" s="63"/>
    </row>
    <row r="31221" spans="9:10" x14ac:dyDescent="0.35">
      <c r="I31221" s="63"/>
      <c r="J31221" s="63"/>
    </row>
    <row r="31222" spans="9:10" x14ac:dyDescent="0.35">
      <c r="I31222" s="63"/>
      <c r="J31222" s="63"/>
    </row>
    <row r="31223" spans="9:10" x14ac:dyDescent="0.35">
      <c r="I31223" s="63"/>
      <c r="J31223" s="63"/>
    </row>
    <row r="31224" spans="9:10" x14ac:dyDescent="0.35">
      <c r="I31224" s="63"/>
      <c r="J31224" s="63"/>
    </row>
    <row r="31225" spans="9:10" x14ac:dyDescent="0.35">
      <c r="I31225" s="63"/>
      <c r="J31225" s="63"/>
    </row>
    <row r="31226" spans="9:10" x14ac:dyDescent="0.35">
      <c r="I31226" s="63"/>
      <c r="J31226" s="63"/>
    </row>
    <row r="31227" spans="9:10" x14ac:dyDescent="0.35">
      <c r="I31227" s="63"/>
      <c r="J31227" s="63"/>
    </row>
    <row r="31228" spans="9:10" x14ac:dyDescent="0.35">
      <c r="I31228" s="63"/>
      <c r="J31228" s="63"/>
    </row>
    <row r="31229" spans="9:10" x14ac:dyDescent="0.35">
      <c r="I31229" s="63"/>
      <c r="J31229" s="63"/>
    </row>
    <row r="31230" spans="9:10" x14ac:dyDescent="0.35">
      <c r="I31230" s="63"/>
      <c r="J31230" s="63"/>
    </row>
    <row r="31231" spans="9:10" x14ac:dyDescent="0.35">
      <c r="I31231" s="63"/>
      <c r="J31231" s="63"/>
    </row>
    <row r="31232" spans="9:10" x14ac:dyDescent="0.35">
      <c r="I31232" s="63"/>
      <c r="J31232" s="63"/>
    </row>
    <row r="31233" spans="9:10" x14ac:dyDescent="0.35">
      <c r="I31233" s="63"/>
      <c r="J31233" s="63"/>
    </row>
    <row r="31234" spans="9:10" x14ac:dyDescent="0.35">
      <c r="I31234" s="63"/>
      <c r="J31234" s="63"/>
    </row>
    <row r="31235" spans="9:10" x14ac:dyDescent="0.35">
      <c r="I31235" s="63"/>
      <c r="J31235" s="63"/>
    </row>
    <row r="31236" spans="9:10" x14ac:dyDescent="0.35">
      <c r="I31236" s="63"/>
      <c r="J31236" s="63"/>
    </row>
    <row r="31237" spans="9:10" x14ac:dyDescent="0.35">
      <c r="I31237" s="63"/>
      <c r="J31237" s="63"/>
    </row>
    <row r="31238" spans="9:10" x14ac:dyDescent="0.35">
      <c r="I31238" s="63"/>
      <c r="J31238" s="63"/>
    </row>
    <row r="31239" spans="9:10" x14ac:dyDescent="0.35">
      <c r="I31239" s="63"/>
      <c r="J31239" s="63"/>
    </row>
    <row r="31240" spans="9:10" x14ac:dyDescent="0.35">
      <c r="I31240" s="63"/>
      <c r="J31240" s="63"/>
    </row>
    <row r="31241" spans="9:10" x14ac:dyDescent="0.35">
      <c r="I31241" s="63"/>
      <c r="J31241" s="63"/>
    </row>
    <row r="31242" spans="9:10" x14ac:dyDescent="0.35">
      <c r="I31242" s="63"/>
      <c r="J31242" s="63"/>
    </row>
    <row r="31243" spans="9:10" x14ac:dyDescent="0.35">
      <c r="I31243" s="63"/>
      <c r="J31243" s="63"/>
    </row>
    <row r="31244" spans="9:10" x14ac:dyDescent="0.35">
      <c r="I31244" s="63"/>
      <c r="J31244" s="63"/>
    </row>
    <row r="31245" spans="9:10" x14ac:dyDescent="0.35">
      <c r="I31245" s="63"/>
      <c r="J31245" s="63"/>
    </row>
    <row r="31246" spans="9:10" x14ac:dyDescent="0.35">
      <c r="I31246" s="63"/>
      <c r="J31246" s="63"/>
    </row>
    <row r="31247" spans="9:10" x14ac:dyDescent="0.35">
      <c r="I31247" s="63"/>
      <c r="J31247" s="63"/>
    </row>
    <row r="31248" spans="9:10" x14ac:dyDescent="0.35">
      <c r="I31248" s="63"/>
      <c r="J31248" s="63"/>
    </row>
    <row r="31249" spans="9:10" x14ac:dyDescent="0.35">
      <c r="I31249" s="63"/>
      <c r="J31249" s="63"/>
    </row>
    <row r="31250" spans="9:10" x14ac:dyDescent="0.35">
      <c r="I31250" s="63"/>
      <c r="J31250" s="63"/>
    </row>
    <row r="31251" spans="9:10" x14ac:dyDescent="0.35">
      <c r="I31251" s="63"/>
      <c r="J31251" s="63"/>
    </row>
    <row r="31252" spans="9:10" x14ac:dyDescent="0.35">
      <c r="I31252" s="63"/>
      <c r="J31252" s="63"/>
    </row>
    <row r="31253" spans="9:10" x14ac:dyDescent="0.35">
      <c r="I31253" s="63"/>
      <c r="J31253" s="63"/>
    </row>
    <row r="31254" spans="9:10" x14ac:dyDescent="0.35">
      <c r="I31254" s="63"/>
      <c r="J31254" s="63"/>
    </row>
    <row r="31255" spans="9:10" x14ac:dyDescent="0.35">
      <c r="I31255" s="63"/>
      <c r="J31255" s="63"/>
    </row>
    <row r="31256" spans="9:10" x14ac:dyDescent="0.35">
      <c r="I31256" s="63"/>
      <c r="J31256" s="63"/>
    </row>
    <row r="31257" spans="9:10" x14ac:dyDescent="0.35">
      <c r="I31257" s="63"/>
      <c r="J31257" s="63"/>
    </row>
    <row r="31258" spans="9:10" x14ac:dyDescent="0.35">
      <c r="I31258" s="63"/>
      <c r="J31258" s="63"/>
    </row>
    <row r="31259" spans="9:10" x14ac:dyDescent="0.35">
      <c r="I31259" s="63"/>
      <c r="J31259" s="63"/>
    </row>
    <row r="31260" spans="9:10" x14ac:dyDescent="0.35">
      <c r="I31260" s="63"/>
      <c r="J31260" s="63"/>
    </row>
    <row r="31261" spans="9:10" x14ac:dyDescent="0.35">
      <c r="I31261" s="63"/>
      <c r="J31261" s="63"/>
    </row>
    <row r="31262" spans="9:10" x14ac:dyDescent="0.35">
      <c r="I31262" s="63"/>
      <c r="J31262" s="63"/>
    </row>
    <row r="31263" spans="9:10" x14ac:dyDescent="0.35">
      <c r="I31263" s="63"/>
      <c r="J31263" s="63"/>
    </row>
    <row r="31264" spans="9:10" x14ac:dyDescent="0.35">
      <c r="I31264" s="63"/>
      <c r="J31264" s="63"/>
    </row>
    <row r="31265" spans="9:10" x14ac:dyDescent="0.35">
      <c r="I31265" s="63"/>
      <c r="J31265" s="63"/>
    </row>
    <row r="31266" spans="9:10" x14ac:dyDescent="0.35">
      <c r="I31266" s="63"/>
      <c r="J31266" s="63"/>
    </row>
    <row r="31267" spans="9:10" x14ac:dyDescent="0.35">
      <c r="I31267" s="63"/>
      <c r="J31267" s="63"/>
    </row>
    <row r="31268" spans="9:10" x14ac:dyDescent="0.35">
      <c r="I31268" s="63"/>
      <c r="J31268" s="63"/>
    </row>
    <row r="31269" spans="9:10" x14ac:dyDescent="0.35">
      <c r="I31269" s="63"/>
      <c r="J31269" s="63"/>
    </row>
    <row r="31270" spans="9:10" x14ac:dyDescent="0.35">
      <c r="I31270" s="63"/>
      <c r="J31270" s="63"/>
    </row>
    <row r="31271" spans="9:10" x14ac:dyDescent="0.35">
      <c r="I31271" s="63"/>
      <c r="J31271" s="63"/>
    </row>
    <row r="31272" spans="9:10" x14ac:dyDescent="0.35">
      <c r="I31272" s="63"/>
      <c r="J31272" s="63"/>
    </row>
    <row r="31273" spans="9:10" x14ac:dyDescent="0.35">
      <c r="I31273" s="63"/>
      <c r="J31273" s="63"/>
    </row>
    <row r="31274" spans="9:10" x14ac:dyDescent="0.35">
      <c r="I31274" s="63"/>
      <c r="J31274" s="63"/>
    </row>
    <row r="31275" spans="9:10" x14ac:dyDescent="0.35">
      <c r="I31275" s="63"/>
      <c r="J31275" s="63"/>
    </row>
    <row r="31276" spans="9:10" x14ac:dyDescent="0.35">
      <c r="I31276" s="63"/>
      <c r="J31276" s="63"/>
    </row>
    <row r="31277" spans="9:10" x14ac:dyDescent="0.35">
      <c r="I31277" s="63"/>
      <c r="J31277" s="63"/>
    </row>
    <row r="31278" spans="9:10" x14ac:dyDescent="0.35">
      <c r="I31278" s="63"/>
      <c r="J31278" s="63"/>
    </row>
    <row r="31279" spans="9:10" x14ac:dyDescent="0.35">
      <c r="I31279" s="63"/>
      <c r="J31279" s="63"/>
    </row>
    <row r="31280" spans="9:10" x14ac:dyDescent="0.35">
      <c r="I31280" s="63"/>
      <c r="J31280" s="63"/>
    </row>
    <row r="31281" spans="9:10" x14ac:dyDescent="0.35">
      <c r="I31281" s="63"/>
      <c r="J31281" s="63"/>
    </row>
    <row r="31282" spans="9:10" x14ac:dyDescent="0.35">
      <c r="I31282" s="63"/>
      <c r="J31282" s="63"/>
    </row>
    <row r="31283" spans="9:10" x14ac:dyDescent="0.35">
      <c r="I31283" s="63"/>
      <c r="J31283" s="63"/>
    </row>
    <row r="31284" spans="9:10" x14ac:dyDescent="0.35">
      <c r="I31284" s="63"/>
      <c r="J31284" s="63"/>
    </row>
    <row r="31285" spans="9:10" x14ac:dyDescent="0.35">
      <c r="I31285" s="63"/>
      <c r="J31285" s="63"/>
    </row>
    <row r="31286" spans="9:10" x14ac:dyDescent="0.35">
      <c r="I31286" s="63"/>
      <c r="J31286" s="63"/>
    </row>
    <row r="31287" spans="9:10" x14ac:dyDescent="0.35">
      <c r="I31287" s="63"/>
      <c r="J31287" s="63"/>
    </row>
    <row r="31288" spans="9:10" x14ac:dyDescent="0.35">
      <c r="I31288" s="63"/>
      <c r="J31288" s="63"/>
    </row>
    <row r="31289" spans="9:10" x14ac:dyDescent="0.35">
      <c r="I31289" s="63"/>
      <c r="J31289" s="63"/>
    </row>
    <row r="31290" spans="9:10" x14ac:dyDescent="0.35">
      <c r="I31290" s="63"/>
      <c r="J31290" s="63"/>
    </row>
    <row r="31291" spans="9:10" x14ac:dyDescent="0.35">
      <c r="I31291" s="63"/>
      <c r="J31291" s="63"/>
    </row>
    <row r="31292" spans="9:10" x14ac:dyDescent="0.35">
      <c r="I31292" s="63"/>
      <c r="J31292" s="63"/>
    </row>
    <row r="31293" spans="9:10" x14ac:dyDescent="0.35">
      <c r="I31293" s="63"/>
      <c r="J31293" s="63"/>
    </row>
    <row r="31294" spans="9:10" x14ac:dyDescent="0.35">
      <c r="I31294" s="63"/>
      <c r="J31294" s="63"/>
    </row>
    <row r="31295" spans="9:10" x14ac:dyDescent="0.35">
      <c r="I31295" s="63"/>
      <c r="J31295" s="63"/>
    </row>
    <row r="31296" spans="9:10" x14ac:dyDescent="0.35">
      <c r="I31296" s="63"/>
      <c r="J31296" s="63"/>
    </row>
    <row r="31297" spans="9:10" x14ac:dyDescent="0.35">
      <c r="I31297" s="63"/>
      <c r="J31297" s="63"/>
    </row>
    <row r="31298" spans="9:10" x14ac:dyDescent="0.35">
      <c r="I31298" s="63"/>
      <c r="J31298" s="63"/>
    </row>
    <row r="31299" spans="9:10" x14ac:dyDescent="0.35">
      <c r="I31299" s="63"/>
      <c r="J31299" s="63"/>
    </row>
    <row r="31300" spans="9:10" x14ac:dyDescent="0.35">
      <c r="I31300" s="63"/>
      <c r="J31300" s="63"/>
    </row>
    <row r="31301" spans="9:10" x14ac:dyDescent="0.35">
      <c r="I31301" s="63"/>
      <c r="J31301" s="63"/>
    </row>
    <row r="31302" spans="9:10" x14ac:dyDescent="0.35">
      <c r="I31302" s="63"/>
      <c r="J31302" s="63"/>
    </row>
    <row r="31303" spans="9:10" x14ac:dyDescent="0.35">
      <c r="I31303" s="63"/>
      <c r="J31303" s="63"/>
    </row>
    <row r="31304" spans="9:10" x14ac:dyDescent="0.35">
      <c r="I31304" s="63"/>
      <c r="J31304" s="63"/>
    </row>
    <row r="31305" spans="9:10" x14ac:dyDescent="0.35">
      <c r="I31305" s="63"/>
      <c r="J31305" s="63"/>
    </row>
    <row r="31306" spans="9:10" x14ac:dyDescent="0.35">
      <c r="I31306" s="63"/>
      <c r="J31306" s="63"/>
    </row>
    <row r="31307" spans="9:10" x14ac:dyDescent="0.35">
      <c r="I31307" s="63"/>
      <c r="J31307" s="63"/>
    </row>
    <row r="31308" spans="9:10" x14ac:dyDescent="0.35">
      <c r="I31308" s="63"/>
      <c r="J31308" s="63"/>
    </row>
    <row r="31309" spans="9:10" x14ac:dyDescent="0.35">
      <c r="I31309" s="63"/>
      <c r="J31309" s="63"/>
    </row>
    <row r="31310" spans="9:10" x14ac:dyDescent="0.35">
      <c r="I31310" s="63"/>
      <c r="J31310" s="63"/>
    </row>
    <row r="31311" spans="9:10" x14ac:dyDescent="0.35">
      <c r="I31311" s="63"/>
      <c r="J31311" s="63"/>
    </row>
    <row r="31312" spans="9:10" x14ac:dyDescent="0.35">
      <c r="I31312" s="63"/>
      <c r="J31312" s="63"/>
    </row>
    <row r="31313" spans="9:10" x14ac:dyDescent="0.35">
      <c r="I31313" s="63"/>
      <c r="J31313" s="63"/>
    </row>
    <row r="31314" spans="9:10" x14ac:dyDescent="0.35">
      <c r="I31314" s="63"/>
      <c r="J31314" s="63"/>
    </row>
    <row r="31315" spans="9:10" x14ac:dyDescent="0.35">
      <c r="I31315" s="63"/>
      <c r="J31315" s="63"/>
    </row>
    <row r="31316" spans="9:10" x14ac:dyDescent="0.35">
      <c r="I31316" s="63"/>
      <c r="J31316" s="63"/>
    </row>
    <row r="31317" spans="9:10" x14ac:dyDescent="0.35">
      <c r="I31317" s="63"/>
      <c r="J31317" s="63"/>
    </row>
    <row r="31318" spans="9:10" x14ac:dyDescent="0.35">
      <c r="I31318" s="63"/>
      <c r="J31318" s="63"/>
    </row>
    <row r="31319" spans="9:10" x14ac:dyDescent="0.35">
      <c r="I31319" s="63"/>
      <c r="J31319" s="63"/>
    </row>
    <row r="31320" spans="9:10" x14ac:dyDescent="0.35">
      <c r="I31320" s="63"/>
      <c r="J31320" s="63"/>
    </row>
    <row r="31321" spans="9:10" x14ac:dyDescent="0.35">
      <c r="I31321" s="63"/>
      <c r="J31321" s="63"/>
    </row>
    <row r="31322" spans="9:10" x14ac:dyDescent="0.35">
      <c r="I31322" s="63"/>
      <c r="J31322" s="63"/>
    </row>
    <row r="31323" spans="9:10" x14ac:dyDescent="0.35">
      <c r="I31323" s="63"/>
      <c r="J31323" s="63"/>
    </row>
    <row r="31324" spans="9:10" x14ac:dyDescent="0.35">
      <c r="I31324" s="63"/>
      <c r="J31324" s="63"/>
    </row>
    <row r="31325" spans="9:10" x14ac:dyDescent="0.35">
      <c r="I31325" s="63"/>
      <c r="J31325" s="63"/>
    </row>
    <row r="31326" spans="9:10" x14ac:dyDescent="0.35">
      <c r="I31326" s="63"/>
      <c r="J31326" s="63"/>
    </row>
    <row r="31327" spans="9:10" x14ac:dyDescent="0.35">
      <c r="I31327" s="63"/>
      <c r="J31327" s="63"/>
    </row>
    <row r="31328" spans="9:10" x14ac:dyDescent="0.35">
      <c r="I31328" s="63"/>
      <c r="J31328" s="63"/>
    </row>
    <row r="31329" spans="9:10" x14ac:dyDescent="0.35">
      <c r="I31329" s="63"/>
      <c r="J31329" s="63"/>
    </row>
    <row r="31330" spans="9:10" x14ac:dyDescent="0.35">
      <c r="I31330" s="63"/>
      <c r="J31330" s="63"/>
    </row>
    <row r="31331" spans="9:10" x14ac:dyDescent="0.35">
      <c r="I31331" s="63"/>
      <c r="J31331" s="63"/>
    </row>
    <row r="31332" spans="9:10" x14ac:dyDescent="0.35">
      <c r="I31332" s="63"/>
      <c r="J31332" s="63"/>
    </row>
    <row r="31333" spans="9:10" x14ac:dyDescent="0.35">
      <c r="I31333" s="63"/>
      <c r="J31333" s="63"/>
    </row>
    <row r="31334" spans="9:10" x14ac:dyDescent="0.35">
      <c r="I31334" s="63"/>
      <c r="J31334" s="63"/>
    </row>
    <row r="31335" spans="9:10" x14ac:dyDescent="0.35">
      <c r="I31335" s="63"/>
      <c r="J31335" s="63"/>
    </row>
    <row r="31336" spans="9:10" x14ac:dyDescent="0.35">
      <c r="I31336" s="63"/>
      <c r="J31336" s="63"/>
    </row>
    <row r="31337" spans="9:10" x14ac:dyDescent="0.35">
      <c r="I31337" s="63"/>
      <c r="J31337" s="63"/>
    </row>
    <row r="31338" spans="9:10" x14ac:dyDescent="0.35">
      <c r="I31338" s="63"/>
      <c r="J31338" s="63"/>
    </row>
    <row r="31339" spans="9:10" x14ac:dyDescent="0.35">
      <c r="I31339" s="63"/>
      <c r="J31339" s="63"/>
    </row>
    <row r="31340" spans="9:10" x14ac:dyDescent="0.35">
      <c r="I31340" s="63"/>
      <c r="J31340" s="63"/>
    </row>
    <row r="31341" spans="9:10" x14ac:dyDescent="0.35">
      <c r="I31341" s="63"/>
      <c r="J31341" s="63"/>
    </row>
    <row r="31342" spans="9:10" x14ac:dyDescent="0.35">
      <c r="I31342" s="63"/>
      <c r="J31342" s="63"/>
    </row>
    <row r="31343" spans="9:10" x14ac:dyDescent="0.35">
      <c r="I31343" s="63"/>
      <c r="J31343" s="63"/>
    </row>
    <row r="31344" spans="9:10" x14ac:dyDescent="0.35">
      <c r="I31344" s="63"/>
      <c r="J31344" s="63"/>
    </row>
    <row r="31345" spans="9:10" x14ac:dyDescent="0.35">
      <c r="I31345" s="63"/>
      <c r="J31345" s="63"/>
    </row>
    <row r="31346" spans="9:10" x14ac:dyDescent="0.35">
      <c r="I31346" s="63"/>
      <c r="J31346" s="63"/>
    </row>
    <row r="31347" spans="9:10" x14ac:dyDescent="0.35">
      <c r="I31347" s="63"/>
      <c r="J31347" s="63"/>
    </row>
    <row r="31348" spans="9:10" x14ac:dyDescent="0.35">
      <c r="I31348" s="63"/>
      <c r="J31348" s="63"/>
    </row>
    <row r="31349" spans="9:10" x14ac:dyDescent="0.35">
      <c r="I31349" s="63"/>
      <c r="J31349" s="63"/>
    </row>
    <row r="31350" spans="9:10" x14ac:dyDescent="0.35">
      <c r="I31350" s="63"/>
      <c r="J31350" s="63"/>
    </row>
    <row r="31351" spans="9:10" x14ac:dyDescent="0.35">
      <c r="I31351" s="63"/>
      <c r="J31351" s="63"/>
    </row>
    <row r="31352" spans="9:10" x14ac:dyDescent="0.35">
      <c r="I31352" s="63"/>
      <c r="J31352" s="63"/>
    </row>
    <row r="31353" spans="9:10" x14ac:dyDescent="0.35">
      <c r="I31353" s="63"/>
      <c r="J31353" s="63"/>
    </row>
    <row r="31354" spans="9:10" x14ac:dyDescent="0.35">
      <c r="I31354" s="63"/>
      <c r="J31354" s="63"/>
    </row>
    <row r="31355" spans="9:10" x14ac:dyDescent="0.35">
      <c r="I31355" s="63"/>
      <c r="J31355" s="63"/>
    </row>
    <row r="31356" spans="9:10" x14ac:dyDescent="0.35">
      <c r="I31356" s="63"/>
      <c r="J31356" s="63"/>
    </row>
    <row r="31357" spans="9:10" x14ac:dyDescent="0.35">
      <c r="I31357" s="63"/>
      <c r="J31357" s="63"/>
    </row>
    <row r="31358" spans="9:10" x14ac:dyDescent="0.35">
      <c r="I31358" s="63"/>
      <c r="J31358" s="63"/>
    </row>
    <row r="31359" spans="9:10" x14ac:dyDescent="0.35">
      <c r="I31359" s="63"/>
      <c r="J31359" s="63"/>
    </row>
    <row r="31360" spans="9:10" x14ac:dyDescent="0.35">
      <c r="I31360" s="63"/>
      <c r="J31360" s="63"/>
    </row>
    <row r="31361" spans="9:10" x14ac:dyDescent="0.35">
      <c r="I31361" s="63"/>
      <c r="J31361" s="63"/>
    </row>
    <row r="31362" spans="9:10" x14ac:dyDescent="0.35">
      <c r="I31362" s="63"/>
      <c r="J31362" s="63"/>
    </row>
    <row r="31363" spans="9:10" x14ac:dyDescent="0.35">
      <c r="I31363" s="63"/>
      <c r="J31363" s="63"/>
    </row>
    <row r="31364" spans="9:10" x14ac:dyDescent="0.35">
      <c r="I31364" s="63"/>
      <c r="J31364" s="63"/>
    </row>
    <row r="31365" spans="9:10" x14ac:dyDescent="0.35">
      <c r="I31365" s="63"/>
      <c r="J31365" s="63"/>
    </row>
    <row r="31366" spans="9:10" x14ac:dyDescent="0.35">
      <c r="I31366" s="63"/>
      <c r="J31366" s="63"/>
    </row>
    <row r="31367" spans="9:10" x14ac:dyDescent="0.35">
      <c r="I31367" s="63"/>
      <c r="J31367" s="63"/>
    </row>
    <row r="31368" spans="9:10" x14ac:dyDescent="0.35">
      <c r="I31368" s="63"/>
      <c r="J31368" s="63"/>
    </row>
    <row r="31369" spans="9:10" x14ac:dyDescent="0.35">
      <c r="I31369" s="63"/>
      <c r="J31369" s="63"/>
    </row>
    <row r="31370" spans="9:10" x14ac:dyDescent="0.35">
      <c r="I31370" s="63"/>
      <c r="J31370" s="63"/>
    </row>
    <row r="31371" spans="9:10" x14ac:dyDescent="0.35">
      <c r="I31371" s="63"/>
      <c r="J31371" s="63"/>
    </row>
    <row r="31372" spans="9:10" x14ac:dyDescent="0.35">
      <c r="I31372" s="63"/>
      <c r="J31372" s="63"/>
    </row>
    <row r="31373" spans="9:10" x14ac:dyDescent="0.35">
      <c r="I31373" s="63"/>
      <c r="J31373" s="63"/>
    </row>
    <row r="31374" spans="9:10" x14ac:dyDescent="0.35">
      <c r="I31374" s="63"/>
      <c r="J31374" s="63"/>
    </row>
    <row r="31375" spans="9:10" x14ac:dyDescent="0.35">
      <c r="I31375" s="63"/>
      <c r="J31375" s="63"/>
    </row>
    <row r="31376" spans="9:10" x14ac:dyDescent="0.35">
      <c r="I31376" s="63"/>
      <c r="J31376" s="63"/>
    </row>
    <row r="31377" spans="9:10" x14ac:dyDescent="0.35">
      <c r="I31377" s="63"/>
      <c r="J31377" s="63"/>
    </row>
    <row r="31378" spans="9:10" x14ac:dyDescent="0.35">
      <c r="I31378" s="63"/>
      <c r="J31378" s="63"/>
    </row>
    <row r="31379" spans="9:10" x14ac:dyDescent="0.35">
      <c r="I31379" s="63"/>
      <c r="J31379" s="63"/>
    </row>
    <row r="31380" spans="9:10" x14ac:dyDescent="0.35">
      <c r="I31380" s="63"/>
      <c r="J31380" s="63"/>
    </row>
    <row r="31381" spans="9:10" x14ac:dyDescent="0.35">
      <c r="I31381" s="63"/>
      <c r="J31381" s="63"/>
    </row>
    <row r="31382" spans="9:10" x14ac:dyDescent="0.35">
      <c r="I31382" s="63"/>
      <c r="J31382" s="63"/>
    </row>
    <row r="31383" spans="9:10" x14ac:dyDescent="0.35">
      <c r="I31383" s="63"/>
      <c r="J31383" s="63"/>
    </row>
    <row r="31384" spans="9:10" x14ac:dyDescent="0.35">
      <c r="I31384" s="63"/>
      <c r="J31384" s="63"/>
    </row>
    <row r="31385" spans="9:10" x14ac:dyDescent="0.35">
      <c r="I31385" s="63"/>
      <c r="J31385" s="63"/>
    </row>
    <row r="31386" spans="9:10" x14ac:dyDescent="0.35">
      <c r="I31386" s="63"/>
      <c r="J31386" s="63"/>
    </row>
    <row r="31387" spans="9:10" x14ac:dyDescent="0.35">
      <c r="I31387" s="63"/>
      <c r="J31387" s="63"/>
    </row>
    <row r="31388" spans="9:10" x14ac:dyDescent="0.35">
      <c r="I31388" s="63"/>
      <c r="J31388" s="63"/>
    </row>
    <row r="31389" spans="9:10" x14ac:dyDescent="0.35">
      <c r="I31389" s="63"/>
      <c r="J31389" s="63"/>
    </row>
    <row r="31390" spans="9:10" x14ac:dyDescent="0.35">
      <c r="I31390" s="63"/>
      <c r="J31390" s="63"/>
    </row>
    <row r="31391" spans="9:10" x14ac:dyDescent="0.35">
      <c r="I31391" s="63"/>
      <c r="J31391" s="63"/>
    </row>
    <row r="31392" spans="9:10" x14ac:dyDescent="0.35">
      <c r="I31392" s="63"/>
      <c r="J31392" s="63"/>
    </row>
    <row r="31393" spans="9:10" x14ac:dyDescent="0.35">
      <c r="I31393" s="63"/>
      <c r="J31393" s="63"/>
    </row>
    <row r="31394" spans="9:10" x14ac:dyDescent="0.35">
      <c r="I31394" s="63"/>
      <c r="J31394" s="63"/>
    </row>
    <row r="31395" spans="9:10" x14ac:dyDescent="0.35">
      <c r="I31395" s="63"/>
      <c r="J31395" s="63"/>
    </row>
    <row r="31396" spans="9:10" x14ac:dyDescent="0.35">
      <c r="I31396" s="63"/>
      <c r="J31396" s="63"/>
    </row>
    <row r="31397" spans="9:10" x14ac:dyDescent="0.35">
      <c r="I31397" s="63"/>
      <c r="J31397" s="63"/>
    </row>
    <row r="31398" spans="9:10" x14ac:dyDescent="0.35">
      <c r="I31398" s="63"/>
      <c r="J31398" s="63"/>
    </row>
    <row r="31399" spans="9:10" x14ac:dyDescent="0.35">
      <c r="I31399" s="63"/>
      <c r="J31399" s="63"/>
    </row>
    <row r="31400" spans="9:10" x14ac:dyDescent="0.35">
      <c r="I31400" s="63"/>
      <c r="J31400" s="63"/>
    </row>
    <row r="31401" spans="9:10" x14ac:dyDescent="0.35">
      <c r="I31401" s="63"/>
      <c r="J31401" s="63"/>
    </row>
    <row r="31402" spans="9:10" x14ac:dyDescent="0.35">
      <c r="I31402" s="63"/>
      <c r="J31402" s="63"/>
    </row>
    <row r="31403" spans="9:10" x14ac:dyDescent="0.35">
      <c r="I31403" s="63"/>
      <c r="J31403" s="63"/>
    </row>
    <row r="31404" spans="9:10" x14ac:dyDescent="0.35">
      <c r="I31404" s="63"/>
      <c r="J31404" s="63"/>
    </row>
    <row r="31405" spans="9:10" x14ac:dyDescent="0.35">
      <c r="I31405" s="63"/>
      <c r="J31405" s="63"/>
    </row>
    <row r="31406" spans="9:10" x14ac:dyDescent="0.35">
      <c r="I31406" s="63"/>
      <c r="J31406" s="63"/>
    </row>
    <row r="31407" spans="9:10" x14ac:dyDescent="0.35">
      <c r="I31407" s="63"/>
      <c r="J31407" s="63"/>
    </row>
    <row r="31408" spans="9:10" x14ac:dyDescent="0.35">
      <c r="I31408" s="63"/>
      <c r="J31408" s="63"/>
    </row>
    <row r="31409" spans="9:10" x14ac:dyDescent="0.35">
      <c r="I31409" s="63"/>
      <c r="J31409" s="63"/>
    </row>
    <row r="31410" spans="9:10" x14ac:dyDescent="0.35">
      <c r="I31410" s="63"/>
      <c r="J31410" s="63"/>
    </row>
    <row r="31411" spans="9:10" x14ac:dyDescent="0.35">
      <c r="I31411" s="63"/>
      <c r="J31411" s="63"/>
    </row>
    <row r="31412" spans="9:10" x14ac:dyDescent="0.35">
      <c r="I31412" s="63"/>
      <c r="J31412" s="63"/>
    </row>
    <row r="31413" spans="9:10" x14ac:dyDescent="0.35">
      <c r="I31413" s="63"/>
      <c r="J31413" s="63"/>
    </row>
    <row r="31414" spans="9:10" x14ac:dyDescent="0.35">
      <c r="I31414" s="63"/>
      <c r="J31414" s="63"/>
    </row>
    <row r="31415" spans="9:10" x14ac:dyDescent="0.35">
      <c r="I31415" s="63"/>
      <c r="J31415" s="63"/>
    </row>
    <row r="31416" spans="9:10" x14ac:dyDescent="0.35">
      <c r="I31416" s="63"/>
      <c r="J31416" s="63"/>
    </row>
    <row r="31417" spans="9:10" x14ac:dyDescent="0.35">
      <c r="I31417" s="63"/>
      <c r="J31417" s="63"/>
    </row>
    <row r="31418" spans="9:10" x14ac:dyDescent="0.35">
      <c r="I31418" s="63"/>
      <c r="J31418" s="63"/>
    </row>
    <row r="31419" spans="9:10" x14ac:dyDescent="0.35">
      <c r="I31419" s="63"/>
      <c r="J31419" s="63"/>
    </row>
    <row r="31420" spans="9:10" x14ac:dyDescent="0.35">
      <c r="I31420" s="63"/>
      <c r="J31420" s="63"/>
    </row>
    <row r="31421" spans="9:10" x14ac:dyDescent="0.35">
      <c r="I31421" s="63"/>
      <c r="J31421" s="63"/>
    </row>
    <row r="31422" spans="9:10" x14ac:dyDescent="0.35">
      <c r="I31422" s="63"/>
      <c r="J31422" s="63"/>
    </row>
    <row r="31423" spans="9:10" x14ac:dyDescent="0.35">
      <c r="I31423" s="63"/>
      <c r="J31423" s="63"/>
    </row>
    <row r="31424" spans="9:10" x14ac:dyDescent="0.35">
      <c r="I31424" s="63"/>
      <c r="J31424" s="63"/>
    </row>
    <row r="31425" spans="9:10" x14ac:dyDescent="0.35">
      <c r="I31425" s="63"/>
      <c r="J31425" s="63"/>
    </row>
    <row r="31426" spans="9:10" x14ac:dyDescent="0.35">
      <c r="I31426" s="63"/>
      <c r="J31426" s="63"/>
    </row>
    <row r="31427" spans="9:10" x14ac:dyDescent="0.35">
      <c r="I31427" s="63"/>
      <c r="J31427" s="63"/>
    </row>
    <row r="31428" spans="9:10" x14ac:dyDescent="0.35">
      <c r="I31428" s="63"/>
      <c r="J31428" s="63"/>
    </row>
    <row r="31429" spans="9:10" x14ac:dyDescent="0.35">
      <c r="I31429" s="63"/>
      <c r="J31429" s="63"/>
    </row>
    <row r="31430" spans="9:10" x14ac:dyDescent="0.35">
      <c r="I31430" s="63"/>
      <c r="J31430" s="63"/>
    </row>
    <row r="31431" spans="9:10" x14ac:dyDescent="0.35">
      <c r="I31431" s="63"/>
      <c r="J31431" s="63"/>
    </row>
    <row r="31432" spans="9:10" x14ac:dyDescent="0.35">
      <c r="I31432" s="63"/>
      <c r="J31432" s="63"/>
    </row>
    <row r="31433" spans="9:10" x14ac:dyDescent="0.35">
      <c r="I31433" s="63"/>
      <c r="J31433" s="63"/>
    </row>
    <row r="31434" spans="9:10" x14ac:dyDescent="0.35">
      <c r="I31434" s="63"/>
      <c r="J31434" s="63"/>
    </row>
    <row r="31435" spans="9:10" x14ac:dyDescent="0.35">
      <c r="I31435" s="63"/>
      <c r="J31435" s="63"/>
    </row>
    <row r="31436" spans="9:10" x14ac:dyDescent="0.35">
      <c r="I31436" s="63"/>
      <c r="J31436" s="63"/>
    </row>
    <row r="31437" spans="9:10" x14ac:dyDescent="0.35">
      <c r="I31437" s="63"/>
      <c r="J31437" s="63"/>
    </row>
    <row r="31438" spans="9:10" x14ac:dyDescent="0.35">
      <c r="I31438" s="63"/>
      <c r="J31438" s="63"/>
    </row>
    <row r="31439" spans="9:10" x14ac:dyDescent="0.35">
      <c r="I31439" s="63"/>
      <c r="J31439" s="63"/>
    </row>
    <row r="31440" spans="9:10" x14ac:dyDescent="0.35">
      <c r="I31440" s="63"/>
      <c r="J31440" s="63"/>
    </row>
    <row r="31441" spans="9:10" x14ac:dyDescent="0.35">
      <c r="I31441" s="63"/>
      <c r="J31441" s="63"/>
    </row>
    <row r="31442" spans="9:10" x14ac:dyDescent="0.35">
      <c r="I31442" s="63"/>
      <c r="J31442" s="63"/>
    </row>
    <row r="31443" spans="9:10" x14ac:dyDescent="0.35">
      <c r="I31443" s="63"/>
      <c r="J31443" s="63"/>
    </row>
    <row r="31444" spans="9:10" x14ac:dyDescent="0.35">
      <c r="I31444" s="63"/>
      <c r="J31444" s="63"/>
    </row>
    <row r="31445" spans="9:10" x14ac:dyDescent="0.35">
      <c r="I31445" s="63"/>
      <c r="J31445" s="63"/>
    </row>
    <row r="31446" spans="9:10" x14ac:dyDescent="0.35">
      <c r="I31446" s="63"/>
      <c r="J31446" s="63"/>
    </row>
    <row r="31447" spans="9:10" x14ac:dyDescent="0.35">
      <c r="I31447" s="63"/>
      <c r="J31447" s="63"/>
    </row>
    <row r="31448" spans="9:10" x14ac:dyDescent="0.35">
      <c r="I31448" s="63"/>
      <c r="J31448" s="63"/>
    </row>
    <row r="31449" spans="9:10" x14ac:dyDescent="0.35">
      <c r="I31449" s="63"/>
      <c r="J31449" s="63"/>
    </row>
    <row r="31450" spans="9:10" x14ac:dyDescent="0.35">
      <c r="I31450" s="63"/>
      <c r="J31450" s="63"/>
    </row>
    <row r="31451" spans="9:10" x14ac:dyDescent="0.35">
      <c r="I31451" s="63"/>
      <c r="J31451" s="63"/>
    </row>
    <row r="31452" spans="9:10" x14ac:dyDescent="0.35">
      <c r="I31452" s="63"/>
      <c r="J31452" s="63"/>
    </row>
    <row r="31453" spans="9:10" x14ac:dyDescent="0.35">
      <c r="I31453" s="63"/>
      <c r="J31453" s="63"/>
    </row>
    <row r="31454" spans="9:10" x14ac:dyDescent="0.35">
      <c r="I31454" s="63"/>
      <c r="J31454" s="63"/>
    </row>
    <row r="31455" spans="9:10" x14ac:dyDescent="0.35">
      <c r="I31455" s="63"/>
      <c r="J31455" s="63"/>
    </row>
    <row r="31456" spans="9:10" x14ac:dyDescent="0.35">
      <c r="I31456" s="63"/>
      <c r="J31456" s="63"/>
    </row>
    <row r="31457" spans="9:10" x14ac:dyDescent="0.35">
      <c r="I31457" s="63"/>
      <c r="J31457" s="63"/>
    </row>
    <row r="31458" spans="9:10" x14ac:dyDescent="0.35">
      <c r="I31458" s="63"/>
      <c r="J31458" s="63"/>
    </row>
    <row r="31459" spans="9:10" x14ac:dyDescent="0.35">
      <c r="I31459" s="63"/>
      <c r="J31459" s="63"/>
    </row>
    <row r="31460" spans="9:10" x14ac:dyDescent="0.35">
      <c r="I31460" s="63"/>
      <c r="J31460" s="63"/>
    </row>
    <row r="31461" spans="9:10" x14ac:dyDescent="0.35">
      <c r="I31461" s="63"/>
      <c r="J31461" s="63"/>
    </row>
    <row r="31462" spans="9:10" x14ac:dyDescent="0.35">
      <c r="I31462" s="63"/>
      <c r="J31462" s="63"/>
    </row>
    <row r="31463" spans="9:10" x14ac:dyDescent="0.35">
      <c r="I31463" s="63"/>
      <c r="J31463" s="63"/>
    </row>
    <row r="31464" spans="9:10" x14ac:dyDescent="0.35">
      <c r="I31464" s="63"/>
      <c r="J31464" s="63"/>
    </row>
    <row r="31465" spans="9:10" x14ac:dyDescent="0.35">
      <c r="I31465" s="63"/>
      <c r="J31465" s="63"/>
    </row>
    <row r="31466" spans="9:10" x14ac:dyDescent="0.35">
      <c r="I31466" s="63"/>
      <c r="J31466" s="63"/>
    </row>
    <row r="31467" spans="9:10" x14ac:dyDescent="0.35">
      <c r="I31467" s="63"/>
      <c r="J31467" s="63"/>
    </row>
    <row r="31468" spans="9:10" x14ac:dyDescent="0.35">
      <c r="I31468" s="63"/>
      <c r="J31468" s="63"/>
    </row>
    <row r="31469" spans="9:10" x14ac:dyDescent="0.35">
      <c r="I31469" s="63"/>
      <c r="J31469" s="63"/>
    </row>
    <row r="31470" spans="9:10" x14ac:dyDescent="0.35">
      <c r="I31470" s="63"/>
      <c r="J31470" s="63"/>
    </row>
    <row r="31471" spans="9:10" x14ac:dyDescent="0.35">
      <c r="I31471" s="63"/>
      <c r="J31471" s="63"/>
    </row>
    <row r="31472" spans="9:10" x14ac:dyDescent="0.35">
      <c r="I31472" s="63"/>
      <c r="J31472" s="63"/>
    </row>
    <row r="31473" spans="9:10" x14ac:dyDescent="0.35">
      <c r="I31473" s="63"/>
      <c r="J31473" s="63"/>
    </row>
    <row r="31474" spans="9:10" x14ac:dyDescent="0.35">
      <c r="I31474" s="63"/>
      <c r="J31474" s="63"/>
    </row>
    <row r="31475" spans="9:10" x14ac:dyDescent="0.35">
      <c r="I31475" s="63"/>
      <c r="J31475" s="63"/>
    </row>
    <row r="31476" spans="9:10" x14ac:dyDescent="0.35">
      <c r="I31476" s="63"/>
      <c r="J31476" s="63"/>
    </row>
    <row r="31477" spans="9:10" x14ac:dyDescent="0.35">
      <c r="I31477" s="63"/>
      <c r="J31477" s="63"/>
    </row>
    <row r="31478" spans="9:10" x14ac:dyDescent="0.35">
      <c r="I31478" s="63"/>
      <c r="J31478" s="63"/>
    </row>
    <row r="31479" spans="9:10" x14ac:dyDescent="0.35">
      <c r="I31479" s="63"/>
      <c r="J31479" s="63"/>
    </row>
    <row r="31480" spans="9:10" x14ac:dyDescent="0.35">
      <c r="I31480" s="63"/>
      <c r="J31480" s="63"/>
    </row>
    <row r="31481" spans="9:10" x14ac:dyDescent="0.35">
      <c r="I31481" s="63"/>
      <c r="J31481" s="63"/>
    </row>
    <row r="31482" spans="9:10" x14ac:dyDescent="0.35">
      <c r="I31482" s="63"/>
      <c r="J31482" s="63"/>
    </row>
    <row r="31483" spans="9:10" x14ac:dyDescent="0.35">
      <c r="I31483" s="63"/>
      <c r="J31483" s="63"/>
    </row>
    <row r="31484" spans="9:10" x14ac:dyDescent="0.35">
      <c r="I31484" s="63"/>
      <c r="J31484" s="63"/>
    </row>
    <row r="31485" spans="9:10" x14ac:dyDescent="0.35">
      <c r="I31485" s="63"/>
      <c r="J31485" s="63"/>
    </row>
    <row r="31486" spans="9:10" x14ac:dyDescent="0.35">
      <c r="I31486" s="63"/>
      <c r="J31486" s="63"/>
    </row>
    <row r="31487" spans="9:10" x14ac:dyDescent="0.35">
      <c r="I31487" s="63"/>
      <c r="J31487" s="63"/>
    </row>
    <row r="31488" spans="9:10" x14ac:dyDescent="0.35">
      <c r="I31488" s="63"/>
      <c r="J31488" s="63"/>
    </row>
    <row r="31489" spans="9:10" x14ac:dyDescent="0.35">
      <c r="I31489" s="63"/>
      <c r="J31489" s="63"/>
    </row>
    <row r="31490" spans="9:10" x14ac:dyDescent="0.35">
      <c r="I31490" s="63"/>
      <c r="J31490" s="63"/>
    </row>
    <row r="31491" spans="9:10" x14ac:dyDescent="0.35">
      <c r="I31491" s="63"/>
      <c r="J31491" s="63"/>
    </row>
    <row r="31492" spans="9:10" x14ac:dyDescent="0.35">
      <c r="I31492" s="63"/>
      <c r="J31492" s="63"/>
    </row>
    <row r="31493" spans="9:10" x14ac:dyDescent="0.35">
      <c r="I31493" s="63"/>
      <c r="J31493" s="63"/>
    </row>
    <row r="31494" spans="9:10" x14ac:dyDescent="0.35">
      <c r="I31494" s="63"/>
      <c r="J31494" s="63"/>
    </row>
    <row r="31495" spans="9:10" x14ac:dyDescent="0.35">
      <c r="I31495" s="63"/>
      <c r="J31495" s="63"/>
    </row>
    <row r="31496" spans="9:10" x14ac:dyDescent="0.35">
      <c r="I31496" s="63"/>
      <c r="J31496" s="63"/>
    </row>
    <row r="31497" spans="9:10" x14ac:dyDescent="0.35">
      <c r="I31497" s="63"/>
      <c r="J31497" s="63"/>
    </row>
    <row r="31498" spans="9:10" x14ac:dyDescent="0.35">
      <c r="I31498" s="63"/>
      <c r="J31498" s="63"/>
    </row>
    <row r="31499" spans="9:10" x14ac:dyDescent="0.35">
      <c r="I31499" s="63"/>
      <c r="J31499" s="63"/>
    </row>
    <row r="31500" spans="9:10" x14ac:dyDescent="0.35">
      <c r="I31500" s="63"/>
      <c r="J31500" s="63"/>
    </row>
    <row r="31501" spans="9:10" x14ac:dyDescent="0.35">
      <c r="I31501" s="63"/>
      <c r="J31501" s="63"/>
    </row>
    <row r="31502" spans="9:10" x14ac:dyDescent="0.35">
      <c r="I31502" s="63"/>
      <c r="J31502" s="63"/>
    </row>
    <row r="31503" spans="9:10" x14ac:dyDescent="0.35">
      <c r="I31503" s="63"/>
      <c r="J31503" s="63"/>
    </row>
    <row r="31504" spans="9:10" x14ac:dyDescent="0.35">
      <c r="I31504" s="63"/>
      <c r="J31504" s="63"/>
    </row>
    <row r="31505" spans="9:10" x14ac:dyDescent="0.35">
      <c r="I31505" s="63"/>
      <c r="J31505" s="63"/>
    </row>
    <row r="31506" spans="9:10" x14ac:dyDescent="0.35">
      <c r="I31506" s="63"/>
      <c r="J31506" s="63"/>
    </row>
    <row r="31507" spans="9:10" x14ac:dyDescent="0.35">
      <c r="I31507" s="63"/>
      <c r="J31507" s="63"/>
    </row>
    <row r="31508" spans="9:10" x14ac:dyDescent="0.35">
      <c r="I31508" s="63"/>
      <c r="J31508" s="63"/>
    </row>
    <row r="31509" spans="9:10" x14ac:dyDescent="0.35">
      <c r="I31509" s="63"/>
      <c r="J31509" s="63"/>
    </row>
    <row r="31510" spans="9:10" x14ac:dyDescent="0.35">
      <c r="I31510" s="63"/>
      <c r="J31510" s="63"/>
    </row>
    <row r="31511" spans="9:10" x14ac:dyDescent="0.35">
      <c r="I31511" s="63"/>
      <c r="J31511" s="63"/>
    </row>
    <row r="31512" spans="9:10" x14ac:dyDescent="0.35">
      <c r="I31512" s="63"/>
      <c r="J31512" s="63"/>
    </row>
    <row r="31513" spans="9:10" x14ac:dyDescent="0.35">
      <c r="I31513" s="63"/>
      <c r="J31513" s="63"/>
    </row>
    <row r="31514" spans="9:10" x14ac:dyDescent="0.35">
      <c r="I31514" s="63"/>
      <c r="J31514" s="63"/>
    </row>
    <row r="31515" spans="9:10" x14ac:dyDescent="0.35">
      <c r="I31515" s="63"/>
      <c r="J31515" s="63"/>
    </row>
    <row r="31516" spans="9:10" x14ac:dyDescent="0.35">
      <c r="I31516" s="63"/>
      <c r="J31516" s="63"/>
    </row>
    <row r="31517" spans="9:10" x14ac:dyDescent="0.35">
      <c r="I31517" s="63"/>
      <c r="J31517" s="63"/>
    </row>
    <row r="31518" spans="9:10" x14ac:dyDescent="0.35">
      <c r="I31518" s="63"/>
      <c r="J31518" s="63"/>
    </row>
    <row r="31519" spans="9:10" x14ac:dyDescent="0.35">
      <c r="I31519" s="63"/>
      <c r="J31519" s="63"/>
    </row>
    <row r="31520" spans="9:10" x14ac:dyDescent="0.35">
      <c r="I31520" s="63"/>
      <c r="J31520" s="63"/>
    </row>
    <row r="31521" spans="9:10" x14ac:dyDescent="0.35">
      <c r="I31521" s="63"/>
      <c r="J31521" s="63"/>
    </row>
    <row r="31522" spans="9:10" x14ac:dyDescent="0.35">
      <c r="I31522" s="63"/>
      <c r="J31522" s="63"/>
    </row>
    <row r="31523" spans="9:10" x14ac:dyDescent="0.35">
      <c r="I31523" s="63"/>
      <c r="J31523" s="63"/>
    </row>
    <row r="31524" spans="9:10" x14ac:dyDescent="0.35">
      <c r="I31524" s="63"/>
      <c r="J31524" s="63"/>
    </row>
    <row r="31525" spans="9:10" x14ac:dyDescent="0.35">
      <c r="I31525" s="63"/>
      <c r="J31525" s="63"/>
    </row>
    <row r="31526" spans="9:10" x14ac:dyDescent="0.35">
      <c r="I31526" s="63"/>
      <c r="J31526" s="63"/>
    </row>
    <row r="31527" spans="9:10" x14ac:dyDescent="0.35">
      <c r="I31527" s="63"/>
      <c r="J31527" s="63"/>
    </row>
    <row r="31528" spans="9:10" x14ac:dyDescent="0.35">
      <c r="I31528" s="63"/>
      <c r="J31528" s="63"/>
    </row>
    <row r="31529" spans="9:10" x14ac:dyDescent="0.35">
      <c r="I31529" s="63"/>
      <c r="J31529" s="63"/>
    </row>
    <row r="31530" spans="9:10" x14ac:dyDescent="0.35">
      <c r="I31530" s="63"/>
      <c r="J31530" s="63"/>
    </row>
    <row r="31531" spans="9:10" x14ac:dyDescent="0.35">
      <c r="I31531" s="63"/>
      <c r="J31531" s="63"/>
    </row>
    <row r="31532" spans="9:10" x14ac:dyDescent="0.35">
      <c r="I31532" s="63"/>
      <c r="J31532" s="63"/>
    </row>
    <row r="31533" spans="9:10" x14ac:dyDescent="0.35">
      <c r="I31533" s="63"/>
      <c r="J31533" s="63"/>
    </row>
    <row r="31534" spans="9:10" x14ac:dyDescent="0.35">
      <c r="I31534" s="63"/>
      <c r="J31534" s="63"/>
    </row>
    <row r="31535" spans="9:10" x14ac:dyDescent="0.35">
      <c r="I31535" s="63"/>
      <c r="J31535" s="63"/>
    </row>
    <row r="31536" spans="9:10" x14ac:dyDescent="0.35">
      <c r="I31536" s="63"/>
      <c r="J31536" s="63"/>
    </row>
    <row r="31537" spans="9:10" x14ac:dyDescent="0.35">
      <c r="I31537" s="63"/>
      <c r="J31537" s="63"/>
    </row>
    <row r="31538" spans="9:10" x14ac:dyDescent="0.35">
      <c r="I31538" s="63"/>
      <c r="J31538" s="63"/>
    </row>
    <row r="31539" spans="9:10" x14ac:dyDescent="0.35">
      <c r="I31539" s="63"/>
      <c r="J31539" s="63"/>
    </row>
    <row r="31540" spans="9:10" x14ac:dyDescent="0.35">
      <c r="I31540" s="63"/>
      <c r="J31540" s="63"/>
    </row>
    <row r="31541" spans="9:10" x14ac:dyDescent="0.35">
      <c r="I31541" s="63"/>
      <c r="J31541" s="63"/>
    </row>
    <row r="31542" spans="9:10" x14ac:dyDescent="0.35">
      <c r="I31542" s="63"/>
      <c r="J31542" s="63"/>
    </row>
    <row r="31543" spans="9:10" x14ac:dyDescent="0.35">
      <c r="I31543" s="63"/>
      <c r="J31543" s="63"/>
    </row>
    <row r="31544" spans="9:10" x14ac:dyDescent="0.35">
      <c r="I31544" s="63"/>
      <c r="J31544" s="63"/>
    </row>
    <row r="31545" spans="9:10" x14ac:dyDescent="0.35">
      <c r="I31545" s="63"/>
      <c r="J31545" s="63"/>
    </row>
    <row r="31546" spans="9:10" x14ac:dyDescent="0.35">
      <c r="I31546" s="63"/>
      <c r="J31546" s="63"/>
    </row>
    <row r="31547" spans="9:10" x14ac:dyDescent="0.35">
      <c r="I31547" s="63"/>
      <c r="J31547" s="63"/>
    </row>
    <row r="31548" spans="9:10" x14ac:dyDescent="0.35">
      <c r="I31548" s="63"/>
      <c r="J31548" s="63"/>
    </row>
    <row r="31549" spans="9:10" x14ac:dyDescent="0.35">
      <c r="I31549" s="63"/>
      <c r="J31549" s="63"/>
    </row>
    <row r="31550" spans="9:10" x14ac:dyDescent="0.35">
      <c r="I31550" s="63"/>
      <c r="J31550" s="63"/>
    </row>
    <row r="31551" spans="9:10" x14ac:dyDescent="0.35">
      <c r="I31551" s="63"/>
      <c r="J31551" s="63"/>
    </row>
    <row r="31552" spans="9:10" x14ac:dyDescent="0.35">
      <c r="I31552" s="63"/>
      <c r="J31552" s="63"/>
    </row>
    <row r="31553" spans="9:10" x14ac:dyDescent="0.35">
      <c r="I31553" s="63"/>
      <c r="J31553" s="63"/>
    </row>
    <row r="31554" spans="9:10" x14ac:dyDescent="0.35">
      <c r="I31554" s="63"/>
      <c r="J31554" s="63"/>
    </row>
    <row r="31555" spans="9:10" x14ac:dyDescent="0.35">
      <c r="I31555" s="63"/>
      <c r="J31555" s="63"/>
    </row>
    <row r="31556" spans="9:10" x14ac:dyDescent="0.35">
      <c r="I31556" s="63"/>
      <c r="J31556" s="63"/>
    </row>
    <row r="31557" spans="9:10" x14ac:dyDescent="0.35">
      <c r="I31557" s="63"/>
      <c r="J31557" s="63"/>
    </row>
    <row r="31558" spans="9:10" x14ac:dyDescent="0.35">
      <c r="I31558" s="63"/>
      <c r="J31558" s="63"/>
    </row>
    <row r="31559" spans="9:10" x14ac:dyDescent="0.35">
      <c r="I31559" s="63"/>
      <c r="J31559" s="63"/>
    </row>
    <row r="31560" spans="9:10" x14ac:dyDescent="0.35">
      <c r="I31560" s="63"/>
      <c r="J31560" s="63"/>
    </row>
    <row r="31561" spans="9:10" x14ac:dyDescent="0.35">
      <c r="I31561" s="63"/>
      <c r="J31561" s="63"/>
    </row>
    <row r="31562" spans="9:10" x14ac:dyDescent="0.35">
      <c r="I31562" s="63"/>
      <c r="J31562" s="63"/>
    </row>
    <row r="31563" spans="9:10" x14ac:dyDescent="0.35">
      <c r="I31563" s="63"/>
      <c r="J31563" s="63"/>
    </row>
    <row r="31564" spans="9:10" x14ac:dyDescent="0.35">
      <c r="I31564" s="63"/>
      <c r="J31564" s="63"/>
    </row>
    <row r="31565" spans="9:10" x14ac:dyDescent="0.35">
      <c r="I31565" s="63"/>
      <c r="J31565" s="63"/>
    </row>
    <row r="31566" spans="9:10" x14ac:dyDescent="0.35">
      <c r="I31566" s="63"/>
      <c r="J31566" s="63"/>
    </row>
    <row r="31567" spans="9:10" x14ac:dyDescent="0.35">
      <c r="I31567" s="63"/>
      <c r="J31567" s="63"/>
    </row>
    <row r="31568" spans="9:10" x14ac:dyDescent="0.35">
      <c r="I31568" s="63"/>
      <c r="J31568" s="63"/>
    </row>
    <row r="31569" spans="9:10" x14ac:dyDescent="0.35">
      <c r="I31569" s="63"/>
      <c r="J31569" s="63"/>
    </row>
    <row r="31570" spans="9:10" x14ac:dyDescent="0.35">
      <c r="I31570" s="63"/>
      <c r="J31570" s="63"/>
    </row>
    <row r="31571" spans="9:10" x14ac:dyDescent="0.35">
      <c r="I31571" s="63"/>
      <c r="J31571" s="63"/>
    </row>
    <row r="31572" spans="9:10" x14ac:dyDescent="0.35">
      <c r="I31572" s="63"/>
      <c r="J31572" s="63"/>
    </row>
    <row r="31573" spans="9:10" x14ac:dyDescent="0.35">
      <c r="I31573" s="63"/>
      <c r="J31573" s="63"/>
    </row>
    <row r="31574" spans="9:10" x14ac:dyDescent="0.35">
      <c r="I31574" s="63"/>
      <c r="J31574" s="63"/>
    </row>
    <row r="31575" spans="9:10" x14ac:dyDescent="0.35">
      <c r="I31575" s="63"/>
      <c r="J31575" s="63"/>
    </row>
    <row r="31576" spans="9:10" x14ac:dyDescent="0.35">
      <c r="I31576" s="63"/>
      <c r="J31576" s="63"/>
    </row>
    <row r="31577" spans="9:10" x14ac:dyDescent="0.35">
      <c r="I31577" s="63"/>
      <c r="J31577" s="63"/>
    </row>
    <row r="31578" spans="9:10" x14ac:dyDescent="0.35">
      <c r="I31578" s="63"/>
      <c r="J31578" s="63"/>
    </row>
    <row r="31579" spans="9:10" x14ac:dyDescent="0.35">
      <c r="I31579" s="63"/>
      <c r="J31579" s="63"/>
    </row>
    <row r="31580" spans="9:10" x14ac:dyDescent="0.35">
      <c r="I31580" s="63"/>
      <c r="J31580" s="63"/>
    </row>
    <row r="31581" spans="9:10" x14ac:dyDescent="0.35">
      <c r="I31581" s="63"/>
      <c r="J31581" s="63"/>
    </row>
    <row r="31582" spans="9:10" x14ac:dyDescent="0.35">
      <c r="I31582" s="63"/>
      <c r="J31582" s="63"/>
    </row>
    <row r="31583" spans="9:10" x14ac:dyDescent="0.35">
      <c r="I31583" s="63"/>
      <c r="J31583" s="63"/>
    </row>
    <row r="31584" spans="9:10" x14ac:dyDescent="0.35">
      <c r="I31584" s="63"/>
      <c r="J31584" s="63"/>
    </row>
    <row r="31585" spans="9:10" x14ac:dyDescent="0.35">
      <c r="I31585" s="63"/>
      <c r="J31585" s="63"/>
    </row>
    <row r="31586" spans="9:10" x14ac:dyDescent="0.35">
      <c r="I31586" s="63"/>
      <c r="J31586" s="63"/>
    </row>
    <row r="31587" spans="9:10" x14ac:dyDescent="0.35">
      <c r="I31587" s="63"/>
      <c r="J31587" s="63"/>
    </row>
    <row r="31588" spans="9:10" x14ac:dyDescent="0.35">
      <c r="I31588" s="63"/>
      <c r="J31588" s="63"/>
    </row>
    <row r="31589" spans="9:10" x14ac:dyDescent="0.35">
      <c r="I31589" s="63"/>
      <c r="J31589" s="63"/>
    </row>
    <row r="31590" spans="9:10" x14ac:dyDescent="0.35">
      <c r="I31590" s="63"/>
      <c r="J31590" s="63"/>
    </row>
    <row r="31591" spans="9:10" x14ac:dyDescent="0.35">
      <c r="I31591" s="63"/>
      <c r="J31591" s="63"/>
    </row>
    <row r="31592" spans="9:10" x14ac:dyDescent="0.35">
      <c r="I31592" s="63"/>
      <c r="J31592" s="63"/>
    </row>
    <row r="31593" spans="9:10" x14ac:dyDescent="0.35">
      <c r="I31593" s="63"/>
      <c r="J31593" s="63"/>
    </row>
    <row r="31594" spans="9:10" x14ac:dyDescent="0.35">
      <c r="I31594" s="63"/>
      <c r="J31594" s="63"/>
    </row>
    <row r="31595" spans="9:10" x14ac:dyDescent="0.35">
      <c r="I31595" s="63"/>
      <c r="J31595" s="63"/>
    </row>
    <row r="31596" spans="9:10" x14ac:dyDescent="0.35">
      <c r="I31596" s="63"/>
      <c r="J31596" s="63"/>
    </row>
    <row r="31597" spans="9:10" x14ac:dyDescent="0.35">
      <c r="I31597" s="63"/>
      <c r="J31597" s="63"/>
    </row>
    <row r="31598" spans="9:10" x14ac:dyDescent="0.35">
      <c r="I31598" s="63"/>
      <c r="J31598" s="63"/>
    </row>
    <row r="31599" spans="9:10" x14ac:dyDescent="0.35">
      <c r="I31599" s="63"/>
      <c r="J31599" s="63"/>
    </row>
    <row r="31600" spans="9:10" x14ac:dyDescent="0.35">
      <c r="I31600" s="63"/>
      <c r="J31600" s="63"/>
    </row>
    <row r="31601" spans="9:10" x14ac:dyDescent="0.35">
      <c r="I31601" s="63"/>
      <c r="J31601" s="63"/>
    </row>
    <row r="31602" spans="9:10" x14ac:dyDescent="0.35">
      <c r="I31602" s="63"/>
      <c r="J31602" s="63"/>
    </row>
    <row r="31603" spans="9:10" x14ac:dyDescent="0.35">
      <c r="I31603" s="63"/>
      <c r="J31603" s="63"/>
    </row>
    <row r="31604" spans="9:10" x14ac:dyDescent="0.35">
      <c r="I31604" s="63"/>
      <c r="J31604" s="63"/>
    </row>
    <row r="31605" spans="9:10" x14ac:dyDescent="0.35">
      <c r="I31605" s="63"/>
      <c r="J31605" s="63"/>
    </row>
    <row r="31606" spans="9:10" x14ac:dyDescent="0.35">
      <c r="I31606" s="63"/>
      <c r="J31606" s="63"/>
    </row>
    <row r="31607" spans="9:10" x14ac:dyDescent="0.35">
      <c r="I31607" s="63"/>
      <c r="J31607" s="63"/>
    </row>
    <row r="31608" spans="9:10" x14ac:dyDescent="0.35">
      <c r="I31608" s="63"/>
      <c r="J31608" s="63"/>
    </row>
    <row r="31609" spans="9:10" x14ac:dyDescent="0.35">
      <c r="I31609" s="63"/>
      <c r="J31609" s="63"/>
    </row>
    <row r="31610" spans="9:10" x14ac:dyDescent="0.35">
      <c r="I31610" s="63"/>
      <c r="J31610" s="63"/>
    </row>
    <row r="31611" spans="9:10" x14ac:dyDescent="0.35">
      <c r="I31611" s="63"/>
      <c r="J31611" s="63"/>
    </row>
    <row r="31612" spans="9:10" x14ac:dyDescent="0.35">
      <c r="I31612" s="63"/>
      <c r="J31612" s="63"/>
    </row>
    <row r="31613" spans="9:10" x14ac:dyDescent="0.35">
      <c r="I31613" s="63"/>
      <c r="J31613" s="63"/>
    </row>
    <row r="31614" spans="9:10" x14ac:dyDescent="0.35">
      <c r="I31614" s="63"/>
      <c r="J31614" s="63"/>
    </row>
    <row r="31615" spans="9:10" x14ac:dyDescent="0.35">
      <c r="I31615" s="63"/>
      <c r="J31615" s="63"/>
    </row>
    <row r="31616" spans="9:10" x14ac:dyDescent="0.35">
      <c r="I31616" s="63"/>
      <c r="J31616" s="63"/>
    </row>
    <row r="31617" spans="9:10" x14ac:dyDescent="0.35">
      <c r="I31617" s="63"/>
      <c r="J31617" s="63"/>
    </row>
    <row r="31618" spans="9:10" x14ac:dyDescent="0.35">
      <c r="I31618" s="63"/>
      <c r="J31618" s="63"/>
    </row>
    <row r="31619" spans="9:10" x14ac:dyDescent="0.35">
      <c r="I31619" s="63"/>
      <c r="J31619" s="63"/>
    </row>
    <row r="31620" spans="9:10" x14ac:dyDescent="0.35">
      <c r="I31620" s="63"/>
      <c r="J31620" s="63"/>
    </row>
    <row r="31621" spans="9:10" x14ac:dyDescent="0.35">
      <c r="I31621" s="63"/>
      <c r="J31621" s="63"/>
    </row>
    <row r="31622" spans="9:10" x14ac:dyDescent="0.35">
      <c r="I31622" s="63"/>
      <c r="J31622" s="63"/>
    </row>
    <row r="31623" spans="9:10" x14ac:dyDescent="0.35">
      <c r="I31623" s="63"/>
      <c r="J31623" s="63"/>
    </row>
    <row r="31624" spans="9:10" x14ac:dyDescent="0.35">
      <c r="I31624" s="63"/>
      <c r="J31624" s="63"/>
    </row>
    <row r="31625" spans="9:10" x14ac:dyDescent="0.35">
      <c r="I31625" s="63"/>
      <c r="J31625" s="63"/>
    </row>
    <row r="31626" spans="9:10" x14ac:dyDescent="0.35">
      <c r="I31626" s="63"/>
      <c r="J31626" s="63"/>
    </row>
    <row r="31627" spans="9:10" x14ac:dyDescent="0.35">
      <c r="I31627" s="63"/>
      <c r="J31627" s="63"/>
    </row>
    <row r="31628" spans="9:10" x14ac:dyDescent="0.35">
      <c r="I31628" s="63"/>
      <c r="J31628" s="63"/>
    </row>
    <row r="31629" spans="9:10" x14ac:dyDescent="0.35">
      <c r="I31629" s="63"/>
      <c r="J31629" s="63"/>
    </row>
    <row r="31630" spans="9:10" x14ac:dyDescent="0.35">
      <c r="I31630" s="63"/>
      <c r="J31630" s="63"/>
    </row>
    <row r="31631" spans="9:10" x14ac:dyDescent="0.35">
      <c r="I31631" s="63"/>
      <c r="J31631" s="63"/>
    </row>
    <row r="31632" spans="9:10" x14ac:dyDescent="0.35">
      <c r="I31632" s="63"/>
      <c r="J31632" s="63"/>
    </row>
    <row r="31633" spans="9:10" x14ac:dyDescent="0.35">
      <c r="I31633" s="63"/>
      <c r="J31633" s="63"/>
    </row>
    <row r="31634" spans="9:10" x14ac:dyDescent="0.35">
      <c r="I31634" s="63"/>
      <c r="J31634" s="63"/>
    </row>
    <row r="31635" spans="9:10" x14ac:dyDescent="0.35">
      <c r="I31635" s="63"/>
      <c r="J31635" s="63"/>
    </row>
    <row r="31636" spans="9:10" x14ac:dyDescent="0.35">
      <c r="I31636" s="63"/>
      <c r="J31636" s="63"/>
    </row>
    <row r="31637" spans="9:10" x14ac:dyDescent="0.35">
      <c r="I31637" s="63"/>
      <c r="J31637" s="63"/>
    </row>
    <row r="31638" spans="9:10" x14ac:dyDescent="0.35">
      <c r="I31638" s="63"/>
      <c r="J31638" s="63"/>
    </row>
    <row r="31639" spans="9:10" x14ac:dyDescent="0.35">
      <c r="I31639" s="63"/>
      <c r="J31639" s="63"/>
    </row>
    <row r="31640" spans="9:10" x14ac:dyDescent="0.35">
      <c r="I31640" s="63"/>
      <c r="J31640" s="63"/>
    </row>
    <row r="31641" spans="9:10" x14ac:dyDescent="0.35">
      <c r="I31641" s="63"/>
      <c r="J31641" s="63"/>
    </row>
    <row r="31642" spans="9:10" x14ac:dyDescent="0.35">
      <c r="I31642" s="63"/>
      <c r="J31642" s="63"/>
    </row>
    <row r="31643" spans="9:10" x14ac:dyDescent="0.35">
      <c r="I31643" s="63"/>
      <c r="J31643" s="63"/>
    </row>
    <row r="31644" spans="9:10" x14ac:dyDescent="0.35">
      <c r="I31644" s="63"/>
      <c r="J31644" s="63"/>
    </row>
    <row r="31645" spans="9:10" x14ac:dyDescent="0.35">
      <c r="I31645" s="63"/>
      <c r="J31645" s="63"/>
    </row>
    <row r="31646" spans="9:10" x14ac:dyDescent="0.35">
      <c r="I31646" s="63"/>
      <c r="J31646" s="63"/>
    </row>
    <row r="31647" spans="9:10" x14ac:dyDescent="0.35">
      <c r="I31647" s="63"/>
      <c r="J31647" s="63"/>
    </row>
    <row r="31648" spans="9:10" x14ac:dyDescent="0.35">
      <c r="I31648" s="63"/>
      <c r="J31648" s="63"/>
    </row>
    <row r="31649" spans="9:10" x14ac:dyDescent="0.35">
      <c r="I31649" s="63"/>
      <c r="J31649" s="63"/>
    </row>
    <row r="31650" spans="9:10" x14ac:dyDescent="0.35">
      <c r="I31650" s="63"/>
      <c r="J31650" s="63"/>
    </row>
    <row r="31651" spans="9:10" x14ac:dyDescent="0.35">
      <c r="I31651" s="63"/>
      <c r="J31651" s="63"/>
    </row>
    <row r="31652" spans="9:10" x14ac:dyDescent="0.35">
      <c r="I31652" s="63"/>
      <c r="J31652" s="63"/>
    </row>
    <row r="31653" spans="9:10" x14ac:dyDescent="0.35">
      <c r="I31653" s="63"/>
      <c r="J31653" s="63"/>
    </row>
    <row r="31654" spans="9:10" x14ac:dyDescent="0.35">
      <c r="I31654" s="63"/>
      <c r="J31654" s="63"/>
    </row>
    <row r="31655" spans="9:10" x14ac:dyDescent="0.35">
      <c r="I31655" s="63"/>
      <c r="J31655" s="63"/>
    </row>
    <row r="31656" spans="9:10" x14ac:dyDescent="0.35">
      <c r="I31656" s="63"/>
      <c r="J31656" s="63"/>
    </row>
    <row r="31657" spans="9:10" x14ac:dyDescent="0.35">
      <c r="I31657" s="63"/>
      <c r="J31657" s="63"/>
    </row>
    <row r="31658" spans="9:10" x14ac:dyDescent="0.35">
      <c r="I31658" s="63"/>
      <c r="J31658" s="63"/>
    </row>
    <row r="31659" spans="9:10" x14ac:dyDescent="0.35">
      <c r="I31659" s="63"/>
      <c r="J31659" s="63"/>
    </row>
    <row r="31660" spans="9:10" x14ac:dyDescent="0.35">
      <c r="I31660" s="63"/>
      <c r="J31660" s="63"/>
    </row>
    <row r="31661" spans="9:10" x14ac:dyDescent="0.35">
      <c r="I31661" s="63"/>
      <c r="J31661" s="63"/>
    </row>
    <row r="31662" spans="9:10" x14ac:dyDescent="0.35">
      <c r="I31662" s="63"/>
      <c r="J31662" s="63"/>
    </row>
    <row r="31663" spans="9:10" x14ac:dyDescent="0.35">
      <c r="I31663" s="63"/>
      <c r="J31663" s="63"/>
    </row>
    <row r="31664" spans="9:10" x14ac:dyDescent="0.35">
      <c r="I31664" s="63"/>
      <c r="J31664" s="63"/>
    </row>
    <row r="31665" spans="9:10" x14ac:dyDescent="0.35">
      <c r="I31665" s="63"/>
      <c r="J31665" s="63"/>
    </row>
    <row r="31666" spans="9:10" x14ac:dyDescent="0.35">
      <c r="I31666" s="63"/>
      <c r="J31666" s="63"/>
    </row>
    <row r="31667" spans="9:10" x14ac:dyDescent="0.35">
      <c r="I31667" s="63"/>
      <c r="J31667" s="63"/>
    </row>
    <row r="31668" spans="9:10" x14ac:dyDescent="0.35">
      <c r="I31668" s="63"/>
      <c r="J31668" s="63"/>
    </row>
    <row r="31669" spans="9:10" x14ac:dyDescent="0.35">
      <c r="I31669" s="63"/>
      <c r="J31669" s="63"/>
    </row>
    <row r="31670" spans="9:10" x14ac:dyDescent="0.35">
      <c r="I31670" s="63"/>
      <c r="J31670" s="63"/>
    </row>
    <row r="31671" spans="9:10" x14ac:dyDescent="0.35">
      <c r="I31671" s="63"/>
      <c r="J31671" s="63"/>
    </row>
    <row r="31672" spans="9:10" x14ac:dyDescent="0.35">
      <c r="I31672" s="63"/>
      <c r="J31672" s="63"/>
    </row>
    <row r="31673" spans="9:10" x14ac:dyDescent="0.35">
      <c r="I31673" s="63"/>
      <c r="J31673" s="63"/>
    </row>
    <row r="31674" spans="9:10" x14ac:dyDescent="0.35">
      <c r="I31674" s="63"/>
      <c r="J31674" s="63"/>
    </row>
    <row r="31675" spans="9:10" x14ac:dyDescent="0.35">
      <c r="I31675" s="63"/>
      <c r="J31675" s="63"/>
    </row>
    <row r="31676" spans="9:10" x14ac:dyDescent="0.35">
      <c r="I31676" s="63"/>
      <c r="J31676" s="63"/>
    </row>
    <row r="31677" spans="9:10" x14ac:dyDescent="0.35">
      <c r="I31677" s="63"/>
      <c r="J31677" s="63"/>
    </row>
    <row r="31678" spans="9:10" x14ac:dyDescent="0.35">
      <c r="I31678" s="63"/>
      <c r="J31678" s="63"/>
    </row>
    <row r="31679" spans="9:10" x14ac:dyDescent="0.35">
      <c r="I31679" s="63"/>
      <c r="J31679" s="63"/>
    </row>
    <row r="31680" spans="9:10" x14ac:dyDescent="0.35">
      <c r="I31680" s="63"/>
      <c r="J31680" s="63"/>
    </row>
    <row r="31681" spans="9:10" x14ac:dyDescent="0.35">
      <c r="I31681" s="63"/>
      <c r="J31681" s="63"/>
    </row>
    <row r="31682" spans="9:10" x14ac:dyDescent="0.35">
      <c r="I31682" s="63"/>
      <c r="J31682" s="63"/>
    </row>
    <row r="31683" spans="9:10" x14ac:dyDescent="0.35">
      <c r="I31683" s="63"/>
      <c r="J31683" s="63"/>
    </row>
    <row r="31684" spans="9:10" x14ac:dyDescent="0.35">
      <c r="I31684" s="63"/>
      <c r="J31684" s="63"/>
    </row>
    <row r="31685" spans="9:10" x14ac:dyDescent="0.35">
      <c r="I31685" s="63"/>
      <c r="J31685" s="63"/>
    </row>
    <row r="31686" spans="9:10" x14ac:dyDescent="0.35">
      <c r="I31686" s="63"/>
      <c r="J31686" s="63"/>
    </row>
    <row r="31687" spans="9:10" x14ac:dyDescent="0.35">
      <c r="I31687" s="63"/>
      <c r="J31687" s="63"/>
    </row>
    <row r="31688" spans="9:10" x14ac:dyDescent="0.35">
      <c r="I31688" s="63"/>
      <c r="J31688" s="63"/>
    </row>
    <row r="31689" spans="9:10" x14ac:dyDescent="0.35">
      <c r="I31689" s="63"/>
      <c r="J31689" s="63"/>
    </row>
    <row r="31690" spans="9:10" x14ac:dyDescent="0.35">
      <c r="I31690" s="63"/>
      <c r="J31690" s="63"/>
    </row>
    <row r="31691" spans="9:10" x14ac:dyDescent="0.35">
      <c r="I31691" s="63"/>
      <c r="J31691" s="63"/>
    </row>
    <row r="31692" spans="9:10" x14ac:dyDescent="0.35">
      <c r="I31692" s="63"/>
      <c r="J31692" s="63"/>
    </row>
    <row r="31693" spans="9:10" x14ac:dyDescent="0.35">
      <c r="I31693" s="63"/>
      <c r="J31693" s="63"/>
    </row>
    <row r="31694" spans="9:10" x14ac:dyDescent="0.35">
      <c r="I31694" s="63"/>
      <c r="J31694" s="63"/>
    </row>
    <row r="31695" spans="9:10" x14ac:dyDescent="0.35">
      <c r="I31695" s="63"/>
      <c r="J31695" s="63"/>
    </row>
    <row r="31696" spans="9:10" x14ac:dyDescent="0.35">
      <c r="I31696" s="63"/>
      <c r="J31696" s="63"/>
    </row>
    <row r="31697" spans="9:10" x14ac:dyDescent="0.35">
      <c r="I31697" s="63"/>
      <c r="J31697" s="63"/>
    </row>
    <row r="31698" spans="9:10" x14ac:dyDescent="0.35">
      <c r="I31698" s="63"/>
      <c r="J31698" s="63"/>
    </row>
    <row r="31699" spans="9:10" x14ac:dyDescent="0.35">
      <c r="I31699" s="63"/>
      <c r="J31699" s="63"/>
    </row>
    <row r="31700" spans="9:10" x14ac:dyDescent="0.35">
      <c r="I31700" s="63"/>
      <c r="J31700" s="63"/>
    </row>
    <row r="31701" spans="9:10" x14ac:dyDescent="0.35">
      <c r="I31701" s="63"/>
      <c r="J31701" s="63"/>
    </row>
    <row r="31702" spans="9:10" x14ac:dyDescent="0.35">
      <c r="I31702" s="63"/>
      <c r="J31702" s="63"/>
    </row>
    <row r="31703" spans="9:10" x14ac:dyDescent="0.35">
      <c r="I31703" s="63"/>
      <c r="J31703" s="63"/>
    </row>
    <row r="31704" spans="9:10" x14ac:dyDescent="0.35">
      <c r="I31704" s="63"/>
      <c r="J31704" s="63"/>
    </row>
    <row r="31705" spans="9:10" x14ac:dyDescent="0.35">
      <c r="I31705" s="63"/>
      <c r="J31705" s="63"/>
    </row>
    <row r="31706" spans="9:10" x14ac:dyDescent="0.35">
      <c r="I31706" s="63"/>
      <c r="J31706" s="63"/>
    </row>
    <row r="31707" spans="9:10" x14ac:dyDescent="0.35">
      <c r="I31707" s="63"/>
      <c r="J31707" s="63"/>
    </row>
    <row r="31708" spans="9:10" x14ac:dyDescent="0.35">
      <c r="I31708" s="63"/>
      <c r="J31708" s="63"/>
    </row>
    <row r="31709" spans="9:10" x14ac:dyDescent="0.35">
      <c r="I31709" s="63"/>
      <c r="J31709" s="63"/>
    </row>
    <row r="31710" spans="9:10" x14ac:dyDescent="0.35">
      <c r="I31710" s="63"/>
      <c r="J31710" s="63"/>
    </row>
    <row r="31711" spans="9:10" x14ac:dyDescent="0.35">
      <c r="I31711" s="63"/>
      <c r="J31711" s="63"/>
    </row>
    <row r="31712" spans="9:10" x14ac:dyDescent="0.35">
      <c r="I31712" s="63"/>
      <c r="J31712" s="63"/>
    </row>
    <row r="31713" spans="9:10" x14ac:dyDescent="0.35">
      <c r="I31713" s="63"/>
      <c r="J31713" s="63"/>
    </row>
    <row r="31714" spans="9:10" x14ac:dyDescent="0.35">
      <c r="I31714" s="63"/>
      <c r="J31714" s="63"/>
    </row>
    <row r="31715" spans="9:10" x14ac:dyDescent="0.35">
      <c r="I31715" s="63"/>
      <c r="J31715" s="63"/>
    </row>
    <row r="31716" spans="9:10" x14ac:dyDescent="0.35">
      <c r="I31716" s="63"/>
      <c r="J31716" s="63"/>
    </row>
    <row r="31717" spans="9:10" x14ac:dyDescent="0.35">
      <c r="I31717" s="63"/>
      <c r="J31717" s="63"/>
    </row>
    <row r="31718" spans="9:10" x14ac:dyDescent="0.35">
      <c r="I31718" s="63"/>
      <c r="J31718" s="63"/>
    </row>
    <row r="31719" spans="9:10" x14ac:dyDescent="0.35">
      <c r="I31719" s="63"/>
      <c r="J31719" s="63"/>
    </row>
    <row r="31720" spans="9:10" x14ac:dyDescent="0.35">
      <c r="I31720" s="63"/>
      <c r="J31720" s="63"/>
    </row>
    <row r="31721" spans="9:10" x14ac:dyDescent="0.35">
      <c r="I31721" s="63"/>
      <c r="J31721" s="63"/>
    </row>
    <row r="31722" spans="9:10" x14ac:dyDescent="0.35">
      <c r="I31722" s="63"/>
      <c r="J31722" s="63"/>
    </row>
    <row r="31723" spans="9:10" x14ac:dyDescent="0.35">
      <c r="I31723" s="63"/>
      <c r="J31723" s="63"/>
    </row>
    <row r="31724" spans="9:10" x14ac:dyDescent="0.35">
      <c r="I31724" s="63"/>
      <c r="J31724" s="63"/>
    </row>
    <row r="31725" spans="9:10" x14ac:dyDescent="0.35">
      <c r="I31725" s="63"/>
      <c r="J31725" s="63"/>
    </row>
    <row r="31726" spans="9:10" x14ac:dyDescent="0.35">
      <c r="I31726" s="63"/>
      <c r="J31726" s="63"/>
    </row>
    <row r="31727" spans="9:10" x14ac:dyDescent="0.35">
      <c r="I31727" s="63"/>
      <c r="J31727" s="63"/>
    </row>
    <row r="31728" spans="9:10" x14ac:dyDescent="0.35">
      <c r="I31728" s="63"/>
      <c r="J31728" s="63"/>
    </row>
    <row r="31729" spans="9:10" x14ac:dyDescent="0.35">
      <c r="I31729" s="63"/>
      <c r="J31729" s="63"/>
    </row>
    <row r="31730" spans="9:10" x14ac:dyDescent="0.35">
      <c r="I31730" s="63"/>
      <c r="J31730" s="63"/>
    </row>
    <row r="31731" spans="9:10" x14ac:dyDescent="0.35">
      <c r="I31731" s="63"/>
      <c r="J31731" s="63"/>
    </row>
    <row r="31732" spans="9:10" x14ac:dyDescent="0.35">
      <c r="I31732" s="63"/>
      <c r="J31732" s="63"/>
    </row>
    <row r="31733" spans="9:10" x14ac:dyDescent="0.35">
      <c r="I31733" s="63"/>
      <c r="J31733" s="63"/>
    </row>
    <row r="31734" spans="9:10" x14ac:dyDescent="0.35">
      <c r="I31734" s="63"/>
      <c r="J31734" s="63"/>
    </row>
    <row r="31735" spans="9:10" x14ac:dyDescent="0.35">
      <c r="I31735" s="63"/>
      <c r="J31735" s="63"/>
    </row>
    <row r="31736" spans="9:10" x14ac:dyDescent="0.35">
      <c r="I31736" s="63"/>
      <c r="J31736" s="63"/>
    </row>
    <row r="31737" spans="9:10" x14ac:dyDescent="0.35">
      <c r="I31737" s="63"/>
      <c r="J31737" s="63"/>
    </row>
    <row r="31738" spans="9:10" x14ac:dyDescent="0.35">
      <c r="I31738" s="63"/>
      <c r="J31738" s="63"/>
    </row>
    <row r="31739" spans="9:10" x14ac:dyDescent="0.35">
      <c r="I31739" s="63"/>
      <c r="J31739" s="63"/>
    </row>
    <row r="31740" spans="9:10" x14ac:dyDescent="0.35">
      <c r="I31740" s="63"/>
      <c r="J31740" s="63"/>
    </row>
    <row r="31741" spans="9:10" x14ac:dyDescent="0.35">
      <c r="I31741" s="63"/>
      <c r="J31741" s="63"/>
    </row>
    <row r="31742" spans="9:10" x14ac:dyDescent="0.35">
      <c r="I31742" s="63"/>
      <c r="J31742" s="63"/>
    </row>
    <row r="31743" spans="9:10" x14ac:dyDescent="0.35">
      <c r="I31743" s="63"/>
      <c r="J31743" s="63"/>
    </row>
    <row r="31744" spans="9:10" x14ac:dyDescent="0.35">
      <c r="I31744" s="63"/>
      <c r="J31744" s="63"/>
    </row>
    <row r="31745" spans="9:10" x14ac:dyDescent="0.35">
      <c r="I31745" s="63"/>
      <c r="J31745" s="63"/>
    </row>
    <row r="31746" spans="9:10" x14ac:dyDescent="0.35">
      <c r="I31746" s="63"/>
      <c r="J31746" s="63"/>
    </row>
    <row r="31747" spans="9:10" x14ac:dyDescent="0.35">
      <c r="I31747" s="63"/>
      <c r="J31747" s="63"/>
    </row>
    <row r="31748" spans="9:10" x14ac:dyDescent="0.35">
      <c r="I31748" s="63"/>
      <c r="J31748" s="63"/>
    </row>
    <row r="31749" spans="9:10" x14ac:dyDescent="0.35">
      <c r="I31749" s="63"/>
      <c r="J31749" s="63"/>
    </row>
    <row r="31750" spans="9:10" x14ac:dyDescent="0.35">
      <c r="I31750" s="63"/>
      <c r="J31750" s="63"/>
    </row>
    <row r="31751" spans="9:10" x14ac:dyDescent="0.35">
      <c r="I31751" s="63"/>
      <c r="J31751" s="63"/>
    </row>
    <row r="31752" spans="9:10" x14ac:dyDescent="0.35">
      <c r="I31752" s="63"/>
      <c r="J31752" s="63"/>
    </row>
    <row r="31753" spans="9:10" x14ac:dyDescent="0.35">
      <c r="I31753" s="63"/>
      <c r="J31753" s="63"/>
    </row>
    <row r="31754" spans="9:10" x14ac:dyDescent="0.35">
      <c r="I31754" s="63"/>
      <c r="J31754" s="63"/>
    </row>
    <row r="31755" spans="9:10" x14ac:dyDescent="0.35">
      <c r="I31755" s="63"/>
      <c r="J31755" s="63"/>
    </row>
    <row r="31756" spans="9:10" x14ac:dyDescent="0.35">
      <c r="I31756" s="63"/>
      <c r="J31756" s="63"/>
    </row>
    <row r="31757" spans="9:10" x14ac:dyDescent="0.35">
      <c r="I31757" s="63"/>
      <c r="J31757" s="63"/>
    </row>
    <row r="31758" spans="9:10" x14ac:dyDescent="0.35">
      <c r="I31758" s="63"/>
      <c r="J31758" s="63"/>
    </row>
    <row r="31759" spans="9:10" x14ac:dyDescent="0.35">
      <c r="I31759" s="63"/>
      <c r="J31759" s="63"/>
    </row>
    <row r="31760" spans="9:10" x14ac:dyDescent="0.35">
      <c r="I31760" s="63"/>
      <c r="J31760" s="63"/>
    </row>
    <row r="31761" spans="9:10" x14ac:dyDescent="0.35">
      <c r="I31761" s="63"/>
      <c r="J31761" s="63"/>
    </row>
    <row r="31762" spans="9:10" x14ac:dyDescent="0.35">
      <c r="I31762" s="63"/>
      <c r="J31762" s="63"/>
    </row>
    <row r="31763" spans="9:10" x14ac:dyDescent="0.35">
      <c r="I31763" s="63"/>
      <c r="J31763" s="63"/>
    </row>
    <row r="31764" spans="9:10" x14ac:dyDescent="0.35">
      <c r="I31764" s="63"/>
      <c r="J31764" s="63"/>
    </row>
    <row r="31765" spans="9:10" x14ac:dyDescent="0.35">
      <c r="I31765" s="63"/>
      <c r="J31765" s="63"/>
    </row>
    <row r="31766" spans="9:10" x14ac:dyDescent="0.35">
      <c r="I31766" s="63"/>
      <c r="J31766" s="63"/>
    </row>
    <row r="31767" spans="9:10" x14ac:dyDescent="0.35">
      <c r="I31767" s="63"/>
      <c r="J31767" s="63"/>
    </row>
    <row r="31768" spans="9:10" x14ac:dyDescent="0.35">
      <c r="I31768" s="63"/>
      <c r="J31768" s="63"/>
    </row>
    <row r="31769" spans="9:10" x14ac:dyDescent="0.35">
      <c r="I31769" s="63"/>
      <c r="J31769" s="63"/>
    </row>
    <row r="31770" spans="9:10" x14ac:dyDescent="0.35">
      <c r="I31770" s="63"/>
      <c r="J31770" s="63"/>
    </row>
    <row r="31771" spans="9:10" x14ac:dyDescent="0.35">
      <c r="I31771" s="63"/>
      <c r="J31771" s="63"/>
    </row>
    <row r="31772" spans="9:10" x14ac:dyDescent="0.35">
      <c r="I31772" s="63"/>
      <c r="J31772" s="63"/>
    </row>
    <row r="31773" spans="9:10" x14ac:dyDescent="0.35">
      <c r="I31773" s="63"/>
      <c r="J31773" s="63"/>
    </row>
    <row r="31774" spans="9:10" x14ac:dyDescent="0.35">
      <c r="I31774" s="63"/>
      <c r="J31774" s="63"/>
    </row>
    <row r="31775" spans="9:10" x14ac:dyDescent="0.35">
      <c r="I31775" s="63"/>
      <c r="J31775" s="63"/>
    </row>
    <row r="31776" spans="9:10" x14ac:dyDescent="0.35">
      <c r="I31776" s="63"/>
      <c r="J31776" s="63"/>
    </row>
    <row r="31777" spans="9:10" x14ac:dyDescent="0.35">
      <c r="I31777" s="63"/>
      <c r="J31777" s="63"/>
    </row>
    <row r="31778" spans="9:10" x14ac:dyDescent="0.35">
      <c r="I31778" s="63"/>
      <c r="J31778" s="63"/>
    </row>
    <row r="31779" spans="9:10" x14ac:dyDescent="0.35">
      <c r="I31779" s="63"/>
      <c r="J31779" s="63"/>
    </row>
    <row r="31780" spans="9:10" x14ac:dyDescent="0.35">
      <c r="I31780" s="63"/>
      <c r="J31780" s="63"/>
    </row>
    <row r="31781" spans="9:10" x14ac:dyDescent="0.35">
      <c r="I31781" s="63"/>
      <c r="J31781" s="63"/>
    </row>
    <row r="31782" spans="9:10" x14ac:dyDescent="0.35">
      <c r="I31782" s="63"/>
      <c r="J31782" s="63"/>
    </row>
    <row r="31783" spans="9:10" x14ac:dyDescent="0.35">
      <c r="I31783" s="63"/>
      <c r="J31783" s="63"/>
    </row>
    <row r="31784" spans="9:10" x14ac:dyDescent="0.35">
      <c r="I31784" s="63"/>
      <c r="J31784" s="63"/>
    </row>
    <row r="31785" spans="9:10" x14ac:dyDescent="0.35">
      <c r="I31785" s="63"/>
      <c r="J31785" s="63"/>
    </row>
    <row r="31786" spans="9:10" x14ac:dyDescent="0.35">
      <c r="I31786" s="63"/>
      <c r="J31786" s="63"/>
    </row>
    <row r="31787" spans="9:10" x14ac:dyDescent="0.35">
      <c r="I31787" s="63"/>
      <c r="J31787" s="63"/>
    </row>
    <row r="31788" spans="9:10" x14ac:dyDescent="0.35">
      <c r="I31788" s="63"/>
      <c r="J31788" s="63"/>
    </row>
    <row r="31789" spans="9:10" x14ac:dyDescent="0.35">
      <c r="I31789" s="63"/>
      <c r="J31789" s="63"/>
    </row>
    <row r="31790" spans="9:10" x14ac:dyDescent="0.35">
      <c r="I31790" s="63"/>
      <c r="J31790" s="63"/>
    </row>
    <row r="31791" spans="9:10" x14ac:dyDescent="0.35">
      <c r="I31791" s="63"/>
      <c r="J31791" s="63"/>
    </row>
    <row r="31792" spans="9:10" x14ac:dyDescent="0.35">
      <c r="I31792" s="63"/>
      <c r="J31792" s="63"/>
    </row>
    <row r="31793" spans="9:10" x14ac:dyDescent="0.35">
      <c r="I31793" s="63"/>
      <c r="J31793" s="63"/>
    </row>
    <row r="31794" spans="9:10" x14ac:dyDescent="0.35">
      <c r="I31794" s="63"/>
      <c r="J31794" s="63"/>
    </row>
    <row r="31795" spans="9:10" x14ac:dyDescent="0.35">
      <c r="I31795" s="63"/>
      <c r="J31795" s="63"/>
    </row>
    <row r="31796" spans="9:10" x14ac:dyDescent="0.35">
      <c r="I31796" s="63"/>
      <c r="J31796" s="63"/>
    </row>
    <row r="31797" spans="9:10" x14ac:dyDescent="0.35">
      <c r="I31797" s="63"/>
      <c r="J31797" s="63"/>
    </row>
    <row r="31798" spans="9:10" x14ac:dyDescent="0.35">
      <c r="I31798" s="63"/>
      <c r="J31798" s="63"/>
    </row>
    <row r="31799" spans="9:10" x14ac:dyDescent="0.35">
      <c r="I31799" s="63"/>
      <c r="J31799" s="63"/>
    </row>
    <row r="31800" spans="9:10" x14ac:dyDescent="0.35">
      <c r="I31800" s="63"/>
      <c r="J31800" s="63"/>
    </row>
    <row r="31801" spans="9:10" x14ac:dyDescent="0.35">
      <c r="I31801" s="63"/>
      <c r="J31801" s="63"/>
    </row>
    <row r="31802" spans="9:10" x14ac:dyDescent="0.35">
      <c r="I31802" s="63"/>
      <c r="J31802" s="63"/>
    </row>
    <row r="31803" spans="9:10" x14ac:dyDescent="0.35">
      <c r="I31803" s="63"/>
      <c r="J31803" s="63"/>
    </row>
    <row r="31804" spans="9:10" x14ac:dyDescent="0.35">
      <c r="I31804" s="63"/>
      <c r="J31804" s="63"/>
    </row>
    <row r="31805" spans="9:10" x14ac:dyDescent="0.35">
      <c r="I31805" s="63"/>
      <c r="J31805" s="63"/>
    </row>
    <row r="31806" spans="9:10" x14ac:dyDescent="0.35">
      <c r="I31806" s="63"/>
      <c r="J31806" s="63"/>
    </row>
    <row r="31807" spans="9:10" x14ac:dyDescent="0.35">
      <c r="I31807" s="63"/>
      <c r="J31807" s="63"/>
    </row>
    <row r="31808" spans="9:10" x14ac:dyDescent="0.35">
      <c r="I31808" s="63"/>
      <c r="J31808" s="63"/>
    </row>
    <row r="31809" spans="9:10" x14ac:dyDescent="0.35">
      <c r="I31809" s="63"/>
      <c r="J31809" s="63"/>
    </row>
    <row r="31810" spans="9:10" x14ac:dyDescent="0.35">
      <c r="I31810" s="63"/>
      <c r="J31810" s="63"/>
    </row>
    <row r="31811" spans="9:10" x14ac:dyDescent="0.35">
      <c r="I31811" s="63"/>
      <c r="J31811" s="63"/>
    </row>
    <row r="31812" spans="9:10" x14ac:dyDescent="0.35">
      <c r="I31812" s="63"/>
      <c r="J31812" s="63"/>
    </row>
    <row r="31813" spans="9:10" x14ac:dyDescent="0.35">
      <c r="I31813" s="63"/>
      <c r="J31813" s="63"/>
    </row>
    <row r="31814" spans="9:10" x14ac:dyDescent="0.35">
      <c r="I31814" s="63"/>
      <c r="J31814" s="63"/>
    </row>
    <row r="31815" spans="9:10" x14ac:dyDescent="0.35">
      <c r="I31815" s="63"/>
      <c r="J31815" s="63"/>
    </row>
    <row r="31816" spans="9:10" x14ac:dyDescent="0.35">
      <c r="I31816" s="63"/>
      <c r="J31816" s="63"/>
    </row>
    <row r="31817" spans="9:10" x14ac:dyDescent="0.35">
      <c r="I31817" s="63"/>
      <c r="J31817" s="63"/>
    </row>
    <row r="31818" spans="9:10" x14ac:dyDescent="0.35">
      <c r="I31818" s="63"/>
      <c r="J31818" s="63"/>
    </row>
    <row r="31819" spans="9:10" x14ac:dyDescent="0.35">
      <c r="I31819" s="63"/>
      <c r="J31819" s="63"/>
    </row>
    <row r="31820" spans="9:10" x14ac:dyDescent="0.35">
      <c r="I31820" s="63"/>
      <c r="J31820" s="63"/>
    </row>
    <row r="31821" spans="9:10" x14ac:dyDescent="0.35">
      <c r="I31821" s="63"/>
      <c r="J31821" s="63"/>
    </row>
    <row r="31822" spans="9:10" x14ac:dyDescent="0.35">
      <c r="I31822" s="63"/>
      <c r="J31822" s="63"/>
    </row>
    <row r="31823" spans="9:10" x14ac:dyDescent="0.35">
      <c r="I31823" s="63"/>
      <c r="J31823" s="63"/>
    </row>
    <row r="31824" spans="9:10" x14ac:dyDescent="0.35">
      <c r="I31824" s="63"/>
      <c r="J31824" s="63"/>
    </row>
    <row r="31825" spans="9:10" x14ac:dyDescent="0.35">
      <c r="I31825" s="63"/>
      <c r="J31825" s="63"/>
    </row>
    <row r="31826" spans="9:10" x14ac:dyDescent="0.35">
      <c r="I31826" s="63"/>
      <c r="J31826" s="63"/>
    </row>
    <row r="31827" spans="9:10" x14ac:dyDescent="0.35">
      <c r="I31827" s="63"/>
      <c r="J31827" s="63"/>
    </row>
    <row r="31828" spans="9:10" x14ac:dyDescent="0.35">
      <c r="I31828" s="63"/>
      <c r="J31828" s="63"/>
    </row>
    <row r="31829" spans="9:10" x14ac:dyDescent="0.35">
      <c r="I31829" s="63"/>
      <c r="J31829" s="63"/>
    </row>
    <row r="31830" spans="9:10" x14ac:dyDescent="0.35">
      <c r="I31830" s="63"/>
      <c r="J31830" s="63"/>
    </row>
    <row r="31831" spans="9:10" x14ac:dyDescent="0.35">
      <c r="I31831" s="63"/>
      <c r="J31831" s="63"/>
    </row>
    <row r="31832" spans="9:10" x14ac:dyDescent="0.35">
      <c r="I31832" s="63"/>
      <c r="J31832" s="63"/>
    </row>
    <row r="31833" spans="9:10" x14ac:dyDescent="0.35">
      <c r="I31833" s="63"/>
      <c r="J31833" s="63"/>
    </row>
    <row r="31834" spans="9:10" x14ac:dyDescent="0.35">
      <c r="I31834" s="63"/>
      <c r="J31834" s="63"/>
    </row>
    <row r="31835" spans="9:10" x14ac:dyDescent="0.35">
      <c r="I31835" s="63"/>
      <c r="J31835" s="63"/>
    </row>
    <row r="31836" spans="9:10" x14ac:dyDescent="0.35">
      <c r="I31836" s="63"/>
      <c r="J31836" s="63"/>
    </row>
    <row r="31837" spans="9:10" x14ac:dyDescent="0.35">
      <c r="I31837" s="63"/>
      <c r="J31837" s="63"/>
    </row>
    <row r="31838" spans="9:10" x14ac:dyDescent="0.35">
      <c r="I31838" s="63"/>
      <c r="J31838" s="63"/>
    </row>
    <row r="31839" spans="9:10" x14ac:dyDescent="0.35">
      <c r="I31839" s="63"/>
      <c r="J31839" s="63"/>
    </row>
    <row r="31840" spans="9:10" x14ac:dyDescent="0.35">
      <c r="I31840" s="63"/>
      <c r="J31840" s="63"/>
    </row>
    <row r="31841" spans="9:10" x14ac:dyDescent="0.35">
      <c r="I31841" s="63"/>
      <c r="J31841" s="63"/>
    </row>
    <row r="31842" spans="9:10" x14ac:dyDescent="0.35">
      <c r="I31842" s="63"/>
      <c r="J31842" s="63"/>
    </row>
    <row r="31843" spans="9:10" x14ac:dyDescent="0.35">
      <c r="I31843" s="63"/>
      <c r="J31843" s="63"/>
    </row>
    <row r="31844" spans="9:10" x14ac:dyDescent="0.35">
      <c r="I31844" s="63"/>
      <c r="J31844" s="63"/>
    </row>
    <row r="31845" spans="9:10" x14ac:dyDescent="0.35">
      <c r="I31845" s="63"/>
      <c r="J31845" s="63"/>
    </row>
    <row r="31846" spans="9:10" x14ac:dyDescent="0.35">
      <c r="I31846" s="63"/>
      <c r="J31846" s="63"/>
    </row>
    <row r="31847" spans="9:10" x14ac:dyDescent="0.35">
      <c r="I31847" s="63"/>
      <c r="J31847" s="63"/>
    </row>
    <row r="31848" spans="9:10" x14ac:dyDescent="0.35">
      <c r="I31848" s="63"/>
      <c r="J31848" s="63"/>
    </row>
    <row r="31849" spans="9:10" x14ac:dyDescent="0.35">
      <c r="I31849" s="63"/>
      <c r="J31849" s="63"/>
    </row>
    <row r="31850" spans="9:10" x14ac:dyDescent="0.35">
      <c r="I31850" s="63"/>
      <c r="J31850" s="63"/>
    </row>
    <row r="31851" spans="9:10" x14ac:dyDescent="0.35">
      <c r="I31851" s="63"/>
      <c r="J31851" s="63"/>
    </row>
    <row r="31852" spans="9:10" x14ac:dyDescent="0.35">
      <c r="I31852" s="63"/>
      <c r="J31852" s="63"/>
    </row>
    <row r="31853" spans="9:10" x14ac:dyDescent="0.35">
      <c r="I31853" s="63"/>
      <c r="J31853" s="63"/>
    </row>
    <row r="31854" spans="9:10" x14ac:dyDescent="0.35">
      <c r="I31854" s="63"/>
      <c r="J31854" s="63"/>
    </row>
    <row r="31855" spans="9:10" x14ac:dyDescent="0.35">
      <c r="I31855" s="63"/>
      <c r="J31855" s="63"/>
    </row>
    <row r="31856" spans="9:10" x14ac:dyDescent="0.35">
      <c r="I31856" s="63"/>
      <c r="J31856" s="63"/>
    </row>
    <row r="31857" spans="9:10" x14ac:dyDescent="0.35">
      <c r="I31857" s="63"/>
      <c r="J31857" s="63"/>
    </row>
    <row r="31858" spans="9:10" x14ac:dyDescent="0.35">
      <c r="I31858" s="63"/>
      <c r="J31858" s="63"/>
    </row>
    <row r="31859" spans="9:10" x14ac:dyDescent="0.35">
      <c r="I31859" s="63"/>
      <c r="J31859" s="63"/>
    </row>
    <row r="31860" spans="9:10" x14ac:dyDescent="0.35">
      <c r="I31860" s="63"/>
      <c r="J31860" s="63"/>
    </row>
    <row r="31861" spans="9:10" x14ac:dyDescent="0.35">
      <c r="I31861" s="63"/>
      <c r="J31861" s="63"/>
    </row>
    <row r="31862" spans="9:10" x14ac:dyDescent="0.35">
      <c r="I31862" s="63"/>
      <c r="J31862" s="63"/>
    </row>
    <row r="31863" spans="9:10" x14ac:dyDescent="0.35">
      <c r="I31863" s="63"/>
      <c r="J31863" s="63"/>
    </row>
    <row r="31864" spans="9:10" x14ac:dyDescent="0.35">
      <c r="I31864" s="63"/>
      <c r="J31864" s="63"/>
    </row>
    <row r="31865" spans="9:10" x14ac:dyDescent="0.35">
      <c r="I31865" s="63"/>
      <c r="J31865" s="63"/>
    </row>
    <row r="31866" spans="9:10" x14ac:dyDescent="0.35">
      <c r="I31866" s="63"/>
      <c r="J31866" s="63"/>
    </row>
    <row r="31867" spans="9:10" x14ac:dyDescent="0.35">
      <c r="I31867" s="63"/>
      <c r="J31867" s="63"/>
    </row>
    <row r="31868" spans="9:10" x14ac:dyDescent="0.35">
      <c r="I31868" s="63"/>
      <c r="J31868" s="63"/>
    </row>
    <row r="31869" spans="9:10" x14ac:dyDescent="0.35">
      <c r="I31869" s="63"/>
      <c r="J31869" s="63"/>
    </row>
    <row r="31870" spans="9:10" x14ac:dyDescent="0.35">
      <c r="I31870" s="63"/>
      <c r="J31870" s="63"/>
    </row>
    <row r="31871" spans="9:10" x14ac:dyDescent="0.35">
      <c r="I31871" s="63"/>
      <c r="J31871" s="63"/>
    </row>
    <row r="31872" spans="9:10" x14ac:dyDescent="0.35">
      <c r="I31872" s="63"/>
      <c r="J31872" s="63"/>
    </row>
    <row r="31873" spans="9:10" x14ac:dyDescent="0.35">
      <c r="I31873" s="63"/>
      <c r="J31873" s="63"/>
    </row>
    <row r="31874" spans="9:10" x14ac:dyDescent="0.35">
      <c r="I31874" s="63"/>
      <c r="J31874" s="63"/>
    </row>
    <row r="31875" spans="9:10" x14ac:dyDescent="0.35">
      <c r="I31875" s="63"/>
      <c r="J31875" s="63"/>
    </row>
    <row r="31876" spans="9:10" x14ac:dyDescent="0.35">
      <c r="I31876" s="63"/>
      <c r="J31876" s="63"/>
    </row>
    <row r="31877" spans="9:10" x14ac:dyDescent="0.35">
      <c r="I31877" s="63"/>
      <c r="J31877" s="63"/>
    </row>
    <row r="31878" spans="9:10" x14ac:dyDescent="0.35">
      <c r="I31878" s="63"/>
      <c r="J31878" s="63"/>
    </row>
    <row r="31879" spans="9:10" x14ac:dyDescent="0.35">
      <c r="I31879" s="63"/>
      <c r="J31879" s="63"/>
    </row>
    <row r="31880" spans="9:10" x14ac:dyDescent="0.35">
      <c r="I31880" s="63"/>
      <c r="J31880" s="63"/>
    </row>
    <row r="31881" spans="9:10" x14ac:dyDescent="0.35">
      <c r="I31881" s="63"/>
      <c r="J31881" s="63"/>
    </row>
    <row r="31882" spans="9:10" x14ac:dyDescent="0.35">
      <c r="I31882" s="63"/>
      <c r="J31882" s="63"/>
    </row>
    <row r="31883" spans="9:10" x14ac:dyDescent="0.35">
      <c r="I31883" s="63"/>
      <c r="J31883" s="63"/>
    </row>
    <row r="31884" spans="9:10" x14ac:dyDescent="0.35">
      <c r="I31884" s="63"/>
      <c r="J31884" s="63"/>
    </row>
    <row r="31885" spans="9:10" x14ac:dyDescent="0.35">
      <c r="I31885" s="63"/>
      <c r="J31885" s="63"/>
    </row>
    <row r="31886" spans="9:10" x14ac:dyDescent="0.35">
      <c r="I31886" s="63"/>
      <c r="J31886" s="63"/>
    </row>
    <row r="31887" spans="9:10" x14ac:dyDescent="0.35">
      <c r="I31887" s="63"/>
      <c r="J31887" s="63"/>
    </row>
    <row r="31888" spans="9:10" x14ac:dyDescent="0.35">
      <c r="I31888" s="63"/>
      <c r="J31888" s="63"/>
    </row>
    <row r="31889" spans="9:10" x14ac:dyDescent="0.35">
      <c r="I31889" s="63"/>
      <c r="J31889" s="63"/>
    </row>
    <row r="31890" spans="9:10" x14ac:dyDescent="0.35">
      <c r="I31890" s="63"/>
      <c r="J31890" s="63"/>
    </row>
    <row r="31891" spans="9:10" x14ac:dyDescent="0.35">
      <c r="I31891" s="63"/>
      <c r="J31891" s="63"/>
    </row>
    <row r="31892" spans="9:10" x14ac:dyDescent="0.35">
      <c r="I31892" s="63"/>
      <c r="J31892" s="63"/>
    </row>
    <row r="31893" spans="9:10" x14ac:dyDescent="0.35">
      <c r="I31893" s="63"/>
      <c r="J31893" s="63"/>
    </row>
    <row r="31894" spans="9:10" x14ac:dyDescent="0.35">
      <c r="I31894" s="63"/>
      <c r="J31894" s="63"/>
    </row>
    <row r="31895" spans="9:10" x14ac:dyDescent="0.35">
      <c r="I31895" s="63"/>
      <c r="J31895" s="63"/>
    </row>
    <row r="31896" spans="9:10" x14ac:dyDescent="0.35">
      <c r="I31896" s="63"/>
      <c r="J31896" s="63"/>
    </row>
    <row r="31897" spans="9:10" x14ac:dyDescent="0.35">
      <c r="I31897" s="63"/>
      <c r="J31897" s="63"/>
    </row>
    <row r="31898" spans="9:10" x14ac:dyDescent="0.35">
      <c r="I31898" s="63"/>
      <c r="J31898" s="63"/>
    </row>
    <row r="31899" spans="9:10" x14ac:dyDescent="0.35">
      <c r="I31899" s="63"/>
      <c r="J31899" s="63"/>
    </row>
    <row r="31900" spans="9:10" x14ac:dyDescent="0.35">
      <c r="I31900" s="63"/>
      <c r="J31900" s="63"/>
    </row>
    <row r="31901" spans="9:10" x14ac:dyDescent="0.35">
      <c r="I31901" s="63"/>
      <c r="J31901" s="63"/>
    </row>
    <row r="31902" spans="9:10" x14ac:dyDescent="0.35">
      <c r="I31902" s="63"/>
      <c r="J31902" s="63"/>
    </row>
    <row r="31903" spans="9:10" x14ac:dyDescent="0.35">
      <c r="I31903" s="63"/>
      <c r="J31903" s="63"/>
    </row>
    <row r="31904" spans="9:10" x14ac:dyDescent="0.35">
      <c r="I31904" s="63"/>
      <c r="J31904" s="63"/>
    </row>
    <row r="31905" spans="9:10" x14ac:dyDescent="0.35">
      <c r="I31905" s="63"/>
      <c r="J31905" s="63"/>
    </row>
    <row r="31906" spans="9:10" x14ac:dyDescent="0.35">
      <c r="I31906" s="63"/>
      <c r="J31906" s="63"/>
    </row>
    <row r="31907" spans="9:10" x14ac:dyDescent="0.35">
      <c r="I31907" s="63"/>
      <c r="J31907" s="63"/>
    </row>
    <row r="31908" spans="9:10" x14ac:dyDescent="0.35">
      <c r="I31908" s="63"/>
      <c r="J31908" s="63"/>
    </row>
    <row r="31909" spans="9:10" x14ac:dyDescent="0.35">
      <c r="I31909" s="63"/>
      <c r="J31909" s="63"/>
    </row>
    <row r="31910" spans="9:10" x14ac:dyDescent="0.35">
      <c r="I31910" s="63"/>
      <c r="J31910" s="63"/>
    </row>
    <row r="31911" spans="9:10" x14ac:dyDescent="0.35">
      <c r="I31911" s="63"/>
      <c r="J31911" s="63"/>
    </row>
    <row r="31912" spans="9:10" x14ac:dyDescent="0.35">
      <c r="I31912" s="63"/>
      <c r="J31912" s="63"/>
    </row>
    <row r="31913" spans="9:10" x14ac:dyDescent="0.35">
      <c r="I31913" s="63"/>
      <c r="J31913" s="63"/>
    </row>
    <row r="31914" spans="9:10" x14ac:dyDescent="0.35">
      <c r="I31914" s="63"/>
      <c r="J31914" s="63"/>
    </row>
    <row r="31915" spans="9:10" x14ac:dyDescent="0.35">
      <c r="I31915" s="63"/>
      <c r="J31915" s="63"/>
    </row>
    <row r="31916" spans="9:10" x14ac:dyDescent="0.35">
      <c r="I31916" s="63"/>
      <c r="J31916" s="63"/>
    </row>
    <row r="31917" spans="9:10" x14ac:dyDescent="0.35">
      <c r="I31917" s="63"/>
      <c r="J31917" s="63"/>
    </row>
    <row r="31918" spans="9:10" x14ac:dyDescent="0.35">
      <c r="I31918" s="63"/>
      <c r="J31918" s="63"/>
    </row>
    <row r="31919" spans="9:10" x14ac:dyDescent="0.35">
      <c r="I31919" s="63"/>
      <c r="J31919" s="63"/>
    </row>
    <row r="31920" spans="9:10" x14ac:dyDescent="0.35">
      <c r="I31920" s="63"/>
      <c r="J31920" s="63"/>
    </row>
    <row r="31921" spans="9:10" x14ac:dyDescent="0.35">
      <c r="I31921" s="63"/>
      <c r="J31921" s="63"/>
    </row>
    <row r="31922" spans="9:10" x14ac:dyDescent="0.35">
      <c r="I31922" s="63"/>
      <c r="J31922" s="63"/>
    </row>
    <row r="31923" spans="9:10" x14ac:dyDescent="0.35">
      <c r="I31923" s="63"/>
      <c r="J31923" s="63"/>
    </row>
    <row r="31924" spans="9:10" x14ac:dyDescent="0.35">
      <c r="I31924" s="63"/>
      <c r="J31924" s="63"/>
    </row>
    <row r="31925" spans="9:10" x14ac:dyDescent="0.35">
      <c r="I31925" s="63"/>
      <c r="J31925" s="63"/>
    </row>
    <row r="31926" spans="9:10" x14ac:dyDescent="0.35">
      <c r="I31926" s="63"/>
      <c r="J31926" s="63"/>
    </row>
    <row r="31927" spans="9:10" x14ac:dyDescent="0.35">
      <c r="I31927" s="63"/>
      <c r="J31927" s="63"/>
    </row>
    <row r="31928" spans="9:10" x14ac:dyDescent="0.35">
      <c r="I31928" s="63"/>
      <c r="J31928" s="63"/>
    </row>
    <row r="31929" spans="9:10" x14ac:dyDescent="0.35">
      <c r="I31929" s="63"/>
      <c r="J31929" s="63"/>
    </row>
    <row r="31930" spans="9:10" x14ac:dyDescent="0.35">
      <c r="I31930" s="63"/>
      <c r="J31930" s="63"/>
    </row>
    <row r="31931" spans="9:10" x14ac:dyDescent="0.35">
      <c r="I31931" s="63"/>
      <c r="J31931" s="63"/>
    </row>
    <row r="31932" spans="9:10" x14ac:dyDescent="0.35">
      <c r="I31932" s="63"/>
      <c r="J31932" s="63"/>
    </row>
    <row r="31933" spans="9:10" x14ac:dyDescent="0.35">
      <c r="I31933" s="63"/>
      <c r="J31933" s="63"/>
    </row>
    <row r="31934" spans="9:10" x14ac:dyDescent="0.35">
      <c r="I31934" s="63"/>
      <c r="J31934" s="63"/>
    </row>
    <row r="31935" spans="9:10" x14ac:dyDescent="0.35">
      <c r="I31935" s="63"/>
      <c r="J31935" s="63"/>
    </row>
    <row r="31936" spans="9:10" x14ac:dyDescent="0.35">
      <c r="I31936" s="63"/>
      <c r="J31936" s="63"/>
    </row>
    <row r="31937" spans="9:10" x14ac:dyDescent="0.35">
      <c r="I31937" s="63"/>
      <c r="J31937" s="63"/>
    </row>
    <row r="31938" spans="9:10" x14ac:dyDescent="0.35">
      <c r="I31938" s="63"/>
      <c r="J31938" s="63"/>
    </row>
    <row r="31939" spans="9:10" x14ac:dyDescent="0.35">
      <c r="I31939" s="63"/>
      <c r="J31939" s="63"/>
    </row>
    <row r="31940" spans="9:10" x14ac:dyDescent="0.35">
      <c r="I31940" s="63"/>
      <c r="J31940" s="63"/>
    </row>
    <row r="31941" spans="9:10" x14ac:dyDescent="0.35">
      <c r="I31941" s="63"/>
      <c r="J31941" s="63"/>
    </row>
    <row r="31942" spans="9:10" x14ac:dyDescent="0.35">
      <c r="I31942" s="63"/>
      <c r="J31942" s="63"/>
    </row>
    <row r="31943" spans="9:10" x14ac:dyDescent="0.35">
      <c r="I31943" s="63"/>
      <c r="J31943" s="63"/>
    </row>
    <row r="31944" spans="9:10" x14ac:dyDescent="0.35">
      <c r="I31944" s="63"/>
      <c r="J31944" s="63"/>
    </row>
    <row r="31945" spans="9:10" x14ac:dyDescent="0.35">
      <c r="I31945" s="63"/>
      <c r="J31945" s="63"/>
    </row>
    <row r="31946" spans="9:10" x14ac:dyDescent="0.35">
      <c r="I31946" s="63"/>
      <c r="J31946" s="63"/>
    </row>
    <row r="31947" spans="9:10" x14ac:dyDescent="0.35">
      <c r="I31947" s="63"/>
      <c r="J31947" s="63"/>
    </row>
    <row r="31948" spans="9:10" x14ac:dyDescent="0.35">
      <c r="I31948" s="63"/>
      <c r="J31948" s="63"/>
    </row>
    <row r="31949" spans="9:10" x14ac:dyDescent="0.35">
      <c r="I31949" s="63"/>
      <c r="J31949" s="63"/>
    </row>
    <row r="31950" spans="9:10" x14ac:dyDescent="0.35">
      <c r="I31950" s="63"/>
      <c r="J31950" s="63"/>
    </row>
    <row r="31951" spans="9:10" x14ac:dyDescent="0.35">
      <c r="I31951" s="63"/>
      <c r="J31951" s="63"/>
    </row>
    <row r="31952" spans="9:10" x14ac:dyDescent="0.35">
      <c r="I31952" s="63"/>
      <c r="J31952" s="63"/>
    </row>
    <row r="31953" spans="9:10" x14ac:dyDescent="0.35">
      <c r="I31953" s="63"/>
      <c r="J31953" s="63"/>
    </row>
    <row r="31954" spans="9:10" x14ac:dyDescent="0.35">
      <c r="I31954" s="63"/>
      <c r="J31954" s="63"/>
    </row>
    <row r="31955" spans="9:10" x14ac:dyDescent="0.35">
      <c r="I31955" s="63"/>
      <c r="J31955" s="63"/>
    </row>
    <row r="31956" spans="9:10" x14ac:dyDescent="0.35">
      <c r="I31956" s="63"/>
      <c r="J31956" s="63"/>
    </row>
    <row r="31957" spans="9:10" x14ac:dyDescent="0.35">
      <c r="I31957" s="63"/>
      <c r="J31957" s="63"/>
    </row>
    <row r="31958" spans="9:10" x14ac:dyDescent="0.35">
      <c r="I31958" s="63"/>
      <c r="J31958" s="63"/>
    </row>
    <row r="31959" spans="9:10" x14ac:dyDescent="0.35">
      <c r="I31959" s="63"/>
      <c r="J31959" s="63"/>
    </row>
    <row r="31960" spans="9:10" x14ac:dyDescent="0.35">
      <c r="I31960" s="63"/>
      <c r="J31960" s="63"/>
    </row>
    <row r="31961" spans="9:10" x14ac:dyDescent="0.35">
      <c r="I31961" s="63"/>
      <c r="J31961" s="63"/>
    </row>
    <row r="31962" spans="9:10" x14ac:dyDescent="0.35">
      <c r="I31962" s="63"/>
      <c r="J31962" s="63"/>
    </row>
    <row r="31963" spans="9:10" x14ac:dyDescent="0.35">
      <c r="I31963" s="63"/>
      <c r="J31963" s="63"/>
    </row>
    <row r="31964" spans="9:10" x14ac:dyDescent="0.35">
      <c r="I31964" s="63"/>
      <c r="J31964" s="63"/>
    </row>
    <row r="31965" spans="9:10" x14ac:dyDescent="0.35">
      <c r="I31965" s="63"/>
      <c r="J31965" s="63"/>
    </row>
    <row r="31966" spans="9:10" x14ac:dyDescent="0.35">
      <c r="I31966" s="63"/>
      <c r="J31966" s="63"/>
    </row>
    <row r="31967" spans="9:10" x14ac:dyDescent="0.35">
      <c r="I31967" s="63"/>
      <c r="J31967" s="63"/>
    </row>
    <row r="31968" spans="9:10" x14ac:dyDescent="0.35">
      <c r="I31968" s="63"/>
      <c r="J31968" s="63"/>
    </row>
    <row r="31969" spans="9:10" x14ac:dyDescent="0.35">
      <c r="I31969" s="63"/>
      <c r="J31969" s="63"/>
    </row>
    <row r="31970" spans="9:10" x14ac:dyDescent="0.35">
      <c r="I31970" s="63"/>
      <c r="J31970" s="63"/>
    </row>
    <row r="31971" spans="9:10" x14ac:dyDescent="0.35">
      <c r="I31971" s="63"/>
      <c r="J31971" s="63"/>
    </row>
    <row r="31972" spans="9:10" x14ac:dyDescent="0.35">
      <c r="I31972" s="63"/>
      <c r="J31972" s="63"/>
    </row>
    <row r="31973" spans="9:10" x14ac:dyDescent="0.35">
      <c r="I31973" s="63"/>
      <c r="J31973" s="63"/>
    </row>
    <row r="31974" spans="9:10" x14ac:dyDescent="0.35">
      <c r="I31974" s="63"/>
      <c r="J31974" s="63"/>
    </row>
    <row r="31975" spans="9:10" x14ac:dyDescent="0.35">
      <c r="I31975" s="63"/>
      <c r="J31975" s="63"/>
    </row>
    <row r="31976" spans="9:10" x14ac:dyDescent="0.35">
      <c r="I31976" s="63"/>
      <c r="J31976" s="63"/>
    </row>
    <row r="31977" spans="9:10" x14ac:dyDescent="0.35">
      <c r="I31977" s="63"/>
      <c r="J31977" s="63"/>
    </row>
    <row r="31978" spans="9:10" x14ac:dyDescent="0.35">
      <c r="I31978" s="63"/>
      <c r="J31978" s="63"/>
    </row>
    <row r="31979" spans="9:10" x14ac:dyDescent="0.35">
      <c r="I31979" s="63"/>
      <c r="J31979" s="63"/>
    </row>
    <row r="31980" spans="9:10" x14ac:dyDescent="0.35">
      <c r="I31980" s="63"/>
      <c r="J31980" s="63"/>
    </row>
    <row r="31981" spans="9:10" x14ac:dyDescent="0.35">
      <c r="I31981" s="63"/>
      <c r="J31981" s="63"/>
    </row>
    <row r="31982" spans="9:10" x14ac:dyDescent="0.35">
      <c r="I31982" s="63"/>
      <c r="J31982" s="63"/>
    </row>
    <row r="31983" spans="9:10" x14ac:dyDescent="0.35">
      <c r="I31983" s="63"/>
      <c r="J31983" s="63"/>
    </row>
    <row r="31984" spans="9:10" x14ac:dyDescent="0.35">
      <c r="I31984" s="63"/>
      <c r="J31984" s="63"/>
    </row>
    <row r="31985" spans="9:10" x14ac:dyDescent="0.35">
      <c r="I31985" s="63"/>
      <c r="J31985" s="63"/>
    </row>
    <row r="31986" spans="9:10" x14ac:dyDescent="0.35">
      <c r="I31986" s="63"/>
      <c r="J31986" s="63"/>
    </row>
    <row r="31987" spans="9:10" x14ac:dyDescent="0.35">
      <c r="I31987" s="63"/>
      <c r="J31987" s="63"/>
    </row>
    <row r="31988" spans="9:10" x14ac:dyDescent="0.35">
      <c r="I31988" s="63"/>
      <c r="J31988" s="63"/>
    </row>
    <row r="31989" spans="9:10" x14ac:dyDescent="0.35">
      <c r="I31989" s="63"/>
      <c r="J31989" s="63"/>
    </row>
    <row r="31990" spans="9:10" x14ac:dyDescent="0.35">
      <c r="I31990" s="63"/>
      <c r="J31990" s="63"/>
    </row>
    <row r="31991" spans="9:10" x14ac:dyDescent="0.35">
      <c r="I31991" s="63"/>
      <c r="J31991" s="63"/>
    </row>
    <row r="31992" spans="9:10" x14ac:dyDescent="0.35">
      <c r="I31992" s="63"/>
      <c r="J31992" s="63"/>
    </row>
    <row r="31993" spans="9:10" x14ac:dyDescent="0.35">
      <c r="I31993" s="63"/>
      <c r="J31993" s="63"/>
    </row>
    <row r="31994" spans="9:10" x14ac:dyDescent="0.35">
      <c r="I31994" s="63"/>
      <c r="J31994" s="63"/>
    </row>
    <row r="31995" spans="9:10" x14ac:dyDescent="0.35">
      <c r="I31995" s="63"/>
      <c r="J31995" s="63"/>
    </row>
    <row r="31996" spans="9:10" x14ac:dyDescent="0.35">
      <c r="I31996" s="63"/>
      <c r="J31996" s="63"/>
    </row>
    <row r="31997" spans="9:10" x14ac:dyDescent="0.35">
      <c r="I31997" s="63"/>
      <c r="J31997" s="63"/>
    </row>
    <row r="31998" spans="9:10" x14ac:dyDescent="0.35">
      <c r="I31998" s="63"/>
      <c r="J31998" s="63"/>
    </row>
    <row r="31999" spans="9:10" x14ac:dyDescent="0.35">
      <c r="I31999" s="63"/>
      <c r="J31999" s="63"/>
    </row>
    <row r="32000" spans="9:10" x14ac:dyDescent="0.35">
      <c r="I32000" s="63"/>
      <c r="J32000" s="63"/>
    </row>
    <row r="32001" spans="9:10" x14ac:dyDescent="0.35">
      <c r="I32001" s="63"/>
      <c r="J32001" s="63"/>
    </row>
    <row r="32002" spans="9:10" x14ac:dyDescent="0.35">
      <c r="I32002" s="63"/>
      <c r="J32002" s="63"/>
    </row>
    <row r="32003" spans="9:10" x14ac:dyDescent="0.35">
      <c r="I32003" s="63"/>
      <c r="J32003" s="63"/>
    </row>
    <row r="32004" spans="9:10" x14ac:dyDescent="0.35">
      <c r="I32004" s="63"/>
      <c r="J32004" s="63"/>
    </row>
    <row r="32005" spans="9:10" x14ac:dyDescent="0.35">
      <c r="I32005" s="63"/>
      <c r="J32005" s="63"/>
    </row>
    <row r="32006" spans="9:10" x14ac:dyDescent="0.35">
      <c r="I32006" s="63"/>
      <c r="J32006" s="63"/>
    </row>
    <row r="32007" spans="9:10" x14ac:dyDescent="0.35">
      <c r="I32007" s="63"/>
      <c r="J32007" s="63"/>
    </row>
    <row r="32008" spans="9:10" x14ac:dyDescent="0.35">
      <c r="I32008" s="63"/>
      <c r="J32008" s="63"/>
    </row>
    <row r="32009" spans="9:10" x14ac:dyDescent="0.35">
      <c r="I32009" s="63"/>
      <c r="J32009" s="63"/>
    </row>
    <row r="32010" spans="9:10" x14ac:dyDescent="0.35">
      <c r="I32010" s="63"/>
      <c r="J32010" s="63"/>
    </row>
    <row r="32011" spans="9:10" x14ac:dyDescent="0.35">
      <c r="I32011" s="63"/>
      <c r="J32011" s="63"/>
    </row>
    <row r="32012" spans="9:10" x14ac:dyDescent="0.35">
      <c r="I32012" s="63"/>
      <c r="J32012" s="63"/>
    </row>
    <row r="32013" spans="9:10" x14ac:dyDescent="0.35">
      <c r="I32013" s="63"/>
      <c r="J32013" s="63"/>
    </row>
    <row r="32014" spans="9:10" x14ac:dyDescent="0.35">
      <c r="I32014" s="63"/>
      <c r="J32014" s="63"/>
    </row>
    <row r="32015" spans="9:10" x14ac:dyDescent="0.35">
      <c r="I32015" s="63"/>
      <c r="J32015" s="63"/>
    </row>
    <row r="32016" spans="9:10" x14ac:dyDescent="0.35">
      <c r="I32016" s="63"/>
      <c r="J32016" s="63"/>
    </row>
    <row r="32017" spans="9:10" x14ac:dyDescent="0.35">
      <c r="I32017" s="63"/>
      <c r="J32017" s="63"/>
    </row>
    <row r="32018" spans="9:10" x14ac:dyDescent="0.35">
      <c r="I32018" s="63"/>
      <c r="J32018" s="63"/>
    </row>
    <row r="32019" spans="9:10" x14ac:dyDescent="0.35">
      <c r="I32019" s="63"/>
      <c r="J32019" s="63"/>
    </row>
    <row r="32020" spans="9:10" x14ac:dyDescent="0.35">
      <c r="I32020" s="63"/>
      <c r="J32020" s="63"/>
    </row>
    <row r="32021" spans="9:10" x14ac:dyDescent="0.35">
      <c r="I32021" s="63"/>
      <c r="J32021" s="63"/>
    </row>
    <row r="32022" spans="9:10" x14ac:dyDescent="0.35">
      <c r="I32022" s="63"/>
      <c r="J32022" s="63"/>
    </row>
    <row r="32023" spans="9:10" x14ac:dyDescent="0.35">
      <c r="I32023" s="63"/>
      <c r="J32023" s="63"/>
    </row>
    <row r="32024" spans="9:10" x14ac:dyDescent="0.35">
      <c r="I32024" s="63"/>
      <c r="J32024" s="63"/>
    </row>
    <row r="32025" spans="9:10" x14ac:dyDescent="0.35">
      <c r="I32025" s="63"/>
      <c r="J32025" s="63"/>
    </row>
    <row r="32026" spans="9:10" x14ac:dyDescent="0.35">
      <c r="I32026" s="63"/>
      <c r="J32026" s="63"/>
    </row>
    <row r="32027" spans="9:10" x14ac:dyDescent="0.35">
      <c r="I32027" s="63"/>
      <c r="J32027" s="63"/>
    </row>
    <row r="32028" spans="9:10" x14ac:dyDescent="0.35">
      <c r="I32028" s="63"/>
      <c r="J32028" s="63"/>
    </row>
    <row r="32029" spans="9:10" x14ac:dyDescent="0.35">
      <c r="I32029" s="63"/>
      <c r="J32029" s="63"/>
    </row>
    <row r="32030" spans="9:10" x14ac:dyDescent="0.35">
      <c r="I32030" s="63"/>
      <c r="J32030" s="63"/>
    </row>
    <row r="32031" spans="9:10" x14ac:dyDescent="0.35">
      <c r="I32031" s="63"/>
      <c r="J32031" s="63"/>
    </row>
    <row r="32032" spans="9:10" x14ac:dyDescent="0.35">
      <c r="I32032" s="63"/>
      <c r="J32032" s="63"/>
    </row>
    <row r="32033" spans="9:10" x14ac:dyDescent="0.35">
      <c r="I32033" s="63"/>
      <c r="J32033" s="63"/>
    </row>
    <row r="32034" spans="9:10" x14ac:dyDescent="0.35">
      <c r="I32034" s="63"/>
      <c r="J32034" s="63"/>
    </row>
    <row r="32035" spans="9:10" x14ac:dyDescent="0.35">
      <c r="I32035" s="63"/>
      <c r="J32035" s="63"/>
    </row>
    <row r="32036" spans="9:10" x14ac:dyDescent="0.35">
      <c r="I32036" s="63"/>
      <c r="J32036" s="63"/>
    </row>
    <row r="32037" spans="9:10" x14ac:dyDescent="0.35">
      <c r="I32037" s="63"/>
      <c r="J32037" s="63"/>
    </row>
    <row r="32038" spans="9:10" x14ac:dyDescent="0.35">
      <c r="I32038" s="63"/>
      <c r="J32038" s="63"/>
    </row>
    <row r="32039" spans="9:10" x14ac:dyDescent="0.35">
      <c r="I32039" s="63"/>
      <c r="J32039" s="63"/>
    </row>
    <row r="32040" spans="9:10" x14ac:dyDescent="0.35">
      <c r="I32040" s="63"/>
      <c r="J32040" s="63"/>
    </row>
    <row r="32041" spans="9:10" x14ac:dyDescent="0.35">
      <c r="I32041" s="63"/>
      <c r="J32041" s="63"/>
    </row>
    <row r="32042" spans="9:10" x14ac:dyDescent="0.35">
      <c r="I32042" s="63"/>
      <c r="J32042" s="63"/>
    </row>
    <row r="32043" spans="9:10" x14ac:dyDescent="0.35">
      <c r="I32043" s="63"/>
      <c r="J32043" s="63"/>
    </row>
    <row r="32044" spans="9:10" x14ac:dyDescent="0.35">
      <c r="I32044" s="63"/>
      <c r="J32044" s="63"/>
    </row>
    <row r="32045" spans="9:10" x14ac:dyDescent="0.35">
      <c r="I32045" s="63"/>
      <c r="J32045" s="63"/>
    </row>
    <row r="32046" spans="9:10" x14ac:dyDescent="0.35">
      <c r="I32046" s="63"/>
      <c r="J32046" s="63"/>
    </row>
    <row r="32047" spans="9:10" x14ac:dyDescent="0.35">
      <c r="I32047" s="63"/>
      <c r="J32047" s="63"/>
    </row>
    <row r="32048" spans="9:10" x14ac:dyDescent="0.35">
      <c r="I32048" s="63"/>
      <c r="J32048" s="63"/>
    </row>
    <row r="32049" spans="9:10" x14ac:dyDescent="0.35">
      <c r="I32049" s="63"/>
      <c r="J32049" s="63"/>
    </row>
    <row r="32050" spans="9:10" x14ac:dyDescent="0.35">
      <c r="I32050" s="63"/>
      <c r="J32050" s="63"/>
    </row>
    <row r="32051" spans="9:10" x14ac:dyDescent="0.35">
      <c r="I32051" s="63"/>
      <c r="J32051" s="63"/>
    </row>
    <row r="32052" spans="9:10" x14ac:dyDescent="0.35">
      <c r="I32052" s="63"/>
      <c r="J32052" s="63"/>
    </row>
    <row r="32053" spans="9:10" x14ac:dyDescent="0.35">
      <c r="I32053" s="63"/>
      <c r="J32053" s="63"/>
    </row>
    <row r="32054" spans="9:10" x14ac:dyDescent="0.35">
      <c r="I32054" s="63"/>
      <c r="J32054" s="63"/>
    </row>
    <row r="32055" spans="9:10" x14ac:dyDescent="0.35">
      <c r="I32055" s="63"/>
      <c r="J32055" s="63"/>
    </row>
    <row r="32056" spans="9:10" x14ac:dyDescent="0.35">
      <c r="I32056" s="63"/>
      <c r="J32056" s="63"/>
    </row>
    <row r="32057" spans="9:10" x14ac:dyDescent="0.35">
      <c r="I32057" s="63"/>
      <c r="J32057" s="63"/>
    </row>
    <row r="32058" spans="9:10" x14ac:dyDescent="0.35">
      <c r="I32058" s="63"/>
      <c r="J32058" s="63"/>
    </row>
    <row r="32059" spans="9:10" x14ac:dyDescent="0.35">
      <c r="I32059" s="63"/>
      <c r="J32059" s="63"/>
    </row>
    <row r="32060" spans="9:10" x14ac:dyDescent="0.35">
      <c r="I32060" s="63"/>
      <c r="J32060" s="63"/>
    </row>
    <row r="32061" spans="9:10" x14ac:dyDescent="0.35">
      <c r="I32061" s="63"/>
      <c r="J32061" s="63"/>
    </row>
    <row r="32062" spans="9:10" x14ac:dyDescent="0.35">
      <c r="I32062" s="63"/>
      <c r="J32062" s="63"/>
    </row>
    <row r="32063" spans="9:10" x14ac:dyDescent="0.35">
      <c r="I32063" s="63"/>
      <c r="J32063" s="63"/>
    </row>
    <row r="32064" spans="9:10" x14ac:dyDescent="0.35">
      <c r="I32064" s="63"/>
      <c r="J32064" s="63"/>
    </row>
    <row r="32065" spans="9:10" x14ac:dyDescent="0.35">
      <c r="I32065" s="63"/>
      <c r="J32065" s="63"/>
    </row>
    <row r="32066" spans="9:10" x14ac:dyDescent="0.35">
      <c r="I32066" s="63"/>
      <c r="J32066" s="63"/>
    </row>
    <row r="32067" spans="9:10" x14ac:dyDescent="0.35">
      <c r="I32067" s="63"/>
      <c r="J32067" s="63"/>
    </row>
    <row r="32068" spans="9:10" x14ac:dyDescent="0.35">
      <c r="I32068" s="63"/>
      <c r="J32068" s="63"/>
    </row>
    <row r="32069" spans="9:10" x14ac:dyDescent="0.35">
      <c r="I32069" s="63"/>
      <c r="J32069" s="63"/>
    </row>
    <row r="32070" spans="9:10" x14ac:dyDescent="0.35">
      <c r="I32070" s="63"/>
      <c r="J32070" s="63"/>
    </row>
    <row r="32071" spans="9:10" x14ac:dyDescent="0.35">
      <c r="I32071" s="63"/>
      <c r="J32071" s="63"/>
    </row>
    <row r="32072" spans="9:10" x14ac:dyDescent="0.35">
      <c r="I32072" s="63"/>
      <c r="J32072" s="63"/>
    </row>
    <row r="32073" spans="9:10" x14ac:dyDescent="0.35">
      <c r="I32073" s="63"/>
      <c r="J32073" s="63"/>
    </row>
    <row r="32074" spans="9:10" x14ac:dyDescent="0.35">
      <c r="I32074" s="63"/>
      <c r="J32074" s="63"/>
    </row>
    <row r="32075" spans="9:10" x14ac:dyDescent="0.35">
      <c r="I32075" s="63"/>
      <c r="J32075" s="63"/>
    </row>
    <row r="32076" spans="9:10" x14ac:dyDescent="0.35">
      <c r="I32076" s="63"/>
      <c r="J32076" s="63"/>
    </row>
    <row r="32077" spans="9:10" x14ac:dyDescent="0.35">
      <c r="I32077" s="63"/>
      <c r="J32077" s="63"/>
    </row>
    <row r="32078" spans="9:10" x14ac:dyDescent="0.35">
      <c r="I32078" s="63"/>
      <c r="J32078" s="63"/>
    </row>
    <row r="32079" spans="9:10" x14ac:dyDescent="0.35">
      <c r="I32079" s="63"/>
      <c r="J32079" s="63"/>
    </row>
    <row r="32080" spans="9:10" x14ac:dyDescent="0.35">
      <c r="I32080" s="63"/>
      <c r="J32080" s="63"/>
    </row>
    <row r="32081" spans="9:10" x14ac:dyDescent="0.35">
      <c r="I32081" s="63"/>
      <c r="J32081" s="63"/>
    </row>
    <row r="32082" spans="9:10" x14ac:dyDescent="0.35">
      <c r="I32082" s="63"/>
      <c r="J32082" s="63"/>
    </row>
    <row r="32083" spans="9:10" x14ac:dyDescent="0.35">
      <c r="I32083" s="63"/>
      <c r="J32083" s="63"/>
    </row>
    <row r="32084" spans="9:10" x14ac:dyDescent="0.35">
      <c r="I32084" s="63"/>
      <c r="J32084" s="63"/>
    </row>
    <row r="32085" spans="9:10" x14ac:dyDescent="0.35">
      <c r="I32085" s="63"/>
      <c r="J32085" s="63"/>
    </row>
    <row r="32086" spans="9:10" x14ac:dyDescent="0.35">
      <c r="I32086" s="63"/>
      <c r="J32086" s="63"/>
    </row>
    <row r="32087" spans="9:10" x14ac:dyDescent="0.35">
      <c r="I32087" s="63"/>
      <c r="J32087" s="63"/>
    </row>
    <row r="32088" spans="9:10" x14ac:dyDescent="0.35">
      <c r="I32088" s="63"/>
      <c r="J32088" s="63"/>
    </row>
    <row r="32089" spans="9:10" x14ac:dyDescent="0.35">
      <c r="I32089" s="63"/>
      <c r="J32089" s="63"/>
    </row>
    <row r="32090" spans="9:10" x14ac:dyDescent="0.35">
      <c r="I32090" s="63"/>
      <c r="J32090" s="63"/>
    </row>
    <row r="32091" spans="9:10" x14ac:dyDescent="0.35">
      <c r="I32091" s="63"/>
      <c r="J32091" s="63"/>
    </row>
    <row r="32092" spans="9:10" x14ac:dyDescent="0.35">
      <c r="I32092" s="63"/>
      <c r="J32092" s="63"/>
    </row>
    <row r="32093" spans="9:10" x14ac:dyDescent="0.35">
      <c r="I32093" s="63"/>
      <c r="J32093" s="63"/>
    </row>
    <row r="32094" spans="9:10" x14ac:dyDescent="0.35">
      <c r="I32094" s="63"/>
      <c r="J32094" s="63"/>
    </row>
    <row r="32095" spans="9:10" x14ac:dyDescent="0.35">
      <c r="I32095" s="63"/>
      <c r="J32095" s="63"/>
    </row>
    <row r="32096" spans="9:10" x14ac:dyDescent="0.35">
      <c r="I32096" s="63"/>
      <c r="J32096" s="63"/>
    </row>
    <row r="32097" spans="9:10" x14ac:dyDescent="0.35">
      <c r="I32097" s="63"/>
      <c r="J32097" s="63"/>
    </row>
    <row r="32098" spans="9:10" x14ac:dyDescent="0.35">
      <c r="I32098" s="63"/>
      <c r="J32098" s="63"/>
    </row>
    <row r="32099" spans="9:10" x14ac:dyDescent="0.35">
      <c r="I32099" s="63"/>
      <c r="J32099" s="63"/>
    </row>
    <row r="32100" spans="9:10" x14ac:dyDescent="0.35">
      <c r="I32100" s="63"/>
      <c r="J32100" s="63"/>
    </row>
    <row r="32101" spans="9:10" x14ac:dyDescent="0.35">
      <c r="I32101" s="63"/>
      <c r="J32101" s="63"/>
    </row>
    <row r="32102" spans="9:10" x14ac:dyDescent="0.35">
      <c r="I32102" s="63"/>
      <c r="J32102" s="63"/>
    </row>
    <row r="32103" spans="9:10" x14ac:dyDescent="0.35">
      <c r="I32103" s="63"/>
      <c r="J32103" s="63"/>
    </row>
    <row r="32104" spans="9:10" x14ac:dyDescent="0.35">
      <c r="I32104" s="63"/>
      <c r="J32104" s="63"/>
    </row>
    <row r="32105" spans="9:10" x14ac:dyDescent="0.35">
      <c r="I32105" s="63"/>
      <c r="J32105" s="63"/>
    </row>
    <row r="32106" spans="9:10" x14ac:dyDescent="0.35">
      <c r="I32106" s="63"/>
      <c r="J32106" s="63"/>
    </row>
    <row r="32107" spans="9:10" x14ac:dyDescent="0.35">
      <c r="I32107" s="63"/>
      <c r="J32107" s="63"/>
    </row>
    <row r="32108" spans="9:10" x14ac:dyDescent="0.35">
      <c r="I32108" s="63"/>
      <c r="J32108" s="63"/>
    </row>
    <row r="32109" spans="9:10" x14ac:dyDescent="0.35">
      <c r="I32109" s="63"/>
      <c r="J32109" s="63"/>
    </row>
    <row r="32110" spans="9:10" x14ac:dyDescent="0.35">
      <c r="I32110" s="63"/>
      <c r="J32110" s="63"/>
    </row>
    <row r="32111" spans="9:10" x14ac:dyDescent="0.35">
      <c r="I32111" s="63"/>
      <c r="J32111" s="63"/>
    </row>
    <row r="32112" spans="9:10" x14ac:dyDescent="0.35">
      <c r="I32112" s="63"/>
      <c r="J32112" s="63"/>
    </row>
    <row r="32113" spans="9:10" x14ac:dyDescent="0.35">
      <c r="I32113" s="63"/>
      <c r="J32113" s="63"/>
    </row>
    <row r="32114" spans="9:10" x14ac:dyDescent="0.35">
      <c r="I32114" s="63"/>
      <c r="J32114" s="63"/>
    </row>
    <row r="32115" spans="9:10" x14ac:dyDescent="0.35">
      <c r="I32115" s="63"/>
      <c r="J32115" s="63"/>
    </row>
    <row r="32116" spans="9:10" x14ac:dyDescent="0.35">
      <c r="I32116" s="63"/>
      <c r="J32116" s="63"/>
    </row>
    <row r="32117" spans="9:10" x14ac:dyDescent="0.35">
      <c r="I32117" s="63"/>
      <c r="J32117" s="63"/>
    </row>
    <row r="32118" spans="9:10" x14ac:dyDescent="0.35">
      <c r="I32118" s="63"/>
      <c r="J32118" s="63"/>
    </row>
    <row r="32119" spans="9:10" x14ac:dyDescent="0.35">
      <c r="I32119" s="63"/>
      <c r="J32119" s="63"/>
    </row>
    <row r="32120" spans="9:10" x14ac:dyDescent="0.35">
      <c r="I32120" s="63"/>
      <c r="J32120" s="63"/>
    </row>
    <row r="32121" spans="9:10" x14ac:dyDescent="0.35">
      <c r="I32121" s="63"/>
      <c r="J32121" s="63"/>
    </row>
    <row r="32122" spans="9:10" x14ac:dyDescent="0.35">
      <c r="I32122" s="63"/>
      <c r="J32122" s="63"/>
    </row>
    <row r="32123" spans="9:10" x14ac:dyDescent="0.35">
      <c r="I32123" s="63"/>
      <c r="J32123" s="63"/>
    </row>
    <row r="32124" spans="9:10" x14ac:dyDescent="0.35">
      <c r="I32124" s="63"/>
      <c r="J32124" s="63"/>
    </row>
    <row r="32125" spans="9:10" x14ac:dyDescent="0.35">
      <c r="I32125" s="63"/>
      <c r="J32125" s="63"/>
    </row>
    <row r="32126" spans="9:10" x14ac:dyDescent="0.35">
      <c r="I32126" s="63"/>
      <c r="J32126" s="63"/>
    </row>
    <row r="32127" spans="9:10" x14ac:dyDescent="0.35">
      <c r="I32127" s="63"/>
      <c r="J32127" s="63"/>
    </row>
    <row r="32128" spans="9:10" x14ac:dyDescent="0.35">
      <c r="I32128" s="63"/>
      <c r="J32128" s="63"/>
    </row>
    <row r="32129" spans="9:10" x14ac:dyDescent="0.35">
      <c r="I32129" s="63"/>
      <c r="J32129" s="63"/>
    </row>
    <row r="32130" spans="9:10" x14ac:dyDescent="0.35">
      <c r="I32130" s="63"/>
      <c r="J32130" s="63"/>
    </row>
    <row r="32131" spans="9:10" x14ac:dyDescent="0.35">
      <c r="I32131" s="63"/>
      <c r="J32131" s="63"/>
    </row>
    <row r="32132" spans="9:10" x14ac:dyDescent="0.35">
      <c r="I32132" s="63"/>
      <c r="J32132" s="63"/>
    </row>
    <row r="32133" spans="9:10" x14ac:dyDescent="0.35">
      <c r="I32133" s="63"/>
      <c r="J32133" s="63"/>
    </row>
    <row r="32134" spans="9:10" x14ac:dyDescent="0.35">
      <c r="I32134" s="63"/>
      <c r="J32134" s="63"/>
    </row>
    <row r="32135" spans="9:10" x14ac:dyDescent="0.35">
      <c r="I32135" s="63"/>
      <c r="J32135" s="63"/>
    </row>
    <row r="32136" spans="9:10" x14ac:dyDescent="0.35">
      <c r="I32136" s="63"/>
      <c r="J32136" s="63"/>
    </row>
    <row r="32137" spans="9:10" x14ac:dyDescent="0.35">
      <c r="I32137" s="63"/>
      <c r="J32137" s="63"/>
    </row>
    <row r="32138" spans="9:10" x14ac:dyDescent="0.35">
      <c r="I32138" s="63"/>
      <c r="J32138" s="63"/>
    </row>
    <row r="32139" spans="9:10" x14ac:dyDescent="0.35">
      <c r="I32139" s="63"/>
      <c r="J32139" s="63"/>
    </row>
    <row r="32140" spans="9:10" x14ac:dyDescent="0.35">
      <c r="I32140" s="63"/>
      <c r="J32140" s="63"/>
    </row>
    <row r="32141" spans="9:10" x14ac:dyDescent="0.35">
      <c r="I32141" s="63"/>
      <c r="J32141" s="63"/>
    </row>
    <row r="32142" spans="9:10" x14ac:dyDescent="0.35">
      <c r="I32142" s="63"/>
      <c r="J32142" s="63"/>
    </row>
    <row r="32143" spans="9:10" x14ac:dyDescent="0.35">
      <c r="I32143" s="63"/>
      <c r="J32143" s="63"/>
    </row>
    <row r="32144" spans="9:10" x14ac:dyDescent="0.35">
      <c r="I32144" s="63"/>
      <c r="J32144" s="63"/>
    </row>
    <row r="32145" spans="9:10" x14ac:dyDescent="0.35">
      <c r="I32145" s="63"/>
      <c r="J32145" s="63"/>
    </row>
    <row r="32146" spans="9:10" x14ac:dyDescent="0.35">
      <c r="I32146" s="63"/>
      <c r="J32146" s="63"/>
    </row>
    <row r="32147" spans="9:10" x14ac:dyDescent="0.35">
      <c r="I32147" s="63"/>
      <c r="J32147" s="63"/>
    </row>
    <row r="32148" spans="9:10" x14ac:dyDescent="0.35">
      <c r="I32148" s="63"/>
      <c r="J32148" s="63"/>
    </row>
    <row r="32149" spans="9:10" x14ac:dyDescent="0.35">
      <c r="I32149" s="63"/>
      <c r="J32149" s="63"/>
    </row>
    <row r="32150" spans="9:10" x14ac:dyDescent="0.35">
      <c r="I32150" s="63"/>
      <c r="J32150" s="63"/>
    </row>
    <row r="32151" spans="9:10" x14ac:dyDescent="0.35">
      <c r="I32151" s="63"/>
      <c r="J32151" s="63"/>
    </row>
    <row r="32152" spans="9:10" x14ac:dyDescent="0.35">
      <c r="I32152" s="63"/>
      <c r="J32152" s="63"/>
    </row>
    <row r="32153" spans="9:10" x14ac:dyDescent="0.35">
      <c r="I32153" s="63"/>
      <c r="J32153" s="63"/>
    </row>
    <row r="32154" spans="9:10" x14ac:dyDescent="0.35">
      <c r="I32154" s="63"/>
      <c r="J32154" s="63"/>
    </row>
    <row r="32155" spans="9:10" x14ac:dyDescent="0.35">
      <c r="I32155" s="63"/>
      <c r="J32155" s="63"/>
    </row>
    <row r="32156" spans="9:10" x14ac:dyDescent="0.35">
      <c r="I32156" s="63"/>
      <c r="J32156" s="63"/>
    </row>
    <row r="32157" spans="9:10" x14ac:dyDescent="0.35">
      <c r="I32157" s="63"/>
      <c r="J32157" s="63"/>
    </row>
    <row r="32158" spans="9:10" x14ac:dyDescent="0.35">
      <c r="I32158" s="63"/>
      <c r="J32158" s="63"/>
    </row>
    <row r="32159" spans="9:10" x14ac:dyDescent="0.35">
      <c r="I32159" s="63"/>
      <c r="J32159" s="63"/>
    </row>
    <row r="32160" spans="9:10" x14ac:dyDescent="0.35">
      <c r="I32160" s="63"/>
      <c r="J32160" s="63"/>
    </row>
    <row r="32161" spans="9:10" x14ac:dyDescent="0.35">
      <c r="I32161" s="63"/>
      <c r="J32161" s="63"/>
    </row>
    <row r="32162" spans="9:10" x14ac:dyDescent="0.35">
      <c r="I32162" s="63"/>
      <c r="J32162" s="63"/>
    </row>
    <row r="32163" spans="9:10" x14ac:dyDescent="0.35">
      <c r="I32163" s="63"/>
      <c r="J32163" s="63"/>
    </row>
    <row r="32164" spans="9:10" x14ac:dyDescent="0.35">
      <c r="I32164" s="63"/>
      <c r="J32164" s="63"/>
    </row>
    <row r="32165" spans="9:10" x14ac:dyDescent="0.35">
      <c r="I32165" s="63"/>
      <c r="J32165" s="63"/>
    </row>
    <row r="32166" spans="9:10" x14ac:dyDescent="0.35">
      <c r="I32166" s="63"/>
      <c r="J32166" s="63"/>
    </row>
    <row r="32167" spans="9:10" x14ac:dyDescent="0.35">
      <c r="I32167" s="63"/>
      <c r="J32167" s="63"/>
    </row>
    <row r="32168" spans="9:10" x14ac:dyDescent="0.35">
      <c r="I32168" s="63"/>
      <c r="J32168" s="63"/>
    </row>
    <row r="32169" spans="9:10" x14ac:dyDescent="0.35">
      <c r="I32169" s="63"/>
      <c r="J32169" s="63"/>
    </row>
    <row r="32170" spans="9:10" x14ac:dyDescent="0.35">
      <c r="I32170" s="63"/>
      <c r="J32170" s="63"/>
    </row>
    <row r="32171" spans="9:10" x14ac:dyDescent="0.35">
      <c r="I32171" s="63"/>
      <c r="J32171" s="63"/>
    </row>
    <row r="32172" spans="9:10" x14ac:dyDescent="0.35">
      <c r="I32172" s="63"/>
      <c r="J32172" s="63"/>
    </row>
    <row r="32173" spans="9:10" x14ac:dyDescent="0.35">
      <c r="I32173" s="63"/>
      <c r="J32173" s="63"/>
    </row>
    <row r="32174" spans="9:10" x14ac:dyDescent="0.35">
      <c r="I32174" s="63"/>
      <c r="J32174" s="63"/>
    </row>
    <row r="32175" spans="9:10" x14ac:dyDescent="0.35">
      <c r="I32175" s="63"/>
      <c r="J32175" s="63"/>
    </row>
    <row r="32176" spans="9:10" x14ac:dyDescent="0.35">
      <c r="I32176" s="63"/>
      <c r="J32176" s="63"/>
    </row>
    <row r="32177" spans="9:10" x14ac:dyDescent="0.35">
      <c r="I32177" s="63"/>
      <c r="J32177" s="63"/>
    </row>
    <row r="32178" spans="9:10" x14ac:dyDescent="0.35">
      <c r="I32178" s="63"/>
      <c r="J32178" s="63"/>
    </row>
    <row r="32179" spans="9:10" x14ac:dyDescent="0.35">
      <c r="I32179" s="63"/>
      <c r="J32179" s="63"/>
    </row>
    <row r="32180" spans="9:10" x14ac:dyDescent="0.35">
      <c r="I32180" s="63"/>
      <c r="J32180" s="63"/>
    </row>
    <row r="32181" spans="9:10" x14ac:dyDescent="0.35">
      <c r="I32181" s="63"/>
      <c r="J32181" s="63"/>
    </row>
    <row r="32182" spans="9:10" x14ac:dyDescent="0.35">
      <c r="I32182" s="63"/>
      <c r="J32182" s="63"/>
    </row>
    <row r="32183" spans="9:10" x14ac:dyDescent="0.35">
      <c r="I32183" s="63"/>
      <c r="J32183" s="63"/>
    </row>
    <row r="32184" spans="9:10" x14ac:dyDescent="0.35">
      <c r="I32184" s="63"/>
      <c r="J32184" s="63"/>
    </row>
    <row r="32185" spans="9:10" x14ac:dyDescent="0.35">
      <c r="I32185" s="63"/>
      <c r="J32185" s="63"/>
    </row>
    <row r="32186" spans="9:10" x14ac:dyDescent="0.35">
      <c r="I32186" s="63"/>
      <c r="J32186" s="63"/>
    </row>
    <row r="32187" spans="9:10" x14ac:dyDescent="0.35">
      <c r="I32187" s="63"/>
      <c r="J32187" s="63"/>
    </row>
    <row r="32188" spans="9:10" x14ac:dyDescent="0.35">
      <c r="I32188" s="63"/>
      <c r="J32188" s="63"/>
    </row>
    <row r="32189" spans="9:10" x14ac:dyDescent="0.35">
      <c r="I32189" s="63"/>
      <c r="J32189" s="63"/>
    </row>
    <row r="32190" spans="9:10" x14ac:dyDescent="0.35">
      <c r="I32190" s="63"/>
      <c r="J32190" s="63"/>
    </row>
    <row r="32191" spans="9:10" x14ac:dyDescent="0.35">
      <c r="I32191" s="63"/>
      <c r="J32191" s="63"/>
    </row>
    <row r="32192" spans="9:10" x14ac:dyDescent="0.35">
      <c r="I32192" s="63"/>
      <c r="J32192" s="63"/>
    </row>
    <row r="32193" spans="9:10" x14ac:dyDescent="0.35">
      <c r="I32193" s="63"/>
      <c r="J32193" s="63"/>
    </row>
    <row r="32194" spans="9:10" x14ac:dyDescent="0.35">
      <c r="I32194" s="63"/>
      <c r="J32194" s="63"/>
    </row>
    <row r="32195" spans="9:10" x14ac:dyDescent="0.35">
      <c r="I32195" s="63"/>
      <c r="J32195" s="63"/>
    </row>
    <row r="32196" spans="9:10" x14ac:dyDescent="0.35">
      <c r="I32196" s="63"/>
      <c r="J32196" s="63"/>
    </row>
    <row r="32197" spans="9:10" x14ac:dyDescent="0.35">
      <c r="I32197" s="63"/>
      <c r="J32197" s="63"/>
    </row>
    <row r="32198" spans="9:10" x14ac:dyDescent="0.35">
      <c r="I32198" s="63"/>
      <c r="J32198" s="63"/>
    </row>
    <row r="32199" spans="9:10" x14ac:dyDescent="0.35">
      <c r="I32199" s="63"/>
      <c r="J32199" s="63"/>
    </row>
    <row r="32200" spans="9:10" x14ac:dyDescent="0.35">
      <c r="I32200" s="63"/>
      <c r="J32200" s="63"/>
    </row>
    <row r="32201" spans="9:10" x14ac:dyDescent="0.35">
      <c r="I32201" s="63"/>
      <c r="J32201" s="63"/>
    </row>
    <row r="32202" spans="9:10" x14ac:dyDescent="0.35">
      <c r="I32202" s="63"/>
      <c r="J32202" s="63"/>
    </row>
    <row r="32203" spans="9:10" x14ac:dyDescent="0.35">
      <c r="I32203" s="63"/>
      <c r="J32203" s="63"/>
    </row>
    <row r="32204" spans="9:10" x14ac:dyDescent="0.35">
      <c r="I32204" s="63"/>
      <c r="J32204" s="63"/>
    </row>
    <row r="32205" spans="9:10" x14ac:dyDescent="0.35">
      <c r="I32205" s="63"/>
      <c r="J32205" s="63"/>
    </row>
    <row r="32206" spans="9:10" x14ac:dyDescent="0.35">
      <c r="I32206" s="63"/>
      <c r="J32206" s="63"/>
    </row>
    <row r="32207" spans="9:10" x14ac:dyDescent="0.35">
      <c r="I32207" s="63"/>
      <c r="J32207" s="63"/>
    </row>
    <row r="32208" spans="9:10" x14ac:dyDescent="0.35">
      <c r="I32208" s="63"/>
      <c r="J32208" s="63"/>
    </row>
    <row r="32209" spans="9:10" x14ac:dyDescent="0.35">
      <c r="I32209" s="63"/>
      <c r="J32209" s="63"/>
    </row>
    <row r="32210" spans="9:10" x14ac:dyDescent="0.35">
      <c r="I32210" s="63"/>
      <c r="J32210" s="63"/>
    </row>
    <row r="32211" spans="9:10" x14ac:dyDescent="0.35">
      <c r="I32211" s="63"/>
      <c r="J32211" s="63"/>
    </row>
    <row r="32212" spans="9:10" x14ac:dyDescent="0.35">
      <c r="I32212" s="63"/>
      <c r="J32212" s="63"/>
    </row>
    <row r="32213" spans="9:10" x14ac:dyDescent="0.35">
      <c r="I32213" s="63"/>
      <c r="J32213" s="63"/>
    </row>
    <row r="32214" spans="9:10" x14ac:dyDescent="0.35">
      <c r="I32214" s="63"/>
      <c r="J32214" s="63"/>
    </row>
    <row r="32215" spans="9:10" x14ac:dyDescent="0.35">
      <c r="I32215" s="63"/>
      <c r="J32215" s="63"/>
    </row>
    <row r="32216" spans="9:10" x14ac:dyDescent="0.35">
      <c r="I32216" s="63"/>
      <c r="J32216" s="63"/>
    </row>
    <row r="32217" spans="9:10" x14ac:dyDescent="0.35">
      <c r="I32217" s="63"/>
      <c r="J32217" s="63"/>
    </row>
    <row r="32218" spans="9:10" x14ac:dyDescent="0.35">
      <c r="I32218" s="63"/>
      <c r="J32218" s="63"/>
    </row>
    <row r="32219" spans="9:10" x14ac:dyDescent="0.35">
      <c r="I32219" s="63"/>
      <c r="J32219" s="63"/>
    </row>
    <row r="32220" spans="9:10" x14ac:dyDescent="0.35">
      <c r="I32220" s="63"/>
      <c r="J32220" s="63"/>
    </row>
    <row r="32221" spans="9:10" x14ac:dyDescent="0.35">
      <c r="I32221" s="63"/>
      <c r="J32221" s="63"/>
    </row>
    <row r="32222" spans="9:10" x14ac:dyDescent="0.35">
      <c r="I32222" s="63"/>
      <c r="J32222" s="63"/>
    </row>
    <row r="32223" spans="9:10" x14ac:dyDescent="0.35">
      <c r="I32223" s="63"/>
      <c r="J32223" s="63"/>
    </row>
    <row r="32224" spans="9:10" x14ac:dyDescent="0.35">
      <c r="I32224" s="63"/>
      <c r="J32224" s="63"/>
    </row>
    <row r="32225" spans="9:10" x14ac:dyDescent="0.35">
      <c r="I32225" s="63"/>
      <c r="J32225" s="63"/>
    </row>
    <row r="32226" spans="9:10" x14ac:dyDescent="0.35">
      <c r="I32226" s="63"/>
      <c r="J32226" s="63"/>
    </row>
    <row r="32227" spans="9:10" x14ac:dyDescent="0.35">
      <c r="I32227" s="63"/>
      <c r="J32227" s="63"/>
    </row>
    <row r="32228" spans="9:10" x14ac:dyDescent="0.35">
      <c r="I32228" s="63"/>
      <c r="J32228" s="63"/>
    </row>
    <row r="32229" spans="9:10" x14ac:dyDescent="0.35">
      <c r="I32229" s="63"/>
      <c r="J32229" s="63"/>
    </row>
    <row r="32230" spans="9:10" x14ac:dyDescent="0.35">
      <c r="I32230" s="63"/>
      <c r="J32230" s="63"/>
    </row>
    <row r="32231" spans="9:10" x14ac:dyDescent="0.35">
      <c r="I32231" s="63"/>
      <c r="J32231" s="63"/>
    </row>
    <row r="32232" spans="9:10" x14ac:dyDescent="0.35">
      <c r="I32232" s="63"/>
      <c r="J32232" s="63"/>
    </row>
    <row r="32233" spans="9:10" x14ac:dyDescent="0.35">
      <c r="I32233" s="63"/>
      <c r="J32233" s="63"/>
    </row>
    <row r="32234" spans="9:10" x14ac:dyDescent="0.35">
      <c r="I32234" s="63"/>
      <c r="J32234" s="63"/>
    </row>
    <row r="32235" spans="9:10" x14ac:dyDescent="0.35">
      <c r="I32235" s="63"/>
      <c r="J32235" s="63"/>
    </row>
    <row r="32236" spans="9:10" x14ac:dyDescent="0.35">
      <c r="I32236" s="63"/>
      <c r="J32236" s="63"/>
    </row>
    <row r="32237" spans="9:10" x14ac:dyDescent="0.35">
      <c r="I32237" s="63"/>
      <c r="J32237" s="63"/>
    </row>
    <row r="32238" spans="9:10" x14ac:dyDescent="0.35">
      <c r="I32238" s="63"/>
      <c r="J32238" s="63"/>
    </row>
    <row r="32239" spans="9:10" x14ac:dyDescent="0.35">
      <c r="I32239" s="63"/>
      <c r="J32239" s="63"/>
    </row>
    <row r="32240" spans="9:10" x14ac:dyDescent="0.35">
      <c r="I32240" s="63"/>
      <c r="J32240" s="63"/>
    </row>
    <row r="32241" spans="9:10" x14ac:dyDescent="0.35">
      <c r="I32241" s="63"/>
      <c r="J32241" s="63"/>
    </row>
    <row r="32242" spans="9:10" x14ac:dyDescent="0.35">
      <c r="I32242" s="63"/>
      <c r="J32242" s="63"/>
    </row>
    <row r="32243" spans="9:10" x14ac:dyDescent="0.35">
      <c r="I32243" s="63"/>
      <c r="J32243" s="63"/>
    </row>
    <row r="32244" spans="9:10" x14ac:dyDescent="0.35">
      <c r="I32244" s="63"/>
      <c r="J32244" s="63"/>
    </row>
    <row r="32245" spans="9:10" x14ac:dyDescent="0.35">
      <c r="I32245" s="63"/>
      <c r="J32245" s="63"/>
    </row>
    <row r="32246" spans="9:10" x14ac:dyDescent="0.35">
      <c r="I32246" s="63"/>
      <c r="J32246" s="63"/>
    </row>
    <row r="32247" spans="9:10" x14ac:dyDescent="0.35">
      <c r="I32247" s="63"/>
      <c r="J32247" s="63"/>
    </row>
    <row r="32248" spans="9:10" x14ac:dyDescent="0.35">
      <c r="I32248" s="63"/>
      <c r="J32248" s="63"/>
    </row>
    <row r="32249" spans="9:10" x14ac:dyDescent="0.35">
      <c r="I32249" s="63"/>
      <c r="J32249" s="63"/>
    </row>
    <row r="32250" spans="9:10" x14ac:dyDescent="0.35">
      <c r="I32250" s="63"/>
      <c r="J32250" s="63"/>
    </row>
    <row r="32251" spans="9:10" x14ac:dyDescent="0.35">
      <c r="I32251" s="63"/>
      <c r="J32251" s="63"/>
    </row>
    <row r="32252" spans="9:10" x14ac:dyDescent="0.35">
      <c r="I32252" s="63"/>
      <c r="J32252" s="63"/>
    </row>
    <row r="32253" spans="9:10" x14ac:dyDescent="0.35">
      <c r="I32253" s="63"/>
      <c r="J32253" s="63"/>
    </row>
    <row r="32254" spans="9:10" x14ac:dyDescent="0.35">
      <c r="I32254" s="63"/>
      <c r="J32254" s="63"/>
    </row>
    <row r="32255" spans="9:10" x14ac:dyDescent="0.35">
      <c r="I32255" s="63"/>
      <c r="J32255" s="63"/>
    </row>
    <row r="32256" spans="9:10" x14ac:dyDescent="0.35">
      <c r="I32256" s="63"/>
      <c r="J32256" s="63"/>
    </row>
    <row r="32257" spans="9:10" x14ac:dyDescent="0.35">
      <c r="I32257" s="63"/>
      <c r="J32257" s="63"/>
    </row>
    <row r="32258" spans="9:10" x14ac:dyDescent="0.35">
      <c r="I32258" s="63"/>
      <c r="J32258" s="63"/>
    </row>
    <row r="32259" spans="9:10" x14ac:dyDescent="0.35">
      <c r="I32259" s="63"/>
      <c r="J32259" s="63"/>
    </row>
    <row r="32260" spans="9:10" x14ac:dyDescent="0.35">
      <c r="I32260" s="63"/>
      <c r="J32260" s="63"/>
    </row>
    <row r="32261" spans="9:10" x14ac:dyDescent="0.35">
      <c r="I32261" s="63"/>
      <c r="J32261" s="63"/>
    </row>
    <row r="32262" spans="9:10" x14ac:dyDescent="0.35">
      <c r="I32262" s="63"/>
      <c r="J32262" s="63"/>
    </row>
    <row r="32263" spans="9:10" x14ac:dyDescent="0.35">
      <c r="I32263" s="63"/>
      <c r="J32263" s="63"/>
    </row>
    <row r="32264" spans="9:10" x14ac:dyDescent="0.35">
      <c r="I32264" s="63"/>
      <c r="J32264" s="63"/>
    </row>
    <row r="32265" spans="9:10" x14ac:dyDescent="0.35">
      <c r="I32265" s="63"/>
      <c r="J32265" s="63"/>
    </row>
    <row r="32266" spans="9:10" x14ac:dyDescent="0.35">
      <c r="I32266" s="63"/>
      <c r="J32266" s="63"/>
    </row>
    <row r="32267" spans="9:10" x14ac:dyDescent="0.35">
      <c r="I32267" s="63"/>
      <c r="J32267" s="63"/>
    </row>
    <row r="32268" spans="9:10" x14ac:dyDescent="0.35">
      <c r="I32268" s="63"/>
      <c r="J32268" s="63"/>
    </row>
    <row r="32269" spans="9:10" x14ac:dyDescent="0.35">
      <c r="I32269" s="63"/>
      <c r="J32269" s="63"/>
    </row>
    <row r="32270" spans="9:10" x14ac:dyDescent="0.35">
      <c r="I32270" s="63"/>
      <c r="J32270" s="63"/>
    </row>
    <row r="32271" spans="9:10" x14ac:dyDescent="0.35">
      <c r="I32271" s="63"/>
      <c r="J32271" s="63"/>
    </row>
    <row r="32272" spans="9:10" x14ac:dyDescent="0.35">
      <c r="I32272" s="63"/>
      <c r="J32272" s="63"/>
    </row>
    <row r="32273" spans="9:10" x14ac:dyDescent="0.35">
      <c r="I32273" s="63"/>
      <c r="J32273" s="63"/>
    </row>
    <row r="32274" spans="9:10" x14ac:dyDescent="0.35">
      <c r="I32274" s="63"/>
      <c r="J32274" s="63"/>
    </row>
    <row r="32275" spans="9:10" x14ac:dyDescent="0.35">
      <c r="I32275" s="63"/>
      <c r="J32275" s="63"/>
    </row>
    <row r="32276" spans="9:10" x14ac:dyDescent="0.35">
      <c r="I32276" s="63"/>
      <c r="J32276" s="63"/>
    </row>
    <row r="32277" spans="9:10" x14ac:dyDescent="0.35">
      <c r="I32277" s="63"/>
      <c r="J32277" s="63"/>
    </row>
    <row r="32278" spans="9:10" x14ac:dyDescent="0.35">
      <c r="I32278" s="63"/>
      <c r="J32278" s="63"/>
    </row>
    <row r="32279" spans="9:10" x14ac:dyDescent="0.35">
      <c r="I32279" s="63"/>
      <c r="J32279" s="63"/>
    </row>
    <row r="32280" spans="9:10" x14ac:dyDescent="0.35">
      <c r="I32280" s="63"/>
      <c r="J32280" s="63"/>
    </row>
    <row r="32281" spans="9:10" x14ac:dyDescent="0.35">
      <c r="I32281" s="63"/>
      <c r="J32281" s="63"/>
    </row>
    <row r="32282" spans="9:10" x14ac:dyDescent="0.35">
      <c r="I32282" s="63"/>
      <c r="J32282" s="63"/>
    </row>
    <row r="32283" spans="9:10" x14ac:dyDescent="0.35">
      <c r="I32283" s="63"/>
      <c r="J32283" s="63"/>
    </row>
    <row r="32284" spans="9:10" x14ac:dyDescent="0.35">
      <c r="I32284" s="63"/>
      <c r="J32284" s="63"/>
    </row>
    <row r="32285" spans="9:10" x14ac:dyDescent="0.35">
      <c r="I32285" s="63"/>
      <c r="J32285" s="63"/>
    </row>
    <row r="32286" spans="9:10" x14ac:dyDescent="0.35">
      <c r="I32286" s="63"/>
      <c r="J32286" s="63"/>
    </row>
    <row r="32287" spans="9:10" x14ac:dyDescent="0.35">
      <c r="I32287" s="63"/>
      <c r="J32287" s="63"/>
    </row>
    <row r="32288" spans="9:10" x14ac:dyDescent="0.35">
      <c r="I32288" s="63"/>
      <c r="J32288" s="63"/>
    </row>
    <row r="32289" spans="9:10" x14ac:dyDescent="0.35">
      <c r="I32289" s="63"/>
      <c r="J32289" s="63"/>
    </row>
    <row r="32290" spans="9:10" x14ac:dyDescent="0.35">
      <c r="I32290" s="63"/>
      <c r="J32290" s="63"/>
    </row>
    <row r="32291" spans="9:10" x14ac:dyDescent="0.35">
      <c r="I32291" s="63"/>
      <c r="J32291" s="63"/>
    </row>
    <row r="32292" spans="9:10" x14ac:dyDescent="0.35">
      <c r="I32292" s="63"/>
      <c r="J32292" s="63"/>
    </row>
    <row r="32293" spans="9:10" x14ac:dyDescent="0.35">
      <c r="I32293" s="63"/>
      <c r="J32293" s="63"/>
    </row>
    <row r="32294" spans="9:10" x14ac:dyDescent="0.35">
      <c r="I32294" s="63"/>
      <c r="J32294" s="63"/>
    </row>
    <row r="32295" spans="9:10" x14ac:dyDescent="0.35">
      <c r="I32295" s="63"/>
      <c r="J32295" s="63"/>
    </row>
    <row r="32296" spans="9:10" x14ac:dyDescent="0.35">
      <c r="I32296" s="63"/>
      <c r="J32296" s="63"/>
    </row>
    <row r="32297" spans="9:10" x14ac:dyDescent="0.35">
      <c r="I32297" s="63"/>
      <c r="J32297" s="63"/>
    </row>
    <row r="32298" spans="9:10" x14ac:dyDescent="0.35">
      <c r="I32298" s="63"/>
      <c r="J32298" s="63"/>
    </row>
    <row r="32299" spans="9:10" x14ac:dyDescent="0.35">
      <c r="I32299" s="63"/>
      <c r="J32299" s="63"/>
    </row>
    <row r="32300" spans="9:10" x14ac:dyDescent="0.35">
      <c r="I32300" s="63"/>
      <c r="J32300" s="63"/>
    </row>
    <row r="32301" spans="9:10" x14ac:dyDescent="0.35">
      <c r="I32301" s="63"/>
      <c r="J32301" s="63"/>
    </row>
    <row r="32302" spans="9:10" x14ac:dyDescent="0.35">
      <c r="I32302" s="63"/>
      <c r="J32302" s="63"/>
    </row>
    <row r="32303" spans="9:10" x14ac:dyDescent="0.35">
      <c r="I32303" s="63"/>
      <c r="J32303" s="63"/>
    </row>
    <row r="32304" spans="9:10" x14ac:dyDescent="0.35">
      <c r="I32304" s="63"/>
      <c r="J32304" s="63"/>
    </row>
    <row r="32305" spans="9:10" x14ac:dyDescent="0.35">
      <c r="I32305" s="63"/>
      <c r="J32305" s="63"/>
    </row>
    <row r="32306" spans="9:10" x14ac:dyDescent="0.35">
      <c r="I32306" s="63"/>
      <c r="J32306" s="63"/>
    </row>
    <row r="32307" spans="9:10" x14ac:dyDescent="0.35">
      <c r="I32307" s="63"/>
      <c r="J32307" s="63"/>
    </row>
    <row r="32308" spans="9:10" x14ac:dyDescent="0.35">
      <c r="I32308" s="63"/>
      <c r="J32308" s="63"/>
    </row>
    <row r="32309" spans="9:10" x14ac:dyDescent="0.35">
      <c r="I32309" s="63"/>
      <c r="J32309" s="63"/>
    </row>
    <row r="32310" spans="9:10" x14ac:dyDescent="0.35">
      <c r="I32310" s="63"/>
      <c r="J32310" s="63"/>
    </row>
    <row r="32311" spans="9:10" x14ac:dyDescent="0.35">
      <c r="I32311" s="63"/>
      <c r="J32311" s="63"/>
    </row>
    <row r="32312" spans="9:10" x14ac:dyDescent="0.35">
      <c r="I32312" s="63"/>
      <c r="J32312" s="63"/>
    </row>
    <row r="32313" spans="9:10" x14ac:dyDescent="0.35">
      <c r="I32313" s="63"/>
      <c r="J32313" s="63"/>
    </row>
    <row r="32314" spans="9:10" x14ac:dyDescent="0.35">
      <c r="I32314" s="63"/>
      <c r="J32314" s="63"/>
    </row>
    <row r="32315" spans="9:10" x14ac:dyDescent="0.35">
      <c r="I32315" s="63"/>
      <c r="J32315" s="63"/>
    </row>
    <row r="32316" spans="9:10" x14ac:dyDescent="0.35">
      <c r="I32316" s="63"/>
      <c r="J32316" s="63"/>
    </row>
    <row r="32317" spans="9:10" x14ac:dyDescent="0.35">
      <c r="I32317" s="63"/>
      <c r="J32317" s="63"/>
    </row>
    <row r="32318" spans="9:10" x14ac:dyDescent="0.35">
      <c r="I32318" s="63"/>
      <c r="J32318" s="63"/>
    </row>
    <row r="32319" spans="9:10" x14ac:dyDescent="0.35">
      <c r="I32319" s="63"/>
      <c r="J32319" s="63"/>
    </row>
    <row r="32320" spans="9:10" x14ac:dyDescent="0.35">
      <c r="I32320" s="63"/>
      <c r="J32320" s="63"/>
    </row>
    <row r="32321" spans="9:10" x14ac:dyDescent="0.35">
      <c r="I32321" s="63"/>
      <c r="J32321" s="63"/>
    </row>
    <row r="32322" spans="9:10" x14ac:dyDescent="0.35">
      <c r="I32322" s="63"/>
      <c r="J32322" s="63"/>
    </row>
    <row r="32323" spans="9:10" x14ac:dyDescent="0.35">
      <c r="I32323" s="63"/>
      <c r="J32323" s="63"/>
    </row>
    <row r="32324" spans="9:10" x14ac:dyDescent="0.35">
      <c r="I32324" s="63"/>
      <c r="J32324" s="63"/>
    </row>
    <row r="32325" spans="9:10" x14ac:dyDescent="0.35">
      <c r="I32325" s="63"/>
      <c r="J32325" s="63"/>
    </row>
    <row r="32326" spans="9:10" x14ac:dyDescent="0.35">
      <c r="I32326" s="63"/>
      <c r="J32326" s="63"/>
    </row>
    <row r="32327" spans="9:10" x14ac:dyDescent="0.35">
      <c r="I32327" s="63"/>
      <c r="J32327" s="63"/>
    </row>
    <row r="32328" spans="9:10" x14ac:dyDescent="0.35">
      <c r="I32328" s="63"/>
      <c r="J32328" s="63"/>
    </row>
    <row r="32329" spans="9:10" x14ac:dyDescent="0.35">
      <c r="I32329" s="63"/>
      <c r="J32329" s="63"/>
    </row>
    <row r="32330" spans="9:10" x14ac:dyDescent="0.35">
      <c r="I32330" s="63"/>
      <c r="J32330" s="63"/>
    </row>
    <row r="32331" spans="9:10" x14ac:dyDescent="0.35">
      <c r="I32331" s="63"/>
      <c r="J32331" s="63"/>
    </row>
    <row r="32332" spans="9:10" x14ac:dyDescent="0.35">
      <c r="I32332" s="63"/>
      <c r="J32332" s="63"/>
    </row>
    <row r="32333" spans="9:10" x14ac:dyDescent="0.35">
      <c r="I32333" s="63"/>
      <c r="J32333" s="63"/>
    </row>
    <row r="32334" spans="9:10" x14ac:dyDescent="0.35">
      <c r="I32334" s="63"/>
      <c r="J32334" s="63"/>
    </row>
    <row r="32335" spans="9:10" x14ac:dyDescent="0.35">
      <c r="I32335" s="63"/>
      <c r="J32335" s="63"/>
    </row>
    <row r="32336" spans="9:10" x14ac:dyDescent="0.35">
      <c r="I32336" s="63"/>
      <c r="J32336" s="63"/>
    </row>
    <row r="32337" spans="9:10" x14ac:dyDescent="0.35">
      <c r="I32337" s="63"/>
      <c r="J32337" s="63"/>
    </row>
    <row r="32338" spans="9:10" x14ac:dyDescent="0.35">
      <c r="I32338" s="63"/>
      <c r="J32338" s="63"/>
    </row>
    <row r="32339" spans="9:10" x14ac:dyDescent="0.35">
      <c r="I32339" s="63"/>
      <c r="J32339" s="63"/>
    </row>
    <row r="32340" spans="9:10" x14ac:dyDescent="0.35">
      <c r="I32340" s="63"/>
      <c r="J32340" s="63"/>
    </row>
    <row r="32341" spans="9:10" x14ac:dyDescent="0.35">
      <c r="I32341" s="63"/>
      <c r="J32341" s="63"/>
    </row>
    <row r="32342" spans="9:10" x14ac:dyDescent="0.35">
      <c r="I32342" s="63"/>
      <c r="J32342" s="63"/>
    </row>
    <row r="32343" spans="9:10" x14ac:dyDescent="0.35">
      <c r="I32343" s="63"/>
      <c r="J32343" s="63"/>
    </row>
    <row r="32344" spans="9:10" x14ac:dyDescent="0.35">
      <c r="I32344" s="63"/>
      <c r="J32344" s="63"/>
    </row>
    <row r="32345" spans="9:10" x14ac:dyDescent="0.35">
      <c r="I32345" s="63"/>
      <c r="J32345" s="63"/>
    </row>
    <row r="32346" spans="9:10" x14ac:dyDescent="0.35">
      <c r="I32346" s="63"/>
      <c r="J32346" s="63"/>
    </row>
    <row r="32347" spans="9:10" x14ac:dyDescent="0.35">
      <c r="I32347" s="63"/>
      <c r="J32347" s="63"/>
    </row>
    <row r="32348" spans="9:10" x14ac:dyDescent="0.35">
      <c r="I32348" s="63"/>
      <c r="J32348" s="63"/>
    </row>
    <row r="32349" spans="9:10" x14ac:dyDescent="0.35">
      <c r="I32349" s="63"/>
      <c r="J32349" s="63"/>
    </row>
    <row r="32350" spans="9:10" x14ac:dyDescent="0.35">
      <c r="I32350" s="63"/>
      <c r="J32350" s="63"/>
    </row>
    <row r="32351" spans="9:10" x14ac:dyDescent="0.35">
      <c r="I32351" s="63"/>
      <c r="J32351" s="63"/>
    </row>
    <row r="32352" spans="9:10" x14ac:dyDescent="0.35">
      <c r="I32352" s="63"/>
      <c r="J32352" s="63"/>
    </row>
    <row r="32353" spans="9:10" x14ac:dyDescent="0.35">
      <c r="I32353" s="63"/>
      <c r="J32353" s="63"/>
    </row>
    <row r="32354" spans="9:10" x14ac:dyDescent="0.35">
      <c r="I32354" s="63"/>
      <c r="J32354" s="63"/>
    </row>
    <row r="32355" spans="9:10" x14ac:dyDescent="0.35">
      <c r="I32355" s="63"/>
      <c r="J32355" s="63"/>
    </row>
    <row r="32356" spans="9:10" x14ac:dyDescent="0.35">
      <c r="I32356" s="63"/>
      <c r="J32356" s="63"/>
    </row>
    <row r="32357" spans="9:10" x14ac:dyDescent="0.35">
      <c r="I32357" s="63"/>
      <c r="J32357" s="63"/>
    </row>
    <row r="32358" spans="9:10" x14ac:dyDescent="0.35">
      <c r="I32358" s="63"/>
      <c r="J32358" s="63"/>
    </row>
    <row r="32359" spans="9:10" x14ac:dyDescent="0.35">
      <c r="I32359" s="63"/>
      <c r="J32359" s="63"/>
    </row>
    <row r="32360" spans="9:10" x14ac:dyDescent="0.35">
      <c r="I32360" s="63"/>
      <c r="J32360" s="63"/>
    </row>
    <row r="32361" spans="9:10" x14ac:dyDescent="0.35">
      <c r="I32361" s="63"/>
      <c r="J32361" s="63"/>
    </row>
    <row r="32362" spans="9:10" x14ac:dyDescent="0.35">
      <c r="I32362" s="63"/>
      <c r="J32362" s="63"/>
    </row>
    <row r="32363" spans="9:10" x14ac:dyDescent="0.35">
      <c r="I32363" s="63"/>
      <c r="J32363" s="63"/>
    </row>
    <row r="32364" spans="9:10" x14ac:dyDescent="0.35">
      <c r="I32364" s="63"/>
      <c r="J32364" s="63"/>
    </row>
    <row r="32365" spans="9:10" x14ac:dyDescent="0.35">
      <c r="I32365" s="63"/>
      <c r="J32365" s="63"/>
    </row>
    <row r="32366" spans="9:10" x14ac:dyDescent="0.35">
      <c r="I32366" s="63"/>
      <c r="J32366" s="63"/>
    </row>
    <row r="32367" spans="9:10" x14ac:dyDescent="0.35">
      <c r="I32367" s="63"/>
      <c r="J32367" s="63"/>
    </row>
    <row r="32368" spans="9:10" x14ac:dyDescent="0.35">
      <c r="I32368" s="63"/>
      <c r="J32368" s="63"/>
    </row>
    <row r="32369" spans="9:10" x14ac:dyDescent="0.35">
      <c r="I32369" s="63"/>
      <c r="J32369" s="63"/>
    </row>
    <row r="32370" spans="9:10" x14ac:dyDescent="0.35">
      <c r="I32370" s="63"/>
      <c r="J32370" s="63"/>
    </row>
    <row r="32371" spans="9:10" x14ac:dyDescent="0.35">
      <c r="I32371" s="63"/>
      <c r="J32371" s="63"/>
    </row>
    <row r="32372" spans="9:10" x14ac:dyDescent="0.35">
      <c r="I32372" s="63"/>
      <c r="J32372" s="63"/>
    </row>
    <row r="32373" spans="9:10" x14ac:dyDescent="0.35">
      <c r="I32373" s="63"/>
      <c r="J32373" s="63"/>
    </row>
    <row r="32374" spans="9:10" x14ac:dyDescent="0.35">
      <c r="I32374" s="63"/>
      <c r="J32374" s="63"/>
    </row>
    <row r="32375" spans="9:10" x14ac:dyDescent="0.35">
      <c r="I32375" s="63"/>
      <c r="J32375" s="63"/>
    </row>
    <row r="32376" spans="9:10" x14ac:dyDescent="0.35">
      <c r="I32376" s="63"/>
      <c r="J32376" s="63"/>
    </row>
    <row r="32377" spans="9:10" x14ac:dyDescent="0.35">
      <c r="I32377" s="63"/>
      <c r="J32377" s="63"/>
    </row>
    <row r="32378" spans="9:10" x14ac:dyDescent="0.35">
      <c r="I32378" s="63"/>
      <c r="J32378" s="63"/>
    </row>
    <row r="32379" spans="9:10" x14ac:dyDescent="0.35">
      <c r="I32379" s="63"/>
      <c r="J32379" s="63"/>
    </row>
    <row r="32380" spans="9:10" x14ac:dyDescent="0.35">
      <c r="I32380" s="63"/>
      <c r="J32380" s="63"/>
    </row>
    <row r="32381" spans="9:10" x14ac:dyDescent="0.35">
      <c r="I32381" s="63"/>
      <c r="J32381" s="63"/>
    </row>
    <row r="32382" spans="9:10" x14ac:dyDescent="0.35">
      <c r="I32382" s="63"/>
      <c r="J32382" s="63"/>
    </row>
    <row r="32383" spans="9:10" x14ac:dyDescent="0.35">
      <c r="I32383" s="63"/>
      <c r="J32383" s="63"/>
    </row>
    <row r="32384" spans="9:10" x14ac:dyDescent="0.35">
      <c r="I32384" s="63"/>
      <c r="J32384" s="63"/>
    </row>
    <row r="32385" spans="9:10" x14ac:dyDescent="0.35">
      <c r="I32385" s="63"/>
      <c r="J32385" s="63"/>
    </row>
    <row r="32386" spans="9:10" x14ac:dyDescent="0.35">
      <c r="I32386" s="63"/>
      <c r="J32386" s="63"/>
    </row>
    <row r="32387" spans="9:10" x14ac:dyDescent="0.35">
      <c r="I32387" s="63"/>
      <c r="J32387" s="63"/>
    </row>
    <row r="32388" spans="9:10" x14ac:dyDescent="0.35">
      <c r="I32388" s="63"/>
      <c r="J32388" s="63"/>
    </row>
    <row r="32389" spans="9:10" x14ac:dyDescent="0.35">
      <c r="I32389" s="63"/>
      <c r="J32389" s="63"/>
    </row>
    <row r="32390" spans="9:10" x14ac:dyDescent="0.35">
      <c r="I32390" s="63"/>
      <c r="J32390" s="63"/>
    </row>
    <row r="32391" spans="9:10" x14ac:dyDescent="0.35">
      <c r="I32391" s="63"/>
      <c r="J32391" s="63"/>
    </row>
    <row r="32392" spans="9:10" x14ac:dyDescent="0.35">
      <c r="I32392" s="63"/>
      <c r="J32392" s="63"/>
    </row>
    <row r="32393" spans="9:10" x14ac:dyDescent="0.35">
      <c r="I32393" s="63"/>
      <c r="J32393" s="63"/>
    </row>
    <row r="32394" spans="9:10" x14ac:dyDescent="0.35">
      <c r="I32394" s="63"/>
      <c r="J32394" s="63"/>
    </row>
    <row r="32395" spans="9:10" x14ac:dyDescent="0.35">
      <c r="I32395" s="63"/>
      <c r="J32395" s="63"/>
    </row>
    <row r="32396" spans="9:10" x14ac:dyDescent="0.35">
      <c r="I32396" s="63"/>
      <c r="J32396" s="63"/>
    </row>
    <row r="32397" spans="9:10" x14ac:dyDescent="0.35">
      <c r="I32397" s="63"/>
      <c r="J32397" s="63"/>
    </row>
    <row r="32398" spans="9:10" x14ac:dyDescent="0.35">
      <c r="I32398" s="63"/>
      <c r="J32398" s="63"/>
    </row>
    <row r="32399" spans="9:10" x14ac:dyDescent="0.35">
      <c r="I32399" s="63"/>
      <c r="J32399" s="63"/>
    </row>
    <row r="32400" spans="9:10" x14ac:dyDescent="0.35">
      <c r="I32400" s="63"/>
      <c r="J32400" s="63"/>
    </row>
    <row r="32401" spans="9:10" x14ac:dyDescent="0.35">
      <c r="I32401" s="63"/>
      <c r="J32401" s="63"/>
    </row>
    <row r="32402" spans="9:10" x14ac:dyDescent="0.35">
      <c r="I32402" s="63"/>
      <c r="J32402" s="63"/>
    </row>
    <row r="32403" spans="9:10" x14ac:dyDescent="0.35">
      <c r="I32403" s="63"/>
      <c r="J32403" s="63"/>
    </row>
    <row r="32404" spans="9:10" x14ac:dyDescent="0.35">
      <c r="I32404" s="63"/>
      <c r="J32404" s="63"/>
    </row>
    <row r="32405" spans="9:10" x14ac:dyDescent="0.35">
      <c r="I32405" s="63"/>
      <c r="J32405" s="63"/>
    </row>
    <row r="32406" spans="9:10" x14ac:dyDescent="0.35">
      <c r="I32406" s="63"/>
      <c r="J32406" s="63"/>
    </row>
    <row r="32407" spans="9:10" x14ac:dyDescent="0.35">
      <c r="I32407" s="63"/>
      <c r="J32407" s="63"/>
    </row>
    <row r="32408" spans="9:10" x14ac:dyDescent="0.35">
      <c r="I32408" s="63"/>
      <c r="J32408" s="63"/>
    </row>
    <row r="32409" spans="9:10" x14ac:dyDescent="0.35">
      <c r="I32409" s="63"/>
      <c r="J32409" s="63"/>
    </row>
    <row r="32410" spans="9:10" x14ac:dyDescent="0.35">
      <c r="I32410" s="63"/>
      <c r="J32410" s="63"/>
    </row>
    <row r="32411" spans="9:10" x14ac:dyDescent="0.35">
      <c r="I32411" s="63"/>
      <c r="J32411" s="63"/>
    </row>
    <row r="32412" spans="9:10" x14ac:dyDescent="0.35">
      <c r="I32412" s="63"/>
      <c r="J32412" s="63"/>
    </row>
    <row r="32413" spans="9:10" x14ac:dyDescent="0.35">
      <c r="I32413" s="63"/>
      <c r="J32413" s="63"/>
    </row>
    <row r="32414" spans="9:10" x14ac:dyDescent="0.35">
      <c r="I32414" s="63"/>
      <c r="J32414" s="63"/>
    </row>
    <row r="32415" spans="9:10" x14ac:dyDescent="0.35">
      <c r="I32415" s="63"/>
      <c r="J32415" s="63"/>
    </row>
    <row r="32416" spans="9:10" x14ac:dyDescent="0.35">
      <c r="I32416" s="63"/>
      <c r="J32416" s="63"/>
    </row>
    <row r="32417" spans="9:10" x14ac:dyDescent="0.35">
      <c r="I32417" s="63"/>
      <c r="J32417" s="63"/>
    </row>
    <row r="32418" spans="9:10" x14ac:dyDescent="0.35">
      <c r="I32418" s="63"/>
      <c r="J32418" s="63"/>
    </row>
    <row r="32419" spans="9:10" x14ac:dyDescent="0.35">
      <c r="I32419" s="63"/>
      <c r="J32419" s="63"/>
    </row>
    <row r="32420" spans="9:10" x14ac:dyDescent="0.35">
      <c r="I32420" s="63"/>
      <c r="J32420" s="63"/>
    </row>
    <row r="32421" spans="9:10" x14ac:dyDescent="0.35">
      <c r="I32421" s="63"/>
      <c r="J32421" s="63"/>
    </row>
    <row r="32422" spans="9:10" x14ac:dyDescent="0.35">
      <c r="I32422" s="63"/>
      <c r="J32422" s="63"/>
    </row>
    <row r="32423" spans="9:10" x14ac:dyDescent="0.35">
      <c r="I32423" s="63"/>
      <c r="J32423" s="63"/>
    </row>
    <row r="32424" spans="9:10" x14ac:dyDescent="0.35">
      <c r="I32424" s="63"/>
      <c r="J32424" s="63"/>
    </row>
    <row r="32425" spans="9:10" x14ac:dyDescent="0.35">
      <c r="I32425" s="63"/>
      <c r="J32425" s="63"/>
    </row>
    <row r="32426" spans="9:10" x14ac:dyDescent="0.35">
      <c r="I32426" s="63"/>
      <c r="J32426" s="63"/>
    </row>
    <row r="32427" spans="9:10" x14ac:dyDescent="0.35">
      <c r="I32427" s="63"/>
      <c r="J32427" s="63"/>
    </row>
    <row r="32428" spans="9:10" x14ac:dyDescent="0.35">
      <c r="I32428" s="63"/>
      <c r="J32428" s="63"/>
    </row>
    <row r="32429" spans="9:10" x14ac:dyDescent="0.35">
      <c r="I32429" s="63"/>
      <c r="J32429" s="63"/>
    </row>
    <row r="32430" spans="9:10" x14ac:dyDescent="0.35">
      <c r="I32430" s="63"/>
      <c r="J32430" s="63"/>
    </row>
    <row r="32431" spans="9:10" x14ac:dyDescent="0.35">
      <c r="I32431" s="63"/>
      <c r="J32431" s="63"/>
    </row>
    <row r="32432" spans="9:10" x14ac:dyDescent="0.35">
      <c r="I32432" s="63"/>
      <c r="J32432" s="63"/>
    </row>
    <row r="32433" spans="9:10" x14ac:dyDescent="0.35">
      <c r="I32433" s="63"/>
      <c r="J32433" s="63"/>
    </row>
    <row r="32434" spans="9:10" x14ac:dyDescent="0.35">
      <c r="I32434" s="63"/>
      <c r="J32434" s="63"/>
    </row>
    <row r="32435" spans="9:10" x14ac:dyDescent="0.35">
      <c r="I32435" s="63"/>
      <c r="J32435" s="63"/>
    </row>
    <row r="32436" spans="9:10" x14ac:dyDescent="0.35">
      <c r="I32436" s="63"/>
      <c r="J32436" s="63"/>
    </row>
    <row r="32437" spans="9:10" x14ac:dyDescent="0.35">
      <c r="I32437" s="63"/>
      <c r="J32437" s="63"/>
    </row>
    <row r="32438" spans="9:10" x14ac:dyDescent="0.35">
      <c r="I32438" s="63"/>
      <c r="J32438" s="63"/>
    </row>
    <row r="32439" spans="9:10" x14ac:dyDescent="0.35">
      <c r="I32439" s="63"/>
      <c r="J32439" s="63"/>
    </row>
    <row r="32440" spans="9:10" x14ac:dyDescent="0.35">
      <c r="I32440" s="63"/>
      <c r="J32440" s="63"/>
    </row>
    <row r="32441" spans="9:10" x14ac:dyDescent="0.35">
      <c r="I32441" s="63"/>
      <c r="J32441" s="63"/>
    </row>
    <row r="32442" spans="9:10" x14ac:dyDescent="0.35">
      <c r="I32442" s="63"/>
      <c r="J32442" s="63"/>
    </row>
    <row r="32443" spans="9:10" x14ac:dyDescent="0.35">
      <c r="I32443" s="63"/>
      <c r="J32443" s="63"/>
    </row>
    <row r="32444" spans="9:10" x14ac:dyDescent="0.35">
      <c r="I32444" s="63"/>
      <c r="J32444" s="63"/>
    </row>
    <row r="32445" spans="9:10" x14ac:dyDescent="0.35">
      <c r="I32445" s="63"/>
      <c r="J32445" s="63"/>
    </row>
    <row r="32446" spans="9:10" x14ac:dyDescent="0.35">
      <c r="I32446" s="63"/>
      <c r="J32446" s="63"/>
    </row>
    <row r="32447" spans="9:10" x14ac:dyDescent="0.35">
      <c r="I32447" s="63"/>
      <c r="J32447" s="63"/>
    </row>
    <row r="32448" spans="9:10" x14ac:dyDescent="0.35">
      <c r="I32448" s="63"/>
      <c r="J32448" s="63"/>
    </row>
    <row r="32449" spans="9:10" x14ac:dyDescent="0.35">
      <c r="I32449" s="63"/>
      <c r="J32449" s="63"/>
    </row>
    <row r="32450" spans="9:10" x14ac:dyDescent="0.35">
      <c r="I32450" s="63"/>
      <c r="J32450" s="63"/>
    </row>
    <row r="32451" spans="9:10" x14ac:dyDescent="0.35">
      <c r="I32451" s="63"/>
      <c r="J32451" s="63"/>
    </row>
    <row r="32452" spans="9:10" x14ac:dyDescent="0.35">
      <c r="I32452" s="63"/>
      <c r="J32452" s="63"/>
    </row>
    <row r="32453" spans="9:10" x14ac:dyDescent="0.35">
      <c r="I32453" s="63"/>
      <c r="J32453" s="63"/>
    </row>
    <row r="32454" spans="9:10" x14ac:dyDescent="0.35">
      <c r="I32454" s="63"/>
      <c r="J32454" s="63"/>
    </row>
    <row r="32455" spans="9:10" x14ac:dyDescent="0.35">
      <c r="I32455" s="63"/>
      <c r="J32455" s="63"/>
    </row>
    <row r="32456" spans="9:10" x14ac:dyDescent="0.35">
      <c r="I32456" s="63"/>
      <c r="J32456" s="63"/>
    </row>
    <row r="32457" spans="9:10" x14ac:dyDescent="0.35">
      <c r="I32457" s="63"/>
      <c r="J32457" s="63"/>
    </row>
    <row r="32458" spans="9:10" x14ac:dyDescent="0.35">
      <c r="I32458" s="63"/>
      <c r="J32458" s="63"/>
    </row>
    <row r="32459" spans="9:10" x14ac:dyDescent="0.35">
      <c r="I32459" s="63"/>
      <c r="J32459" s="63"/>
    </row>
    <row r="32460" spans="9:10" x14ac:dyDescent="0.35">
      <c r="I32460" s="63"/>
      <c r="J32460" s="63"/>
    </row>
    <row r="32461" spans="9:10" x14ac:dyDescent="0.35">
      <c r="I32461" s="63"/>
      <c r="J32461" s="63"/>
    </row>
    <row r="32462" spans="9:10" x14ac:dyDescent="0.35">
      <c r="I32462" s="63"/>
      <c r="J32462" s="63"/>
    </row>
    <row r="32463" spans="9:10" x14ac:dyDescent="0.35">
      <c r="I32463" s="63"/>
      <c r="J32463" s="63"/>
    </row>
    <row r="32464" spans="9:10" x14ac:dyDescent="0.35">
      <c r="I32464" s="63"/>
      <c r="J32464" s="63"/>
    </row>
    <row r="32465" spans="9:10" x14ac:dyDescent="0.35">
      <c r="I32465" s="63"/>
      <c r="J32465" s="63"/>
    </row>
    <row r="32466" spans="9:10" x14ac:dyDescent="0.35">
      <c r="I32466" s="63"/>
      <c r="J32466" s="63"/>
    </row>
    <row r="32467" spans="9:10" x14ac:dyDescent="0.35">
      <c r="I32467" s="63"/>
      <c r="J32467" s="63"/>
    </row>
    <row r="32468" spans="9:10" x14ac:dyDescent="0.35">
      <c r="I32468" s="63"/>
      <c r="J32468" s="63"/>
    </row>
    <row r="32469" spans="9:10" x14ac:dyDescent="0.35">
      <c r="I32469" s="63"/>
      <c r="J32469" s="63"/>
    </row>
    <row r="32470" spans="9:10" x14ac:dyDescent="0.35">
      <c r="I32470" s="63"/>
      <c r="J32470" s="63"/>
    </row>
    <row r="32471" spans="9:10" x14ac:dyDescent="0.35">
      <c r="I32471" s="63"/>
      <c r="J32471" s="63"/>
    </row>
    <row r="32472" spans="9:10" x14ac:dyDescent="0.35">
      <c r="I32472" s="63"/>
      <c r="J32472" s="63"/>
    </row>
    <row r="32473" spans="9:10" x14ac:dyDescent="0.35">
      <c r="I32473" s="63"/>
      <c r="J32473" s="63"/>
    </row>
    <row r="32474" spans="9:10" x14ac:dyDescent="0.35">
      <c r="I32474" s="63"/>
      <c r="J32474" s="63"/>
    </row>
    <row r="32475" spans="9:10" x14ac:dyDescent="0.35">
      <c r="I32475" s="63"/>
      <c r="J32475" s="63"/>
    </row>
    <row r="32476" spans="9:10" x14ac:dyDescent="0.35">
      <c r="I32476" s="63"/>
      <c r="J32476" s="63"/>
    </row>
    <row r="32477" spans="9:10" x14ac:dyDescent="0.35">
      <c r="I32477" s="63"/>
      <c r="J32477" s="63"/>
    </row>
    <row r="32478" spans="9:10" x14ac:dyDescent="0.35">
      <c r="I32478" s="63"/>
      <c r="J32478" s="63"/>
    </row>
    <row r="32479" spans="9:10" x14ac:dyDescent="0.35">
      <c r="I32479" s="63"/>
      <c r="J32479" s="63"/>
    </row>
    <row r="32480" spans="9:10" x14ac:dyDescent="0.35">
      <c r="I32480" s="63"/>
      <c r="J32480" s="63"/>
    </row>
    <row r="32481" spans="9:10" x14ac:dyDescent="0.35">
      <c r="I32481" s="63"/>
      <c r="J32481" s="63"/>
    </row>
    <row r="32482" spans="9:10" x14ac:dyDescent="0.35">
      <c r="I32482" s="63"/>
      <c r="J32482" s="63"/>
    </row>
    <row r="32483" spans="9:10" x14ac:dyDescent="0.35">
      <c r="I32483" s="63"/>
      <c r="J32483" s="63"/>
    </row>
    <row r="32484" spans="9:10" x14ac:dyDescent="0.35">
      <c r="I32484" s="63"/>
      <c r="J32484" s="63"/>
    </row>
    <row r="32485" spans="9:10" x14ac:dyDescent="0.35">
      <c r="I32485" s="63"/>
      <c r="J32485" s="63"/>
    </row>
    <row r="32486" spans="9:10" x14ac:dyDescent="0.35">
      <c r="I32486" s="63"/>
      <c r="J32486" s="63"/>
    </row>
    <row r="32487" spans="9:10" x14ac:dyDescent="0.35">
      <c r="I32487" s="63"/>
      <c r="J32487" s="63"/>
    </row>
    <row r="32488" spans="9:10" x14ac:dyDescent="0.35">
      <c r="I32488" s="63"/>
      <c r="J32488" s="63"/>
    </row>
    <row r="32489" spans="9:10" x14ac:dyDescent="0.35">
      <c r="I32489" s="63"/>
      <c r="J32489" s="63"/>
    </row>
    <row r="32490" spans="9:10" x14ac:dyDescent="0.35">
      <c r="I32490" s="63"/>
      <c r="J32490" s="63"/>
    </row>
    <row r="32491" spans="9:10" x14ac:dyDescent="0.35">
      <c r="I32491" s="63"/>
      <c r="J32491" s="63"/>
    </row>
    <row r="32492" spans="9:10" x14ac:dyDescent="0.35">
      <c r="I32492" s="63"/>
      <c r="J32492" s="63"/>
    </row>
    <row r="32493" spans="9:10" x14ac:dyDescent="0.35">
      <c r="I32493" s="63"/>
      <c r="J32493" s="63"/>
    </row>
    <row r="32494" spans="9:10" x14ac:dyDescent="0.35">
      <c r="I32494" s="63"/>
      <c r="J32494" s="63"/>
    </row>
    <row r="32495" spans="9:10" x14ac:dyDescent="0.35">
      <c r="I32495" s="63"/>
      <c r="J32495" s="63"/>
    </row>
    <row r="32496" spans="9:10" x14ac:dyDescent="0.35">
      <c r="I32496" s="63"/>
      <c r="J32496" s="63"/>
    </row>
    <row r="32497" spans="9:10" x14ac:dyDescent="0.35">
      <c r="I32497" s="63"/>
      <c r="J32497" s="63"/>
    </row>
    <row r="32498" spans="9:10" x14ac:dyDescent="0.35">
      <c r="I32498" s="63"/>
      <c r="J32498" s="63"/>
    </row>
    <row r="32499" spans="9:10" x14ac:dyDescent="0.35">
      <c r="I32499" s="63"/>
      <c r="J32499" s="63"/>
    </row>
    <row r="32500" spans="9:10" x14ac:dyDescent="0.35">
      <c r="I32500" s="63"/>
      <c r="J32500" s="63"/>
    </row>
    <row r="32501" spans="9:10" x14ac:dyDescent="0.35">
      <c r="I32501" s="63"/>
      <c r="J32501" s="63"/>
    </row>
    <row r="32502" spans="9:10" x14ac:dyDescent="0.35">
      <c r="I32502" s="63"/>
      <c r="J32502" s="63"/>
    </row>
    <row r="32503" spans="9:10" x14ac:dyDescent="0.35">
      <c r="I32503" s="63"/>
      <c r="J32503" s="63"/>
    </row>
    <row r="32504" spans="9:10" x14ac:dyDescent="0.35">
      <c r="I32504" s="63"/>
      <c r="J32504" s="63"/>
    </row>
    <row r="32505" spans="9:10" x14ac:dyDescent="0.35">
      <c r="I32505" s="63"/>
      <c r="J32505" s="63"/>
    </row>
    <row r="32506" spans="9:10" x14ac:dyDescent="0.35">
      <c r="I32506" s="63"/>
      <c r="J32506" s="63"/>
    </row>
    <row r="32507" spans="9:10" x14ac:dyDescent="0.35">
      <c r="I32507" s="63"/>
      <c r="J32507" s="63"/>
    </row>
    <row r="32508" spans="9:10" x14ac:dyDescent="0.35">
      <c r="I32508" s="63"/>
      <c r="J32508" s="63"/>
    </row>
    <row r="32509" spans="9:10" x14ac:dyDescent="0.35">
      <c r="I32509" s="63"/>
      <c r="J32509" s="63"/>
    </row>
    <row r="32510" spans="9:10" x14ac:dyDescent="0.35">
      <c r="I32510" s="63"/>
      <c r="J32510" s="63"/>
    </row>
    <row r="32511" spans="9:10" x14ac:dyDescent="0.35">
      <c r="I32511" s="63"/>
      <c r="J32511" s="63"/>
    </row>
    <row r="32512" spans="9:10" x14ac:dyDescent="0.35">
      <c r="I32512" s="63"/>
      <c r="J32512" s="63"/>
    </row>
    <row r="32513" spans="9:10" x14ac:dyDescent="0.35">
      <c r="I32513" s="63"/>
      <c r="J32513" s="63"/>
    </row>
    <row r="32514" spans="9:10" x14ac:dyDescent="0.35">
      <c r="I32514" s="63"/>
      <c r="J32514" s="63"/>
    </row>
    <row r="32515" spans="9:10" x14ac:dyDescent="0.35">
      <c r="I32515" s="63"/>
      <c r="J32515" s="63"/>
    </row>
    <row r="32516" spans="9:10" x14ac:dyDescent="0.35">
      <c r="I32516" s="63"/>
      <c r="J32516" s="63"/>
    </row>
    <row r="32517" spans="9:10" x14ac:dyDescent="0.35">
      <c r="I32517" s="63"/>
      <c r="J32517" s="63"/>
    </row>
    <row r="32518" spans="9:10" x14ac:dyDescent="0.35">
      <c r="I32518" s="63"/>
      <c r="J32518" s="63"/>
    </row>
    <row r="32519" spans="9:10" x14ac:dyDescent="0.35">
      <c r="I32519" s="63"/>
      <c r="J32519" s="63"/>
    </row>
    <row r="32520" spans="9:10" x14ac:dyDescent="0.35">
      <c r="I32520" s="63"/>
      <c r="J32520" s="63"/>
    </row>
    <row r="32521" spans="9:10" x14ac:dyDescent="0.35">
      <c r="I32521" s="63"/>
      <c r="J32521" s="63"/>
    </row>
    <row r="32522" spans="9:10" x14ac:dyDescent="0.35">
      <c r="I32522" s="63"/>
      <c r="J32522" s="63"/>
    </row>
    <row r="32523" spans="9:10" x14ac:dyDescent="0.35">
      <c r="I32523" s="63"/>
      <c r="J32523" s="63"/>
    </row>
    <row r="32524" spans="9:10" x14ac:dyDescent="0.35">
      <c r="I32524" s="63"/>
      <c r="J32524" s="63"/>
    </row>
    <row r="32525" spans="9:10" x14ac:dyDescent="0.35">
      <c r="I32525" s="63"/>
      <c r="J32525" s="63"/>
    </row>
    <row r="32526" spans="9:10" x14ac:dyDescent="0.35">
      <c r="I32526" s="63"/>
      <c r="J32526" s="63"/>
    </row>
    <row r="32527" spans="9:10" x14ac:dyDescent="0.35">
      <c r="I32527" s="63"/>
      <c r="J32527" s="63"/>
    </row>
    <row r="32528" spans="9:10" x14ac:dyDescent="0.35">
      <c r="I32528" s="63"/>
      <c r="J32528" s="63"/>
    </row>
    <row r="32529" spans="9:10" x14ac:dyDescent="0.35">
      <c r="I32529" s="63"/>
      <c r="J32529" s="63"/>
    </row>
    <row r="32530" spans="9:10" x14ac:dyDescent="0.35">
      <c r="I32530" s="63"/>
      <c r="J32530" s="63"/>
    </row>
    <row r="32531" spans="9:10" x14ac:dyDescent="0.35">
      <c r="I32531" s="63"/>
      <c r="J32531" s="63"/>
    </row>
    <row r="32532" spans="9:10" x14ac:dyDescent="0.35">
      <c r="I32532" s="63"/>
      <c r="J32532" s="63"/>
    </row>
    <row r="32533" spans="9:10" x14ac:dyDescent="0.35">
      <c r="I32533" s="63"/>
      <c r="J32533" s="63"/>
    </row>
    <row r="32534" spans="9:10" x14ac:dyDescent="0.35">
      <c r="I32534" s="63"/>
      <c r="J32534" s="63"/>
    </row>
    <row r="32535" spans="9:10" x14ac:dyDescent="0.35">
      <c r="I32535" s="63"/>
      <c r="J32535" s="63"/>
    </row>
    <row r="32536" spans="9:10" x14ac:dyDescent="0.35">
      <c r="I32536" s="63"/>
      <c r="J32536" s="63"/>
    </row>
    <row r="32537" spans="9:10" x14ac:dyDescent="0.35">
      <c r="I32537" s="63"/>
      <c r="J32537" s="63"/>
    </row>
    <row r="32538" spans="9:10" x14ac:dyDescent="0.35">
      <c r="I32538" s="63"/>
      <c r="J32538" s="63"/>
    </row>
    <row r="32539" spans="9:10" x14ac:dyDescent="0.35">
      <c r="I32539" s="63"/>
      <c r="J32539" s="63"/>
    </row>
    <row r="32540" spans="9:10" x14ac:dyDescent="0.35">
      <c r="I32540" s="63"/>
      <c r="J32540" s="63"/>
    </row>
    <row r="32541" spans="9:10" x14ac:dyDescent="0.35">
      <c r="I32541" s="63"/>
      <c r="J32541" s="63"/>
    </row>
    <row r="32542" spans="9:10" x14ac:dyDescent="0.35">
      <c r="I32542" s="63"/>
      <c r="J32542" s="63"/>
    </row>
    <row r="32543" spans="9:10" x14ac:dyDescent="0.35">
      <c r="I32543" s="63"/>
      <c r="J32543" s="63"/>
    </row>
    <row r="32544" spans="9:10" x14ac:dyDescent="0.35">
      <c r="I32544" s="63"/>
      <c r="J32544" s="63"/>
    </row>
    <row r="32545" spans="9:10" x14ac:dyDescent="0.35">
      <c r="I32545" s="63"/>
      <c r="J32545" s="63"/>
    </row>
    <row r="32546" spans="9:10" x14ac:dyDescent="0.35">
      <c r="I32546" s="63"/>
      <c r="J32546" s="63"/>
    </row>
    <row r="32547" spans="9:10" x14ac:dyDescent="0.35">
      <c r="I32547" s="63"/>
      <c r="J32547" s="63"/>
    </row>
    <row r="32548" spans="9:10" x14ac:dyDescent="0.35">
      <c r="I32548" s="63"/>
      <c r="J32548" s="63"/>
    </row>
    <row r="32549" spans="9:10" x14ac:dyDescent="0.35">
      <c r="I32549" s="63"/>
      <c r="J32549" s="63"/>
    </row>
    <row r="32550" spans="9:10" x14ac:dyDescent="0.35">
      <c r="I32550" s="63"/>
      <c r="J32550" s="63"/>
    </row>
    <row r="32551" spans="9:10" x14ac:dyDescent="0.35">
      <c r="I32551" s="63"/>
      <c r="J32551" s="63"/>
    </row>
    <row r="32552" spans="9:10" x14ac:dyDescent="0.35">
      <c r="I32552" s="63"/>
      <c r="J32552" s="63"/>
    </row>
    <row r="32553" spans="9:10" x14ac:dyDescent="0.35">
      <c r="I32553" s="63"/>
      <c r="J32553" s="63"/>
    </row>
    <row r="32554" spans="9:10" x14ac:dyDescent="0.35">
      <c r="I32554" s="63"/>
      <c r="J32554" s="63"/>
    </row>
    <row r="32555" spans="9:10" x14ac:dyDescent="0.35">
      <c r="I32555" s="63"/>
      <c r="J32555" s="63"/>
    </row>
    <row r="32556" spans="9:10" x14ac:dyDescent="0.35">
      <c r="I32556" s="63"/>
      <c r="J32556" s="63"/>
    </row>
    <row r="32557" spans="9:10" x14ac:dyDescent="0.35">
      <c r="I32557" s="63"/>
      <c r="J32557" s="63"/>
    </row>
    <row r="32558" spans="9:10" x14ac:dyDescent="0.35">
      <c r="I32558" s="63"/>
      <c r="J32558" s="63"/>
    </row>
    <row r="32559" spans="9:10" x14ac:dyDescent="0.35">
      <c r="I32559" s="63"/>
      <c r="J32559" s="63"/>
    </row>
    <row r="32560" spans="9:10" x14ac:dyDescent="0.35">
      <c r="I32560" s="63"/>
      <c r="J32560" s="63"/>
    </row>
    <row r="32561" spans="9:10" x14ac:dyDescent="0.35">
      <c r="I32561" s="63"/>
      <c r="J32561" s="63"/>
    </row>
    <row r="32562" spans="9:10" x14ac:dyDescent="0.35">
      <c r="I32562" s="63"/>
      <c r="J32562" s="63"/>
    </row>
    <row r="32563" spans="9:10" x14ac:dyDescent="0.35">
      <c r="I32563" s="63"/>
      <c r="J32563" s="63"/>
    </row>
    <row r="32564" spans="9:10" x14ac:dyDescent="0.35">
      <c r="I32564" s="63"/>
      <c r="J32564" s="63"/>
    </row>
    <row r="32565" spans="9:10" x14ac:dyDescent="0.35">
      <c r="I32565" s="63"/>
      <c r="J32565" s="63"/>
    </row>
    <row r="32566" spans="9:10" x14ac:dyDescent="0.35">
      <c r="I32566" s="63"/>
      <c r="J32566" s="63"/>
    </row>
    <row r="32567" spans="9:10" x14ac:dyDescent="0.35">
      <c r="I32567" s="63"/>
      <c r="J32567" s="63"/>
    </row>
    <row r="32568" spans="9:10" x14ac:dyDescent="0.35">
      <c r="I32568" s="63"/>
      <c r="J32568" s="63"/>
    </row>
    <row r="32569" spans="9:10" x14ac:dyDescent="0.35">
      <c r="I32569" s="63"/>
      <c r="J32569" s="63"/>
    </row>
    <row r="32570" spans="9:10" x14ac:dyDescent="0.35">
      <c r="I32570" s="63"/>
      <c r="J32570" s="63"/>
    </row>
    <row r="32571" spans="9:10" x14ac:dyDescent="0.35">
      <c r="I32571" s="63"/>
      <c r="J32571" s="63"/>
    </row>
    <row r="32572" spans="9:10" x14ac:dyDescent="0.35">
      <c r="I32572" s="63"/>
      <c r="J32572" s="63"/>
    </row>
    <row r="32573" spans="9:10" x14ac:dyDescent="0.35">
      <c r="I32573" s="63"/>
      <c r="J32573" s="63"/>
    </row>
    <row r="32574" spans="9:10" x14ac:dyDescent="0.35">
      <c r="I32574" s="63"/>
      <c r="J32574" s="63"/>
    </row>
    <row r="32575" spans="9:10" x14ac:dyDescent="0.35">
      <c r="I32575" s="63"/>
      <c r="J32575" s="63"/>
    </row>
    <row r="32576" spans="9:10" x14ac:dyDescent="0.35">
      <c r="I32576" s="63"/>
      <c r="J32576" s="63"/>
    </row>
    <row r="32577" spans="9:10" x14ac:dyDescent="0.35">
      <c r="I32577" s="63"/>
      <c r="J32577" s="63"/>
    </row>
    <row r="32578" spans="9:10" x14ac:dyDescent="0.35">
      <c r="I32578" s="63"/>
      <c r="J32578" s="63"/>
    </row>
    <row r="32579" spans="9:10" x14ac:dyDescent="0.35">
      <c r="I32579" s="63"/>
      <c r="J32579" s="63"/>
    </row>
    <row r="32580" spans="9:10" x14ac:dyDescent="0.35">
      <c r="I32580" s="63"/>
      <c r="J32580" s="63"/>
    </row>
    <row r="32581" spans="9:10" x14ac:dyDescent="0.35">
      <c r="I32581" s="63"/>
      <c r="J32581" s="63"/>
    </row>
    <row r="32582" spans="9:10" x14ac:dyDescent="0.35">
      <c r="I32582" s="63"/>
      <c r="J32582" s="63"/>
    </row>
    <row r="32583" spans="9:10" x14ac:dyDescent="0.35">
      <c r="I32583" s="63"/>
      <c r="J32583" s="63"/>
    </row>
    <row r="32584" spans="9:10" x14ac:dyDescent="0.35">
      <c r="I32584" s="63"/>
      <c r="J32584" s="63"/>
    </row>
    <row r="32585" spans="9:10" x14ac:dyDescent="0.35">
      <c r="I32585" s="63"/>
      <c r="J32585" s="63"/>
    </row>
    <row r="32586" spans="9:10" x14ac:dyDescent="0.35">
      <c r="I32586" s="63"/>
      <c r="J32586" s="63"/>
    </row>
    <row r="32587" spans="9:10" x14ac:dyDescent="0.35">
      <c r="I32587" s="63"/>
      <c r="J32587" s="63"/>
    </row>
    <row r="32588" spans="9:10" x14ac:dyDescent="0.35">
      <c r="I32588" s="63"/>
      <c r="J32588" s="63"/>
    </row>
    <row r="32589" spans="9:10" x14ac:dyDescent="0.35">
      <c r="I32589" s="63"/>
      <c r="J32589" s="63"/>
    </row>
    <row r="32590" spans="9:10" x14ac:dyDescent="0.35">
      <c r="I32590" s="63"/>
      <c r="J32590" s="63"/>
    </row>
    <row r="32591" spans="9:10" x14ac:dyDescent="0.35">
      <c r="I32591" s="63"/>
      <c r="J32591" s="63"/>
    </row>
    <row r="32592" spans="9:10" x14ac:dyDescent="0.35">
      <c r="I32592" s="63"/>
      <c r="J32592" s="63"/>
    </row>
    <row r="32593" spans="9:10" x14ac:dyDescent="0.35">
      <c r="I32593" s="63"/>
      <c r="J32593" s="63"/>
    </row>
    <row r="32594" spans="9:10" x14ac:dyDescent="0.35">
      <c r="I32594" s="63"/>
      <c r="J32594" s="63"/>
    </row>
    <row r="32595" spans="9:10" x14ac:dyDescent="0.35">
      <c r="I32595" s="63"/>
      <c r="J32595" s="63"/>
    </row>
    <row r="32596" spans="9:10" x14ac:dyDescent="0.35">
      <c r="I32596" s="63"/>
      <c r="J32596" s="63"/>
    </row>
    <row r="32597" spans="9:10" x14ac:dyDescent="0.35">
      <c r="I32597" s="63"/>
      <c r="J32597" s="63"/>
    </row>
    <row r="32598" spans="9:10" x14ac:dyDescent="0.35">
      <c r="I32598" s="63"/>
      <c r="J32598" s="63"/>
    </row>
    <row r="32599" spans="9:10" x14ac:dyDescent="0.35">
      <c r="I32599" s="63"/>
      <c r="J32599" s="63"/>
    </row>
    <row r="32600" spans="9:10" x14ac:dyDescent="0.35">
      <c r="I32600" s="63"/>
      <c r="J32600" s="63"/>
    </row>
    <row r="32601" spans="9:10" x14ac:dyDescent="0.35">
      <c r="I32601" s="63"/>
      <c r="J32601" s="63"/>
    </row>
    <row r="32602" spans="9:10" x14ac:dyDescent="0.35">
      <c r="I32602" s="63"/>
      <c r="J32602" s="63"/>
    </row>
    <row r="32603" spans="9:10" x14ac:dyDescent="0.35">
      <c r="I32603" s="63"/>
      <c r="J32603" s="63"/>
    </row>
    <row r="32604" spans="9:10" x14ac:dyDescent="0.35">
      <c r="I32604" s="63"/>
      <c r="J32604" s="63"/>
    </row>
    <row r="32605" spans="9:10" x14ac:dyDescent="0.35">
      <c r="I32605" s="63"/>
      <c r="J32605" s="63"/>
    </row>
    <row r="32606" spans="9:10" x14ac:dyDescent="0.35">
      <c r="I32606" s="63"/>
      <c r="J32606" s="63"/>
    </row>
    <row r="32607" spans="9:10" x14ac:dyDescent="0.35">
      <c r="I32607" s="63"/>
      <c r="J32607" s="63"/>
    </row>
    <row r="32608" spans="9:10" x14ac:dyDescent="0.35">
      <c r="I32608" s="63"/>
      <c r="J32608" s="63"/>
    </row>
    <row r="32609" spans="9:10" x14ac:dyDescent="0.35">
      <c r="I32609" s="63"/>
      <c r="J32609" s="63"/>
    </row>
    <row r="32610" spans="9:10" x14ac:dyDescent="0.35">
      <c r="I32610" s="63"/>
      <c r="J32610" s="63"/>
    </row>
    <row r="32611" spans="9:10" x14ac:dyDescent="0.35">
      <c r="I32611" s="63"/>
      <c r="J32611" s="63"/>
    </row>
    <row r="32612" spans="9:10" x14ac:dyDescent="0.35">
      <c r="I32612" s="63"/>
      <c r="J32612" s="63"/>
    </row>
    <row r="32613" spans="9:10" x14ac:dyDescent="0.35">
      <c r="I32613" s="63"/>
      <c r="J32613" s="63"/>
    </row>
    <row r="32614" spans="9:10" x14ac:dyDescent="0.35">
      <c r="I32614" s="63"/>
      <c r="J32614" s="63"/>
    </row>
    <row r="32615" spans="9:10" x14ac:dyDescent="0.35">
      <c r="I32615" s="63"/>
      <c r="J32615" s="63"/>
    </row>
    <row r="32616" spans="9:10" x14ac:dyDescent="0.35">
      <c r="I32616" s="63"/>
      <c r="J32616" s="63"/>
    </row>
    <row r="32617" spans="9:10" x14ac:dyDescent="0.35">
      <c r="I32617" s="63"/>
      <c r="J32617" s="63"/>
    </row>
    <row r="32618" spans="9:10" x14ac:dyDescent="0.35">
      <c r="I32618" s="63"/>
      <c r="J32618" s="63"/>
    </row>
    <row r="32619" spans="9:10" x14ac:dyDescent="0.35">
      <c r="I32619" s="63"/>
      <c r="J32619" s="63"/>
    </row>
    <row r="32620" spans="9:10" x14ac:dyDescent="0.35">
      <c r="I32620" s="63"/>
      <c r="J32620" s="63"/>
    </row>
    <row r="32621" spans="9:10" x14ac:dyDescent="0.35">
      <c r="I32621" s="63"/>
      <c r="J32621" s="63"/>
    </row>
    <row r="32622" spans="9:10" x14ac:dyDescent="0.35">
      <c r="I32622" s="63"/>
      <c r="J32622" s="63"/>
    </row>
    <row r="32623" spans="9:10" x14ac:dyDescent="0.35">
      <c r="I32623" s="63"/>
      <c r="J32623" s="63"/>
    </row>
    <row r="32624" spans="9:10" x14ac:dyDescent="0.35">
      <c r="I32624" s="63"/>
      <c r="J32624" s="63"/>
    </row>
    <row r="32625" spans="9:10" x14ac:dyDescent="0.35">
      <c r="I32625" s="63"/>
      <c r="J32625" s="63"/>
    </row>
    <row r="32626" spans="9:10" x14ac:dyDescent="0.35">
      <c r="I32626" s="63"/>
      <c r="J32626" s="63"/>
    </row>
    <row r="32627" spans="9:10" x14ac:dyDescent="0.35">
      <c r="I32627" s="63"/>
      <c r="J32627" s="63"/>
    </row>
    <row r="32628" spans="9:10" x14ac:dyDescent="0.35">
      <c r="I32628" s="63"/>
      <c r="J32628" s="63"/>
    </row>
    <row r="32629" spans="9:10" x14ac:dyDescent="0.35">
      <c r="I32629" s="63"/>
      <c r="J32629" s="63"/>
    </row>
    <row r="32630" spans="9:10" x14ac:dyDescent="0.35">
      <c r="I32630" s="63"/>
      <c r="J32630" s="63"/>
    </row>
    <row r="32631" spans="9:10" x14ac:dyDescent="0.35">
      <c r="I32631" s="63"/>
      <c r="J32631" s="63"/>
    </row>
    <row r="32632" spans="9:10" x14ac:dyDescent="0.35">
      <c r="I32632" s="63"/>
      <c r="J32632" s="63"/>
    </row>
    <row r="32633" spans="9:10" x14ac:dyDescent="0.35">
      <c r="I32633" s="63"/>
      <c r="J32633" s="63"/>
    </row>
    <row r="32634" spans="9:10" x14ac:dyDescent="0.35">
      <c r="I32634" s="63"/>
      <c r="J32634" s="63"/>
    </row>
    <row r="32635" spans="9:10" x14ac:dyDescent="0.35">
      <c r="I32635" s="63"/>
      <c r="J32635" s="63"/>
    </row>
    <row r="32636" spans="9:10" x14ac:dyDescent="0.35">
      <c r="I32636" s="63"/>
      <c r="J32636" s="63"/>
    </row>
    <row r="32637" spans="9:10" x14ac:dyDescent="0.35">
      <c r="I32637" s="63"/>
      <c r="J32637" s="63"/>
    </row>
    <row r="32638" spans="9:10" x14ac:dyDescent="0.35">
      <c r="I32638" s="63"/>
      <c r="J32638" s="63"/>
    </row>
    <row r="32639" spans="9:10" x14ac:dyDescent="0.35">
      <c r="I32639" s="63"/>
      <c r="J32639" s="63"/>
    </row>
    <row r="32640" spans="9:10" x14ac:dyDescent="0.35">
      <c r="I32640" s="63"/>
      <c r="J32640" s="63"/>
    </row>
    <row r="32641" spans="9:10" x14ac:dyDescent="0.35">
      <c r="I32641" s="63"/>
      <c r="J32641" s="63"/>
    </row>
    <row r="32642" spans="9:10" x14ac:dyDescent="0.35">
      <c r="I32642" s="63"/>
      <c r="J32642" s="63"/>
    </row>
    <row r="32643" spans="9:10" x14ac:dyDescent="0.35">
      <c r="I32643" s="63"/>
      <c r="J32643" s="63"/>
    </row>
    <row r="32644" spans="9:10" x14ac:dyDescent="0.35">
      <c r="I32644" s="63"/>
      <c r="J32644" s="63"/>
    </row>
    <row r="32645" spans="9:10" x14ac:dyDescent="0.35">
      <c r="I32645" s="63"/>
      <c r="J32645" s="63"/>
    </row>
    <row r="32646" spans="9:10" x14ac:dyDescent="0.35">
      <c r="I32646" s="63"/>
      <c r="J32646" s="63"/>
    </row>
    <row r="32647" spans="9:10" x14ac:dyDescent="0.35">
      <c r="I32647" s="63"/>
      <c r="J32647" s="63"/>
    </row>
    <row r="32648" spans="9:10" x14ac:dyDescent="0.35">
      <c r="I32648" s="63"/>
      <c r="J32648" s="63"/>
    </row>
    <row r="32649" spans="9:10" x14ac:dyDescent="0.35">
      <c r="I32649" s="63"/>
      <c r="J32649" s="63"/>
    </row>
    <row r="32650" spans="9:10" x14ac:dyDescent="0.35">
      <c r="I32650" s="63"/>
      <c r="J32650" s="63"/>
    </row>
    <row r="32651" spans="9:10" x14ac:dyDescent="0.35">
      <c r="I32651" s="63"/>
      <c r="J32651" s="63"/>
    </row>
    <row r="32652" spans="9:10" x14ac:dyDescent="0.35">
      <c r="I32652" s="63"/>
      <c r="J32652" s="63"/>
    </row>
    <row r="32653" spans="9:10" x14ac:dyDescent="0.35">
      <c r="I32653" s="63"/>
      <c r="J32653" s="63"/>
    </row>
    <row r="32654" spans="9:10" x14ac:dyDescent="0.35">
      <c r="I32654" s="63"/>
      <c r="J32654" s="63"/>
    </row>
    <row r="32655" spans="9:10" x14ac:dyDescent="0.35">
      <c r="I32655" s="63"/>
      <c r="J32655" s="63"/>
    </row>
    <row r="32656" spans="9:10" x14ac:dyDescent="0.35">
      <c r="I32656" s="63"/>
      <c r="J32656" s="63"/>
    </row>
    <row r="32657" spans="9:10" x14ac:dyDescent="0.35">
      <c r="I32657" s="63"/>
      <c r="J32657" s="63"/>
    </row>
    <row r="32658" spans="9:10" x14ac:dyDescent="0.35">
      <c r="I32658" s="63"/>
      <c r="J32658" s="63"/>
    </row>
    <row r="32659" spans="9:10" x14ac:dyDescent="0.35">
      <c r="I32659" s="63"/>
      <c r="J32659" s="63"/>
    </row>
    <row r="32660" spans="9:10" x14ac:dyDescent="0.35">
      <c r="I32660" s="63"/>
      <c r="J32660" s="63"/>
    </row>
    <row r="32661" spans="9:10" x14ac:dyDescent="0.35">
      <c r="I32661" s="63"/>
      <c r="J32661" s="63"/>
    </row>
    <row r="32662" spans="9:10" x14ac:dyDescent="0.35">
      <c r="I32662" s="63"/>
      <c r="J32662" s="63"/>
    </row>
    <row r="32663" spans="9:10" x14ac:dyDescent="0.35">
      <c r="I32663" s="63"/>
      <c r="J32663" s="63"/>
    </row>
    <row r="32664" spans="9:10" x14ac:dyDescent="0.35">
      <c r="I32664" s="63"/>
      <c r="J32664" s="63"/>
    </row>
    <row r="32665" spans="9:10" x14ac:dyDescent="0.35">
      <c r="I32665" s="63"/>
      <c r="J32665" s="63"/>
    </row>
    <row r="32666" spans="9:10" x14ac:dyDescent="0.35">
      <c r="I32666" s="63"/>
      <c r="J32666" s="63"/>
    </row>
    <row r="32667" spans="9:10" x14ac:dyDescent="0.35">
      <c r="I32667" s="63"/>
      <c r="J32667" s="63"/>
    </row>
    <row r="32668" spans="9:10" x14ac:dyDescent="0.35">
      <c r="I32668" s="63"/>
      <c r="J32668" s="63"/>
    </row>
    <row r="32669" spans="9:10" x14ac:dyDescent="0.35">
      <c r="I32669" s="63"/>
      <c r="J32669" s="63"/>
    </row>
    <row r="32670" spans="9:10" x14ac:dyDescent="0.35">
      <c r="I32670" s="63"/>
      <c r="J32670" s="63"/>
    </row>
    <row r="32671" spans="9:10" x14ac:dyDescent="0.35">
      <c r="I32671" s="63"/>
      <c r="J32671" s="63"/>
    </row>
    <row r="32672" spans="9:10" x14ac:dyDescent="0.35">
      <c r="I32672" s="63"/>
      <c r="J32672" s="63"/>
    </row>
    <row r="32673" spans="9:10" x14ac:dyDescent="0.35">
      <c r="I32673" s="63"/>
      <c r="J32673" s="63"/>
    </row>
    <row r="32674" spans="9:10" x14ac:dyDescent="0.35">
      <c r="I32674" s="63"/>
      <c r="J32674" s="63"/>
    </row>
    <row r="32675" spans="9:10" x14ac:dyDescent="0.35">
      <c r="I32675" s="63"/>
      <c r="J32675" s="63"/>
    </row>
    <row r="32676" spans="9:10" x14ac:dyDescent="0.35">
      <c r="I32676" s="63"/>
      <c r="J32676" s="63"/>
    </row>
    <row r="32677" spans="9:10" x14ac:dyDescent="0.35">
      <c r="I32677" s="63"/>
      <c r="J32677" s="63"/>
    </row>
    <row r="32678" spans="9:10" x14ac:dyDescent="0.35">
      <c r="I32678" s="63"/>
      <c r="J32678" s="63"/>
    </row>
    <row r="32679" spans="9:10" x14ac:dyDescent="0.35">
      <c r="I32679" s="63"/>
      <c r="J32679" s="63"/>
    </row>
    <row r="32680" spans="9:10" x14ac:dyDescent="0.35">
      <c r="I32680" s="63"/>
      <c r="J32680" s="63"/>
    </row>
    <row r="32681" spans="9:10" x14ac:dyDescent="0.35">
      <c r="I32681" s="63"/>
      <c r="J32681" s="63"/>
    </row>
    <row r="32682" spans="9:10" x14ac:dyDescent="0.35">
      <c r="I32682" s="63"/>
      <c r="J32682" s="63"/>
    </row>
    <row r="32683" spans="9:10" x14ac:dyDescent="0.35">
      <c r="I32683" s="63"/>
      <c r="J32683" s="63"/>
    </row>
    <row r="32684" spans="9:10" x14ac:dyDescent="0.35">
      <c r="I32684" s="63"/>
      <c r="J32684" s="63"/>
    </row>
    <row r="32685" spans="9:10" x14ac:dyDescent="0.35">
      <c r="I32685" s="63"/>
      <c r="J32685" s="63"/>
    </row>
    <row r="32686" spans="9:10" x14ac:dyDescent="0.35">
      <c r="I32686" s="63"/>
      <c r="J32686" s="63"/>
    </row>
    <row r="32687" spans="9:10" x14ac:dyDescent="0.35">
      <c r="I32687" s="63"/>
      <c r="J32687" s="63"/>
    </row>
    <row r="32688" spans="9:10" x14ac:dyDescent="0.35">
      <c r="I32688" s="63"/>
      <c r="J32688" s="63"/>
    </row>
    <row r="32689" spans="9:10" x14ac:dyDescent="0.35">
      <c r="I32689" s="63"/>
      <c r="J32689" s="63"/>
    </row>
    <row r="32690" spans="9:10" x14ac:dyDescent="0.35">
      <c r="I32690" s="63"/>
      <c r="J32690" s="63"/>
    </row>
    <row r="32691" spans="9:10" x14ac:dyDescent="0.35">
      <c r="I32691" s="63"/>
      <c r="J32691" s="63"/>
    </row>
    <row r="32692" spans="9:10" x14ac:dyDescent="0.35">
      <c r="I32692" s="63"/>
      <c r="J32692" s="63"/>
    </row>
    <row r="32693" spans="9:10" x14ac:dyDescent="0.35">
      <c r="I32693" s="63"/>
      <c r="J32693" s="63"/>
    </row>
    <row r="32694" spans="9:10" x14ac:dyDescent="0.35">
      <c r="I32694" s="63"/>
      <c r="J32694" s="63"/>
    </row>
    <row r="32695" spans="9:10" x14ac:dyDescent="0.35">
      <c r="I32695" s="63"/>
      <c r="J32695" s="63"/>
    </row>
    <row r="32696" spans="9:10" x14ac:dyDescent="0.35">
      <c r="I32696" s="63"/>
      <c r="J32696" s="63"/>
    </row>
    <row r="32697" spans="9:10" x14ac:dyDescent="0.35">
      <c r="I32697" s="63"/>
      <c r="J32697" s="63"/>
    </row>
    <row r="32698" spans="9:10" x14ac:dyDescent="0.35">
      <c r="I32698" s="63"/>
      <c r="J32698" s="63"/>
    </row>
    <row r="32699" spans="9:10" x14ac:dyDescent="0.35">
      <c r="I32699" s="63"/>
      <c r="J32699" s="63"/>
    </row>
    <row r="32700" spans="9:10" x14ac:dyDescent="0.35">
      <c r="I32700" s="63"/>
      <c r="J32700" s="63"/>
    </row>
    <row r="32701" spans="9:10" x14ac:dyDescent="0.35">
      <c r="I32701" s="63"/>
      <c r="J32701" s="63"/>
    </row>
    <row r="32702" spans="9:10" x14ac:dyDescent="0.35">
      <c r="I32702" s="63"/>
      <c r="J32702" s="63"/>
    </row>
    <row r="32703" spans="9:10" x14ac:dyDescent="0.35">
      <c r="I32703" s="63"/>
      <c r="J32703" s="63"/>
    </row>
    <row r="32704" spans="9:10" x14ac:dyDescent="0.35">
      <c r="I32704" s="63"/>
      <c r="J32704" s="63"/>
    </row>
    <row r="32705" spans="9:10" x14ac:dyDescent="0.35">
      <c r="I32705" s="63"/>
      <c r="J32705" s="63"/>
    </row>
    <row r="32706" spans="9:10" x14ac:dyDescent="0.35">
      <c r="I32706" s="63"/>
      <c r="J32706" s="63"/>
    </row>
    <row r="32707" spans="9:10" x14ac:dyDescent="0.35">
      <c r="I32707" s="63"/>
      <c r="J32707" s="63"/>
    </row>
    <row r="32708" spans="9:10" x14ac:dyDescent="0.35">
      <c r="I32708" s="63"/>
      <c r="J32708" s="63"/>
    </row>
    <row r="32709" spans="9:10" x14ac:dyDescent="0.35">
      <c r="I32709" s="63"/>
      <c r="J32709" s="63"/>
    </row>
    <row r="32710" spans="9:10" x14ac:dyDescent="0.35">
      <c r="I32710" s="63"/>
      <c r="J32710" s="63"/>
    </row>
    <row r="32711" spans="9:10" x14ac:dyDescent="0.35">
      <c r="I32711" s="63"/>
      <c r="J32711" s="63"/>
    </row>
    <row r="32712" spans="9:10" x14ac:dyDescent="0.35">
      <c r="I32712" s="63"/>
      <c r="J32712" s="63"/>
    </row>
    <row r="32713" spans="9:10" x14ac:dyDescent="0.35">
      <c r="I32713" s="63"/>
      <c r="J32713" s="63"/>
    </row>
    <row r="32714" spans="9:10" x14ac:dyDescent="0.35">
      <c r="I32714" s="63"/>
      <c r="J32714" s="63"/>
    </row>
    <row r="32715" spans="9:10" x14ac:dyDescent="0.35">
      <c r="I32715" s="63"/>
      <c r="J32715" s="63"/>
    </row>
    <row r="32716" spans="9:10" x14ac:dyDescent="0.35">
      <c r="I32716" s="63"/>
      <c r="J32716" s="63"/>
    </row>
    <row r="32717" spans="9:10" x14ac:dyDescent="0.35">
      <c r="I32717" s="63"/>
      <c r="J32717" s="63"/>
    </row>
    <row r="32718" spans="9:10" x14ac:dyDescent="0.35">
      <c r="I32718" s="63"/>
      <c r="J32718" s="63"/>
    </row>
    <row r="32719" spans="9:10" x14ac:dyDescent="0.35">
      <c r="I32719" s="63"/>
      <c r="J32719" s="63"/>
    </row>
    <row r="32720" spans="9:10" x14ac:dyDescent="0.35">
      <c r="I32720" s="63"/>
      <c r="J32720" s="63"/>
    </row>
    <row r="32721" spans="9:10" x14ac:dyDescent="0.35">
      <c r="I32721" s="63"/>
      <c r="J32721" s="63"/>
    </row>
    <row r="32722" spans="9:10" x14ac:dyDescent="0.35">
      <c r="I32722" s="63"/>
      <c r="J32722" s="63"/>
    </row>
    <row r="32723" spans="9:10" x14ac:dyDescent="0.35">
      <c r="I32723" s="63"/>
      <c r="J32723" s="63"/>
    </row>
    <row r="32724" spans="9:10" x14ac:dyDescent="0.35">
      <c r="I32724" s="63"/>
      <c r="J32724" s="63"/>
    </row>
    <row r="32725" spans="9:10" x14ac:dyDescent="0.35">
      <c r="I32725" s="63"/>
      <c r="J32725" s="63"/>
    </row>
    <row r="32726" spans="9:10" x14ac:dyDescent="0.35">
      <c r="I32726" s="63"/>
      <c r="J32726" s="63"/>
    </row>
    <row r="32727" spans="9:10" x14ac:dyDescent="0.35">
      <c r="I32727" s="63"/>
      <c r="J32727" s="63"/>
    </row>
    <row r="32728" spans="9:10" x14ac:dyDescent="0.35">
      <c r="I32728" s="63"/>
      <c r="J32728" s="63"/>
    </row>
    <row r="32729" spans="9:10" x14ac:dyDescent="0.35">
      <c r="I32729" s="63"/>
      <c r="J32729" s="63"/>
    </row>
    <row r="32730" spans="9:10" x14ac:dyDescent="0.35">
      <c r="I32730" s="63"/>
      <c r="J32730" s="63"/>
    </row>
    <row r="32731" spans="9:10" x14ac:dyDescent="0.35">
      <c r="I32731" s="63"/>
      <c r="J32731" s="63"/>
    </row>
    <row r="32732" spans="9:10" x14ac:dyDescent="0.35">
      <c r="I32732" s="63"/>
      <c r="J32732" s="63"/>
    </row>
    <row r="32733" spans="9:10" x14ac:dyDescent="0.35">
      <c r="I32733" s="63"/>
      <c r="J32733" s="63"/>
    </row>
    <row r="32734" spans="9:10" x14ac:dyDescent="0.35">
      <c r="I32734" s="63"/>
      <c r="J32734" s="63"/>
    </row>
    <row r="32735" spans="9:10" x14ac:dyDescent="0.35">
      <c r="I32735" s="63"/>
      <c r="J32735" s="63"/>
    </row>
    <row r="32736" spans="9:10" x14ac:dyDescent="0.35">
      <c r="I32736" s="63"/>
      <c r="J32736" s="63"/>
    </row>
    <row r="32737" spans="9:10" x14ac:dyDescent="0.35">
      <c r="I32737" s="63"/>
      <c r="J32737" s="63"/>
    </row>
    <row r="32738" spans="9:10" x14ac:dyDescent="0.35">
      <c r="I32738" s="63"/>
      <c r="J32738" s="63"/>
    </row>
    <row r="32739" spans="9:10" x14ac:dyDescent="0.35">
      <c r="I32739" s="63"/>
      <c r="J32739" s="63"/>
    </row>
    <row r="32740" spans="9:10" x14ac:dyDescent="0.35">
      <c r="I32740" s="63"/>
      <c r="J32740" s="63"/>
    </row>
    <row r="32741" spans="9:10" x14ac:dyDescent="0.35">
      <c r="I32741" s="63"/>
      <c r="J32741" s="63"/>
    </row>
    <row r="32742" spans="9:10" x14ac:dyDescent="0.35">
      <c r="I32742" s="63"/>
      <c r="J32742" s="63"/>
    </row>
    <row r="32743" spans="9:10" x14ac:dyDescent="0.35">
      <c r="I32743" s="63"/>
      <c r="J32743" s="63"/>
    </row>
    <row r="32744" spans="9:10" x14ac:dyDescent="0.35">
      <c r="I32744" s="63"/>
      <c r="J32744" s="63"/>
    </row>
    <row r="32745" spans="9:10" x14ac:dyDescent="0.35">
      <c r="I32745" s="63"/>
      <c r="J32745" s="63"/>
    </row>
    <row r="32746" spans="9:10" x14ac:dyDescent="0.35">
      <c r="I32746" s="63"/>
      <c r="J32746" s="63"/>
    </row>
    <row r="32747" spans="9:10" x14ac:dyDescent="0.35">
      <c r="I32747" s="63"/>
      <c r="J32747" s="63"/>
    </row>
    <row r="32748" spans="9:10" x14ac:dyDescent="0.35">
      <c r="I32748" s="63"/>
      <c r="J32748" s="63"/>
    </row>
    <row r="32749" spans="9:10" x14ac:dyDescent="0.35">
      <c r="I32749" s="63"/>
      <c r="J32749" s="63"/>
    </row>
    <row r="32750" spans="9:10" x14ac:dyDescent="0.35">
      <c r="I32750" s="63"/>
      <c r="J32750" s="63"/>
    </row>
    <row r="32751" spans="9:10" x14ac:dyDescent="0.35">
      <c r="I32751" s="63"/>
      <c r="J32751" s="63"/>
    </row>
    <row r="32752" spans="9:10" x14ac:dyDescent="0.35">
      <c r="I32752" s="63"/>
      <c r="J32752" s="63"/>
    </row>
    <row r="32753" spans="9:10" x14ac:dyDescent="0.35">
      <c r="I32753" s="63"/>
      <c r="J32753" s="63"/>
    </row>
    <row r="32754" spans="9:10" x14ac:dyDescent="0.35">
      <c r="I32754" s="63"/>
      <c r="J32754" s="63"/>
    </row>
    <row r="32755" spans="9:10" x14ac:dyDescent="0.35">
      <c r="I32755" s="63"/>
      <c r="J32755" s="63"/>
    </row>
    <row r="32756" spans="9:10" x14ac:dyDescent="0.35">
      <c r="I32756" s="63"/>
      <c r="J32756" s="63"/>
    </row>
    <row r="32757" spans="9:10" x14ac:dyDescent="0.35">
      <c r="I32757" s="63"/>
      <c r="J32757" s="63"/>
    </row>
    <row r="32758" spans="9:10" x14ac:dyDescent="0.35">
      <c r="I32758" s="63"/>
      <c r="J32758" s="63"/>
    </row>
    <row r="32759" spans="9:10" x14ac:dyDescent="0.35">
      <c r="I32759" s="63"/>
      <c r="J32759" s="63"/>
    </row>
    <row r="32760" spans="9:10" x14ac:dyDescent="0.35">
      <c r="I32760" s="63"/>
      <c r="J32760" s="63"/>
    </row>
    <row r="32761" spans="9:10" x14ac:dyDescent="0.35">
      <c r="I32761" s="63"/>
      <c r="J32761" s="63"/>
    </row>
    <row r="32762" spans="9:10" x14ac:dyDescent="0.35">
      <c r="I32762" s="63"/>
      <c r="J32762" s="63"/>
    </row>
    <row r="32763" spans="9:10" x14ac:dyDescent="0.35">
      <c r="I32763" s="63"/>
      <c r="J32763" s="63"/>
    </row>
    <row r="32764" spans="9:10" x14ac:dyDescent="0.35">
      <c r="I32764" s="63"/>
      <c r="J32764" s="63"/>
    </row>
    <row r="32765" spans="9:10" x14ac:dyDescent="0.35">
      <c r="I32765" s="63"/>
      <c r="J32765" s="63"/>
    </row>
    <row r="32766" spans="9:10" x14ac:dyDescent="0.35">
      <c r="I32766" s="63"/>
      <c r="J32766" s="63"/>
    </row>
    <row r="32767" spans="9:10" x14ac:dyDescent="0.35">
      <c r="I32767" s="63"/>
      <c r="J32767" s="63"/>
    </row>
    <row r="32768" spans="9:10" x14ac:dyDescent="0.35">
      <c r="I32768" s="63"/>
      <c r="J32768" s="63"/>
    </row>
    <row r="32769" spans="9:10" x14ac:dyDescent="0.35">
      <c r="I32769" s="63"/>
      <c r="J32769" s="63"/>
    </row>
    <row r="32770" spans="9:10" x14ac:dyDescent="0.35">
      <c r="I32770" s="63"/>
      <c r="J32770" s="63"/>
    </row>
    <row r="32771" spans="9:10" x14ac:dyDescent="0.35">
      <c r="I32771" s="63"/>
      <c r="J32771" s="63"/>
    </row>
    <row r="32772" spans="9:10" x14ac:dyDescent="0.35">
      <c r="I32772" s="63"/>
      <c r="J32772" s="63"/>
    </row>
    <row r="32773" spans="9:10" x14ac:dyDescent="0.35">
      <c r="I32773" s="63"/>
      <c r="J32773" s="63"/>
    </row>
    <row r="32774" spans="9:10" x14ac:dyDescent="0.35">
      <c r="I32774" s="63"/>
      <c r="J32774" s="63"/>
    </row>
    <row r="32775" spans="9:10" x14ac:dyDescent="0.35">
      <c r="I32775" s="63"/>
      <c r="J32775" s="63"/>
    </row>
    <row r="32776" spans="9:10" x14ac:dyDescent="0.35">
      <c r="I32776" s="63"/>
      <c r="J32776" s="63"/>
    </row>
    <row r="32777" spans="9:10" x14ac:dyDescent="0.35">
      <c r="I32777" s="63"/>
      <c r="J32777" s="63"/>
    </row>
    <row r="32778" spans="9:10" x14ac:dyDescent="0.35">
      <c r="I32778" s="63"/>
      <c r="J32778" s="63"/>
    </row>
    <row r="32779" spans="9:10" x14ac:dyDescent="0.35">
      <c r="I32779" s="63"/>
      <c r="J32779" s="63"/>
    </row>
    <row r="32780" spans="9:10" x14ac:dyDescent="0.35">
      <c r="I32780" s="63"/>
      <c r="J32780" s="63"/>
    </row>
    <row r="32781" spans="9:10" x14ac:dyDescent="0.35">
      <c r="I32781" s="63"/>
      <c r="J32781" s="63"/>
    </row>
    <row r="32782" spans="9:10" x14ac:dyDescent="0.35">
      <c r="I32782" s="63"/>
      <c r="J32782" s="63"/>
    </row>
    <row r="32783" spans="9:10" x14ac:dyDescent="0.35">
      <c r="I32783" s="63"/>
      <c r="J32783" s="63"/>
    </row>
    <row r="32784" spans="9:10" x14ac:dyDescent="0.35">
      <c r="I32784" s="63"/>
      <c r="J32784" s="63"/>
    </row>
    <row r="32785" spans="9:10" x14ac:dyDescent="0.35">
      <c r="I32785" s="63"/>
      <c r="J32785" s="63"/>
    </row>
    <row r="32786" spans="9:10" x14ac:dyDescent="0.35">
      <c r="I32786" s="63"/>
      <c r="J32786" s="63"/>
    </row>
    <row r="32787" spans="9:10" x14ac:dyDescent="0.35">
      <c r="I32787" s="63"/>
      <c r="J32787" s="63"/>
    </row>
    <row r="32788" spans="9:10" x14ac:dyDescent="0.35">
      <c r="I32788" s="63"/>
      <c r="J32788" s="63"/>
    </row>
    <row r="32789" spans="9:10" x14ac:dyDescent="0.35">
      <c r="I32789" s="63"/>
      <c r="J32789" s="63"/>
    </row>
    <row r="32790" spans="9:10" x14ac:dyDescent="0.35">
      <c r="I32790" s="63"/>
      <c r="J32790" s="63"/>
    </row>
    <row r="32791" spans="9:10" x14ac:dyDescent="0.35">
      <c r="I32791" s="63"/>
      <c r="J32791" s="63"/>
    </row>
    <row r="32792" spans="9:10" x14ac:dyDescent="0.35">
      <c r="I32792" s="63"/>
      <c r="J32792" s="63"/>
    </row>
    <row r="32793" spans="9:10" x14ac:dyDescent="0.35">
      <c r="I32793" s="63"/>
      <c r="J32793" s="63"/>
    </row>
    <row r="32794" spans="9:10" x14ac:dyDescent="0.35">
      <c r="I32794" s="63"/>
      <c r="J32794" s="63"/>
    </row>
    <row r="32795" spans="9:10" x14ac:dyDescent="0.35">
      <c r="I32795" s="63"/>
      <c r="J32795" s="63"/>
    </row>
    <row r="32796" spans="9:10" x14ac:dyDescent="0.35">
      <c r="I32796" s="63"/>
      <c r="J32796" s="63"/>
    </row>
    <row r="32797" spans="9:10" x14ac:dyDescent="0.35">
      <c r="I32797" s="63"/>
      <c r="J32797" s="63"/>
    </row>
    <row r="32798" spans="9:10" x14ac:dyDescent="0.35">
      <c r="I32798" s="63"/>
      <c r="J32798" s="63"/>
    </row>
    <row r="32799" spans="9:10" x14ac:dyDescent="0.35">
      <c r="I32799" s="63"/>
      <c r="J32799" s="63"/>
    </row>
    <row r="32800" spans="9:10" x14ac:dyDescent="0.35">
      <c r="I32800" s="63"/>
      <c r="J32800" s="63"/>
    </row>
    <row r="32801" spans="9:10" x14ac:dyDescent="0.35">
      <c r="I32801" s="63"/>
      <c r="J32801" s="63"/>
    </row>
    <row r="32802" spans="9:10" x14ac:dyDescent="0.35">
      <c r="I32802" s="63"/>
      <c r="J32802" s="63"/>
    </row>
    <row r="32803" spans="9:10" x14ac:dyDescent="0.35">
      <c r="I32803" s="63"/>
      <c r="J32803" s="63"/>
    </row>
    <row r="32804" spans="9:10" x14ac:dyDescent="0.35">
      <c r="I32804" s="63"/>
      <c r="J32804" s="63"/>
    </row>
    <row r="32805" spans="9:10" x14ac:dyDescent="0.35">
      <c r="I32805" s="63"/>
      <c r="J32805" s="63"/>
    </row>
    <row r="32806" spans="9:10" x14ac:dyDescent="0.35">
      <c r="I32806" s="63"/>
      <c r="J32806" s="63"/>
    </row>
    <row r="32807" spans="9:10" x14ac:dyDescent="0.35">
      <c r="I32807" s="63"/>
      <c r="J32807" s="63"/>
    </row>
    <row r="32808" spans="9:10" x14ac:dyDescent="0.35">
      <c r="I32808" s="63"/>
      <c r="J32808" s="63"/>
    </row>
    <row r="32809" spans="9:10" x14ac:dyDescent="0.35">
      <c r="I32809" s="63"/>
      <c r="J32809" s="63"/>
    </row>
    <row r="32810" spans="9:10" x14ac:dyDescent="0.35">
      <c r="I32810" s="63"/>
      <c r="J32810" s="63"/>
    </row>
    <row r="32811" spans="9:10" x14ac:dyDescent="0.35">
      <c r="I32811" s="63"/>
      <c r="J32811" s="63"/>
    </row>
    <row r="32812" spans="9:10" x14ac:dyDescent="0.35">
      <c r="I32812" s="63"/>
      <c r="J32812" s="63"/>
    </row>
    <row r="32813" spans="9:10" x14ac:dyDescent="0.35">
      <c r="I32813" s="63"/>
      <c r="J32813" s="63"/>
    </row>
    <row r="32814" spans="9:10" x14ac:dyDescent="0.35">
      <c r="I32814" s="63"/>
      <c r="J32814" s="63"/>
    </row>
    <row r="32815" spans="9:10" x14ac:dyDescent="0.35">
      <c r="I32815" s="63"/>
      <c r="J32815" s="63"/>
    </row>
    <row r="32816" spans="9:10" x14ac:dyDescent="0.35">
      <c r="I32816" s="63"/>
      <c r="J32816" s="63"/>
    </row>
    <row r="32817" spans="9:10" x14ac:dyDescent="0.35">
      <c r="I32817" s="63"/>
      <c r="J32817" s="63"/>
    </row>
    <row r="32818" spans="9:10" x14ac:dyDescent="0.35">
      <c r="I32818" s="63"/>
      <c r="J32818" s="63"/>
    </row>
    <row r="32819" spans="9:10" x14ac:dyDescent="0.35">
      <c r="I32819" s="63"/>
      <c r="J32819" s="63"/>
    </row>
    <row r="32820" spans="9:10" x14ac:dyDescent="0.35">
      <c r="I32820" s="63"/>
      <c r="J32820" s="63"/>
    </row>
    <row r="32821" spans="9:10" x14ac:dyDescent="0.35">
      <c r="I32821" s="63"/>
      <c r="J32821" s="63"/>
    </row>
    <row r="32822" spans="9:10" x14ac:dyDescent="0.35">
      <c r="I32822" s="63"/>
      <c r="J32822" s="63"/>
    </row>
    <row r="32823" spans="9:10" x14ac:dyDescent="0.35">
      <c r="I32823" s="63"/>
      <c r="J32823" s="63"/>
    </row>
    <row r="32824" spans="9:10" x14ac:dyDescent="0.35">
      <c r="I32824" s="63"/>
      <c r="J32824" s="63"/>
    </row>
    <row r="32825" spans="9:10" x14ac:dyDescent="0.35">
      <c r="I32825" s="63"/>
      <c r="J32825" s="63"/>
    </row>
    <row r="32826" spans="9:10" x14ac:dyDescent="0.35">
      <c r="I32826" s="63"/>
      <c r="J32826" s="63"/>
    </row>
    <row r="32827" spans="9:10" x14ac:dyDescent="0.35">
      <c r="I32827" s="63"/>
      <c r="J32827" s="63"/>
    </row>
    <row r="32828" spans="9:10" x14ac:dyDescent="0.35">
      <c r="I32828" s="63"/>
      <c r="J32828" s="63"/>
    </row>
    <row r="32829" spans="9:10" x14ac:dyDescent="0.35">
      <c r="I32829" s="63"/>
      <c r="J32829" s="63"/>
    </row>
    <row r="32830" spans="9:10" x14ac:dyDescent="0.35">
      <c r="I32830" s="63"/>
      <c r="J32830" s="63"/>
    </row>
    <row r="32831" spans="9:10" x14ac:dyDescent="0.35">
      <c r="I32831" s="63"/>
      <c r="J32831" s="63"/>
    </row>
    <row r="32832" spans="9:10" x14ac:dyDescent="0.35">
      <c r="I32832" s="63"/>
      <c r="J32832" s="63"/>
    </row>
    <row r="32833" spans="9:10" x14ac:dyDescent="0.35">
      <c r="I32833" s="63"/>
      <c r="J32833" s="63"/>
    </row>
    <row r="32834" spans="9:10" x14ac:dyDescent="0.35">
      <c r="I32834" s="63"/>
      <c r="J32834" s="63"/>
    </row>
    <row r="32835" spans="9:10" x14ac:dyDescent="0.35">
      <c r="I32835" s="63"/>
      <c r="J32835" s="63"/>
    </row>
    <row r="32836" spans="9:10" x14ac:dyDescent="0.35">
      <c r="I32836" s="63"/>
      <c r="J32836" s="63"/>
    </row>
    <row r="32837" spans="9:10" x14ac:dyDescent="0.35">
      <c r="I32837" s="63"/>
      <c r="J32837" s="63"/>
    </row>
    <row r="32838" spans="9:10" x14ac:dyDescent="0.35">
      <c r="I32838" s="63"/>
      <c r="J32838" s="63"/>
    </row>
    <row r="32839" spans="9:10" x14ac:dyDescent="0.35">
      <c r="I32839" s="63"/>
      <c r="J32839" s="63"/>
    </row>
    <row r="32840" spans="9:10" x14ac:dyDescent="0.35">
      <c r="I32840" s="63"/>
      <c r="J32840" s="63"/>
    </row>
    <row r="32841" spans="9:10" x14ac:dyDescent="0.35">
      <c r="I32841" s="63"/>
      <c r="J32841" s="63"/>
    </row>
    <row r="32842" spans="9:10" x14ac:dyDescent="0.35">
      <c r="I32842" s="63"/>
      <c r="J32842" s="63"/>
    </row>
    <row r="32843" spans="9:10" x14ac:dyDescent="0.35">
      <c r="I32843" s="63"/>
      <c r="J32843" s="63"/>
    </row>
    <row r="32844" spans="9:10" x14ac:dyDescent="0.35">
      <c r="I32844" s="63"/>
      <c r="J32844" s="63"/>
    </row>
    <row r="32845" spans="9:10" x14ac:dyDescent="0.35">
      <c r="I32845" s="63"/>
      <c r="J32845" s="63"/>
    </row>
    <row r="32846" spans="9:10" x14ac:dyDescent="0.35">
      <c r="I32846" s="63"/>
      <c r="J32846" s="63"/>
    </row>
    <row r="32847" spans="9:10" x14ac:dyDescent="0.35">
      <c r="I32847" s="63"/>
      <c r="J32847" s="63"/>
    </row>
    <row r="32848" spans="9:10" x14ac:dyDescent="0.35">
      <c r="I32848" s="63"/>
      <c r="J32848" s="63"/>
    </row>
    <row r="32849" spans="9:10" x14ac:dyDescent="0.35">
      <c r="I32849" s="63"/>
      <c r="J32849" s="63"/>
    </row>
    <row r="32850" spans="9:10" x14ac:dyDescent="0.35">
      <c r="I32850" s="63"/>
      <c r="J32850" s="63"/>
    </row>
    <row r="32851" spans="9:10" x14ac:dyDescent="0.35">
      <c r="I32851" s="63"/>
      <c r="J32851" s="63"/>
    </row>
    <row r="32852" spans="9:10" x14ac:dyDescent="0.35">
      <c r="I32852" s="63"/>
      <c r="J32852" s="63"/>
    </row>
    <row r="32853" spans="9:10" x14ac:dyDescent="0.35">
      <c r="I32853" s="63"/>
      <c r="J32853" s="63"/>
    </row>
    <row r="32854" spans="9:10" x14ac:dyDescent="0.35">
      <c r="I32854" s="63"/>
      <c r="J32854" s="63"/>
    </row>
    <row r="32855" spans="9:10" x14ac:dyDescent="0.35">
      <c r="I32855" s="63"/>
      <c r="J32855" s="63"/>
    </row>
    <row r="32856" spans="9:10" x14ac:dyDescent="0.35">
      <c r="I32856" s="63"/>
      <c r="J32856" s="63"/>
    </row>
    <row r="32857" spans="9:10" x14ac:dyDescent="0.35">
      <c r="I32857" s="63"/>
      <c r="J32857" s="63"/>
    </row>
    <row r="32858" spans="9:10" x14ac:dyDescent="0.35">
      <c r="I32858" s="63"/>
      <c r="J32858" s="63"/>
    </row>
    <row r="32859" spans="9:10" x14ac:dyDescent="0.35">
      <c r="I32859" s="63"/>
      <c r="J32859" s="63"/>
    </row>
    <row r="32860" spans="9:10" x14ac:dyDescent="0.35">
      <c r="I32860" s="63"/>
      <c r="J32860" s="63"/>
    </row>
    <row r="32861" spans="9:10" x14ac:dyDescent="0.35">
      <c r="I32861" s="63"/>
      <c r="J32861" s="63"/>
    </row>
    <row r="32862" spans="9:10" x14ac:dyDescent="0.35">
      <c r="I32862" s="63"/>
      <c r="J32862" s="63"/>
    </row>
    <row r="32863" spans="9:10" x14ac:dyDescent="0.35">
      <c r="I32863" s="63"/>
      <c r="J32863" s="63"/>
    </row>
    <row r="32864" spans="9:10" x14ac:dyDescent="0.35">
      <c r="I32864" s="63"/>
      <c r="J32864" s="63"/>
    </row>
    <row r="32865" spans="9:10" x14ac:dyDescent="0.35">
      <c r="I32865" s="63"/>
      <c r="J32865" s="63"/>
    </row>
    <row r="32866" spans="9:10" x14ac:dyDescent="0.35">
      <c r="I32866" s="63"/>
      <c r="J32866" s="63"/>
    </row>
    <row r="32867" spans="9:10" x14ac:dyDescent="0.35">
      <c r="I32867" s="63"/>
      <c r="J32867" s="63"/>
    </row>
    <row r="32868" spans="9:10" x14ac:dyDescent="0.35">
      <c r="I32868" s="63"/>
      <c r="J32868" s="63"/>
    </row>
    <row r="32869" spans="9:10" x14ac:dyDescent="0.35">
      <c r="I32869" s="63"/>
      <c r="J32869" s="63"/>
    </row>
    <row r="32870" spans="9:10" x14ac:dyDescent="0.35">
      <c r="I32870" s="63"/>
      <c r="J32870" s="63"/>
    </row>
    <row r="32871" spans="9:10" x14ac:dyDescent="0.35">
      <c r="I32871" s="63"/>
      <c r="J32871" s="63"/>
    </row>
    <row r="32872" spans="9:10" x14ac:dyDescent="0.35">
      <c r="I32872" s="63"/>
      <c r="J32872" s="63"/>
    </row>
    <row r="32873" spans="9:10" x14ac:dyDescent="0.35">
      <c r="I32873" s="63"/>
      <c r="J32873" s="63"/>
    </row>
    <row r="32874" spans="9:10" x14ac:dyDescent="0.35">
      <c r="I32874" s="63"/>
      <c r="J32874" s="63"/>
    </row>
    <row r="32875" spans="9:10" x14ac:dyDescent="0.35">
      <c r="I32875" s="63"/>
      <c r="J32875" s="63"/>
    </row>
    <row r="32876" spans="9:10" x14ac:dyDescent="0.35">
      <c r="I32876" s="63"/>
      <c r="J32876" s="63"/>
    </row>
    <row r="32877" spans="9:10" x14ac:dyDescent="0.35">
      <c r="I32877" s="63"/>
      <c r="J32877" s="63"/>
    </row>
    <row r="32878" spans="9:10" x14ac:dyDescent="0.35">
      <c r="I32878" s="63"/>
      <c r="J32878" s="63"/>
    </row>
    <row r="32879" spans="9:10" x14ac:dyDescent="0.35">
      <c r="I32879" s="63"/>
      <c r="J32879" s="63"/>
    </row>
    <row r="32880" spans="9:10" x14ac:dyDescent="0.35">
      <c r="I32880" s="63"/>
      <c r="J32880" s="63"/>
    </row>
    <row r="32881" spans="9:10" x14ac:dyDescent="0.35">
      <c r="I32881" s="63"/>
      <c r="J32881" s="63"/>
    </row>
    <row r="32882" spans="9:10" x14ac:dyDescent="0.35">
      <c r="I32882" s="63"/>
      <c r="J32882" s="63"/>
    </row>
    <row r="32883" spans="9:10" x14ac:dyDescent="0.35">
      <c r="I32883" s="63"/>
      <c r="J32883" s="63"/>
    </row>
    <row r="32884" spans="9:10" x14ac:dyDescent="0.35">
      <c r="I32884" s="63"/>
      <c r="J32884" s="63"/>
    </row>
    <row r="32885" spans="9:10" x14ac:dyDescent="0.35">
      <c r="I32885" s="63"/>
      <c r="J32885" s="63"/>
    </row>
    <row r="32886" spans="9:10" x14ac:dyDescent="0.35">
      <c r="I32886" s="63"/>
      <c r="J32886" s="63"/>
    </row>
    <row r="32887" spans="9:10" x14ac:dyDescent="0.35">
      <c r="I32887" s="63"/>
      <c r="J32887" s="63"/>
    </row>
    <row r="32888" spans="9:10" x14ac:dyDescent="0.35">
      <c r="I32888" s="63"/>
      <c r="J32888" s="63"/>
    </row>
    <row r="32889" spans="9:10" x14ac:dyDescent="0.35">
      <c r="I32889" s="63"/>
      <c r="J32889" s="63"/>
    </row>
    <row r="32890" spans="9:10" x14ac:dyDescent="0.35">
      <c r="I32890" s="63"/>
      <c r="J32890" s="63"/>
    </row>
    <row r="32891" spans="9:10" x14ac:dyDescent="0.35">
      <c r="I32891" s="63"/>
      <c r="J32891" s="63"/>
    </row>
    <row r="32892" spans="9:10" x14ac:dyDescent="0.35">
      <c r="I32892" s="63"/>
      <c r="J32892" s="63"/>
    </row>
    <row r="32893" spans="9:10" x14ac:dyDescent="0.35">
      <c r="I32893" s="63"/>
      <c r="J32893" s="63"/>
    </row>
    <row r="32894" spans="9:10" x14ac:dyDescent="0.35">
      <c r="I32894" s="63"/>
      <c r="J32894" s="63"/>
    </row>
    <row r="32895" spans="9:10" x14ac:dyDescent="0.35">
      <c r="I32895" s="63"/>
      <c r="J32895" s="63"/>
    </row>
    <row r="32896" spans="9:10" x14ac:dyDescent="0.35">
      <c r="I32896" s="63"/>
      <c r="J32896" s="63"/>
    </row>
    <row r="32897" spans="9:10" x14ac:dyDescent="0.35">
      <c r="I32897" s="63"/>
      <c r="J32897" s="63"/>
    </row>
    <row r="32898" spans="9:10" x14ac:dyDescent="0.35">
      <c r="I32898" s="63"/>
      <c r="J32898" s="63"/>
    </row>
    <row r="32899" spans="9:10" x14ac:dyDescent="0.35">
      <c r="I32899" s="63"/>
      <c r="J32899" s="63"/>
    </row>
    <row r="32900" spans="9:10" x14ac:dyDescent="0.35">
      <c r="I32900" s="63"/>
      <c r="J32900" s="63"/>
    </row>
    <row r="32901" spans="9:10" x14ac:dyDescent="0.35">
      <c r="I32901" s="63"/>
      <c r="J32901" s="63"/>
    </row>
    <row r="32902" spans="9:10" x14ac:dyDescent="0.35">
      <c r="I32902" s="63"/>
      <c r="J32902" s="63"/>
    </row>
    <row r="32903" spans="9:10" x14ac:dyDescent="0.35">
      <c r="I32903" s="63"/>
      <c r="J32903" s="63"/>
    </row>
    <row r="32904" spans="9:10" x14ac:dyDescent="0.35">
      <c r="I32904" s="63"/>
      <c r="J32904" s="63"/>
    </row>
    <row r="32905" spans="9:10" x14ac:dyDescent="0.35">
      <c r="I32905" s="63"/>
      <c r="J32905" s="63"/>
    </row>
    <row r="32906" spans="9:10" x14ac:dyDescent="0.35">
      <c r="I32906" s="63"/>
      <c r="J32906" s="63"/>
    </row>
    <row r="32907" spans="9:10" x14ac:dyDescent="0.35">
      <c r="I32907" s="63"/>
      <c r="J32907" s="63"/>
    </row>
    <row r="32908" spans="9:10" x14ac:dyDescent="0.35">
      <c r="I32908" s="63"/>
      <c r="J32908" s="63"/>
    </row>
    <row r="32909" spans="9:10" x14ac:dyDescent="0.35">
      <c r="I32909" s="63"/>
      <c r="J32909" s="63"/>
    </row>
    <row r="32910" spans="9:10" x14ac:dyDescent="0.35">
      <c r="I32910" s="63"/>
      <c r="J32910" s="63"/>
    </row>
    <row r="32911" spans="9:10" x14ac:dyDescent="0.35">
      <c r="I32911" s="63"/>
      <c r="J32911" s="63"/>
    </row>
    <row r="32912" spans="9:10" x14ac:dyDescent="0.35">
      <c r="I32912" s="63"/>
      <c r="J32912" s="63"/>
    </row>
    <row r="32913" spans="9:10" x14ac:dyDescent="0.35">
      <c r="I32913" s="63"/>
      <c r="J32913" s="63"/>
    </row>
    <row r="32914" spans="9:10" x14ac:dyDescent="0.35">
      <c r="I32914" s="63"/>
      <c r="J32914" s="63"/>
    </row>
    <row r="32915" spans="9:10" x14ac:dyDescent="0.35">
      <c r="I32915" s="63"/>
      <c r="J32915" s="63"/>
    </row>
    <row r="32916" spans="9:10" x14ac:dyDescent="0.35">
      <c r="I32916" s="63"/>
      <c r="J32916" s="63"/>
    </row>
    <row r="32917" spans="9:10" x14ac:dyDescent="0.35">
      <c r="I32917" s="63"/>
      <c r="J32917" s="63"/>
    </row>
    <row r="32918" spans="9:10" x14ac:dyDescent="0.35">
      <c r="I32918" s="63"/>
      <c r="J32918" s="63"/>
    </row>
    <row r="32919" spans="9:10" x14ac:dyDescent="0.35">
      <c r="I32919" s="63"/>
      <c r="J32919" s="63"/>
    </row>
    <row r="32920" spans="9:10" x14ac:dyDescent="0.35">
      <c r="I32920" s="63"/>
      <c r="J32920" s="63"/>
    </row>
    <row r="32921" spans="9:10" x14ac:dyDescent="0.35">
      <c r="I32921" s="63"/>
      <c r="J32921" s="63"/>
    </row>
    <row r="32922" spans="9:10" x14ac:dyDescent="0.35">
      <c r="I32922" s="63"/>
      <c r="J32922" s="63"/>
    </row>
    <row r="32923" spans="9:10" x14ac:dyDescent="0.35">
      <c r="I32923" s="63"/>
      <c r="J32923" s="63"/>
    </row>
    <row r="32924" spans="9:10" x14ac:dyDescent="0.35">
      <c r="I32924" s="63"/>
      <c r="J32924" s="63"/>
    </row>
    <row r="32925" spans="9:10" x14ac:dyDescent="0.35">
      <c r="I32925" s="63"/>
      <c r="J32925" s="63"/>
    </row>
    <row r="32926" spans="9:10" x14ac:dyDescent="0.35">
      <c r="I32926" s="63"/>
      <c r="J32926" s="63"/>
    </row>
    <row r="32927" spans="9:10" x14ac:dyDescent="0.35">
      <c r="I32927" s="63"/>
      <c r="J32927" s="63"/>
    </row>
    <row r="32928" spans="9:10" x14ac:dyDescent="0.35">
      <c r="I32928" s="63"/>
      <c r="J32928" s="63"/>
    </row>
    <row r="32929" spans="9:10" x14ac:dyDescent="0.35">
      <c r="I32929" s="63"/>
      <c r="J32929" s="63"/>
    </row>
    <row r="32930" spans="9:10" x14ac:dyDescent="0.35">
      <c r="I32930" s="63"/>
      <c r="J32930" s="63"/>
    </row>
    <row r="32931" spans="9:10" x14ac:dyDescent="0.35">
      <c r="I32931" s="63"/>
      <c r="J32931" s="63"/>
    </row>
    <row r="32932" spans="9:10" x14ac:dyDescent="0.35">
      <c r="I32932" s="63"/>
      <c r="J32932" s="63"/>
    </row>
    <row r="32933" spans="9:10" x14ac:dyDescent="0.35">
      <c r="I32933" s="63"/>
      <c r="J32933" s="63"/>
    </row>
    <row r="32934" spans="9:10" x14ac:dyDescent="0.35">
      <c r="I32934" s="63"/>
      <c r="J32934" s="63"/>
    </row>
    <row r="32935" spans="9:10" x14ac:dyDescent="0.35">
      <c r="I32935" s="63"/>
      <c r="J32935" s="63"/>
    </row>
    <row r="32936" spans="9:10" x14ac:dyDescent="0.35">
      <c r="I32936" s="63"/>
      <c r="J32936" s="63"/>
    </row>
    <row r="32937" spans="9:10" x14ac:dyDescent="0.35">
      <c r="I32937" s="63"/>
      <c r="J32937" s="63"/>
    </row>
    <row r="32938" spans="9:10" x14ac:dyDescent="0.35">
      <c r="I32938" s="63"/>
      <c r="J32938" s="63"/>
    </row>
    <row r="32939" spans="9:10" x14ac:dyDescent="0.35">
      <c r="I32939" s="63"/>
      <c r="J32939" s="63"/>
    </row>
    <row r="32940" spans="9:10" x14ac:dyDescent="0.35">
      <c r="I32940" s="63"/>
      <c r="J32940" s="63"/>
    </row>
    <row r="32941" spans="9:10" x14ac:dyDescent="0.35">
      <c r="I32941" s="63"/>
      <c r="J32941" s="63"/>
    </row>
    <row r="32942" spans="9:10" x14ac:dyDescent="0.35">
      <c r="I32942" s="63"/>
      <c r="J32942" s="63"/>
    </row>
    <row r="32943" spans="9:10" x14ac:dyDescent="0.35">
      <c r="I32943" s="63"/>
      <c r="J32943" s="63"/>
    </row>
    <row r="32944" spans="9:10" x14ac:dyDescent="0.35">
      <c r="I32944" s="63"/>
      <c r="J32944" s="63"/>
    </row>
    <row r="32945" spans="9:10" x14ac:dyDescent="0.35">
      <c r="I32945" s="63"/>
      <c r="J32945" s="63"/>
    </row>
    <row r="32946" spans="9:10" x14ac:dyDescent="0.35">
      <c r="I32946" s="63"/>
      <c r="J32946" s="63"/>
    </row>
    <row r="32947" spans="9:10" x14ac:dyDescent="0.35">
      <c r="I32947" s="63"/>
      <c r="J32947" s="63"/>
    </row>
    <row r="32948" spans="9:10" x14ac:dyDescent="0.35">
      <c r="I32948" s="63"/>
      <c r="J32948" s="63"/>
    </row>
    <row r="32949" spans="9:10" x14ac:dyDescent="0.35">
      <c r="I32949" s="63"/>
      <c r="J32949" s="63"/>
    </row>
    <row r="32950" spans="9:10" x14ac:dyDescent="0.35">
      <c r="I32950" s="63"/>
      <c r="J32950" s="63"/>
    </row>
    <row r="32951" spans="9:10" x14ac:dyDescent="0.35">
      <c r="I32951" s="63"/>
      <c r="J32951" s="63"/>
    </row>
    <row r="32952" spans="9:10" x14ac:dyDescent="0.35">
      <c r="I32952" s="63"/>
      <c r="J32952" s="63"/>
    </row>
    <row r="32953" spans="9:10" x14ac:dyDescent="0.35">
      <c r="I32953" s="63"/>
      <c r="J32953" s="63"/>
    </row>
    <row r="32954" spans="9:10" x14ac:dyDescent="0.35">
      <c r="I32954" s="63"/>
      <c r="J32954" s="63"/>
    </row>
    <row r="32955" spans="9:10" x14ac:dyDescent="0.35">
      <c r="I32955" s="63"/>
      <c r="J32955" s="63"/>
    </row>
    <row r="32956" spans="9:10" x14ac:dyDescent="0.35">
      <c r="I32956" s="63"/>
      <c r="J32956" s="63"/>
    </row>
    <row r="32957" spans="9:10" x14ac:dyDescent="0.35">
      <c r="I32957" s="63"/>
      <c r="J32957" s="63"/>
    </row>
    <row r="32958" spans="9:10" x14ac:dyDescent="0.35">
      <c r="I32958" s="63"/>
      <c r="J32958" s="63"/>
    </row>
    <row r="32959" spans="9:10" x14ac:dyDescent="0.35">
      <c r="I32959" s="63"/>
      <c r="J32959" s="63"/>
    </row>
    <row r="32960" spans="9:10" x14ac:dyDescent="0.35">
      <c r="I32960" s="63"/>
      <c r="J32960" s="63"/>
    </row>
    <row r="32961" spans="9:10" x14ac:dyDescent="0.35">
      <c r="I32961" s="63"/>
      <c r="J32961" s="63"/>
    </row>
    <row r="32962" spans="9:10" x14ac:dyDescent="0.35">
      <c r="I32962" s="63"/>
      <c r="J32962" s="63"/>
    </row>
    <row r="32963" spans="9:10" x14ac:dyDescent="0.35">
      <c r="I32963" s="63"/>
      <c r="J32963" s="63"/>
    </row>
    <row r="32964" spans="9:10" x14ac:dyDescent="0.35">
      <c r="I32964" s="63"/>
      <c r="J32964" s="63"/>
    </row>
    <row r="32965" spans="9:10" x14ac:dyDescent="0.35">
      <c r="I32965" s="63"/>
      <c r="J32965" s="63"/>
    </row>
    <row r="32966" spans="9:10" x14ac:dyDescent="0.35">
      <c r="I32966" s="63"/>
      <c r="J32966" s="63"/>
    </row>
    <row r="32967" spans="9:10" x14ac:dyDescent="0.35">
      <c r="I32967" s="63"/>
      <c r="J32967" s="63"/>
    </row>
    <row r="32968" spans="9:10" x14ac:dyDescent="0.35">
      <c r="I32968" s="63"/>
      <c r="J32968" s="63"/>
    </row>
    <row r="32969" spans="9:10" x14ac:dyDescent="0.35">
      <c r="I32969" s="63"/>
      <c r="J32969" s="63"/>
    </row>
    <row r="32970" spans="9:10" x14ac:dyDescent="0.35">
      <c r="I32970" s="63"/>
      <c r="J32970" s="63"/>
    </row>
    <row r="32971" spans="9:10" x14ac:dyDescent="0.35">
      <c r="I32971" s="63"/>
      <c r="J32971" s="63"/>
    </row>
    <row r="32972" spans="9:10" x14ac:dyDescent="0.35">
      <c r="I32972" s="63"/>
      <c r="J32972" s="63"/>
    </row>
    <row r="32973" spans="9:10" x14ac:dyDescent="0.35">
      <c r="I32973" s="63"/>
      <c r="J32973" s="63"/>
    </row>
    <row r="32974" spans="9:10" x14ac:dyDescent="0.35">
      <c r="I32974" s="63"/>
      <c r="J32974" s="63"/>
    </row>
    <row r="32975" spans="9:10" x14ac:dyDescent="0.35">
      <c r="I32975" s="63"/>
      <c r="J32975" s="63"/>
    </row>
    <row r="32976" spans="9:10" x14ac:dyDescent="0.35">
      <c r="I32976" s="63"/>
      <c r="J32976" s="63"/>
    </row>
    <row r="32977" spans="9:10" x14ac:dyDescent="0.35">
      <c r="I32977" s="63"/>
      <c r="J32977" s="63"/>
    </row>
    <row r="32978" spans="9:10" x14ac:dyDescent="0.35">
      <c r="I32978" s="63"/>
      <c r="J32978" s="63"/>
    </row>
    <row r="32979" spans="9:10" x14ac:dyDescent="0.35">
      <c r="I32979" s="63"/>
      <c r="J32979" s="63"/>
    </row>
    <row r="32980" spans="9:10" x14ac:dyDescent="0.35">
      <c r="I32980" s="63"/>
      <c r="J32980" s="63"/>
    </row>
    <row r="32981" spans="9:10" x14ac:dyDescent="0.35">
      <c r="I32981" s="63"/>
      <c r="J32981" s="63"/>
    </row>
    <row r="32982" spans="9:10" x14ac:dyDescent="0.35">
      <c r="I32982" s="63"/>
      <c r="J32982" s="63"/>
    </row>
    <row r="32983" spans="9:10" x14ac:dyDescent="0.35">
      <c r="I32983" s="63"/>
      <c r="J32983" s="63"/>
    </row>
    <row r="32984" spans="9:10" x14ac:dyDescent="0.35">
      <c r="I32984" s="63"/>
      <c r="J32984" s="63"/>
    </row>
    <row r="32985" spans="9:10" x14ac:dyDescent="0.35">
      <c r="I32985" s="63"/>
      <c r="J32985" s="63"/>
    </row>
    <row r="32986" spans="9:10" x14ac:dyDescent="0.35">
      <c r="I32986" s="63"/>
      <c r="J32986" s="63"/>
    </row>
    <row r="32987" spans="9:10" x14ac:dyDescent="0.35">
      <c r="I32987" s="63"/>
      <c r="J32987" s="63"/>
    </row>
    <row r="32988" spans="9:10" x14ac:dyDescent="0.35">
      <c r="I32988" s="63"/>
      <c r="J32988" s="63"/>
    </row>
    <row r="32989" spans="9:10" x14ac:dyDescent="0.35">
      <c r="I32989" s="63"/>
      <c r="J32989" s="63"/>
    </row>
    <row r="32990" spans="9:10" x14ac:dyDescent="0.35">
      <c r="I32990" s="63"/>
      <c r="J32990" s="63"/>
    </row>
    <row r="32991" spans="9:10" x14ac:dyDescent="0.35">
      <c r="I32991" s="63"/>
      <c r="J32991" s="63"/>
    </row>
    <row r="32992" spans="9:10" x14ac:dyDescent="0.35">
      <c r="I32992" s="63"/>
      <c r="J32992" s="63"/>
    </row>
    <row r="32993" spans="9:10" x14ac:dyDescent="0.35">
      <c r="I32993" s="63"/>
      <c r="J32993" s="63"/>
    </row>
    <row r="32994" spans="9:10" x14ac:dyDescent="0.35">
      <c r="I32994" s="63"/>
      <c r="J32994" s="63"/>
    </row>
    <row r="32995" spans="9:10" x14ac:dyDescent="0.35">
      <c r="I32995" s="63"/>
      <c r="J32995" s="63"/>
    </row>
    <row r="32996" spans="9:10" x14ac:dyDescent="0.35">
      <c r="I32996" s="63"/>
      <c r="J32996" s="63"/>
    </row>
    <row r="32997" spans="9:10" x14ac:dyDescent="0.35">
      <c r="I32997" s="63"/>
      <c r="J32997" s="63"/>
    </row>
    <row r="32998" spans="9:10" x14ac:dyDescent="0.35">
      <c r="I32998" s="63"/>
      <c r="J32998" s="63"/>
    </row>
    <row r="32999" spans="9:10" x14ac:dyDescent="0.35">
      <c r="I32999" s="63"/>
      <c r="J32999" s="63"/>
    </row>
    <row r="33000" spans="9:10" x14ac:dyDescent="0.35">
      <c r="I33000" s="63"/>
      <c r="J33000" s="63"/>
    </row>
    <row r="33001" spans="9:10" x14ac:dyDescent="0.35">
      <c r="I33001" s="63"/>
      <c r="J33001" s="63"/>
    </row>
    <row r="33002" spans="9:10" x14ac:dyDescent="0.35">
      <c r="I33002" s="63"/>
      <c r="J33002" s="63"/>
    </row>
    <row r="33003" spans="9:10" x14ac:dyDescent="0.35">
      <c r="I33003" s="63"/>
      <c r="J33003" s="63"/>
    </row>
    <row r="33004" spans="9:10" x14ac:dyDescent="0.35">
      <c r="I33004" s="63"/>
      <c r="J33004" s="63"/>
    </row>
    <row r="33005" spans="9:10" x14ac:dyDescent="0.35">
      <c r="I33005" s="63"/>
      <c r="J33005" s="63"/>
    </row>
    <row r="33006" spans="9:10" x14ac:dyDescent="0.35">
      <c r="I33006" s="63"/>
      <c r="J33006" s="63"/>
    </row>
    <row r="33007" spans="9:10" x14ac:dyDescent="0.35">
      <c r="I33007" s="63"/>
      <c r="J33007" s="63"/>
    </row>
    <row r="33008" spans="9:10" x14ac:dyDescent="0.35">
      <c r="I33008" s="63"/>
      <c r="J33008" s="63"/>
    </row>
    <row r="33009" spans="9:10" x14ac:dyDescent="0.35">
      <c r="I33009" s="63"/>
      <c r="J33009" s="63"/>
    </row>
    <row r="33010" spans="9:10" x14ac:dyDescent="0.35">
      <c r="I33010" s="63"/>
      <c r="J33010" s="63"/>
    </row>
    <row r="33011" spans="9:10" x14ac:dyDescent="0.35">
      <c r="I33011" s="63"/>
      <c r="J33011" s="63"/>
    </row>
    <row r="33012" spans="9:10" x14ac:dyDescent="0.35">
      <c r="I33012" s="63"/>
      <c r="J33012" s="63"/>
    </row>
    <row r="33013" spans="9:10" x14ac:dyDescent="0.35">
      <c r="I33013" s="63"/>
      <c r="J33013" s="63"/>
    </row>
    <row r="33014" spans="9:10" x14ac:dyDescent="0.35">
      <c r="I33014" s="63"/>
      <c r="J33014" s="63"/>
    </row>
    <row r="33015" spans="9:10" x14ac:dyDescent="0.35">
      <c r="I33015" s="63"/>
      <c r="J33015" s="63"/>
    </row>
    <row r="33016" spans="9:10" x14ac:dyDescent="0.35">
      <c r="I33016" s="63"/>
      <c r="J33016" s="63"/>
    </row>
    <row r="33017" spans="9:10" x14ac:dyDescent="0.35">
      <c r="I33017" s="63"/>
      <c r="J33017" s="63"/>
    </row>
    <row r="33018" spans="9:10" x14ac:dyDescent="0.35">
      <c r="I33018" s="63"/>
      <c r="J33018" s="63"/>
    </row>
    <row r="33019" spans="9:10" x14ac:dyDescent="0.35">
      <c r="I33019" s="63"/>
      <c r="J33019" s="63"/>
    </row>
    <row r="33020" spans="9:10" x14ac:dyDescent="0.35">
      <c r="I33020" s="63"/>
      <c r="J33020" s="63"/>
    </row>
    <row r="33021" spans="9:10" x14ac:dyDescent="0.35">
      <c r="I33021" s="63"/>
      <c r="J33021" s="63"/>
    </row>
    <row r="33022" spans="9:10" x14ac:dyDescent="0.35">
      <c r="I33022" s="63"/>
      <c r="J33022" s="63"/>
    </row>
    <row r="33023" spans="9:10" x14ac:dyDescent="0.35">
      <c r="I33023" s="63"/>
      <c r="J33023" s="63"/>
    </row>
    <row r="33024" spans="9:10" x14ac:dyDescent="0.35">
      <c r="I33024" s="63"/>
      <c r="J33024" s="63"/>
    </row>
    <row r="33025" spans="9:10" x14ac:dyDescent="0.35">
      <c r="I33025" s="63"/>
      <c r="J33025" s="63"/>
    </row>
    <row r="33026" spans="9:10" x14ac:dyDescent="0.35">
      <c r="I33026" s="63"/>
      <c r="J33026" s="63"/>
    </row>
    <row r="33027" spans="9:10" x14ac:dyDescent="0.35">
      <c r="I33027" s="63"/>
      <c r="J33027" s="63"/>
    </row>
    <row r="33028" spans="9:10" x14ac:dyDescent="0.35">
      <c r="I33028" s="63"/>
      <c r="J33028" s="63"/>
    </row>
    <row r="33029" spans="9:10" x14ac:dyDescent="0.35">
      <c r="I33029" s="63"/>
      <c r="J33029" s="63"/>
    </row>
    <row r="33030" spans="9:10" x14ac:dyDescent="0.35">
      <c r="I33030" s="63"/>
      <c r="J33030" s="63"/>
    </row>
    <row r="33031" spans="9:10" x14ac:dyDescent="0.35">
      <c r="I33031" s="63"/>
      <c r="J33031" s="63"/>
    </row>
    <row r="33032" spans="9:10" x14ac:dyDescent="0.35">
      <c r="I33032" s="63"/>
      <c r="J33032" s="63"/>
    </row>
    <row r="33033" spans="9:10" x14ac:dyDescent="0.35">
      <c r="I33033" s="63"/>
      <c r="J33033" s="63"/>
    </row>
    <row r="33034" spans="9:10" x14ac:dyDescent="0.35">
      <c r="I33034" s="63"/>
      <c r="J33034" s="63"/>
    </row>
    <row r="33035" spans="9:10" x14ac:dyDescent="0.35">
      <c r="I33035" s="63"/>
      <c r="J33035" s="63"/>
    </row>
    <row r="33036" spans="9:10" x14ac:dyDescent="0.35">
      <c r="I33036" s="63"/>
      <c r="J33036" s="63"/>
    </row>
    <row r="33037" spans="9:10" x14ac:dyDescent="0.35">
      <c r="I33037" s="63"/>
      <c r="J33037" s="63"/>
    </row>
    <row r="33038" spans="9:10" x14ac:dyDescent="0.35">
      <c r="I33038" s="63"/>
      <c r="J33038" s="63"/>
    </row>
    <row r="33039" spans="9:10" x14ac:dyDescent="0.35">
      <c r="I33039" s="63"/>
      <c r="J33039" s="63"/>
    </row>
    <row r="33040" spans="9:10" x14ac:dyDescent="0.35">
      <c r="I33040" s="63"/>
      <c r="J33040" s="63"/>
    </row>
    <row r="33041" spans="9:10" x14ac:dyDescent="0.35">
      <c r="I33041" s="63"/>
      <c r="J33041" s="63"/>
    </row>
    <row r="33042" spans="9:10" x14ac:dyDescent="0.35">
      <c r="I33042" s="63"/>
      <c r="J33042" s="63"/>
    </row>
    <row r="33043" spans="9:10" x14ac:dyDescent="0.35">
      <c r="I33043" s="63"/>
      <c r="J33043" s="63"/>
    </row>
    <row r="33044" spans="9:10" x14ac:dyDescent="0.35">
      <c r="I33044" s="63"/>
      <c r="J33044" s="63"/>
    </row>
    <row r="33045" spans="9:10" x14ac:dyDescent="0.35">
      <c r="I33045" s="63"/>
      <c r="J33045" s="63"/>
    </row>
    <row r="33046" spans="9:10" x14ac:dyDescent="0.35">
      <c r="I33046" s="63"/>
      <c r="J33046" s="63"/>
    </row>
    <row r="33047" spans="9:10" x14ac:dyDescent="0.35">
      <c r="I33047" s="63"/>
      <c r="J33047" s="63"/>
    </row>
    <row r="33048" spans="9:10" x14ac:dyDescent="0.35">
      <c r="I33048" s="63"/>
      <c r="J33048" s="63"/>
    </row>
    <row r="33049" spans="9:10" x14ac:dyDescent="0.35">
      <c r="I33049" s="63"/>
      <c r="J33049" s="63"/>
    </row>
    <row r="33050" spans="9:10" x14ac:dyDescent="0.35">
      <c r="I33050" s="63"/>
      <c r="J33050" s="63"/>
    </row>
    <row r="33051" spans="9:10" x14ac:dyDescent="0.35">
      <c r="I33051" s="63"/>
      <c r="J33051" s="63"/>
    </row>
    <row r="33052" spans="9:10" x14ac:dyDescent="0.35">
      <c r="I33052" s="63"/>
      <c r="J33052" s="63"/>
    </row>
    <row r="33053" spans="9:10" x14ac:dyDescent="0.35">
      <c r="I33053" s="63"/>
      <c r="J33053" s="63"/>
    </row>
    <row r="33054" spans="9:10" x14ac:dyDescent="0.35">
      <c r="I33054" s="63"/>
      <c r="J33054" s="63"/>
    </row>
    <row r="33055" spans="9:10" x14ac:dyDescent="0.35">
      <c r="I33055" s="63"/>
      <c r="J33055" s="63"/>
    </row>
    <row r="33056" spans="9:10" x14ac:dyDescent="0.35">
      <c r="I33056" s="63"/>
      <c r="J33056" s="63"/>
    </row>
    <row r="33057" spans="9:10" x14ac:dyDescent="0.35">
      <c r="I33057" s="63"/>
      <c r="J33057" s="63"/>
    </row>
    <row r="33058" spans="9:10" x14ac:dyDescent="0.35">
      <c r="I33058" s="63"/>
      <c r="J33058" s="63"/>
    </row>
    <row r="33059" spans="9:10" x14ac:dyDescent="0.35">
      <c r="I33059" s="63"/>
      <c r="J33059" s="63"/>
    </row>
    <row r="33060" spans="9:10" x14ac:dyDescent="0.35">
      <c r="I33060" s="63"/>
      <c r="J33060" s="63"/>
    </row>
    <row r="33061" spans="9:10" x14ac:dyDescent="0.35">
      <c r="I33061" s="63"/>
      <c r="J33061" s="63"/>
    </row>
    <row r="33062" spans="9:10" x14ac:dyDescent="0.35">
      <c r="I33062" s="63"/>
      <c r="J33062" s="63"/>
    </row>
    <row r="33063" spans="9:10" x14ac:dyDescent="0.35">
      <c r="I33063" s="63"/>
      <c r="J33063" s="63"/>
    </row>
    <row r="33064" spans="9:10" x14ac:dyDescent="0.35">
      <c r="I33064" s="63"/>
      <c r="J33064" s="63"/>
    </row>
    <row r="33065" spans="9:10" x14ac:dyDescent="0.35">
      <c r="I33065" s="63"/>
      <c r="J33065" s="63"/>
    </row>
    <row r="33066" spans="9:10" x14ac:dyDescent="0.35">
      <c r="I33066" s="63"/>
      <c r="J33066" s="63"/>
    </row>
    <row r="33067" spans="9:10" x14ac:dyDescent="0.35">
      <c r="I33067" s="63"/>
      <c r="J33067" s="63"/>
    </row>
    <row r="33068" spans="9:10" x14ac:dyDescent="0.35">
      <c r="I33068" s="63"/>
      <c r="J33068" s="63"/>
    </row>
    <row r="33069" spans="9:10" x14ac:dyDescent="0.35">
      <c r="I33069" s="63"/>
      <c r="J33069" s="63"/>
    </row>
    <row r="33070" spans="9:10" x14ac:dyDescent="0.35">
      <c r="I33070" s="63"/>
      <c r="J33070" s="63"/>
    </row>
    <row r="33071" spans="9:10" x14ac:dyDescent="0.35">
      <c r="I33071" s="63"/>
      <c r="J33071" s="63"/>
    </row>
    <row r="33072" spans="9:10" x14ac:dyDescent="0.35">
      <c r="I33072" s="63"/>
      <c r="J33072" s="63"/>
    </row>
    <row r="33073" spans="9:10" x14ac:dyDescent="0.35">
      <c r="I33073" s="63"/>
      <c r="J33073" s="63"/>
    </row>
    <row r="33074" spans="9:10" x14ac:dyDescent="0.35">
      <c r="I33074" s="63"/>
      <c r="J33074" s="63"/>
    </row>
    <row r="33075" spans="9:10" x14ac:dyDescent="0.35">
      <c r="I33075" s="63"/>
      <c r="J33075" s="63"/>
    </row>
    <row r="33076" spans="9:10" x14ac:dyDescent="0.35">
      <c r="I33076" s="63"/>
      <c r="J33076" s="63"/>
    </row>
    <row r="33077" spans="9:10" x14ac:dyDescent="0.35">
      <c r="I33077" s="63"/>
      <c r="J33077" s="63"/>
    </row>
    <row r="33078" spans="9:10" x14ac:dyDescent="0.35">
      <c r="I33078" s="63"/>
      <c r="J33078" s="63"/>
    </row>
    <row r="33079" spans="9:10" x14ac:dyDescent="0.35">
      <c r="I33079" s="63"/>
      <c r="J33079" s="63"/>
    </row>
    <row r="33080" spans="9:10" x14ac:dyDescent="0.35">
      <c r="I33080" s="63"/>
      <c r="J33080" s="63"/>
    </row>
    <row r="33081" spans="9:10" x14ac:dyDescent="0.35">
      <c r="I33081" s="63"/>
      <c r="J33081" s="63"/>
    </row>
    <row r="33082" spans="9:10" x14ac:dyDescent="0.35">
      <c r="I33082" s="63"/>
      <c r="J33082" s="63"/>
    </row>
    <row r="33083" spans="9:10" x14ac:dyDescent="0.35">
      <c r="I33083" s="63"/>
      <c r="J33083" s="63"/>
    </row>
    <row r="33084" spans="9:10" x14ac:dyDescent="0.35">
      <c r="I33084" s="63"/>
      <c r="J33084" s="63"/>
    </row>
    <row r="33085" spans="9:10" x14ac:dyDescent="0.35">
      <c r="I33085" s="63"/>
      <c r="J33085" s="63"/>
    </row>
    <row r="33086" spans="9:10" x14ac:dyDescent="0.35">
      <c r="I33086" s="63"/>
      <c r="J33086" s="63"/>
    </row>
    <row r="33087" spans="9:10" x14ac:dyDescent="0.35">
      <c r="I33087" s="63"/>
      <c r="J33087" s="63"/>
    </row>
    <row r="33088" spans="9:10" x14ac:dyDescent="0.35">
      <c r="I33088" s="63"/>
      <c r="J33088" s="63"/>
    </row>
    <row r="33089" spans="9:10" x14ac:dyDescent="0.35">
      <c r="I33089" s="63"/>
      <c r="J33089" s="63"/>
    </row>
    <row r="33090" spans="9:10" x14ac:dyDescent="0.35">
      <c r="I33090" s="63"/>
      <c r="J33090" s="63"/>
    </row>
    <row r="33091" spans="9:10" x14ac:dyDescent="0.35">
      <c r="I33091" s="63"/>
      <c r="J33091" s="63"/>
    </row>
    <row r="33092" spans="9:10" x14ac:dyDescent="0.35">
      <c r="I33092" s="63"/>
      <c r="J33092" s="63"/>
    </row>
    <row r="33093" spans="9:10" x14ac:dyDescent="0.35">
      <c r="I33093" s="63"/>
      <c r="J33093" s="63"/>
    </row>
    <row r="33094" spans="9:10" x14ac:dyDescent="0.35">
      <c r="I33094" s="63"/>
      <c r="J33094" s="63"/>
    </row>
    <row r="33095" spans="9:10" x14ac:dyDescent="0.35">
      <c r="I33095" s="63"/>
      <c r="J33095" s="63"/>
    </row>
    <row r="33096" spans="9:10" x14ac:dyDescent="0.35">
      <c r="I33096" s="63"/>
      <c r="J33096" s="63"/>
    </row>
    <row r="33097" spans="9:10" x14ac:dyDescent="0.35">
      <c r="I33097" s="63"/>
      <c r="J33097" s="63"/>
    </row>
    <row r="33098" spans="9:10" x14ac:dyDescent="0.35">
      <c r="I33098" s="63"/>
      <c r="J33098" s="63"/>
    </row>
    <row r="33099" spans="9:10" x14ac:dyDescent="0.35">
      <c r="I33099" s="63"/>
      <c r="J33099" s="63"/>
    </row>
    <row r="33100" spans="9:10" x14ac:dyDescent="0.35">
      <c r="I33100" s="63"/>
      <c r="J33100" s="63"/>
    </row>
    <row r="33101" spans="9:10" x14ac:dyDescent="0.35">
      <c r="I33101" s="63"/>
      <c r="J33101" s="63"/>
    </row>
    <row r="33102" spans="9:10" x14ac:dyDescent="0.35">
      <c r="I33102" s="63"/>
      <c r="J33102" s="63"/>
    </row>
    <row r="33103" spans="9:10" x14ac:dyDescent="0.35">
      <c r="I33103" s="63"/>
      <c r="J33103" s="63"/>
    </row>
    <row r="33104" spans="9:10" x14ac:dyDescent="0.35">
      <c r="I33104" s="63"/>
      <c r="J33104" s="63"/>
    </row>
    <row r="33105" spans="9:10" x14ac:dyDescent="0.35">
      <c r="I33105" s="63"/>
      <c r="J33105" s="63"/>
    </row>
    <row r="33106" spans="9:10" x14ac:dyDescent="0.35">
      <c r="I33106" s="63"/>
      <c r="J33106" s="63"/>
    </row>
    <row r="33107" spans="9:10" x14ac:dyDescent="0.35">
      <c r="I33107" s="63"/>
      <c r="J33107" s="63"/>
    </row>
    <row r="33108" spans="9:10" x14ac:dyDescent="0.35">
      <c r="I33108" s="63"/>
      <c r="J33108" s="63"/>
    </row>
    <row r="33109" spans="9:10" x14ac:dyDescent="0.35">
      <c r="I33109" s="63"/>
      <c r="J33109" s="63"/>
    </row>
    <row r="33110" spans="9:10" x14ac:dyDescent="0.35">
      <c r="I33110" s="63"/>
      <c r="J33110" s="63"/>
    </row>
    <row r="33111" spans="9:10" x14ac:dyDescent="0.35">
      <c r="I33111" s="63"/>
      <c r="J33111" s="63"/>
    </row>
    <row r="33112" spans="9:10" x14ac:dyDescent="0.35">
      <c r="I33112" s="63"/>
      <c r="J33112" s="63"/>
    </row>
    <row r="33113" spans="9:10" x14ac:dyDescent="0.35">
      <c r="I33113" s="63"/>
      <c r="J33113" s="63"/>
    </row>
    <row r="33114" spans="9:10" x14ac:dyDescent="0.35">
      <c r="I33114" s="63"/>
      <c r="J33114" s="63"/>
    </row>
    <row r="33115" spans="9:10" x14ac:dyDescent="0.35">
      <c r="I33115" s="63"/>
      <c r="J33115" s="63"/>
    </row>
    <row r="33116" spans="9:10" x14ac:dyDescent="0.35">
      <c r="I33116" s="63"/>
      <c r="J33116" s="63"/>
    </row>
    <row r="33117" spans="9:10" x14ac:dyDescent="0.35">
      <c r="I33117" s="63"/>
      <c r="J33117" s="63"/>
    </row>
    <row r="33118" spans="9:10" x14ac:dyDescent="0.35">
      <c r="I33118" s="63"/>
      <c r="J33118" s="63"/>
    </row>
    <row r="33119" spans="9:10" x14ac:dyDescent="0.35">
      <c r="I33119" s="63"/>
      <c r="J33119" s="63"/>
    </row>
    <row r="33120" spans="9:10" x14ac:dyDescent="0.35">
      <c r="I33120" s="63"/>
      <c r="J33120" s="63"/>
    </row>
    <row r="33121" spans="9:10" x14ac:dyDescent="0.35">
      <c r="I33121" s="63"/>
      <c r="J33121" s="63"/>
    </row>
    <row r="33122" spans="9:10" x14ac:dyDescent="0.35">
      <c r="I33122" s="63"/>
      <c r="J33122" s="63"/>
    </row>
    <row r="33123" spans="9:10" x14ac:dyDescent="0.35">
      <c r="I33123" s="63"/>
      <c r="J33123" s="63"/>
    </row>
    <row r="33124" spans="9:10" x14ac:dyDescent="0.35">
      <c r="I33124" s="63"/>
      <c r="J33124" s="63"/>
    </row>
    <row r="33125" spans="9:10" x14ac:dyDescent="0.35">
      <c r="I33125" s="63"/>
      <c r="J33125" s="63"/>
    </row>
    <row r="33126" spans="9:10" x14ac:dyDescent="0.35">
      <c r="I33126" s="63"/>
      <c r="J33126" s="63"/>
    </row>
    <row r="33127" spans="9:10" x14ac:dyDescent="0.35">
      <c r="I33127" s="63"/>
      <c r="J33127" s="63"/>
    </row>
    <row r="33128" spans="9:10" x14ac:dyDescent="0.35">
      <c r="I33128" s="63"/>
      <c r="J33128" s="63"/>
    </row>
    <row r="33129" spans="9:10" x14ac:dyDescent="0.35">
      <c r="I33129" s="63"/>
      <c r="J33129" s="63"/>
    </row>
    <row r="33130" spans="9:10" x14ac:dyDescent="0.35">
      <c r="I33130" s="63"/>
      <c r="J33130" s="63"/>
    </row>
    <row r="33131" spans="9:10" x14ac:dyDescent="0.35">
      <c r="I33131" s="63"/>
      <c r="J33131" s="63"/>
    </row>
    <row r="33132" spans="9:10" x14ac:dyDescent="0.35">
      <c r="I33132" s="63"/>
      <c r="J33132" s="63"/>
    </row>
    <row r="33133" spans="9:10" x14ac:dyDescent="0.35">
      <c r="I33133" s="63"/>
      <c r="J33133" s="63"/>
    </row>
    <row r="33134" spans="9:10" x14ac:dyDescent="0.35">
      <c r="I33134" s="63"/>
      <c r="J33134" s="63"/>
    </row>
    <row r="33135" spans="9:10" x14ac:dyDescent="0.35">
      <c r="I33135" s="63"/>
      <c r="J33135" s="63"/>
    </row>
    <row r="33136" spans="9:10" x14ac:dyDescent="0.35">
      <c r="I33136" s="63"/>
      <c r="J33136" s="63"/>
    </row>
    <row r="33137" spans="9:10" x14ac:dyDescent="0.35">
      <c r="I33137" s="63"/>
      <c r="J33137" s="63"/>
    </row>
    <row r="33138" spans="9:10" x14ac:dyDescent="0.35">
      <c r="I33138" s="63"/>
      <c r="J33138" s="63"/>
    </row>
    <row r="33139" spans="9:10" x14ac:dyDescent="0.35">
      <c r="I33139" s="63"/>
      <c r="J33139" s="63"/>
    </row>
    <row r="33140" spans="9:10" x14ac:dyDescent="0.35">
      <c r="I33140" s="63"/>
      <c r="J33140" s="63"/>
    </row>
    <row r="33141" spans="9:10" x14ac:dyDescent="0.35">
      <c r="I33141" s="63"/>
      <c r="J33141" s="63"/>
    </row>
    <row r="33142" spans="9:10" x14ac:dyDescent="0.35">
      <c r="I33142" s="63"/>
      <c r="J33142" s="63"/>
    </row>
    <row r="33143" spans="9:10" x14ac:dyDescent="0.35">
      <c r="I33143" s="63"/>
      <c r="J33143" s="63"/>
    </row>
    <row r="33144" spans="9:10" x14ac:dyDescent="0.35">
      <c r="I33144" s="63"/>
      <c r="J33144" s="63"/>
    </row>
    <row r="33145" spans="9:10" x14ac:dyDescent="0.35">
      <c r="I33145" s="63"/>
      <c r="J33145" s="63"/>
    </row>
    <row r="33146" spans="9:10" x14ac:dyDescent="0.35">
      <c r="I33146" s="63"/>
      <c r="J33146" s="63"/>
    </row>
    <row r="33147" spans="9:10" x14ac:dyDescent="0.35">
      <c r="I33147" s="63"/>
      <c r="J33147" s="63"/>
    </row>
    <row r="33148" spans="9:10" x14ac:dyDescent="0.35">
      <c r="I33148" s="63"/>
      <c r="J33148" s="63"/>
    </row>
    <row r="33149" spans="9:10" x14ac:dyDescent="0.35">
      <c r="I33149" s="63"/>
      <c r="J33149" s="63"/>
    </row>
    <row r="33150" spans="9:10" x14ac:dyDescent="0.35">
      <c r="I33150" s="63"/>
      <c r="J33150" s="63"/>
    </row>
    <row r="33151" spans="9:10" x14ac:dyDescent="0.35">
      <c r="I33151" s="63"/>
      <c r="J33151" s="63"/>
    </row>
    <row r="33152" spans="9:10" x14ac:dyDescent="0.35">
      <c r="I33152" s="63"/>
      <c r="J33152" s="63"/>
    </row>
    <row r="33153" spans="9:10" x14ac:dyDescent="0.35">
      <c r="I33153" s="63"/>
      <c r="J33153" s="63"/>
    </row>
    <row r="33154" spans="9:10" x14ac:dyDescent="0.35">
      <c r="I33154" s="63"/>
      <c r="J33154" s="63"/>
    </row>
    <row r="33155" spans="9:10" x14ac:dyDescent="0.35">
      <c r="I33155" s="63"/>
      <c r="J33155" s="63"/>
    </row>
    <row r="33156" spans="9:10" x14ac:dyDescent="0.35">
      <c r="I33156" s="63"/>
      <c r="J33156" s="63"/>
    </row>
    <row r="33157" spans="9:10" x14ac:dyDescent="0.35">
      <c r="I33157" s="63"/>
      <c r="J33157" s="63"/>
    </row>
    <row r="33158" spans="9:10" x14ac:dyDescent="0.35">
      <c r="I33158" s="63"/>
      <c r="J33158" s="63"/>
    </row>
    <row r="33159" spans="9:10" x14ac:dyDescent="0.35">
      <c r="I33159" s="63"/>
      <c r="J33159" s="63"/>
    </row>
    <row r="33160" spans="9:10" x14ac:dyDescent="0.35">
      <c r="I33160" s="63"/>
      <c r="J33160" s="63"/>
    </row>
    <row r="33161" spans="9:10" x14ac:dyDescent="0.35">
      <c r="I33161" s="63"/>
      <c r="J33161" s="63"/>
    </row>
    <row r="33162" spans="9:10" x14ac:dyDescent="0.35">
      <c r="I33162" s="63"/>
      <c r="J33162" s="63"/>
    </row>
    <row r="33163" spans="9:10" x14ac:dyDescent="0.35">
      <c r="I33163" s="63"/>
      <c r="J33163" s="63"/>
    </row>
    <row r="33164" spans="9:10" x14ac:dyDescent="0.35">
      <c r="I33164" s="63"/>
      <c r="J33164" s="63"/>
    </row>
    <row r="33165" spans="9:10" x14ac:dyDescent="0.35">
      <c r="I33165" s="63"/>
      <c r="J33165" s="63"/>
    </row>
    <row r="33166" spans="9:10" x14ac:dyDescent="0.35">
      <c r="I33166" s="63"/>
      <c r="J33166" s="63"/>
    </row>
    <row r="33167" spans="9:10" x14ac:dyDescent="0.35">
      <c r="I33167" s="63"/>
      <c r="J33167" s="63"/>
    </row>
    <row r="33168" spans="9:10" x14ac:dyDescent="0.35">
      <c r="I33168" s="63"/>
      <c r="J33168" s="63"/>
    </row>
    <row r="33169" spans="9:10" x14ac:dyDescent="0.35">
      <c r="I33169" s="63"/>
      <c r="J33169" s="63"/>
    </row>
    <row r="33170" spans="9:10" x14ac:dyDescent="0.35">
      <c r="I33170" s="63"/>
      <c r="J33170" s="63"/>
    </row>
    <row r="33171" spans="9:10" x14ac:dyDescent="0.35">
      <c r="I33171" s="63"/>
      <c r="J33171" s="63"/>
    </row>
    <row r="33172" spans="9:10" x14ac:dyDescent="0.35">
      <c r="I33172" s="63"/>
      <c r="J33172" s="63"/>
    </row>
    <row r="33173" spans="9:10" x14ac:dyDescent="0.35">
      <c r="I33173" s="63"/>
      <c r="J33173" s="63"/>
    </row>
    <row r="33174" spans="9:10" x14ac:dyDescent="0.35">
      <c r="I33174" s="63"/>
      <c r="J33174" s="63"/>
    </row>
    <row r="33175" spans="9:10" x14ac:dyDescent="0.35">
      <c r="I33175" s="63"/>
      <c r="J33175" s="63"/>
    </row>
    <row r="33176" spans="9:10" x14ac:dyDescent="0.35">
      <c r="I33176" s="63"/>
      <c r="J33176" s="63"/>
    </row>
    <row r="33177" spans="9:10" x14ac:dyDescent="0.35">
      <c r="I33177" s="63"/>
      <c r="J33177" s="63"/>
    </row>
    <row r="33178" spans="9:10" x14ac:dyDescent="0.35">
      <c r="I33178" s="63"/>
      <c r="J33178" s="63"/>
    </row>
    <row r="33179" spans="9:10" x14ac:dyDescent="0.35">
      <c r="I33179" s="63"/>
      <c r="J33179" s="63"/>
    </row>
    <row r="33180" spans="9:10" x14ac:dyDescent="0.35">
      <c r="I33180" s="63"/>
      <c r="J33180" s="63"/>
    </row>
    <row r="33181" spans="9:10" x14ac:dyDescent="0.35">
      <c r="I33181" s="63"/>
      <c r="J33181" s="63"/>
    </row>
    <row r="33182" spans="9:10" x14ac:dyDescent="0.35">
      <c r="I33182" s="63"/>
      <c r="J33182" s="63"/>
    </row>
    <row r="33183" spans="9:10" x14ac:dyDescent="0.35">
      <c r="I33183" s="63"/>
      <c r="J33183" s="63"/>
    </row>
    <row r="33184" spans="9:10" x14ac:dyDescent="0.35">
      <c r="I33184" s="63"/>
      <c r="J33184" s="63"/>
    </row>
    <row r="33185" spans="9:10" x14ac:dyDescent="0.35">
      <c r="I33185" s="63"/>
      <c r="J33185" s="63"/>
    </row>
    <row r="33186" spans="9:10" x14ac:dyDescent="0.35">
      <c r="I33186" s="63"/>
      <c r="J33186" s="63"/>
    </row>
    <row r="33187" spans="9:10" x14ac:dyDescent="0.35">
      <c r="I33187" s="63"/>
      <c r="J33187" s="63"/>
    </row>
    <row r="33188" spans="9:10" x14ac:dyDescent="0.35">
      <c r="I33188" s="63"/>
      <c r="J33188" s="63"/>
    </row>
    <row r="33189" spans="9:10" x14ac:dyDescent="0.35">
      <c r="I33189" s="63"/>
      <c r="J33189" s="63"/>
    </row>
    <row r="33190" spans="9:10" x14ac:dyDescent="0.35">
      <c r="I33190" s="63"/>
      <c r="J33190" s="63"/>
    </row>
    <row r="33191" spans="9:10" x14ac:dyDescent="0.35">
      <c r="I33191" s="63"/>
      <c r="J33191" s="63"/>
    </row>
    <row r="33192" spans="9:10" x14ac:dyDescent="0.35">
      <c r="I33192" s="63"/>
      <c r="J33192" s="63"/>
    </row>
    <row r="33193" spans="9:10" x14ac:dyDescent="0.35">
      <c r="I33193" s="63"/>
      <c r="J33193" s="63"/>
    </row>
    <row r="33194" spans="9:10" x14ac:dyDescent="0.35">
      <c r="I33194" s="63"/>
      <c r="J33194" s="63"/>
    </row>
    <row r="33195" spans="9:10" x14ac:dyDescent="0.35">
      <c r="I33195" s="63"/>
      <c r="J33195" s="63"/>
    </row>
    <row r="33196" spans="9:10" x14ac:dyDescent="0.35">
      <c r="I33196" s="63"/>
      <c r="J33196" s="63"/>
    </row>
    <row r="33197" spans="9:10" x14ac:dyDescent="0.35">
      <c r="I33197" s="63"/>
      <c r="J33197" s="63"/>
    </row>
    <row r="33198" spans="9:10" x14ac:dyDescent="0.35">
      <c r="I33198" s="63"/>
      <c r="J33198" s="63"/>
    </row>
    <row r="33199" spans="9:10" x14ac:dyDescent="0.35">
      <c r="I33199" s="63"/>
      <c r="J33199" s="63"/>
    </row>
    <row r="33200" spans="9:10" x14ac:dyDescent="0.35">
      <c r="I33200" s="63"/>
      <c r="J33200" s="63"/>
    </row>
    <row r="33201" spans="9:10" x14ac:dyDescent="0.35">
      <c r="I33201" s="63"/>
      <c r="J33201" s="63"/>
    </row>
    <row r="33202" spans="9:10" x14ac:dyDescent="0.35">
      <c r="I33202" s="63"/>
      <c r="J33202" s="63"/>
    </row>
    <row r="33203" spans="9:10" x14ac:dyDescent="0.35">
      <c r="I33203" s="63"/>
      <c r="J33203" s="63"/>
    </row>
    <row r="33204" spans="9:10" x14ac:dyDescent="0.35">
      <c r="I33204" s="63"/>
      <c r="J33204" s="63"/>
    </row>
    <row r="33205" spans="9:10" x14ac:dyDescent="0.35">
      <c r="I33205" s="63"/>
      <c r="J33205" s="63"/>
    </row>
    <row r="33206" spans="9:10" x14ac:dyDescent="0.35">
      <c r="I33206" s="63"/>
      <c r="J33206" s="63"/>
    </row>
    <row r="33207" spans="9:10" x14ac:dyDescent="0.35">
      <c r="I33207" s="63"/>
      <c r="J33207" s="63"/>
    </row>
    <row r="33208" spans="9:10" x14ac:dyDescent="0.35">
      <c r="I33208" s="63"/>
      <c r="J33208" s="63"/>
    </row>
    <row r="33209" spans="9:10" x14ac:dyDescent="0.35">
      <c r="I33209" s="63"/>
      <c r="J33209" s="63"/>
    </row>
    <row r="33210" spans="9:10" x14ac:dyDescent="0.35">
      <c r="I33210" s="63"/>
      <c r="J33210" s="63"/>
    </row>
    <row r="33211" spans="9:10" x14ac:dyDescent="0.35">
      <c r="I33211" s="63"/>
      <c r="J33211" s="63"/>
    </row>
    <row r="33212" spans="9:10" x14ac:dyDescent="0.35">
      <c r="I33212" s="63"/>
      <c r="J33212" s="63"/>
    </row>
    <row r="33213" spans="9:10" x14ac:dyDescent="0.35">
      <c r="I33213" s="63"/>
      <c r="J33213" s="63"/>
    </row>
    <row r="33214" spans="9:10" x14ac:dyDescent="0.35">
      <c r="I33214" s="63"/>
      <c r="J33214" s="63"/>
    </row>
    <row r="33215" spans="9:10" x14ac:dyDescent="0.35">
      <c r="I33215" s="63"/>
      <c r="J33215" s="63"/>
    </row>
    <row r="33216" spans="9:10" x14ac:dyDescent="0.35">
      <c r="I33216" s="63"/>
      <c r="J33216" s="63"/>
    </row>
    <row r="33217" spans="9:10" x14ac:dyDescent="0.35">
      <c r="I33217" s="63"/>
      <c r="J33217" s="63"/>
    </row>
    <row r="33218" spans="9:10" x14ac:dyDescent="0.35">
      <c r="I33218" s="63"/>
      <c r="J33218" s="63"/>
    </row>
    <row r="33219" spans="9:10" x14ac:dyDescent="0.35">
      <c r="I33219" s="63"/>
      <c r="J33219" s="63"/>
    </row>
    <row r="33220" spans="9:10" x14ac:dyDescent="0.35">
      <c r="I33220" s="63"/>
      <c r="J33220" s="63"/>
    </row>
    <row r="33221" spans="9:10" x14ac:dyDescent="0.35">
      <c r="I33221" s="63"/>
      <c r="J33221" s="63"/>
    </row>
    <row r="33222" spans="9:10" x14ac:dyDescent="0.35">
      <c r="I33222" s="63"/>
      <c r="J33222" s="63"/>
    </row>
    <row r="33223" spans="9:10" x14ac:dyDescent="0.35">
      <c r="I33223" s="63"/>
      <c r="J33223" s="63"/>
    </row>
    <row r="33224" spans="9:10" x14ac:dyDescent="0.35">
      <c r="I33224" s="63"/>
      <c r="J33224" s="63"/>
    </row>
    <row r="33225" spans="9:10" x14ac:dyDescent="0.35">
      <c r="I33225" s="63"/>
      <c r="J33225" s="63"/>
    </row>
    <row r="33226" spans="9:10" x14ac:dyDescent="0.35">
      <c r="I33226" s="63"/>
      <c r="J33226" s="63"/>
    </row>
    <row r="33227" spans="9:10" x14ac:dyDescent="0.35">
      <c r="I33227" s="63"/>
      <c r="J33227" s="63"/>
    </row>
    <row r="33228" spans="9:10" x14ac:dyDescent="0.35">
      <c r="I33228" s="63"/>
      <c r="J33228" s="63"/>
    </row>
    <row r="33229" spans="9:10" x14ac:dyDescent="0.35">
      <c r="I33229" s="63"/>
      <c r="J33229" s="63"/>
    </row>
    <row r="33230" spans="9:10" x14ac:dyDescent="0.35">
      <c r="I33230" s="63"/>
      <c r="J33230" s="63"/>
    </row>
    <row r="33231" spans="9:10" x14ac:dyDescent="0.35">
      <c r="I33231" s="63"/>
      <c r="J33231" s="63"/>
    </row>
    <row r="33232" spans="9:10" x14ac:dyDescent="0.35">
      <c r="I33232" s="63"/>
      <c r="J33232" s="63"/>
    </row>
    <row r="33233" spans="9:10" x14ac:dyDescent="0.35">
      <c r="I33233" s="63"/>
      <c r="J33233" s="63"/>
    </row>
    <row r="33234" spans="9:10" x14ac:dyDescent="0.35">
      <c r="I33234" s="63"/>
      <c r="J33234" s="63"/>
    </row>
    <row r="33235" spans="9:10" x14ac:dyDescent="0.35">
      <c r="I33235" s="63"/>
      <c r="J33235" s="63"/>
    </row>
    <row r="33236" spans="9:10" x14ac:dyDescent="0.35">
      <c r="I33236" s="63"/>
      <c r="J33236" s="63"/>
    </row>
    <row r="33237" spans="9:10" x14ac:dyDescent="0.35">
      <c r="I33237" s="63"/>
      <c r="J33237" s="63"/>
    </row>
    <row r="33238" spans="9:10" x14ac:dyDescent="0.35">
      <c r="I33238" s="63"/>
      <c r="J33238" s="63"/>
    </row>
    <row r="33239" spans="9:10" x14ac:dyDescent="0.35">
      <c r="I33239" s="63"/>
      <c r="J33239" s="63"/>
    </row>
    <row r="33240" spans="9:10" x14ac:dyDescent="0.35">
      <c r="I33240" s="63"/>
      <c r="J33240" s="63"/>
    </row>
    <row r="33241" spans="9:10" x14ac:dyDescent="0.35">
      <c r="I33241" s="63"/>
      <c r="J33241" s="63"/>
    </row>
    <row r="33242" spans="9:10" x14ac:dyDescent="0.35">
      <c r="I33242" s="63"/>
      <c r="J33242" s="63"/>
    </row>
    <row r="33243" spans="9:10" x14ac:dyDescent="0.35">
      <c r="I33243" s="63"/>
      <c r="J33243" s="63"/>
    </row>
    <row r="33244" spans="9:10" x14ac:dyDescent="0.35">
      <c r="I33244" s="63"/>
      <c r="J33244" s="63"/>
    </row>
    <row r="33245" spans="9:10" x14ac:dyDescent="0.35">
      <c r="I33245" s="63"/>
      <c r="J33245" s="63"/>
    </row>
    <row r="33246" spans="9:10" x14ac:dyDescent="0.35">
      <c r="I33246" s="63"/>
      <c r="J33246" s="63"/>
    </row>
    <row r="33247" spans="9:10" x14ac:dyDescent="0.35">
      <c r="I33247" s="63"/>
      <c r="J33247" s="63"/>
    </row>
    <row r="33248" spans="9:10" x14ac:dyDescent="0.35">
      <c r="I33248" s="63"/>
      <c r="J33248" s="63"/>
    </row>
    <row r="33249" spans="9:10" x14ac:dyDescent="0.35">
      <c r="I33249" s="63"/>
      <c r="J33249" s="63"/>
    </row>
    <row r="33250" spans="9:10" x14ac:dyDescent="0.35">
      <c r="I33250" s="63"/>
      <c r="J33250" s="63"/>
    </row>
    <row r="33251" spans="9:10" x14ac:dyDescent="0.35">
      <c r="I33251" s="63"/>
      <c r="J33251" s="63"/>
    </row>
    <row r="33252" spans="9:10" x14ac:dyDescent="0.35">
      <c r="I33252" s="63"/>
      <c r="J33252" s="63"/>
    </row>
    <row r="33253" spans="9:10" x14ac:dyDescent="0.35">
      <c r="I33253" s="63"/>
      <c r="J33253" s="63"/>
    </row>
    <row r="33254" spans="9:10" x14ac:dyDescent="0.35">
      <c r="I33254" s="63"/>
      <c r="J33254" s="63"/>
    </row>
    <row r="33255" spans="9:10" x14ac:dyDescent="0.35">
      <c r="I33255" s="63"/>
      <c r="J33255" s="63"/>
    </row>
    <row r="33256" spans="9:10" x14ac:dyDescent="0.35">
      <c r="I33256" s="63"/>
      <c r="J33256" s="63"/>
    </row>
    <row r="33257" spans="9:10" x14ac:dyDescent="0.35">
      <c r="I33257" s="63"/>
      <c r="J33257" s="63"/>
    </row>
    <row r="33258" spans="9:10" x14ac:dyDescent="0.35">
      <c r="I33258" s="63"/>
      <c r="J33258" s="63"/>
    </row>
    <row r="33259" spans="9:10" x14ac:dyDescent="0.35">
      <c r="I33259" s="63"/>
      <c r="J33259" s="63"/>
    </row>
    <row r="33260" spans="9:10" x14ac:dyDescent="0.35">
      <c r="I33260" s="63"/>
      <c r="J33260" s="63"/>
    </row>
    <row r="33261" spans="9:10" x14ac:dyDescent="0.35">
      <c r="I33261" s="63"/>
      <c r="J33261" s="63"/>
    </row>
    <row r="33262" spans="9:10" x14ac:dyDescent="0.35">
      <c r="I33262" s="63"/>
      <c r="J33262" s="63"/>
    </row>
    <row r="33263" spans="9:10" x14ac:dyDescent="0.35">
      <c r="I33263" s="63"/>
      <c r="J33263" s="63"/>
    </row>
    <row r="33264" spans="9:10" x14ac:dyDescent="0.35">
      <c r="I33264" s="63"/>
      <c r="J33264" s="63"/>
    </row>
    <row r="33265" spans="9:10" x14ac:dyDescent="0.35">
      <c r="I33265" s="63"/>
      <c r="J33265" s="63"/>
    </row>
    <row r="33266" spans="9:10" x14ac:dyDescent="0.35">
      <c r="I33266" s="63"/>
      <c r="J33266" s="63"/>
    </row>
    <row r="33267" spans="9:10" x14ac:dyDescent="0.35">
      <c r="I33267" s="63"/>
      <c r="J33267" s="63"/>
    </row>
    <row r="33268" spans="9:10" x14ac:dyDescent="0.35">
      <c r="I33268" s="63"/>
      <c r="J33268" s="63"/>
    </row>
    <row r="33269" spans="9:10" x14ac:dyDescent="0.35">
      <c r="I33269" s="63"/>
      <c r="J33269" s="63"/>
    </row>
    <row r="33270" spans="9:10" x14ac:dyDescent="0.35">
      <c r="I33270" s="63"/>
      <c r="J33270" s="63"/>
    </row>
    <row r="33271" spans="9:10" x14ac:dyDescent="0.35">
      <c r="I33271" s="63"/>
      <c r="J33271" s="63"/>
    </row>
    <row r="33272" spans="9:10" x14ac:dyDescent="0.35">
      <c r="I33272" s="63"/>
      <c r="J33272" s="63"/>
    </row>
    <row r="33273" spans="9:10" x14ac:dyDescent="0.35">
      <c r="I33273" s="63"/>
      <c r="J33273" s="63"/>
    </row>
    <row r="33274" spans="9:10" x14ac:dyDescent="0.35">
      <c r="I33274" s="63"/>
      <c r="J33274" s="63"/>
    </row>
    <row r="33275" spans="9:10" x14ac:dyDescent="0.35">
      <c r="I33275" s="63"/>
      <c r="J33275" s="63"/>
    </row>
    <row r="33276" spans="9:10" x14ac:dyDescent="0.35">
      <c r="I33276" s="63"/>
      <c r="J33276" s="63"/>
    </row>
    <row r="33277" spans="9:10" x14ac:dyDescent="0.35">
      <c r="I33277" s="63"/>
      <c r="J33277" s="63"/>
    </row>
    <row r="33278" spans="9:10" x14ac:dyDescent="0.35">
      <c r="I33278" s="63"/>
      <c r="J33278" s="63"/>
    </row>
    <row r="33279" spans="9:10" x14ac:dyDescent="0.35">
      <c r="I33279" s="63"/>
      <c r="J33279" s="63"/>
    </row>
    <row r="33280" spans="9:10" x14ac:dyDescent="0.35">
      <c r="I33280" s="63"/>
      <c r="J33280" s="63"/>
    </row>
    <row r="33281" spans="9:10" x14ac:dyDescent="0.35">
      <c r="I33281" s="63"/>
      <c r="J33281" s="63"/>
    </row>
    <row r="33282" spans="9:10" x14ac:dyDescent="0.35">
      <c r="I33282" s="63"/>
      <c r="J33282" s="63"/>
    </row>
    <row r="33283" spans="9:10" x14ac:dyDescent="0.35">
      <c r="I33283" s="63"/>
      <c r="J33283" s="63"/>
    </row>
    <row r="33284" spans="9:10" x14ac:dyDescent="0.35">
      <c r="I33284" s="63"/>
      <c r="J33284" s="63"/>
    </row>
    <row r="33285" spans="9:10" x14ac:dyDescent="0.35">
      <c r="I33285" s="63"/>
      <c r="J33285" s="63"/>
    </row>
    <row r="33286" spans="9:10" x14ac:dyDescent="0.35">
      <c r="I33286" s="63"/>
      <c r="J33286" s="63"/>
    </row>
    <row r="33287" spans="9:10" x14ac:dyDescent="0.35">
      <c r="I33287" s="63"/>
      <c r="J33287" s="63"/>
    </row>
    <row r="33288" spans="9:10" x14ac:dyDescent="0.35">
      <c r="I33288" s="63"/>
      <c r="J33288" s="63"/>
    </row>
    <row r="33289" spans="9:10" x14ac:dyDescent="0.35">
      <c r="I33289" s="63"/>
      <c r="J33289" s="63"/>
    </row>
    <row r="33290" spans="9:10" x14ac:dyDescent="0.35">
      <c r="I33290" s="63"/>
      <c r="J33290" s="63"/>
    </row>
    <row r="33291" spans="9:10" x14ac:dyDescent="0.35">
      <c r="I33291" s="63"/>
      <c r="J33291" s="63"/>
    </row>
    <row r="33292" spans="9:10" x14ac:dyDescent="0.35">
      <c r="I33292" s="63"/>
      <c r="J33292" s="63"/>
    </row>
    <row r="33293" spans="9:10" x14ac:dyDescent="0.35">
      <c r="I33293" s="63"/>
      <c r="J33293" s="63"/>
    </row>
    <row r="33294" spans="9:10" x14ac:dyDescent="0.35">
      <c r="I33294" s="63"/>
      <c r="J33294" s="63"/>
    </row>
    <row r="33295" spans="9:10" x14ac:dyDescent="0.35">
      <c r="I33295" s="63"/>
      <c r="J33295" s="63"/>
    </row>
    <row r="33296" spans="9:10" x14ac:dyDescent="0.35">
      <c r="I33296" s="63"/>
      <c r="J33296" s="63"/>
    </row>
    <row r="33297" spans="9:10" x14ac:dyDescent="0.35">
      <c r="I33297" s="63"/>
      <c r="J33297" s="63"/>
    </row>
    <row r="33298" spans="9:10" x14ac:dyDescent="0.35">
      <c r="I33298" s="63"/>
      <c r="J33298" s="63"/>
    </row>
    <row r="33299" spans="9:10" x14ac:dyDescent="0.35">
      <c r="I33299" s="63"/>
      <c r="J33299" s="63"/>
    </row>
    <row r="33300" spans="9:10" x14ac:dyDescent="0.35">
      <c r="I33300" s="63"/>
      <c r="J33300" s="63"/>
    </row>
    <row r="33301" spans="9:10" x14ac:dyDescent="0.35">
      <c r="I33301" s="63"/>
      <c r="J33301" s="63"/>
    </row>
    <row r="33302" spans="9:10" x14ac:dyDescent="0.35">
      <c r="I33302" s="63"/>
      <c r="J33302" s="63"/>
    </row>
    <row r="33303" spans="9:10" x14ac:dyDescent="0.35">
      <c r="I33303" s="63"/>
      <c r="J33303" s="63"/>
    </row>
    <row r="33304" spans="9:10" x14ac:dyDescent="0.35">
      <c r="I33304" s="63"/>
      <c r="J33304" s="63"/>
    </row>
    <row r="33305" spans="9:10" x14ac:dyDescent="0.35">
      <c r="I33305" s="63"/>
      <c r="J33305" s="63"/>
    </row>
    <row r="33306" spans="9:10" x14ac:dyDescent="0.35">
      <c r="I33306" s="63"/>
      <c r="J33306" s="63"/>
    </row>
    <row r="33307" spans="9:10" x14ac:dyDescent="0.35">
      <c r="I33307" s="63"/>
      <c r="J33307" s="63"/>
    </row>
    <row r="33308" spans="9:10" x14ac:dyDescent="0.35">
      <c r="I33308" s="63"/>
      <c r="J33308" s="63"/>
    </row>
    <row r="33309" spans="9:10" x14ac:dyDescent="0.35">
      <c r="I33309" s="63"/>
      <c r="J33309" s="63"/>
    </row>
    <row r="33310" spans="9:10" x14ac:dyDescent="0.35">
      <c r="I33310" s="63"/>
      <c r="J33310" s="63"/>
    </row>
    <row r="33311" spans="9:10" x14ac:dyDescent="0.35">
      <c r="I33311" s="63"/>
      <c r="J33311" s="63"/>
    </row>
    <row r="33312" spans="9:10" x14ac:dyDescent="0.35">
      <c r="I33312" s="63"/>
      <c r="J33312" s="63"/>
    </row>
    <row r="33313" spans="9:10" x14ac:dyDescent="0.35">
      <c r="I33313" s="63"/>
      <c r="J33313" s="63"/>
    </row>
    <row r="33314" spans="9:10" x14ac:dyDescent="0.35">
      <c r="I33314" s="63"/>
      <c r="J33314" s="63"/>
    </row>
    <row r="33315" spans="9:10" x14ac:dyDescent="0.35">
      <c r="I33315" s="63"/>
      <c r="J33315" s="63"/>
    </row>
    <row r="33316" spans="9:10" x14ac:dyDescent="0.35">
      <c r="I33316" s="63"/>
      <c r="J33316" s="63"/>
    </row>
    <row r="33317" spans="9:10" x14ac:dyDescent="0.35">
      <c r="I33317" s="63"/>
      <c r="J33317" s="63"/>
    </row>
    <row r="33318" spans="9:10" x14ac:dyDescent="0.35">
      <c r="I33318" s="63"/>
      <c r="J33318" s="63"/>
    </row>
    <row r="33319" spans="9:10" x14ac:dyDescent="0.35">
      <c r="I33319" s="63"/>
      <c r="J33319" s="63"/>
    </row>
    <row r="33320" spans="9:10" x14ac:dyDescent="0.35">
      <c r="I33320" s="63"/>
      <c r="J33320" s="63"/>
    </row>
    <row r="33321" spans="9:10" x14ac:dyDescent="0.35">
      <c r="I33321" s="63"/>
      <c r="J33321" s="63"/>
    </row>
    <row r="33322" spans="9:10" x14ac:dyDescent="0.35">
      <c r="I33322" s="63"/>
      <c r="J33322" s="63"/>
    </row>
    <row r="33323" spans="9:10" x14ac:dyDescent="0.35">
      <c r="I33323" s="63"/>
      <c r="J33323" s="63"/>
    </row>
    <row r="33324" spans="9:10" x14ac:dyDescent="0.35">
      <c r="I33324" s="63"/>
      <c r="J33324" s="63"/>
    </row>
    <row r="33325" spans="9:10" x14ac:dyDescent="0.35">
      <c r="I33325" s="63"/>
      <c r="J33325" s="63"/>
    </row>
    <row r="33326" spans="9:10" x14ac:dyDescent="0.35">
      <c r="I33326" s="63"/>
      <c r="J33326" s="63"/>
    </row>
    <row r="33327" spans="9:10" x14ac:dyDescent="0.35">
      <c r="I33327" s="63"/>
      <c r="J33327" s="63"/>
    </row>
    <row r="33328" spans="9:10" x14ac:dyDescent="0.35">
      <c r="I33328" s="63"/>
      <c r="J33328" s="63"/>
    </row>
    <row r="33329" spans="9:10" x14ac:dyDescent="0.35">
      <c r="I33329" s="63"/>
      <c r="J33329" s="63"/>
    </row>
    <row r="33330" spans="9:10" x14ac:dyDescent="0.35">
      <c r="I33330" s="63"/>
      <c r="J33330" s="63"/>
    </row>
    <row r="33331" spans="9:10" x14ac:dyDescent="0.35">
      <c r="I33331" s="63"/>
      <c r="J33331" s="63"/>
    </row>
    <row r="33332" spans="9:10" x14ac:dyDescent="0.35">
      <c r="I33332" s="63"/>
      <c r="J33332" s="63"/>
    </row>
    <row r="33333" spans="9:10" x14ac:dyDescent="0.35">
      <c r="I33333" s="63"/>
      <c r="J33333" s="63"/>
    </row>
    <row r="33334" spans="9:10" x14ac:dyDescent="0.35">
      <c r="I33334" s="63"/>
      <c r="J33334" s="63"/>
    </row>
    <row r="33335" spans="9:10" x14ac:dyDescent="0.35">
      <c r="I33335" s="63"/>
      <c r="J33335" s="63"/>
    </row>
    <row r="33336" spans="9:10" x14ac:dyDescent="0.35">
      <c r="I33336" s="63"/>
      <c r="J33336" s="63"/>
    </row>
    <row r="33337" spans="9:10" x14ac:dyDescent="0.35">
      <c r="I33337" s="63"/>
      <c r="J33337" s="63"/>
    </row>
    <row r="33338" spans="9:10" x14ac:dyDescent="0.35">
      <c r="I33338" s="63"/>
      <c r="J33338" s="63"/>
    </row>
    <row r="33339" spans="9:10" x14ac:dyDescent="0.35">
      <c r="I33339" s="63"/>
      <c r="J33339" s="63"/>
    </row>
    <row r="33340" spans="9:10" x14ac:dyDescent="0.35">
      <c r="I33340" s="63"/>
      <c r="J33340" s="63"/>
    </row>
    <row r="33341" spans="9:10" x14ac:dyDescent="0.35">
      <c r="I33341" s="63"/>
      <c r="J33341" s="63"/>
    </row>
    <row r="33342" spans="9:10" x14ac:dyDescent="0.35">
      <c r="I33342" s="63"/>
      <c r="J33342" s="63"/>
    </row>
    <row r="33343" spans="9:10" x14ac:dyDescent="0.35">
      <c r="I33343" s="63"/>
      <c r="J33343" s="63"/>
    </row>
    <row r="33344" spans="9:10" x14ac:dyDescent="0.35">
      <c r="I33344" s="63"/>
      <c r="J33344" s="63"/>
    </row>
    <row r="33345" spans="9:10" x14ac:dyDescent="0.35">
      <c r="I33345" s="63"/>
      <c r="J33345" s="63"/>
    </row>
    <row r="33346" spans="9:10" x14ac:dyDescent="0.35">
      <c r="I33346" s="63"/>
      <c r="J33346" s="63"/>
    </row>
    <row r="33347" spans="9:10" x14ac:dyDescent="0.35">
      <c r="I33347" s="63"/>
      <c r="J33347" s="63"/>
    </row>
    <row r="33348" spans="9:10" x14ac:dyDescent="0.35">
      <c r="I33348" s="63"/>
      <c r="J33348" s="63"/>
    </row>
    <row r="33349" spans="9:10" x14ac:dyDescent="0.35">
      <c r="I33349" s="63"/>
      <c r="J33349" s="63"/>
    </row>
    <row r="33350" spans="9:10" x14ac:dyDescent="0.35">
      <c r="I33350" s="63"/>
      <c r="J33350" s="63"/>
    </row>
    <row r="33351" spans="9:10" x14ac:dyDescent="0.35">
      <c r="I33351" s="63"/>
      <c r="J33351" s="63"/>
    </row>
    <row r="33352" spans="9:10" x14ac:dyDescent="0.35">
      <c r="I33352" s="63"/>
      <c r="J33352" s="63"/>
    </row>
    <row r="33353" spans="9:10" x14ac:dyDescent="0.35">
      <c r="I33353" s="63"/>
      <c r="J33353" s="63"/>
    </row>
    <row r="33354" spans="9:10" x14ac:dyDescent="0.35">
      <c r="I33354" s="63"/>
      <c r="J33354" s="63"/>
    </row>
    <row r="33355" spans="9:10" x14ac:dyDescent="0.35">
      <c r="I33355" s="63"/>
      <c r="J33355" s="63"/>
    </row>
    <row r="33356" spans="9:10" x14ac:dyDescent="0.35">
      <c r="I33356" s="63"/>
      <c r="J33356" s="63"/>
    </row>
    <row r="33357" spans="9:10" x14ac:dyDescent="0.35">
      <c r="I33357" s="63"/>
      <c r="J33357" s="63"/>
    </row>
    <row r="33358" spans="9:10" x14ac:dyDescent="0.35">
      <c r="I33358" s="63"/>
      <c r="J33358" s="63"/>
    </row>
    <row r="33359" spans="9:10" x14ac:dyDescent="0.35">
      <c r="I33359" s="63"/>
      <c r="J33359" s="63"/>
    </row>
    <row r="33360" spans="9:10" x14ac:dyDescent="0.35">
      <c r="I33360" s="63"/>
      <c r="J33360" s="63"/>
    </row>
    <row r="33361" spans="9:10" x14ac:dyDescent="0.35">
      <c r="I33361" s="63"/>
      <c r="J33361" s="63"/>
    </row>
    <row r="33362" spans="9:10" x14ac:dyDescent="0.35">
      <c r="I33362" s="63"/>
      <c r="J33362" s="63"/>
    </row>
    <row r="33363" spans="9:10" x14ac:dyDescent="0.35">
      <c r="I33363" s="63"/>
      <c r="J33363" s="63"/>
    </row>
    <row r="33364" spans="9:10" x14ac:dyDescent="0.35">
      <c r="I33364" s="63"/>
      <c r="J33364" s="63"/>
    </row>
    <row r="33365" spans="9:10" x14ac:dyDescent="0.35">
      <c r="I33365" s="63"/>
      <c r="J33365" s="63"/>
    </row>
    <row r="33366" spans="9:10" x14ac:dyDescent="0.35">
      <c r="I33366" s="63"/>
      <c r="J33366" s="63"/>
    </row>
    <row r="33367" spans="9:10" x14ac:dyDescent="0.35">
      <c r="I33367" s="63"/>
      <c r="J33367" s="63"/>
    </row>
    <row r="33368" spans="9:10" x14ac:dyDescent="0.35">
      <c r="I33368" s="63"/>
      <c r="J33368" s="63"/>
    </row>
    <row r="33369" spans="9:10" x14ac:dyDescent="0.35">
      <c r="I33369" s="63"/>
      <c r="J33369" s="63"/>
    </row>
    <row r="33370" spans="9:10" x14ac:dyDescent="0.35">
      <c r="I33370" s="63"/>
      <c r="J33370" s="63"/>
    </row>
    <row r="33371" spans="9:10" x14ac:dyDescent="0.35">
      <c r="I33371" s="63"/>
      <c r="J33371" s="63"/>
    </row>
    <row r="33372" spans="9:10" x14ac:dyDescent="0.35">
      <c r="I33372" s="63"/>
      <c r="J33372" s="63"/>
    </row>
    <row r="33373" spans="9:10" x14ac:dyDescent="0.35">
      <c r="I33373" s="63"/>
      <c r="J33373" s="63"/>
    </row>
    <row r="33374" spans="9:10" x14ac:dyDescent="0.35">
      <c r="I33374" s="63"/>
      <c r="J33374" s="63"/>
    </row>
    <row r="33375" spans="9:10" x14ac:dyDescent="0.35">
      <c r="I33375" s="63"/>
      <c r="J33375" s="63"/>
    </row>
    <row r="33376" spans="9:10" x14ac:dyDescent="0.35">
      <c r="I33376" s="63"/>
      <c r="J33376" s="63"/>
    </row>
    <row r="33377" spans="9:10" x14ac:dyDescent="0.35">
      <c r="I33377" s="63"/>
      <c r="J33377" s="63"/>
    </row>
    <row r="33378" spans="9:10" x14ac:dyDescent="0.35">
      <c r="I33378" s="63"/>
      <c r="J33378" s="63"/>
    </row>
    <row r="33379" spans="9:10" x14ac:dyDescent="0.35">
      <c r="I33379" s="63"/>
      <c r="J33379" s="63"/>
    </row>
    <row r="33380" spans="9:10" x14ac:dyDescent="0.35">
      <c r="I33380" s="63"/>
      <c r="J33380" s="63"/>
    </row>
    <row r="33381" spans="9:10" x14ac:dyDescent="0.35">
      <c r="I33381" s="63"/>
      <c r="J33381" s="63"/>
    </row>
    <row r="33382" spans="9:10" x14ac:dyDescent="0.35">
      <c r="I33382" s="63"/>
      <c r="J33382" s="63"/>
    </row>
    <row r="33383" spans="9:10" x14ac:dyDescent="0.35">
      <c r="I33383" s="63"/>
      <c r="J33383" s="63"/>
    </row>
    <row r="33384" spans="9:10" x14ac:dyDescent="0.35">
      <c r="I33384" s="63"/>
      <c r="J33384" s="63"/>
    </row>
    <row r="33385" spans="9:10" x14ac:dyDescent="0.35">
      <c r="I33385" s="63"/>
      <c r="J33385" s="63"/>
    </row>
    <row r="33386" spans="9:10" x14ac:dyDescent="0.35">
      <c r="I33386" s="63"/>
      <c r="J33386" s="63"/>
    </row>
    <row r="33387" spans="9:10" x14ac:dyDescent="0.35">
      <c r="I33387" s="63"/>
      <c r="J33387" s="63"/>
    </row>
    <row r="33388" spans="9:10" x14ac:dyDescent="0.35">
      <c r="I33388" s="63"/>
      <c r="J33388" s="63"/>
    </row>
    <row r="33389" spans="9:10" x14ac:dyDescent="0.35">
      <c r="I33389" s="63"/>
      <c r="J33389" s="63"/>
    </row>
    <row r="33390" spans="9:10" x14ac:dyDescent="0.35">
      <c r="I33390" s="63"/>
      <c r="J33390" s="63"/>
    </row>
    <row r="33391" spans="9:10" x14ac:dyDescent="0.35">
      <c r="I33391" s="63"/>
      <c r="J33391" s="63"/>
    </row>
    <row r="33392" spans="9:10" x14ac:dyDescent="0.35">
      <c r="I33392" s="63"/>
      <c r="J33392" s="63"/>
    </row>
    <row r="33393" spans="9:10" x14ac:dyDescent="0.35">
      <c r="I33393" s="63"/>
      <c r="J33393" s="63"/>
    </row>
    <row r="33394" spans="9:10" x14ac:dyDescent="0.35">
      <c r="I33394" s="63"/>
      <c r="J33394" s="63"/>
    </row>
    <row r="33395" spans="9:10" x14ac:dyDescent="0.35">
      <c r="I33395" s="63"/>
      <c r="J33395" s="63"/>
    </row>
    <row r="33396" spans="9:10" x14ac:dyDescent="0.35">
      <c r="I33396" s="63"/>
      <c r="J33396" s="63"/>
    </row>
    <row r="33397" spans="9:10" x14ac:dyDescent="0.35">
      <c r="I33397" s="63"/>
      <c r="J33397" s="63"/>
    </row>
    <row r="33398" spans="9:10" x14ac:dyDescent="0.35">
      <c r="I33398" s="63"/>
      <c r="J33398" s="63"/>
    </row>
    <row r="33399" spans="9:10" x14ac:dyDescent="0.35">
      <c r="I33399" s="63"/>
      <c r="J33399" s="63"/>
    </row>
    <row r="33400" spans="9:10" x14ac:dyDescent="0.35">
      <c r="I33400" s="63"/>
      <c r="J33400" s="63"/>
    </row>
    <row r="33401" spans="9:10" x14ac:dyDescent="0.35">
      <c r="I33401" s="63"/>
      <c r="J33401" s="63"/>
    </row>
    <row r="33402" spans="9:10" x14ac:dyDescent="0.35">
      <c r="I33402" s="63"/>
      <c r="J33402" s="63"/>
    </row>
    <row r="33403" spans="9:10" x14ac:dyDescent="0.35">
      <c r="I33403" s="63"/>
      <c r="J33403" s="63"/>
    </row>
    <row r="33404" spans="9:10" x14ac:dyDescent="0.35">
      <c r="I33404" s="63"/>
      <c r="J33404" s="63"/>
    </row>
    <row r="33405" spans="9:10" x14ac:dyDescent="0.35">
      <c r="I33405" s="63"/>
      <c r="J33405" s="63"/>
    </row>
    <row r="33406" spans="9:10" x14ac:dyDescent="0.35">
      <c r="I33406" s="63"/>
      <c r="J33406" s="63"/>
    </row>
    <row r="33407" spans="9:10" x14ac:dyDescent="0.35">
      <c r="I33407" s="63"/>
      <c r="J33407" s="63"/>
    </row>
    <row r="33408" spans="9:10" x14ac:dyDescent="0.35">
      <c r="I33408" s="63"/>
      <c r="J33408" s="63"/>
    </row>
    <row r="33409" spans="9:10" x14ac:dyDescent="0.35">
      <c r="I33409" s="63"/>
      <c r="J33409" s="63"/>
    </row>
    <row r="33410" spans="9:10" x14ac:dyDescent="0.35">
      <c r="I33410" s="63"/>
      <c r="J33410" s="63"/>
    </row>
    <row r="33411" spans="9:10" x14ac:dyDescent="0.35">
      <c r="I33411" s="63"/>
      <c r="J33411" s="63"/>
    </row>
    <row r="33412" spans="9:10" x14ac:dyDescent="0.35">
      <c r="I33412" s="63"/>
      <c r="J33412" s="63"/>
    </row>
    <row r="33413" spans="9:10" x14ac:dyDescent="0.35">
      <c r="I33413" s="63"/>
      <c r="J33413" s="63"/>
    </row>
    <row r="33414" spans="9:10" x14ac:dyDescent="0.35">
      <c r="I33414" s="63"/>
      <c r="J33414" s="63"/>
    </row>
    <row r="33415" spans="9:10" x14ac:dyDescent="0.35">
      <c r="I33415" s="63"/>
      <c r="J33415" s="63"/>
    </row>
    <row r="33416" spans="9:10" x14ac:dyDescent="0.35">
      <c r="I33416" s="63"/>
      <c r="J33416" s="63"/>
    </row>
    <row r="33417" spans="9:10" x14ac:dyDescent="0.35">
      <c r="I33417" s="63"/>
      <c r="J33417" s="63"/>
    </row>
    <row r="33418" spans="9:10" x14ac:dyDescent="0.35">
      <c r="I33418" s="63"/>
      <c r="J33418" s="63"/>
    </row>
    <row r="33419" spans="9:10" x14ac:dyDescent="0.35">
      <c r="I33419" s="63"/>
      <c r="J33419" s="63"/>
    </row>
    <row r="33420" spans="9:10" x14ac:dyDescent="0.35">
      <c r="I33420" s="63"/>
      <c r="J33420" s="63"/>
    </row>
    <row r="33421" spans="9:10" x14ac:dyDescent="0.35">
      <c r="I33421" s="63"/>
      <c r="J33421" s="63"/>
    </row>
    <row r="33422" spans="9:10" x14ac:dyDescent="0.35">
      <c r="I33422" s="63"/>
      <c r="J33422" s="63"/>
    </row>
    <row r="33423" spans="9:10" x14ac:dyDescent="0.35">
      <c r="I33423" s="63"/>
      <c r="J33423" s="63"/>
    </row>
    <row r="33424" spans="9:10" x14ac:dyDescent="0.35">
      <c r="I33424" s="63"/>
      <c r="J33424" s="63"/>
    </row>
    <row r="33425" spans="9:10" x14ac:dyDescent="0.35">
      <c r="I33425" s="63"/>
      <c r="J33425" s="63"/>
    </row>
    <row r="33426" spans="9:10" x14ac:dyDescent="0.35">
      <c r="I33426" s="63"/>
      <c r="J33426" s="63"/>
    </row>
    <row r="33427" spans="9:10" x14ac:dyDescent="0.35">
      <c r="I33427" s="63"/>
      <c r="J33427" s="63"/>
    </row>
    <row r="33428" spans="9:10" x14ac:dyDescent="0.35">
      <c r="I33428" s="63"/>
      <c r="J33428" s="63"/>
    </row>
    <row r="33429" spans="9:10" x14ac:dyDescent="0.35">
      <c r="I33429" s="63"/>
      <c r="J33429" s="63"/>
    </row>
    <row r="33430" spans="9:10" x14ac:dyDescent="0.35">
      <c r="I33430" s="63"/>
      <c r="J33430" s="63"/>
    </row>
    <row r="33431" spans="9:10" x14ac:dyDescent="0.35">
      <c r="I33431" s="63"/>
      <c r="J33431" s="63"/>
    </row>
    <row r="33432" spans="9:10" x14ac:dyDescent="0.35">
      <c r="I33432" s="63"/>
      <c r="J33432" s="63"/>
    </row>
    <row r="33433" spans="9:10" x14ac:dyDescent="0.35">
      <c r="I33433" s="63"/>
      <c r="J33433" s="63"/>
    </row>
    <row r="33434" spans="9:10" x14ac:dyDescent="0.35">
      <c r="I33434" s="63"/>
      <c r="J33434" s="63"/>
    </row>
    <row r="33435" spans="9:10" x14ac:dyDescent="0.35">
      <c r="I33435" s="63"/>
      <c r="J33435" s="63"/>
    </row>
    <row r="33436" spans="9:10" x14ac:dyDescent="0.35">
      <c r="I33436" s="63"/>
      <c r="J33436" s="63"/>
    </row>
    <row r="33437" spans="9:10" x14ac:dyDescent="0.35">
      <c r="I33437" s="63"/>
      <c r="J33437" s="63"/>
    </row>
    <row r="33438" spans="9:10" x14ac:dyDescent="0.35">
      <c r="I33438" s="63"/>
      <c r="J33438" s="63"/>
    </row>
    <row r="33439" spans="9:10" x14ac:dyDescent="0.35">
      <c r="I33439" s="63"/>
      <c r="J33439" s="63"/>
    </row>
    <row r="33440" spans="9:10" x14ac:dyDescent="0.35">
      <c r="I33440" s="63"/>
      <c r="J33440" s="63"/>
    </row>
    <row r="33441" spans="9:10" x14ac:dyDescent="0.35">
      <c r="I33441" s="63"/>
      <c r="J33441" s="63"/>
    </row>
    <row r="33442" spans="9:10" x14ac:dyDescent="0.35">
      <c r="I33442" s="63"/>
      <c r="J33442" s="63"/>
    </row>
    <row r="33443" spans="9:10" x14ac:dyDescent="0.35">
      <c r="I33443" s="63"/>
      <c r="J33443" s="63"/>
    </row>
    <row r="33444" spans="9:10" x14ac:dyDescent="0.35">
      <c r="I33444" s="63"/>
      <c r="J33444" s="63"/>
    </row>
    <row r="33445" spans="9:10" x14ac:dyDescent="0.35">
      <c r="I33445" s="63"/>
      <c r="J33445" s="63"/>
    </row>
    <row r="33446" spans="9:10" x14ac:dyDescent="0.35">
      <c r="I33446" s="63"/>
      <c r="J33446" s="63"/>
    </row>
    <row r="33447" spans="9:10" x14ac:dyDescent="0.35">
      <c r="I33447" s="63"/>
      <c r="J33447" s="63"/>
    </row>
    <row r="33448" spans="9:10" x14ac:dyDescent="0.35">
      <c r="I33448" s="63"/>
      <c r="J33448" s="63"/>
    </row>
    <row r="33449" spans="9:10" x14ac:dyDescent="0.35">
      <c r="I33449" s="63"/>
      <c r="J33449" s="63"/>
    </row>
    <row r="33450" spans="9:10" x14ac:dyDescent="0.35">
      <c r="I33450" s="63"/>
      <c r="J33450" s="63"/>
    </row>
    <row r="33451" spans="9:10" x14ac:dyDescent="0.35">
      <c r="I33451" s="63"/>
      <c r="J33451" s="63"/>
    </row>
    <row r="33452" spans="9:10" x14ac:dyDescent="0.35">
      <c r="I33452" s="63"/>
      <c r="J33452" s="63"/>
    </row>
    <row r="33453" spans="9:10" x14ac:dyDescent="0.35">
      <c r="I33453" s="63"/>
      <c r="J33453" s="63"/>
    </row>
    <row r="33454" spans="9:10" x14ac:dyDescent="0.35">
      <c r="I33454" s="63"/>
      <c r="J33454" s="63"/>
    </row>
    <row r="33455" spans="9:10" x14ac:dyDescent="0.35">
      <c r="I33455" s="63"/>
      <c r="J33455" s="63"/>
    </row>
    <row r="33456" spans="9:10" x14ac:dyDescent="0.35">
      <c r="I33456" s="63"/>
      <c r="J33456" s="63"/>
    </row>
    <row r="33457" spans="9:10" x14ac:dyDescent="0.35">
      <c r="I33457" s="63"/>
      <c r="J33457" s="63"/>
    </row>
    <row r="33458" spans="9:10" x14ac:dyDescent="0.35">
      <c r="I33458" s="63"/>
      <c r="J33458" s="63"/>
    </row>
    <row r="33459" spans="9:10" x14ac:dyDescent="0.35">
      <c r="I33459" s="63"/>
      <c r="J33459" s="63"/>
    </row>
    <row r="33460" spans="9:10" x14ac:dyDescent="0.35">
      <c r="I33460" s="63"/>
      <c r="J33460" s="63"/>
    </row>
    <row r="33461" spans="9:10" x14ac:dyDescent="0.35">
      <c r="I33461" s="63"/>
      <c r="J33461" s="63"/>
    </row>
    <row r="33462" spans="9:10" x14ac:dyDescent="0.35">
      <c r="I33462" s="63"/>
      <c r="J33462" s="63"/>
    </row>
    <row r="33463" spans="9:10" x14ac:dyDescent="0.35">
      <c r="I33463" s="63"/>
      <c r="J33463" s="63"/>
    </row>
    <row r="33464" spans="9:10" x14ac:dyDescent="0.35">
      <c r="I33464" s="63"/>
      <c r="J33464" s="63"/>
    </row>
    <row r="33465" spans="9:10" x14ac:dyDescent="0.35">
      <c r="I33465" s="63"/>
      <c r="J33465" s="63"/>
    </row>
    <row r="33466" spans="9:10" x14ac:dyDescent="0.35">
      <c r="I33466" s="63"/>
      <c r="J33466" s="63"/>
    </row>
    <row r="33467" spans="9:10" x14ac:dyDescent="0.35">
      <c r="I33467" s="63"/>
      <c r="J33467" s="63"/>
    </row>
    <row r="33468" spans="9:10" x14ac:dyDescent="0.35">
      <c r="I33468" s="63"/>
      <c r="J33468" s="63"/>
    </row>
    <row r="33469" spans="9:10" x14ac:dyDescent="0.35">
      <c r="I33469" s="63"/>
      <c r="J33469" s="63"/>
    </row>
    <row r="33470" spans="9:10" x14ac:dyDescent="0.35">
      <c r="I33470" s="63"/>
      <c r="J33470" s="63"/>
    </row>
    <row r="33471" spans="9:10" x14ac:dyDescent="0.35">
      <c r="I33471" s="63"/>
      <c r="J33471" s="63"/>
    </row>
    <row r="33472" spans="9:10" x14ac:dyDescent="0.35">
      <c r="I33472" s="63"/>
      <c r="J33472" s="63"/>
    </row>
    <row r="33473" spans="9:10" x14ac:dyDescent="0.35">
      <c r="I33473" s="63"/>
      <c r="J33473" s="63"/>
    </row>
    <row r="33474" spans="9:10" x14ac:dyDescent="0.35">
      <c r="I33474" s="63"/>
      <c r="J33474" s="63"/>
    </row>
    <row r="33475" spans="9:10" x14ac:dyDescent="0.35">
      <c r="I33475" s="63"/>
      <c r="J33475" s="63"/>
    </row>
    <row r="33476" spans="9:10" x14ac:dyDescent="0.35">
      <c r="I33476" s="63"/>
      <c r="J33476" s="63"/>
    </row>
    <row r="33477" spans="9:10" x14ac:dyDescent="0.35">
      <c r="I33477" s="63"/>
      <c r="J33477" s="63"/>
    </row>
    <row r="33478" spans="9:10" x14ac:dyDescent="0.35">
      <c r="I33478" s="63"/>
      <c r="J33478" s="63"/>
    </row>
    <row r="33479" spans="9:10" x14ac:dyDescent="0.35">
      <c r="I33479" s="63"/>
      <c r="J33479" s="63"/>
    </row>
    <row r="33480" spans="9:10" x14ac:dyDescent="0.35">
      <c r="I33480" s="63"/>
      <c r="J33480" s="63"/>
    </row>
    <row r="33481" spans="9:10" x14ac:dyDescent="0.35">
      <c r="I33481" s="63"/>
      <c r="J33481" s="63"/>
    </row>
    <row r="33482" spans="9:10" x14ac:dyDescent="0.35">
      <c r="I33482" s="63"/>
      <c r="J33482" s="63"/>
    </row>
    <row r="33483" spans="9:10" x14ac:dyDescent="0.35">
      <c r="I33483" s="63"/>
      <c r="J33483" s="63"/>
    </row>
    <row r="33484" spans="9:10" x14ac:dyDescent="0.35">
      <c r="I33484" s="63"/>
      <c r="J33484" s="63"/>
    </row>
    <row r="33485" spans="9:10" x14ac:dyDescent="0.35">
      <c r="I33485" s="63"/>
      <c r="J33485" s="63"/>
    </row>
    <row r="33486" spans="9:10" x14ac:dyDescent="0.35">
      <c r="I33486" s="63"/>
      <c r="J33486" s="63"/>
    </row>
    <row r="33487" spans="9:10" x14ac:dyDescent="0.35">
      <c r="I33487" s="63"/>
      <c r="J33487" s="63"/>
    </row>
    <row r="33488" spans="9:10" x14ac:dyDescent="0.35">
      <c r="I33488" s="63"/>
      <c r="J33488" s="63"/>
    </row>
    <row r="33489" spans="9:10" x14ac:dyDescent="0.35">
      <c r="I33489" s="63"/>
      <c r="J33489" s="63"/>
    </row>
    <row r="33490" spans="9:10" x14ac:dyDescent="0.35">
      <c r="I33490" s="63"/>
      <c r="J33490" s="63"/>
    </row>
    <row r="33491" spans="9:10" x14ac:dyDescent="0.35">
      <c r="I33491" s="63"/>
      <c r="J33491" s="63"/>
    </row>
    <row r="33492" spans="9:10" x14ac:dyDescent="0.35">
      <c r="I33492" s="63"/>
      <c r="J33492" s="63"/>
    </row>
    <row r="33493" spans="9:10" x14ac:dyDescent="0.35">
      <c r="I33493" s="63"/>
      <c r="J33493" s="63"/>
    </row>
    <row r="33494" spans="9:10" x14ac:dyDescent="0.35">
      <c r="I33494" s="63"/>
      <c r="J33494" s="63"/>
    </row>
    <row r="33495" spans="9:10" x14ac:dyDescent="0.35">
      <c r="I33495" s="63"/>
      <c r="J33495" s="63"/>
    </row>
    <row r="33496" spans="9:10" x14ac:dyDescent="0.35">
      <c r="I33496" s="63"/>
      <c r="J33496" s="63"/>
    </row>
    <row r="33497" spans="9:10" x14ac:dyDescent="0.35">
      <c r="I33497" s="63"/>
      <c r="J33497" s="63"/>
    </row>
    <row r="33498" spans="9:10" x14ac:dyDescent="0.35">
      <c r="I33498" s="63"/>
      <c r="J33498" s="63"/>
    </row>
    <row r="33499" spans="9:10" x14ac:dyDescent="0.35">
      <c r="I33499" s="63"/>
      <c r="J33499" s="63"/>
    </row>
    <row r="33500" spans="9:10" x14ac:dyDescent="0.35">
      <c r="I33500" s="63"/>
      <c r="J33500" s="63"/>
    </row>
    <row r="33501" spans="9:10" x14ac:dyDescent="0.35">
      <c r="I33501" s="63"/>
      <c r="J33501" s="63"/>
    </row>
    <row r="33502" spans="9:10" x14ac:dyDescent="0.35">
      <c r="I33502" s="63"/>
      <c r="J33502" s="63"/>
    </row>
    <row r="33503" spans="9:10" x14ac:dyDescent="0.35">
      <c r="I33503" s="63"/>
      <c r="J33503" s="63"/>
    </row>
    <row r="33504" spans="9:10" x14ac:dyDescent="0.35">
      <c r="I33504" s="63"/>
      <c r="J33504" s="63"/>
    </row>
    <row r="33505" spans="9:10" x14ac:dyDescent="0.35">
      <c r="I33505" s="63"/>
      <c r="J33505" s="63"/>
    </row>
    <row r="33506" spans="9:10" x14ac:dyDescent="0.35">
      <c r="I33506" s="63"/>
      <c r="J33506" s="63"/>
    </row>
    <row r="33507" spans="9:10" x14ac:dyDescent="0.35">
      <c r="I33507" s="63"/>
      <c r="J33507" s="63"/>
    </row>
    <row r="33508" spans="9:10" x14ac:dyDescent="0.35">
      <c r="I33508" s="63"/>
      <c r="J33508" s="63"/>
    </row>
    <row r="33509" spans="9:10" x14ac:dyDescent="0.35">
      <c r="I33509" s="63"/>
      <c r="J33509" s="63"/>
    </row>
    <row r="33510" spans="9:10" x14ac:dyDescent="0.35">
      <c r="I33510" s="63"/>
      <c r="J33510" s="63"/>
    </row>
    <row r="33511" spans="9:10" x14ac:dyDescent="0.35">
      <c r="I33511" s="63"/>
      <c r="J33511" s="63"/>
    </row>
    <row r="33512" spans="9:10" x14ac:dyDescent="0.35">
      <c r="I33512" s="63"/>
      <c r="J33512" s="63"/>
    </row>
    <row r="33513" spans="9:10" x14ac:dyDescent="0.35">
      <c r="I33513" s="63"/>
      <c r="J33513" s="63"/>
    </row>
    <row r="33514" spans="9:10" x14ac:dyDescent="0.35">
      <c r="I33514" s="63"/>
      <c r="J33514" s="63"/>
    </row>
    <row r="33515" spans="9:10" x14ac:dyDescent="0.35">
      <c r="I33515" s="63"/>
      <c r="J33515" s="63"/>
    </row>
    <row r="33516" spans="9:10" x14ac:dyDescent="0.35">
      <c r="I33516" s="63"/>
      <c r="J33516" s="63"/>
    </row>
    <row r="33517" spans="9:10" x14ac:dyDescent="0.35">
      <c r="I33517" s="63"/>
      <c r="J33517" s="63"/>
    </row>
    <row r="33518" spans="9:10" x14ac:dyDescent="0.35">
      <c r="I33518" s="63"/>
      <c r="J33518" s="63"/>
    </row>
    <row r="33519" spans="9:10" x14ac:dyDescent="0.35">
      <c r="I33519" s="63"/>
      <c r="J33519" s="63"/>
    </row>
    <row r="33520" spans="9:10" x14ac:dyDescent="0.35">
      <c r="I33520" s="63"/>
      <c r="J33520" s="63"/>
    </row>
    <row r="33521" spans="9:10" x14ac:dyDescent="0.35">
      <c r="I33521" s="63"/>
      <c r="J33521" s="63"/>
    </row>
    <row r="33522" spans="9:10" x14ac:dyDescent="0.35">
      <c r="I33522" s="63"/>
      <c r="J33522" s="63"/>
    </row>
    <row r="33523" spans="9:10" x14ac:dyDescent="0.35">
      <c r="I33523" s="63"/>
      <c r="J33523" s="63"/>
    </row>
    <row r="33524" spans="9:10" x14ac:dyDescent="0.35">
      <c r="I33524" s="63"/>
      <c r="J33524" s="63"/>
    </row>
    <row r="33525" spans="9:10" x14ac:dyDescent="0.35">
      <c r="I33525" s="63"/>
      <c r="J33525" s="63"/>
    </row>
    <row r="33526" spans="9:10" x14ac:dyDescent="0.35">
      <c r="I33526" s="63"/>
      <c r="J33526" s="63"/>
    </row>
    <row r="33527" spans="9:10" x14ac:dyDescent="0.35">
      <c r="I33527" s="63"/>
      <c r="J33527" s="63"/>
    </row>
    <row r="33528" spans="9:10" x14ac:dyDescent="0.35">
      <c r="I33528" s="63"/>
      <c r="J33528" s="63"/>
    </row>
    <row r="33529" spans="9:10" x14ac:dyDescent="0.35">
      <c r="I33529" s="63"/>
      <c r="J33529" s="63"/>
    </row>
    <row r="33530" spans="9:10" x14ac:dyDescent="0.35">
      <c r="I33530" s="63"/>
      <c r="J33530" s="63"/>
    </row>
    <row r="33531" spans="9:10" x14ac:dyDescent="0.35">
      <c r="I33531" s="63"/>
      <c r="J33531" s="63"/>
    </row>
    <row r="33532" spans="9:10" x14ac:dyDescent="0.35">
      <c r="I33532" s="63"/>
      <c r="J33532" s="63"/>
    </row>
    <row r="33533" spans="9:10" x14ac:dyDescent="0.35">
      <c r="I33533" s="63"/>
      <c r="J33533" s="63"/>
    </row>
    <row r="33534" spans="9:10" x14ac:dyDescent="0.35">
      <c r="I33534" s="63"/>
      <c r="J33534" s="63"/>
    </row>
    <row r="33535" spans="9:10" x14ac:dyDescent="0.35">
      <c r="I33535" s="63"/>
      <c r="J33535" s="63"/>
    </row>
    <row r="33536" spans="9:10" x14ac:dyDescent="0.35">
      <c r="I33536" s="63"/>
      <c r="J33536" s="63"/>
    </row>
    <row r="33537" spans="9:10" x14ac:dyDescent="0.35">
      <c r="I33537" s="63"/>
      <c r="J33537" s="63"/>
    </row>
    <row r="33538" spans="9:10" x14ac:dyDescent="0.35">
      <c r="I33538" s="63"/>
      <c r="J33538" s="63"/>
    </row>
    <row r="33539" spans="9:10" x14ac:dyDescent="0.35">
      <c r="I33539" s="63"/>
      <c r="J33539" s="63"/>
    </row>
    <row r="33540" spans="9:10" x14ac:dyDescent="0.35">
      <c r="I33540" s="63"/>
      <c r="J33540" s="63"/>
    </row>
    <row r="33541" spans="9:10" x14ac:dyDescent="0.35">
      <c r="I33541" s="63"/>
      <c r="J33541" s="63"/>
    </row>
    <row r="33542" spans="9:10" x14ac:dyDescent="0.35">
      <c r="I33542" s="63"/>
      <c r="J33542" s="63"/>
    </row>
    <row r="33543" spans="9:10" x14ac:dyDescent="0.35">
      <c r="I33543" s="63"/>
      <c r="J33543" s="63"/>
    </row>
    <row r="33544" spans="9:10" x14ac:dyDescent="0.35">
      <c r="I33544" s="63"/>
      <c r="J33544" s="63"/>
    </row>
    <row r="33545" spans="9:10" x14ac:dyDescent="0.35">
      <c r="I33545" s="63"/>
      <c r="J33545" s="63"/>
    </row>
    <row r="33546" spans="9:10" x14ac:dyDescent="0.35">
      <c r="I33546" s="63"/>
      <c r="J33546" s="63"/>
    </row>
    <row r="33547" spans="9:10" x14ac:dyDescent="0.35">
      <c r="I33547" s="63"/>
      <c r="J33547" s="63"/>
    </row>
    <row r="33548" spans="9:10" x14ac:dyDescent="0.35">
      <c r="I33548" s="63"/>
      <c r="J33548" s="63"/>
    </row>
    <row r="33549" spans="9:10" x14ac:dyDescent="0.35">
      <c r="I33549" s="63"/>
      <c r="J33549" s="63"/>
    </row>
    <row r="33550" spans="9:10" x14ac:dyDescent="0.35">
      <c r="I33550" s="63"/>
      <c r="J33550" s="63"/>
    </row>
    <row r="33551" spans="9:10" x14ac:dyDescent="0.35">
      <c r="I33551" s="63"/>
      <c r="J33551" s="63"/>
    </row>
    <row r="33552" spans="9:10" x14ac:dyDescent="0.35">
      <c r="I33552" s="63"/>
      <c r="J33552" s="63"/>
    </row>
    <row r="33553" spans="9:10" x14ac:dyDescent="0.35">
      <c r="I33553" s="63"/>
      <c r="J33553" s="63"/>
    </row>
    <row r="33554" spans="9:10" x14ac:dyDescent="0.35">
      <c r="I33554" s="63"/>
      <c r="J33554" s="63"/>
    </row>
    <row r="33555" spans="9:10" x14ac:dyDescent="0.35">
      <c r="I33555" s="63"/>
      <c r="J33555" s="63"/>
    </row>
    <row r="33556" spans="9:10" x14ac:dyDescent="0.35">
      <c r="I33556" s="63"/>
      <c r="J33556" s="63"/>
    </row>
    <row r="33557" spans="9:10" x14ac:dyDescent="0.35">
      <c r="I33557" s="63"/>
      <c r="J33557" s="63"/>
    </row>
    <row r="33558" spans="9:10" x14ac:dyDescent="0.35">
      <c r="I33558" s="63"/>
      <c r="J33558" s="63"/>
    </row>
    <row r="33559" spans="9:10" x14ac:dyDescent="0.35">
      <c r="I33559" s="63"/>
      <c r="J33559" s="63"/>
    </row>
    <row r="33560" spans="9:10" x14ac:dyDescent="0.35">
      <c r="I33560" s="63"/>
      <c r="J33560" s="63"/>
    </row>
    <row r="33561" spans="9:10" x14ac:dyDescent="0.35">
      <c r="I33561" s="63"/>
      <c r="J33561" s="63"/>
    </row>
    <row r="33562" spans="9:10" x14ac:dyDescent="0.35">
      <c r="I33562" s="63"/>
      <c r="J33562" s="63"/>
    </row>
    <row r="33563" spans="9:10" x14ac:dyDescent="0.35">
      <c r="I33563" s="63"/>
      <c r="J33563" s="63"/>
    </row>
    <row r="33564" spans="9:10" x14ac:dyDescent="0.35">
      <c r="I33564" s="63"/>
      <c r="J33564" s="63"/>
    </row>
    <row r="33565" spans="9:10" x14ac:dyDescent="0.35">
      <c r="I33565" s="63"/>
      <c r="J33565" s="63"/>
    </row>
    <row r="33566" spans="9:10" x14ac:dyDescent="0.35">
      <c r="I33566" s="63"/>
      <c r="J33566" s="63"/>
    </row>
    <row r="33567" spans="9:10" x14ac:dyDescent="0.35">
      <c r="I33567" s="63"/>
      <c r="J33567" s="63"/>
    </row>
    <row r="33568" spans="9:10" x14ac:dyDescent="0.35">
      <c r="I33568" s="63"/>
      <c r="J33568" s="63"/>
    </row>
    <row r="33569" spans="9:10" x14ac:dyDescent="0.35">
      <c r="I33569" s="63"/>
      <c r="J33569" s="63"/>
    </row>
    <row r="33570" spans="9:10" x14ac:dyDescent="0.35">
      <c r="I33570" s="63"/>
      <c r="J33570" s="63"/>
    </row>
    <row r="33571" spans="9:10" x14ac:dyDescent="0.35">
      <c r="I33571" s="63"/>
      <c r="J33571" s="63"/>
    </row>
    <row r="33572" spans="9:10" x14ac:dyDescent="0.35">
      <c r="I33572" s="63"/>
      <c r="J33572" s="63"/>
    </row>
    <row r="33573" spans="9:10" x14ac:dyDescent="0.35">
      <c r="I33573" s="63"/>
      <c r="J33573" s="63"/>
    </row>
    <row r="33574" spans="9:10" x14ac:dyDescent="0.35">
      <c r="I33574" s="63"/>
      <c r="J33574" s="63"/>
    </row>
    <row r="33575" spans="9:10" x14ac:dyDescent="0.35">
      <c r="I33575" s="63"/>
      <c r="J33575" s="63"/>
    </row>
    <row r="33576" spans="9:10" x14ac:dyDescent="0.35">
      <c r="I33576" s="63"/>
      <c r="J33576" s="63"/>
    </row>
    <row r="33577" spans="9:10" x14ac:dyDescent="0.35">
      <c r="I33577" s="63"/>
      <c r="J33577" s="63"/>
    </row>
    <row r="33578" spans="9:10" x14ac:dyDescent="0.35">
      <c r="I33578" s="63"/>
      <c r="J33578" s="63"/>
    </row>
    <row r="33579" spans="9:10" x14ac:dyDescent="0.35">
      <c r="I33579" s="63"/>
      <c r="J33579" s="63"/>
    </row>
    <row r="33580" spans="9:10" x14ac:dyDescent="0.35">
      <c r="I33580" s="63"/>
      <c r="J33580" s="63"/>
    </row>
    <row r="33581" spans="9:10" x14ac:dyDescent="0.35">
      <c r="I33581" s="63"/>
      <c r="J33581" s="63"/>
    </row>
    <row r="33582" spans="9:10" x14ac:dyDescent="0.35">
      <c r="I33582" s="63"/>
      <c r="J33582" s="63"/>
    </row>
    <row r="33583" spans="9:10" x14ac:dyDescent="0.35">
      <c r="I33583" s="63"/>
      <c r="J33583" s="63"/>
    </row>
    <row r="33584" spans="9:10" x14ac:dyDescent="0.35">
      <c r="I33584" s="63"/>
      <c r="J33584" s="63"/>
    </row>
    <row r="33585" spans="9:10" x14ac:dyDescent="0.35">
      <c r="I33585" s="63"/>
      <c r="J33585" s="63"/>
    </row>
    <row r="33586" spans="9:10" x14ac:dyDescent="0.35">
      <c r="I33586" s="63"/>
      <c r="J33586" s="63"/>
    </row>
    <row r="33587" spans="9:10" x14ac:dyDescent="0.35">
      <c r="I33587" s="63"/>
      <c r="J33587" s="63"/>
    </row>
    <row r="33588" spans="9:10" x14ac:dyDescent="0.35">
      <c r="I33588" s="63"/>
      <c r="J33588" s="63"/>
    </row>
    <row r="33589" spans="9:10" x14ac:dyDescent="0.35">
      <c r="I33589" s="63"/>
      <c r="J33589" s="63"/>
    </row>
    <row r="33590" spans="9:10" x14ac:dyDescent="0.35">
      <c r="I33590" s="63"/>
      <c r="J33590" s="63"/>
    </row>
    <row r="33591" spans="9:10" x14ac:dyDescent="0.35">
      <c r="I33591" s="63"/>
      <c r="J33591" s="63"/>
    </row>
    <row r="33592" spans="9:10" x14ac:dyDescent="0.35">
      <c r="I33592" s="63"/>
      <c r="J33592" s="63"/>
    </row>
    <row r="33593" spans="9:10" x14ac:dyDescent="0.35">
      <c r="I33593" s="63"/>
      <c r="J33593" s="63"/>
    </row>
    <row r="33594" spans="9:10" x14ac:dyDescent="0.35">
      <c r="I33594" s="63"/>
      <c r="J33594" s="63"/>
    </row>
    <row r="33595" spans="9:10" x14ac:dyDescent="0.35">
      <c r="I33595" s="63"/>
      <c r="J33595" s="63"/>
    </row>
    <row r="33596" spans="9:10" x14ac:dyDescent="0.35">
      <c r="I33596" s="63"/>
      <c r="J33596" s="63"/>
    </row>
    <row r="33597" spans="9:10" x14ac:dyDescent="0.35">
      <c r="I33597" s="63"/>
      <c r="J33597" s="63"/>
    </row>
    <row r="33598" spans="9:10" x14ac:dyDescent="0.35">
      <c r="I33598" s="63"/>
      <c r="J33598" s="63"/>
    </row>
    <row r="33599" spans="9:10" x14ac:dyDescent="0.35">
      <c r="I33599" s="63"/>
      <c r="J33599" s="63"/>
    </row>
    <row r="33600" spans="9:10" x14ac:dyDescent="0.35">
      <c r="I33600" s="63"/>
      <c r="J33600" s="63"/>
    </row>
    <row r="33601" spans="9:10" x14ac:dyDescent="0.35">
      <c r="I33601" s="63"/>
      <c r="J33601" s="63"/>
    </row>
    <row r="33602" spans="9:10" x14ac:dyDescent="0.35">
      <c r="I33602" s="63"/>
      <c r="J33602" s="63"/>
    </row>
    <row r="33603" spans="9:10" x14ac:dyDescent="0.35">
      <c r="I33603" s="63"/>
      <c r="J33603" s="63"/>
    </row>
    <row r="33604" spans="9:10" x14ac:dyDescent="0.35">
      <c r="I33604" s="63"/>
      <c r="J33604" s="63"/>
    </row>
    <row r="33605" spans="9:10" x14ac:dyDescent="0.35">
      <c r="I33605" s="63"/>
      <c r="J33605" s="63"/>
    </row>
    <row r="33606" spans="9:10" x14ac:dyDescent="0.35">
      <c r="I33606" s="63"/>
      <c r="J33606" s="63"/>
    </row>
    <row r="33607" spans="9:10" x14ac:dyDescent="0.35">
      <c r="I33607" s="63"/>
      <c r="J33607" s="63"/>
    </row>
    <row r="33608" spans="9:10" x14ac:dyDescent="0.35">
      <c r="I33608" s="63"/>
      <c r="J33608" s="63"/>
    </row>
    <row r="33609" spans="9:10" x14ac:dyDescent="0.35">
      <c r="I33609" s="63"/>
      <c r="J33609" s="63"/>
    </row>
    <row r="33610" spans="9:10" x14ac:dyDescent="0.35">
      <c r="I33610" s="63"/>
      <c r="J33610" s="63"/>
    </row>
    <row r="33611" spans="9:10" x14ac:dyDescent="0.35">
      <c r="I33611" s="63"/>
      <c r="J33611" s="63"/>
    </row>
    <row r="33612" spans="9:10" x14ac:dyDescent="0.35">
      <c r="I33612" s="63"/>
      <c r="J33612" s="63"/>
    </row>
    <row r="33613" spans="9:10" x14ac:dyDescent="0.35">
      <c r="I33613" s="63"/>
      <c r="J33613" s="63"/>
    </row>
    <row r="33614" spans="9:10" x14ac:dyDescent="0.35">
      <c r="I33614" s="63"/>
      <c r="J33614" s="63"/>
    </row>
    <row r="33615" spans="9:10" x14ac:dyDescent="0.35">
      <c r="I33615" s="63"/>
      <c r="J33615" s="63"/>
    </row>
    <row r="33616" spans="9:10" x14ac:dyDescent="0.35">
      <c r="I33616" s="63"/>
      <c r="J33616" s="63"/>
    </row>
    <row r="33617" spans="9:10" x14ac:dyDescent="0.35">
      <c r="I33617" s="63"/>
      <c r="J33617" s="63"/>
    </row>
    <row r="33618" spans="9:10" x14ac:dyDescent="0.35">
      <c r="I33618" s="63"/>
      <c r="J33618" s="63"/>
    </row>
    <row r="33619" spans="9:10" x14ac:dyDescent="0.35">
      <c r="I33619" s="63"/>
      <c r="J33619" s="63"/>
    </row>
    <row r="33620" spans="9:10" x14ac:dyDescent="0.35">
      <c r="I33620" s="63"/>
      <c r="J33620" s="63"/>
    </row>
    <row r="33621" spans="9:10" x14ac:dyDescent="0.35">
      <c r="I33621" s="63"/>
      <c r="J33621" s="63"/>
    </row>
    <row r="33622" spans="9:10" x14ac:dyDescent="0.35">
      <c r="I33622" s="63"/>
      <c r="J33622" s="63"/>
    </row>
    <row r="33623" spans="9:10" x14ac:dyDescent="0.35">
      <c r="I33623" s="63"/>
      <c r="J33623" s="63"/>
    </row>
    <row r="33624" spans="9:10" x14ac:dyDescent="0.35">
      <c r="I33624" s="63"/>
      <c r="J33624" s="63"/>
    </row>
    <row r="33625" spans="9:10" x14ac:dyDescent="0.35">
      <c r="I33625" s="63"/>
      <c r="J33625" s="63"/>
    </row>
    <row r="33626" spans="9:10" x14ac:dyDescent="0.35">
      <c r="I33626" s="63"/>
      <c r="J33626" s="63"/>
    </row>
    <row r="33627" spans="9:10" x14ac:dyDescent="0.35">
      <c r="I33627" s="63"/>
      <c r="J33627" s="63"/>
    </row>
    <row r="33628" spans="9:10" x14ac:dyDescent="0.35">
      <c r="I33628" s="63"/>
      <c r="J33628" s="63"/>
    </row>
    <row r="33629" spans="9:10" x14ac:dyDescent="0.35">
      <c r="I33629" s="63"/>
      <c r="J33629" s="63"/>
    </row>
    <row r="33630" spans="9:10" x14ac:dyDescent="0.35">
      <c r="I33630" s="63"/>
      <c r="J33630" s="63"/>
    </row>
    <row r="33631" spans="9:10" x14ac:dyDescent="0.35">
      <c r="I33631" s="63"/>
      <c r="J33631" s="63"/>
    </row>
    <row r="33632" spans="9:10" x14ac:dyDescent="0.35">
      <c r="I33632" s="63"/>
      <c r="J33632" s="63"/>
    </row>
    <row r="33633" spans="9:10" x14ac:dyDescent="0.35">
      <c r="I33633" s="63"/>
      <c r="J33633" s="63"/>
    </row>
    <row r="33634" spans="9:10" x14ac:dyDescent="0.35">
      <c r="I33634" s="63"/>
      <c r="J33634" s="63"/>
    </row>
    <row r="33635" spans="9:10" x14ac:dyDescent="0.35">
      <c r="I33635" s="63"/>
      <c r="J33635" s="63"/>
    </row>
    <row r="33636" spans="9:10" x14ac:dyDescent="0.35">
      <c r="I33636" s="63"/>
      <c r="J33636" s="63"/>
    </row>
    <row r="33637" spans="9:10" x14ac:dyDescent="0.35">
      <c r="I33637" s="63"/>
      <c r="J33637" s="63"/>
    </row>
    <row r="33638" spans="9:10" x14ac:dyDescent="0.35">
      <c r="I33638" s="63"/>
      <c r="J33638" s="63"/>
    </row>
    <row r="33639" spans="9:10" x14ac:dyDescent="0.35">
      <c r="I33639" s="63"/>
      <c r="J33639" s="63"/>
    </row>
    <row r="33640" spans="9:10" x14ac:dyDescent="0.35">
      <c r="I33640" s="63"/>
      <c r="J33640" s="63"/>
    </row>
    <row r="33641" spans="9:10" x14ac:dyDescent="0.35">
      <c r="I33641" s="63"/>
      <c r="J33641" s="63"/>
    </row>
    <row r="33642" spans="9:10" x14ac:dyDescent="0.35">
      <c r="I33642" s="63"/>
      <c r="J33642" s="63"/>
    </row>
    <row r="33643" spans="9:10" x14ac:dyDescent="0.35">
      <c r="I33643" s="63"/>
      <c r="J33643" s="63"/>
    </row>
    <row r="33644" spans="9:10" x14ac:dyDescent="0.35">
      <c r="I33644" s="63"/>
      <c r="J33644" s="63"/>
    </row>
    <row r="33645" spans="9:10" x14ac:dyDescent="0.35">
      <c r="I33645" s="63"/>
      <c r="J33645" s="63"/>
    </row>
    <row r="33646" spans="9:10" x14ac:dyDescent="0.35">
      <c r="I33646" s="63"/>
      <c r="J33646" s="63"/>
    </row>
    <row r="33647" spans="9:10" x14ac:dyDescent="0.35">
      <c r="I33647" s="63"/>
      <c r="J33647" s="63"/>
    </row>
    <row r="33648" spans="9:10" x14ac:dyDescent="0.35">
      <c r="I33648" s="63"/>
      <c r="J33648" s="63"/>
    </row>
    <row r="33649" spans="9:10" x14ac:dyDescent="0.35">
      <c r="I33649" s="63"/>
      <c r="J33649" s="63"/>
    </row>
    <row r="33650" spans="9:10" x14ac:dyDescent="0.35">
      <c r="I33650" s="63"/>
      <c r="J33650" s="63"/>
    </row>
    <row r="33651" spans="9:10" x14ac:dyDescent="0.35">
      <c r="I33651" s="63"/>
      <c r="J33651" s="63"/>
    </row>
    <row r="33652" spans="9:10" x14ac:dyDescent="0.35">
      <c r="I33652" s="63"/>
      <c r="J33652" s="63"/>
    </row>
    <row r="33653" spans="9:10" x14ac:dyDescent="0.35">
      <c r="I33653" s="63"/>
      <c r="J33653" s="63"/>
    </row>
    <row r="33654" spans="9:10" x14ac:dyDescent="0.35">
      <c r="I33654" s="63"/>
      <c r="J33654" s="63"/>
    </row>
    <row r="33655" spans="9:10" x14ac:dyDescent="0.35">
      <c r="I33655" s="63"/>
      <c r="J33655" s="63"/>
    </row>
    <row r="33656" spans="9:10" x14ac:dyDescent="0.35">
      <c r="I33656" s="63"/>
      <c r="J33656" s="63"/>
    </row>
    <row r="33657" spans="9:10" x14ac:dyDescent="0.35">
      <c r="I33657" s="63"/>
      <c r="J33657" s="63"/>
    </row>
    <row r="33658" spans="9:10" x14ac:dyDescent="0.35">
      <c r="I33658" s="63"/>
      <c r="J33658" s="63"/>
    </row>
    <row r="33659" spans="9:10" x14ac:dyDescent="0.35">
      <c r="I33659" s="63"/>
      <c r="J33659" s="63"/>
    </row>
    <row r="33660" spans="9:10" x14ac:dyDescent="0.35">
      <c r="I33660" s="63"/>
      <c r="J33660" s="63"/>
    </row>
    <row r="33661" spans="9:10" x14ac:dyDescent="0.35">
      <c r="I33661" s="63"/>
      <c r="J33661" s="63"/>
    </row>
    <row r="33662" spans="9:10" x14ac:dyDescent="0.35">
      <c r="I33662" s="63"/>
      <c r="J33662" s="63"/>
    </row>
    <row r="33663" spans="9:10" x14ac:dyDescent="0.35">
      <c r="I33663" s="63"/>
      <c r="J33663" s="63"/>
    </row>
    <row r="33664" spans="9:10" x14ac:dyDescent="0.35">
      <c r="I33664" s="63"/>
      <c r="J33664" s="63"/>
    </row>
    <row r="33665" spans="9:10" x14ac:dyDescent="0.35">
      <c r="I33665" s="63"/>
      <c r="J33665" s="63"/>
    </row>
    <row r="33666" spans="9:10" x14ac:dyDescent="0.35">
      <c r="I33666" s="63"/>
      <c r="J33666" s="63"/>
    </row>
    <row r="33667" spans="9:10" x14ac:dyDescent="0.35">
      <c r="I33667" s="63"/>
      <c r="J33667" s="63"/>
    </row>
    <row r="33668" spans="9:10" x14ac:dyDescent="0.35">
      <c r="I33668" s="63"/>
      <c r="J33668" s="63"/>
    </row>
    <row r="33669" spans="9:10" x14ac:dyDescent="0.35">
      <c r="I33669" s="63"/>
      <c r="J33669" s="63"/>
    </row>
    <row r="33670" spans="9:10" x14ac:dyDescent="0.35">
      <c r="I33670" s="63"/>
      <c r="J33670" s="63"/>
    </row>
    <row r="33671" spans="9:10" x14ac:dyDescent="0.35">
      <c r="I33671" s="63"/>
      <c r="J33671" s="63"/>
    </row>
    <row r="33672" spans="9:10" x14ac:dyDescent="0.35">
      <c r="I33672" s="63"/>
      <c r="J33672" s="63"/>
    </row>
    <row r="33673" spans="9:10" x14ac:dyDescent="0.35">
      <c r="I33673" s="63"/>
      <c r="J33673" s="63"/>
    </row>
    <row r="33674" spans="9:10" x14ac:dyDescent="0.35">
      <c r="I33674" s="63"/>
      <c r="J33674" s="63"/>
    </row>
    <row r="33675" spans="9:10" x14ac:dyDescent="0.35">
      <c r="I33675" s="63"/>
      <c r="J33675" s="63"/>
    </row>
    <row r="33676" spans="9:10" x14ac:dyDescent="0.35">
      <c r="I33676" s="63"/>
      <c r="J33676" s="63"/>
    </row>
    <row r="33677" spans="9:10" x14ac:dyDescent="0.35">
      <c r="I33677" s="63"/>
      <c r="J33677" s="63"/>
    </row>
    <row r="33678" spans="9:10" x14ac:dyDescent="0.35">
      <c r="I33678" s="63"/>
      <c r="J33678" s="63"/>
    </row>
    <row r="33679" spans="9:10" x14ac:dyDescent="0.35">
      <c r="I33679" s="63"/>
      <c r="J33679" s="63"/>
    </row>
    <row r="33680" spans="9:10" x14ac:dyDescent="0.35">
      <c r="I33680" s="63"/>
      <c r="J33680" s="63"/>
    </row>
    <row r="33681" spans="9:10" x14ac:dyDescent="0.35">
      <c r="I33681" s="63"/>
      <c r="J33681" s="63"/>
    </row>
    <row r="33682" spans="9:10" x14ac:dyDescent="0.35">
      <c r="I33682" s="63"/>
      <c r="J33682" s="63"/>
    </row>
    <row r="33683" spans="9:10" x14ac:dyDescent="0.35">
      <c r="I33683" s="63"/>
      <c r="J33683" s="63"/>
    </row>
    <row r="33684" spans="9:10" x14ac:dyDescent="0.35">
      <c r="I33684" s="63"/>
      <c r="J33684" s="63"/>
    </row>
    <row r="33685" spans="9:10" x14ac:dyDescent="0.35">
      <c r="I33685" s="63"/>
      <c r="J33685" s="63"/>
    </row>
    <row r="33686" spans="9:10" x14ac:dyDescent="0.35">
      <c r="I33686" s="63"/>
      <c r="J33686" s="63"/>
    </row>
    <row r="33687" spans="9:10" x14ac:dyDescent="0.35">
      <c r="I33687" s="63"/>
      <c r="J33687" s="63"/>
    </row>
    <row r="33688" spans="9:10" x14ac:dyDescent="0.35">
      <c r="I33688" s="63"/>
      <c r="J33688" s="63"/>
    </row>
    <row r="33689" spans="9:10" x14ac:dyDescent="0.35">
      <c r="I33689" s="63"/>
      <c r="J33689" s="63"/>
    </row>
    <row r="33690" spans="9:10" x14ac:dyDescent="0.35">
      <c r="I33690" s="63"/>
      <c r="J33690" s="63"/>
    </row>
    <row r="33691" spans="9:10" x14ac:dyDescent="0.35">
      <c r="I33691" s="63"/>
      <c r="J33691" s="63"/>
    </row>
    <row r="33692" spans="9:10" x14ac:dyDescent="0.35">
      <c r="I33692" s="63"/>
      <c r="J33692" s="63"/>
    </row>
    <row r="33693" spans="9:10" x14ac:dyDescent="0.35">
      <c r="I33693" s="63"/>
      <c r="J33693" s="63"/>
    </row>
    <row r="33694" spans="9:10" x14ac:dyDescent="0.35">
      <c r="I33694" s="63"/>
      <c r="J33694" s="63"/>
    </row>
    <row r="33695" spans="9:10" x14ac:dyDescent="0.35">
      <c r="I33695" s="63"/>
      <c r="J33695" s="63"/>
    </row>
    <row r="33696" spans="9:10" x14ac:dyDescent="0.35">
      <c r="I33696" s="63"/>
      <c r="J33696" s="63"/>
    </row>
    <row r="33697" spans="9:10" x14ac:dyDescent="0.35">
      <c r="I33697" s="63"/>
      <c r="J33697" s="63"/>
    </row>
    <row r="33698" spans="9:10" x14ac:dyDescent="0.35">
      <c r="I33698" s="63"/>
      <c r="J33698" s="63"/>
    </row>
    <row r="33699" spans="9:10" x14ac:dyDescent="0.35">
      <c r="I33699" s="63"/>
      <c r="J33699" s="63"/>
    </row>
    <row r="33700" spans="9:10" x14ac:dyDescent="0.35">
      <c r="I33700" s="63"/>
      <c r="J33700" s="63"/>
    </row>
    <row r="33701" spans="9:10" x14ac:dyDescent="0.35">
      <c r="I33701" s="63"/>
      <c r="J33701" s="63"/>
    </row>
    <row r="33702" spans="9:10" x14ac:dyDescent="0.35">
      <c r="I33702" s="63"/>
      <c r="J33702" s="63"/>
    </row>
    <row r="33703" spans="9:10" x14ac:dyDescent="0.35">
      <c r="I33703" s="63"/>
      <c r="J33703" s="63"/>
    </row>
    <row r="33704" spans="9:10" x14ac:dyDescent="0.35">
      <c r="I33704" s="63"/>
      <c r="J33704" s="63"/>
    </row>
    <row r="33705" spans="9:10" x14ac:dyDescent="0.35">
      <c r="I33705" s="63"/>
      <c r="J33705" s="63"/>
    </row>
    <row r="33706" spans="9:10" x14ac:dyDescent="0.35">
      <c r="I33706" s="63"/>
      <c r="J33706" s="63"/>
    </row>
    <row r="33707" spans="9:10" x14ac:dyDescent="0.35">
      <c r="I33707" s="63"/>
      <c r="J33707" s="63"/>
    </row>
    <row r="33708" spans="9:10" x14ac:dyDescent="0.35">
      <c r="I33708" s="63"/>
      <c r="J33708" s="63"/>
    </row>
    <row r="33709" spans="9:10" x14ac:dyDescent="0.35">
      <c r="I33709" s="63"/>
      <c r="J33709" s="63"/>
    </row>
    <row r="33710" spans="9:10" x14ac:dyDescent="0.35">
      <c r="I33710" s="63"/>
      <c r="J33710" s="63"/>
    </row>
    <row r="33711" spans="9:10" x14ac:dyDescent="0.35">
      <c r="I33711" s="63"/>
      <c r="J33711" s="63"/>
    </row>
    <row r="33712" spans="9:10" x14ac:dyDescent="0.35">
      <c r="I33712" s="63"/>
      <c r="J33712" s="63"/>
    </row>
    <row r="33713" spans="9:10" x14ac:dyDescent="0.35">
      <c r="I33713" s="63"/>
      <c r="J33713" s="63"/>
    </row>
    <row r="33714" spans="9:10" x14ac:dyDescent="0.35">
      <c r="I33714" s="63"/>
      <c r="J33714" s="63"/>
    </row>
    <row r="33715" spans="9:10" x14ac:dyDescent="0.35">
      <c r="I33715" s="63"/>
      <c r="J33715" s="63"/>
    </row>
    <row r="33716" spans="9:10" x14ac:dyDescent="0.35">
      <c r="I33716" s="63"/>
      <c r="J33716" s="63"/>
    </row>
    <row r="33717" spans="9:10" x14ac:dyDescent="0.35">
      <c r="I33717" s="63"/>
      <c r="J33717" s="63"/>
    </row>
    <row r="33718" spans="9:10" x14ac:dyDescent="0.35">
      <c r="I33718" s="63"/>
      <c r="J33718" s="63"/>
    </row>
    <row r="33719" spans="9:10" x14ac:dyDescent="0.35">
      <c r="I33719" s="63"/>
      <c r="J33719" s="63"/>
    </row>
    <row r="33720" spans="9:10" x14ac:dyDescent="0.35">
      <c r="I33720" s="63"/>
      <c r="J33720" s="63"/>
    </row>
    <row r="33721" spans="9:10" x14ac:dyDescent="0.35">
      <c r="I33721" s="63"/>
      <c r="J33721" s="63"/>
    </row>
    <row r="33722" spans="9:10" x14ac:dyDescent="0.35">
      <c r="I33722" s="63"/>
      <c r="J33722" s="63"/>
    </row>
    <row r="33723" spans="9:10" x14ac:dyDescent="0.35">
      <c r="I33723" s="63"/>
      <c r="J33723" s="63"/>
    </row>
    <row r="33724" spans="9:10" x14ac:dyDescent="0.35">
      <c r="I33724" s="63"/>
      <c r="J33724" s="63"/>
    </row>
    <row r="33725" spans="9:10" x14ac:dyDescent="0.35">
      <c r="I33725" s="63"/>
      <c r="J33725" s="63"/>
    </row>
    <row r="33726" spans="9:10" x14ac:dyDescent="0.35">
      <c r="I33726" s="63"/>
      <c r="J33726" s="63"/>
    </row>
    <row r="33727" spans="9:10" x14ac:dyDescent="0.35">
      <c r="I33727" s="63"/>
      <c r="J33727" s="63"/>
    </row>
    <row r="33728" spans="9:10" x14ac:dyDescent="0.35">
      <c r="I33728" s="63"/>
      <c r="J33728" s="63"/>
    </row>
    <row r="33729" spans="9:10" x14ac:dyDescent="0.35">
      <c r="I33729" s="63"/>
      <c r="J33729" s="63"/>
    </row>
    <row r="33730" spans="9:10" x14ac:dyDescent="0.35">
      <c r="I33730" s="63"/>
      <c r="J33730" s="63"/>
    </row>
    <row r="33731" spans="9:10" x14ac:dyDescent="0.35">
      <c r="I33731" s="63"/>
      <c r="J33731" s="63"/>
    </row>
    <row r="33732" spans="9:10" x14ac:dyDescent="0.35">
      <c r="I33732" s="63"/>
      <c r="J33732" s="63"/>
    </row>
    <row r="33733" spans="9:10" x14ac:dyDescent="0.35">
      <c r="I33733" s="63"/>
      <c r="J33733" s="63"/>
    </row>
    <row r="33734" spans="9:10" x14ac:dyDescent="0.35">
      <c r="I33734" s="63"/>
      <c r="J33734" s="63"/>
    </row>
    <row r="33735" spans="9:10" x14ac:dyDescent="0.35">
      <c r="I33735" s="63"/>
      <c r="J33735" s="63"/>
    </row>
    <row r="33736" spans="9:10" x14ac:dyDescent="0.35">
      <c r="I33736" s="63"/>
      <c r="J33736" s="63"/>
    </row>
    <row r="33737" spans="9:10" x14ac:dyDescent="0.35">
      <c r="I33737" s="63"/>
      <c r="J33737" s="63"/>
    </row>
    <row r="33738" spans="9:10" x14ac:dyDescent="0.35">
      <c r="I33738" s="63"/>
      <c r="J33738" s="63"/>
    </row>
    <row r="33739" spans="9:10" x14ac:dyDescent="0.35">
      <c r="I33739" s="63"/>
      <c r="J33739" s="63"/>
    </row>
    <row r="33740" spans="9:10" x14ac:dyDescent="0.35">
      <c r="I33740" s="63"/>
      <c r="J33740" s="63"/>
    </row>
    <row r="33741" spans="9:10" x14ac:dyDescent="0.35">
      <c r="I33741" s="63"/>
      <c r="J33741" s="63"/>
    </row>
    <row r="33742" spans="9:10" x14ac:dyDescent="0.35">
      <c r="I33742" s="63"/>
      <c r="J33742" s="63"/>
    </row>
    <row r="33743" spans="9:10" x14ac:dyDescent="0.35">
      <c r="I33743" s="63"/>
      <c r="J33743" s="63"/>
    </row>
    <row r="33744" spans="9:10" x14ac:dyDescent="0.35">
      <c r="I33744" s="63"/>
      <c r="J33744" s="63"/>
    </row>
    <row r="33745" spans="9:10" x14ac:dyDescent="0.35">
      <c r="I33745" s="63"/>
      <c r="J33745" s="63"/>
    </row>
    <row r="33746" spans="9:10" x14ac:dyDescent="0.35">
      <c r="I33746" s="63"/>
      <c r="J33746" s="63"/>
    </row>
    <row r="33747" spans="9:10" x14ac:dyDescent="0.35">
      <c r="I33747" s="63"/>
      <c r="J33747" s="63"/>
    </row>
    <row r="33748" spans="9:10" x14ac:dyDescent="0.35">
      <c r="I33748" s="63"/>
      <c r="J33748" s="63"/>
    </row>
    <row r="33749" spans="9:10" x14ac:dyDescent="0.35">
      <c r="I33749" s="63"/>
      <c r="J33749" s="63"/>
    </row>
    <row r="33750" spans="9:10" x14ac:dyDescent="0.35">
      <c r="I33750" s="63"/>
      <c r="J33750" s="63"/>
    </row>
    <row r="33751" spans="9:10" x14ac:dyDescent="0.35">
      <c r="I33751" s="63"/>
      <c r="J33751" s="63"/>
    </row>
    <row r="33752" spans="9:10" x14ac:dyDescent="0.35">
      <c r="I33752" s="63"/>
      <c r="J33752" s="63"/>
    </row>
    <row r="33753" spans="9:10" x14ac:dyDescent="0.35">
      <c r="I33753" s="63"/>
      <c r="J33753" s="63"/>
    </row>
    <row r="33754" spans="9:10" x14ac:dyDescent="0.35">
      <c r="I33754" s="63"/>
      <c r="J33754" s="63"/>
    </row>
    <row r="33755" spans="9:10" x14ac:dyDescent="0.35">
      <c r="I33755" s="63"/>
      <c r="J33755" s="63"/>
    </row>
    <row r="33756" spans="9:10" x14ac:dyDescent="0.35">
      <c r="I33756" s="63"/>
      <c r="J33756" s="63"/>
    </row>
    <row r="33757" spans="9:10" x14ac:dyDescent="0.35">
      <c r="I33757" s="63"/>
      <c r="J33757" s="63"/>
    </row>
    <row r="33758" spans="9:10" x14ac:dyDescent="0.35">
      <c r="I33758" s="63"/>
      <c r="J33758" s="63"/>
    </row>
    <row r="33759" spans="9:10" x14ac:dyDescent="0.35">
      <c r="I33759" s="63"/>
      <c r="J33759" s="63"/>
    </row>
    <row r="33760" spans="9:10" x14ac:dyDescent="0.35">
      <c r="I33760" s="63"/>
      <c r="J33760" s="63"/>
    </row>
    <row r="33761" spans="9:10" x14ac:dyDescent="0.35">
      <c r="I33761" s="63"/>
      <c r="J33761" s="63"/>
    </row>
    <row r="33762" spans="9:10" x14ac:dyDescent="0.35">
      <c r="I33762" s="63"/>
      <c r="J33762" s="63"/>
    </row>
    <row r="33763" spans="9:10" x14ac:dyDescent="0.35">
      <c r="I33763" s="63"/>
      <c r="J33763" s="63"/>
    </row>
    <row r="33764" spans="9:10" x14ac:dyDescent="0.35">
      <c r="I33764" s="63"/>
      <c r="J33764" s="63"/>
    </row>
    <row r="33765" spans="9:10" x14ac:dyDescent="0.35">
      <c r="I33765" s="63"/>
      <c r="J33765" s="63"/>
    </row>
    <row r="33766" spans="9:10" x14ac:dyDescent="0.35">
      <c r="I33766" s="63"/>
      <c r="J33766" s="63"/>
    </row>
    <row r="33767" spans="9:10" x14ac:dyDescent="0.35">
      <c r="I33767" s="63"/>
      <c r="J33767" s="63"/>
    </row>
    <row r="33768" spans="9:10" x14ac:dyDescent="0.35">
      <c r="I33768" s="63"/>
      <c r="J33768" s="63"/>
    </row>
    <row r="33769" spans="9:10" x14ac:dyDescent="0.35">
      <c r="I33769" s="63"/>
      <c r="J33769" s="63"/>
    </row>
    <row r="33770" spans="9:10" x14ac:dyDescent="0.35">
      <c r="I33770" s="63"/>
      <c r="J33770" s="63"/>
    </row>
    <row r="33771" spans="9:10" x14ac:dyDescent="0.35">
      <c r="I33771" s="63"/>
      <c r="J33771" s="63"/>
    </row>
    <row r="33772" spans="9:10" x14ac:dyDescent="0.35">
      <c r="I33772" s="63"/>
      <c r="J33772" s="63"/>
    </row>
    <row r="33773" spans="9:10" x14ac:dyDescent="0.35">
      <c r="I33773" s="63"/>
      <c r="J33773" s="63"/>
    </row>
    <row r="33774" spans="9:10" x14ac:dyDescent="0.35">
      <c r="I33774" s="63"/>
      <c r="J33774" s="63"/>
    </row>
    <row r="33775" spans="9:10" x14ac:dyDescent="0.35">
      <c r="I33775" s="63"/>
      <c r="J33775" s="63"/>
    </row>
    <row r="33776" spans="9:10" x14ac:dyDescent="0.35">
      <c r="I33776" s="63"/>
      <c r="J33776" s="63"/>
    </row>
    <row r="33777" spans="9:10" x14ac:dyDescent="0.35">
      <c r="I33777" s="63"/>
      <c r="J33777" s="63"/>
    </row>
    <row r="33778" spans="9:10" x14ac:dyDescent="0.35">
      <c r="I33778" s="63"/>
      <c r="J33778" s="63"/>
    </row>
    <row r="33779" spans="9:10" x14ac:dyDescent="0.35">
      <c r="I33779" s="63"/>
      <c r="J33779" s="63"/>
    </row>
    <row r="33780" spans="9:10" x14ac:dyDescent="0.35">
      <c r="I33780" s="63"/>
      <c r="J33780" s="63"/>
    </row>
    <row r="33781" spans="9:10" x14ac:dyDescent="0.35">
      <c r="I33781" s="63"/>
      <c r="J33781" s="63"/>
    </row>
    <row r="33782" spans="9:10" x14ac:dyDescent="0.35">
      <c r="I33782" s="63"/>
      <c r="J33782" s="63"/>
    </row>
    <row r="33783" spans="9:10" x14ac:dyDescent="0.35">
      <c r="I33783" s="63"/>
      <c r="J33783" s="63"/>
    </row>
    <row r="33784" spans="9:10" x14ac:dyDescent="0.35">
      <c r="I33784" s="63"/>
      <c r="J33784" s="63"/>
    </row>
    <row r="33785" spans="9:10" x14ac:dyDescent="0.35">
      <c r="I33785" s="63"/>
      <c r="J33785" s="63"/>
    </row>
    <row r="33786" spans="9:10" x14ac:dyDescent="0.35">
      <c r="I33786" s="63"/>
      <c r="J33786" s="63"/>
    </row>
    <row r="33787" spans="9:10" x14ac:dyDescent="0.35">
      <c r="I33787" s="63"/>
      <c r="J33787" s="63"/>
    </row>
    <row r="33788" spans="9:10" x14ac:dyDescent="0.35">
      <c r="I33788" s="63"/>
      <c r="J33788" s="63"/>
    </row>
    <row r="33789" spans="9:10" x14ac:dyDescent="0.35">
      <c r="I33789" s="63"/>
      <c r="J33789" s="63"/>
    </row>
    <row r="33790" spans="9:10" x14ac:dyDescent="0.35">
      <c r="I33790" s="63"/>
      <c r="J33790" s="63"/>
    </row>
    <row r="33791" spans="9:10" x14ac:dyDescent="0.35">
      <c r="I33791" s="63"/>
      <c r="J33791" s="63"/>
    </row>
    <row r="33792" spans="9:10" x14ac:dyDescent="0.35">
      <c r="I33792" s="63"/>
      <c r="J33792" s="63"/>
    </row>
    <row r="33793" spans="9:10" x14ac:dyDescent="0.35">
      <c r="I33793" s="63"/>
      <c r="J33793" s="63"/>
    </row>
    <row r="33794" spans="9:10" x14ac:dyDescent="0.35">
      <c r="I33794" s="63"/>
      <c r="J33794" s="63"/>
    </row>
    <row r="33795" spans="9:10" x14ac:dyDescent="0.35">
      <c r="I33795" s="63"/>
      <c r="J33795" s="63"/>
    </row>
    <row r="33796" spans="9:10" x14ac:dyDescent="0.35">
      <c r="I33796" s="63"/>
      <c r="J33796" s="63"/>
    </row>
    <row r="33797" spans="9:10" x14ac:dyDescent="0.35">
      <c r="I33797" s="63"/>
      <c r="J33797" s="63"/>
    </row>
    <row r="33798" spans="9:10" x14ac:dyDescent="0.35">
      <c r="I33798" s="63"/>
      <c r="J33798" s="63"/>
    </row>
    <row r="33799" spans="9:10" x14ac:dyDescent="0.35">
      <c r="I33799" s="63"/>
      <c r="J33799" s="63"/>
    </row>
    <row r="33800" spans="9:10" x14ac:dyDescent="0.35">
      <c r="I33800" s="63"/>
      <c r="J33800" s="63"/>
    </row>
    <row r="33801" spans="9:10" x14ac:dyDescent="0.35">
      <c r="I33801" s="63"/>
      <c r="J33801" s="63"/>
    </row>
    <row r="33802" spans="9:10" x14ac:dyDescent="0.35">
      <c r="I33802" s="63"/>
      <c r="J33802" s="63"/>
    </row>
    <row r="33803" spans="9:10" x14ac:dyDescent="0.35">
      <c r="I33803" s="63"/>
      <c r="J33803" s="63"/>
    </row>
    <row r="33804" spans="9:10" x14ac:dyDescent="0.35">
      <c r="I33804" s="63"/>
      <c r="J33804" s="63"/>
    </row>
    <row r="33805" spans="9:10" x14ac:dyDescent="0.35">
      <c r="I33805" s="63"/>
      <c r="J33805" s="63"/>
    </row>
    <row r="33806" spans="9:10" x14ac:dyDescent="0.35">
      <c r="I33806" s="63"/>
      <c r="J33806" s="63"/>
    </row>
    <row r="33807" spans="9:10" x14ac:dyDescent="0.35">
      <c r="I33807" s="63"/>
      <c r="J33807" s="63"/>
    </row>
    <row r="33808" spans="9:10" x14ac:dyDescent="0.35">
      <c r="I33808" s="63"/>
      <c r="J33808" s="63"/>
    </row>
    <row r="33809" spans="9:10" x14ac:dyDescent="0.35">
      <c r="I33809" s="63"/>
      <c r="J33809" s="63"/>
    </row>
    <row r="33810" spans="9:10" x14ac:dyDescent="0.35">
      <c r="I33810" s="63"/>
      <c r="J33810" s="63"/>
    </row>
    <row r="33811" spans="9:10" x14ac:dyDescent="0.35">
      <c r="I33811" s="63"/>
      <c r="J33811" s="63"/>
    </row>
    <row r="33812" spans="9:10" x14ac:dyDescent="0.35">
      <c r="I33812" s="63"/>
      <c r="J33812" s="63"/>
    </row>
    <row r="33813" spans="9:10" x14ac:dyDescent="0.35">
      <c r="I33813" s="63"/>
      <c r="J33813" s="63"/>
    </row>
    <row r="33814" spans="9:10" x14ac:dyDescent="0.35">
      <c r="I33814" s="63"/>
      <c r="J33814" s="63"/>
    </row>
    <row r="33815" spans="9:10" x14ac:dyDescent="0.35">
      <c r="I33815" s="63"/>
      <c r="J33815" s="63"/>
    </row>
    <row r="33816" spans="9:10" x14ac:dyDescent="0.35">
      <c r="I33816" s="63"/>
      <c r="J33816" s="63"/>
    </row>
    <row r="33817" spans="9:10" x14ac:dyDescent="0.35">
      <c r="I33817" s="63"/>
      <c r="J33817" s="63"/>
    </row>
    <row r="33818" spans="9:10" x14ac:dyDescent="0.35">
      <c r="I33818" s="63"/>
      <c r="J33818" s="63"/>
    </row>
    <row r="33819" spans="9:10" x14ac:dyDescent="0.35">
      <c r="I33819" s="63"/>
      <c r="J33819" s="63"/>
    </row>
    <row r="33820" spans="9:10" x14ac:dyDescent="0.35">
      <c r="I33820" s="63"/>
      <c r="J33820" s="63"/>
    </row>
    <row r="33821" spans="9:10" x14ac:dyDescent="0.35">
      <c r="I33821" s="63"/>
      <c r="J33821" s="63"/>
    </row>
    <row r="33822" spans="9:10" x14ac:dyDescent="0.35">
      <c r="I33822" s="63"/>
      <c r="J33822" s="63"/>
    </row>
    <row r="33823" spans="9:10" x14ac:dyDescent="0.35">
      <c r="I33823" s="63"/>
      <c r="J33823" s="63"/>
    </row>
    <row r="33824" spans="9:10" x14ac:dyDescent="0.35">
      <c r="I33824" s="63"/>
      <c r="J33824" s="63"/>
    </row>
    <row r="33825" spans="9:10" x14ac:dyDescent="0.35">
      <c r="I33825" s="63"/>
      <c r="J33825" s="63"/>
    </row>
    <row r="33826" spans="9:10" x14ac:dyDescent="0.35">
      <c r="I33826" s="63"/>
      <c r="J33826" s="63"/>
    </row>
    <row r="33827" spans="9:10" x14ac:dyDescent="0.35">
      <c r="I33827" s="63"/>
      <c r="J33827" s="63"/>
    </row>
    <row r="33828" spans="9:10" x14ac:dyDescent="0.35">
      <c r="I33828" s="63"/>
      <c r="J33828" s="63"/>
    </row>
    <row r="33829" spans="9:10" x14ac:dyDescent="0.35">
      <c r="I33829" s="63"/>
      <c r="J33829" s="63"/>
    </row>
    <row r="33830" spans="9:10" x14ac:dyDescent="0.35">
      <c r="I33830" s="63"/>
      <c r="J33830" s="63"/>
    </row>
    <row r="33831" spans="9:10" x14ac:dyDescent="0.35">
      <c r="I33831" s="63"/>
      <c r="J33831" s="63"/>
    </row>
    <row r="33832" spans="9:10" x14ac:dyDescent="0.35">
      <c r="I33832" s="63"/>
      <c r="J33832" s="63"/>
    </row>
    <row r="33833" spans="9:10" x14ac:dyDescent="0.35">
      <c r="I33833" s="63"/>
      <c r="J33833" s="63"/>
    </row>
    <row r="33834" spans="9:10" x14ac:dyDescent="0.35">
      <c r="I33834" s="63"/>
      <c r="J33834" s="63"/>
    </row>
    <row r="33835" spans="9:10" x14ac:dyDescent="0.35">
      <c r="I33835" s="63"/>
      <c r="J33835" s="63"/>
    </row>
    <row r="33836" spans="9:10" x14ac:dyDescent="0.35">
      <c r="I33836" s="63"/>
      <c r="J33836" s="63"/>
    </row>
    <row r="33837" spans="9:10" x14ac:dyDescent="0.35">
      <c r="I33837" s="63"/>
      <c r="J33837" s="63"/>
    </row>
    <row r="33838" spans="9:10" x14ac:dyDescent="0.35">
      <c r="I33838" s="63"/>
      <c r="J33838" s="63"/>
    </row>
    <row r="33839" spans="9:10" x14ac:dyDescent="0.35">
      <c r="I33839" s="63"/>
      <c r="J33839" s="63"/>
    </row>
    <row r="33840" spans="9:10" x14ac:dyDescent="0.35">
      <c r="I33840" s="63"/>
      <c r="J33840" s="63"/>
    </row>
    <row r="33841" spans="9:10" x14ac:dyDescent="0.35">
      <c r="I33841" s="63"/>
      <c r="J33841" s="63"/>
    </row>
    <row r="33842" spans="9:10" x14ac:dyDescent="0.35">
      <c r="I33842" s="63"/>
      <c r="J33842" s="63"/>
    </row>
    <row r="33843" spans="9:10" x14ac:dyDescent="0.35">
      <c r="I33843" s="63"/>
      <c r="J33843" s="63"/>
    </row>
    <row r="33844" spans="9:10" x14ac:dyDescent="0.35">
      <c r="I33844" s="63"/>
      <c r="J33844" s="63"/>
    </row>
    <row r="33845" spans="9:10" x14ac:dyDescent="0.35">
      <c r="I33845" s="63"/>
      <c r="J33845" s="63"/>
    </row>
    <row r="33846" spans="9:10" x14ac:dyDescent="0.35">
      <c r="I33846" s="63"/>
      <c r="J33846" s="63"/>
    </row>
    <row r="33847" spans="9:10" x14ac:dyDescent="0.35">
      <c r="I33847" s="63"/>
      <c r="J33847" s="63"/>
    </row>
    <row r="33848" spans="9:10" x14ac:dyDescent="0.35">
      <c r="I33848" s="63"/>
      <c r="J33848" s="63"/>
    </row>
    <row r="33849" spans="9:10" x14ac:dyDescent="0.35">
      <c r="I33849" s="63"/>
      <c r="J33849" s="63"/>
    </row>
    <row r="33850" spans="9:10" x14ac:dyDescent="0.35">
      <c r="I33850" s="63"/>
      <c r="J33850" s="63"/>
    </row>
    <row r="33851" spans="9:10" x14ac:dyDescent="0.35">
      <c r="I33851" s="63"/>
      <c r="J33851" s="63"/>
    </row>
    <row r="33852" spans="9:10" x14ac:dyDescent="0.35">
      <c r="I33852" s="63"/>
      <c r="J33852" s="63"/>
    </row>
    <row r="33853" spans="9:10" x14ac:dyDescent="0.35">
      <c r="I33853" s="63"/>
      <c r="J33853" s="63"/>
    </row>
    <row r="33854" spans="9:10" x14ac:dyDescent="0.35">
      <c r="I33854" s="63"/>
      <c r="J33854" s="63"/>
    </row>
    <row r="33855" spans="9:10" x14ac:dyDescent="0.35">
      <c r="I33855" s="63"/>
      <c r="J33855" s="63"/>
    </row>
    <row r="33856" spans="9:10" x14ac:dyDescent="0.35">
      <c r="I33856" s="63"/>
      <c r="J33856" s="63"/>
    </row>
    <row r="33857" spans="9:10" x14ac:dyDescent="0.35">
      <c r="I33857" s="63"/>
      <c r="J33857" s="63"/>
    </row>
    <row r="33858" spans="9:10" x14ac:dyDescent="0.35">
      <c r="I33858" s="63"/>
      <c r="J33858" s="63"/>
    </row>
    <row r="33859" spans="9:10" x14ac:dyDescent="0.35">
      <c r="I33859" s="63"/>
      <c r="J33859" s="63"/>
    </row>
    <row r="33860" spans="9:10" x14ac:dyDescent="0.35">
      <c r="I33860" s="63"/>
      <c r="J33860" s="63"/>
    </row>
    <row r="33861" spans="9:10" x14ac:dyDescent="0.35">
      <c r="I33861" s="63"/>
      <c r="J33861" s="63"/>
    </row>
    <row r="33862" spans="9:10" x14ac:dyDescent="0.35">
      <c r="I33862" s="63"/>
      <c r="J33862" s="63"/>
    </row>
    <row r="33863" spans="9:10" x14ac:dyDescent="0.35">
      <c r="I33863" s="63"/>
      <c r="J33863" s="63"/>
    </row>
    <row r="33864" spans="9:10" x14ac:dyDescent="0.35">
      <c r="I33864" s="63"/>
      <c r="J33864" s="63"/>
    </row>
    <row r="33865" spans="9:10" x14ac:dyDescent="0.35">
      <c r="I33865" s="63"/>
      <c r="J33865" s="63"/>
    </row>
    <row r="33866" spans="9:10" x14ac:dyDescent="0.35">
      <c r="I33866" s="63"/>
      <c r="J33866" s="63"/>
    </row>
    <row r="33867" spans="9:10" x14ac:dyDescent="0.35">
      <c r="I33867" s="63"/>
      <c r="J33867" s="63"/>
    </row>
    <row r="33868" spans="9:10" x14ac:dyDescent="0.35">
      <c r="I33868" s="63"/>
      <c r="J33868" s="63"/>
    </row>
    <row r="33869" spans="9:10" x14ac:dyDescent="0.35">
      <c r="I33869" s="63"/>
      <c r="J33869" s="63"/>
    </row>
    <row r="33870" spans="9:10" x14ac:dyDescent="0.35">
      <c r="I33870" s="63"/>
      <c r="J33870" s="63"/>
    </row>
    <row r="33871" spans="9:10" x14ac:dyDescent="0.35">
      <c r="I33871" s="63"/>
      <c r="J33871" s="63"/>
    </row>
    <row r="33872" spans="9:10" x14ac:dyDescent="0.35">
      <c r="I33872" s="63"/>
      <c r="J33872" s="63"/>
    </row>
    <row r="33873" spans="9:10" x14ac:dyDescent="0.35">
      <c r="I33873" s="63"/>
      <c r="J33873" s="63"/>
    </row>
    <row r="33874" spans="9:10" x14ac:dyDescent="0.35">
      <c r="I33874" s="63"/>
      <c r="J33874" s="63"/>
    </row>
    <row r="33875" spans="9:10" x14ac:dyDescent="0.35">
      <c r="I33875" s="63"/>
      <c r="J33875" s="63"/>
    </row>
    <row r="33876" spans="9:10" x14ac:dyDescent="0.35">
      <c r="I33876" s="63"/>
      <c r="J33876" s="63"/>
    </row>
    <row r="33877" spans="9:10" x14ac:dyDescent="0.35">
      <c r="I33877" s="63"/>
      <c r="J33877" s="63"/>
    </row>
    <row r="33878" spans="9:10" x14ac:dyDescent="0.35">
      <c r="I33878" s="63"/>
      <c r="J33878" s="63"/>
    </row>
    <row r="33879" spans="9:10" x14ac:dyDescent="0.35">
      <c r="I33879" s="63"/>
      <c r="J33879" s="63"/>
    </row>
    <row r="33880" spans="9:10" x14ac:dyDescent="0.35">
      <c r="I33880" s="63"/>
      <c r="J33880" s="63"/>
    </row>
    <row r="33881" spans="9:10" x14ac:dyDescent="0.35">
      <c r="I33881" s="63"/>
      <c r="J33881" s="63"/>
    </row>
    <row r="33882" spans="9:10" x14ac:dyDescent="0.35">
      <c r="I33882" s="63"/>
      <c r="J33882" s="63"/>
    </row>
    <row r="33883" spans="9:10" x14ac:dyDescent="0.35">
      <c r="I33883" s="63"/>
      <c r="J33883" s="63"/>
    </row>
    <row r="33884" spans="9:10" x14ac:dyDescent="0.35">
      <c r="I33884" s="63"/>
      <c r="J33884" s="63"/>
    </row>
    <row r="33885" spans="9:10" x14ac:dyDescent="0.35">
      <c r="I33885" s="63"/>
      <c r="J33885" s="63"/>
    </row>
    <row r="33886" spans="9:10" x14ac:dyDescent="0.35">
      <c r="I33886" s="63"/>
      <c r="J33886" s="63"/>
    </row>
    <row r="33887" spans="9:10" x14ac:dyDescent="0.35">
      <c r="I33887" s="63"/>
      <c r="J33887" s="63"/>
    </row>
    <row r="33888" spans="9:10" x14ac:dyDescent="0.35">
      <c r="I33888" s="63"/>
      <c r="J33888" s="63"/>
    </row>
    <row r="33889" spans="9:10" x14ac:dyDescent="0.35">
      <c r="I33889" s="63"/>
      <c r="J33889" s="63"/>
    </row>
    <row r="33890" spans="9:10" x14ac:dyDescent="0.35">
      <c r="I33890" s="63"/>
      <c r="J33890" s="63"/>
    </row>
    <row r="33891" spans="9:10" x14ac:dyDescent="0.35">
      <c r="I33891" s="63"/>
      <c r="J33891" s="63"/>
    </row>
    <row r="33892" spans="9:10" x14ac:dyDescent="0.35">
      <c r="I33892" s="63"/>
      <c r="J33892" s="63"/>
    </row>
    <row r="33893" spans="9:10" x14ac:dyDescent="0.35">
      <c r="I33893" s="63"/>
      <c r="J33893" s="63"/>
    </row>
    <row r="33894" spans="9:10" x14ac:dyDescent="0.35">
      <c r="I33894" s="63"/>
      <c r="J33894" s="63"/>
    </row>
    <row r="33895" spans="9:10" x14ac:dyDescent="0.35">
      <c r="I33895" s="63"/>
      <c r="J33895" s="63"/>
    </row>
    <row r="33896" spans="9:10" x14ac:dyDescent="0.35">
      <c r="I33896" s="63"/>
      <c r="J33896" s="63"/>
    </row>
    <row r="33897" spans="9:10" x14ac:dyDescent="0.35">
      <c r="I33897" s="63"/>
      <c r="J33897" s="63"/>
    </row>
    <row r="33898" spans="9:10" x14ac:dyDescent="0.35">
      <c r="I33898" s="63"/>
      <c r="J33898" s="63"/>
    </row>
    <row r="33899" spans="9:10" x14ac:dyDescent="0.35">
      <c r="I33899" s="63"/>
      <c r="J33899" s="63"/>
    </row>
    <row r="33900" spans="9:10" x14ac:dyDescent="0.35">
      <c r="I33900" s="63"/>
      <c r="J33900" s="63"/>
    </row>
    <row r="33901" spans="9:10" x14ac:dyDescent="0.35">
      <c r="I33901" s="63"/>
      <c r="J33901" s="63"/>
    </row>
    <row r="33902" spans="9:10" x14ac:dyDescent="0.35">
      <c r="I33902" s="63"/>
      <c r="J33902" s="63"/>
    </row>
    <row r="33903" spans="9:10" x14ac:dyDescent="0.35">
      <c r="I33903" s="63"/>
      <c r="J33903" s="63"/>
    </row>
    <row r="33904" spans="9:10" x14ac:dyDescent="0.35">
      <c r="I33904" s="63"/>
      <c r="J33904" s="63"/>
    </row>
    <row r="33905" spans="9:10" x14ac:dyDescent="0.35">
      <c r="I33905" s="63"/>
      <c r="J33905" s="63"/>
    </row>
    <row r="33906" spans="9:10" x14ac:dyDescent="0.35">
      <c r="I33906" s="63"/>
      <c r="J33906" s="63"/>
    </row>
    <row r="33907" spans="9:10" x14ac:dyDescent="0.35">
      <c r="I33907" s="63"/>
      <c r="J33907" s="63"/>
    </row>
    <row r="33908" spans="9:10" x14ac:dyDescent="0.35">
      <c r="I33908" s="63"/>
      <c r="J33908" s="63"/>
    </row>
    <row r="33909" spans="9:10" x14ac:dyDescent="0.35">
      <c r="I33909" s="63"/>
      <c r="J33909" s="63"/>
    </row>
    <row r="33910" spans="9:10" x14ac:dyDescent="0.35">
      <c r="I33910" s="63"/>
      <c r="J33910" s="63"/>
    </row>
    <row r="33911" spans="9:10" x14ac:dyDescent="0.35">
      <c r="I33911" s="63"/>
      <c r="J33911" s="63"/>
    </row>
    <row r="33912" spans="9:10" x14ac:dyDescent="0.35">
      <c r="I33912" s="63"/>
      <c r="J33912" s="63"/>
    </row>
    <row r="33913" spans="9:10" x14ac:dyDescent="0.35">
      <c r="I33913" s="63"/>
      <c r="J33913" s="63"/>
    </row>
    <row r="33914" spans="9:10" x14ac:dyDescent="0.35">
      <c r="I33914" s="63"/>
      <c r="J33914" s="63"/>
    </row>
    <row r="33915" spans="9:10" x14ac:dyDescent="0.35">
      <c r="I33915" s="63"/>
      <c r="J33915" s="63"/>
    </row>
    <row r="33916" spans="9:10" x14ac:dyDescent="0.35">
      <c r="I33916" s="63"/>
      <c r="J33916" s="63"/>
    </row>
    <row r="33917" spans="9:10" x14ac:dyDescent="0.35">
      <c r="I33917" s="63"/>
      <c r="J33917" s="63"/>
    </row>
    <row r="33918" spans="9:10" x14ac:dyDescent="0.35">
      <c r="I33918" s="63"/>
      <c r="J33918" s="63"/>
    </row>
    <row r="33919" spans="9:10" x14ac:dyDescent="0.35">
      <c r="I33919" s="63"/>
      <c r="J33919" s="63"/>
    </row>
    <row r="33920" spans="9:10" x14ac:dyDescent="0.35">
      <c r="I33920" s="63"/>
      <c r="J33920" s="63"/>
    </row>
    <row r="33921" spans="9:10" x14ac:dyDescent="0.35">
      <c r="I33921" s="63"/>
      <c r="J33921" s="63"/>
    </row>
    <row r="33922" spans="9:10" x14ac:dyDescent="0.35">
      <c r="I33922" s="63"/>
      <c r="J33922" s="63"/>
    </row>
    <row r="33923" spans="9:10" x14ac:dyDescent="0.35">
      <c r="I33923" s="63"/>
      <c r="J33923" s="63"/>
    </row>
    <row r="33924" spans="9:10" x14ac:dyDescent="0.35">
      <c r="I33924" s="63"/>
      <c r="J33924" s="63"/>
    </row>
    <row r="33925" spans="9:10" x14ac:dyDescent="0.35">
      <c r="I33925" s="63"/>
      <c r="J33925" s="63"/>
    </row>
    <row r="33926" spans="9:10" x14ac:dyDescent="0.35">
      <c r="I33926" s="63"/>
      <c r="J33926" s="63"/>
    </row>
    <row r="33927" spans="9:10" x14ac:dyDescent="0.35">
      <c r="I33927" s="63"/>
      <c r="J33927" s="63"/>
    </row>
    <row r="33928" spans="9:10" x14ac:dyDescent="0.35">
      <c r="I33928" s="63"/>
      <c r="J33928" s="63"/>
    </row>
    <row r="33929" spans="9:10" x14ac:dyDescent="0.35">
      <c r="I33929" s="63"/>
      <c r="J33929" s="63"/>
    </row>
    <row r="33930" spans="9:10" x14ac:dyDescent="0.35">
      <c r="I33930" s="63"/>
      <c r="J33930" s="63"/>
    </row>
    <row r="33931" spans="9:10" x14ac:dyDescent="0.35">
      <c r="I33931" s="63"/>
      <c r="J33931" s="63"/>
    </row>
    <row r="33932" spans="9:10" x14ac:dyDescent="0.35">
      <c r="I33932" s="63"/>
      <c r="J33932" s="63"/>
    </row>
    <row r="33933" spans="9:10" x14ac:dyDescent="0.35">
      <c r="I33933" s="63"/>
      <c r="J33933" s="63"/>
    </row>
    <row r="33934" spans="9:10" x14ac:dyDescent="0.35">
      <c r="I33934" s="63"/>
      <c r="J33934" s="63"/>
    </row>
    <row r="33935" spans="9:10" x14ac:dyDescent="0.35">
      <c r="I33935" s="63"/>
      <c r="J33935" s="63"/>
    </row>
    <row r="33936" spans="9:10" x14ac:dyDescent="0.35">
      <c r="I33936" s="63"/>
      <c r="J33936" s="63"/>
    </row>
    <row r="33937" spans="9:10" x14ac:dyDescent="0.35">
      <c r="I33937" s="63"/>
      <c r="J33937" s="63"/>
    </row>
    <row r="33938" spans="9:10" x14ac:dyDescent="0.35">
      <c r="I33938" s="63"/>
      <c r="J33938" s="63"/>
    </row>
    <row r="33939" spans="9:10" x14ac:dyDescent="0.35">
      <c r="I33939" s="63"/>
      <c r="J33939" s="63"/>
    </row>
    <row r="33940" spans="9:10" x14ac:dyDescent="0.35">
      <c r="I33940" s="63"/>
      <c r="J33940" s="63"/>
    </row>
    <row r="33941" spans="9:10" x14ac:dyDescent="0.35">
      <c r="I33941" s="63"/>
      <c r="J33941" s="63"/>
    </row>
    <row r="33942" spans="9:10" x14ac:dyDescent="0.35">
      <c r="I33942" s="63"/>
      <c r="J33942" s="63"/>
    </row>
    <row r="33943" spans="9:10" x14ac:dyDescent="0.35">
      <c r="I33943" s="63"/>
      <c r="J33943" s="63"/>
    </row>
    <row r="33944" spans="9:10" x14ac:dyDescent="0.35">
      <c r="I33944" s="63"/>
      <c r="J33944" s="63"/>
    </row>
    <row r="33945" spans="9:10" x14ac:dyDescent="0.35">
      <c r="I33945" s="63"/>
      <c r="J33945" s="63"/>
    </row>
    <row r="33946" spans="9:10" x14ac:dyDescent="0.35">
      <c r="I33946" s="63"/>
      <c r="J33946" s="63"/>
    </row>
    <row r="33947" spans="9:10" x14ac:dyDescent="0.35">
      <c r="I33947" s="63"/>
      <c r="J33947" s="63"/>
    </row>
    <row r="33948" spans="9:10" x14ac:dyDescent="0.35">
      <c r="I33948" s="63"/>
      <c r="J33948" s="63"/>
    </row>
    <row r="33949" spans="9:10" x14ac:dyDescent="0.35">
      <c r="I33949" s="63"/>
      <c r="J33949" s="63"/>
    </row>
    <row r="33950" spans="9:10" x14ac:dyDescent="0.35">
      <c r="I33950" s="63"/>
      <c r="J33950" s="63"/>
    </row>
    <row r="33951" spans="9:10" x14ac:dyDescent="0.35">
      <c r="I33951" s="63"/>
      <c r="J33951" s="63"/>
    </row>
    <row r="33952" spans="9:10" x14ac:dyDescent="0.35">
      <c r="I33952" s="63"/>
      <c r="J33952" s="63"/>
    </row>
    <row r="33953" spans="9:10" x14ac:dyDescent="0.35">
      <c r="I33953" s="63"/>
      <c r="J33953" s="63"/>
    </row>
    <row r="33954" spans="9:10" x14ac:dyDescent="0.35">
      <c r="I33954" s="63"/>
      <c r="J33954" s="63"/>
    </row>
    <row r="33955" spans="9:10" x14ac:dyDescent="0.35">
      <c r="I33955" s="63"/>
      <c r="J33955" s="63"/>
    </row>
    <row r="33956" spans="9:10" x14ac:dyDescent="0.35">
      <c r="I33956" s="63"/>
      <c r="J33956" s="63"/>
    </row>
    <row r="33957" spans="9:10" x14ac:dyDescent="0.35">
      <c r="I33957" s="63"/>
      <c r="J33957" s="63"/>
    </row>
    <row r="33958" spans="9:10" x14ac:dyDescent="0.35">
      <c r="I33958" s="63"/>
      <c r="J33958" s="63"/>
    </row>
    <row r="33959" spans="9:10" x14ac:dyDescent="0.35">
      <c r="I33959" s="63"/>
      <c r="J33959" s="63"/>
    </row>
    <row r="33960" spans="9:10" x14ac:dyDescent="0.35">
      <c r="I33960" s="63"/>
      <c r="J33960" s="63"/>
    </row>
    <row r="33961" spans="9:10" x14ac:dyDescent="0.35">
      <c r="I33961" s="63"/>
      <c r="J33961" s="63"/>
    </row>
    <row r="33962" spans="9:10" x14ac:dyDescent="0.35">
      <c r="I33962" s="63"/>
      <c r="J33962" s="63"/>
    </row>
    <row r="33963" spans="9:10" x14ac:dyDescent="0.35">
      <c r="I33963" s="63"/>
      <c r="J33963" s="63"/>
    </row>
    <row r="33964" spans="9:10" x14ac:dyDescent="0.35">
      <c r="I33964" s="63"/>
      <c r="J33964" s="63"/>
    </row>
    <row r="33965" spans="9:10" x14ac:dyDescent="0.35">
      <c r="I33965" s="63"/>
      <c r="J33965" s="63"/>
    </row>
    <row r="33966" spans="9:10" x14ac:dyDescent="0.35">
      <c r="I33966" s="63"/>
      <c r="J33966" s="63"/>
    </row>
    <row r="33967" spans="9:10" x14ac:dyDescent="0.35">
      <c r="I33967" s="63"/>
      <c r="J33967" s="63"/>
    </row>
    <row r="33968" spans="9:10" x14ac:dyDescent="0.35">
      <c r="I33968" s="63"/>
      <c r="J33968" s="63"/>
    </row>
    <row r="33969" spans="9:10" x14ac:dyDescent="0.35">
      <c r="I33969" s="63"/>
      <c r="J33969" s="63"/>
    </row>
    <row r="33970" spans="9:10" x14ac:dyDescent="0.35">
      <c r="I33970" s="63"/>
      <c r="J33970" s="63"/>
    </row>
    <row r="33971" spans="9:10" x14ac:dyDescent="0.35">
      <c r="I33971" s="63"/>
      <c r="J33971" s="63"/>
    </row>
    <row r="33972" spans="9:10" x14ac:dyDescent="0.35">
      <c r="I33972" s="63"/>
      <c r="J33972" s="63"/>
    </row>
    <row r="33973" spans="9:10" x14ac:dyDescent="0.35">
      <c r="I33973" s="63"/>
      <c r="J33973" s="63"/>
    </row>
    <row r="33974" spans="9:10" x14ac:dyDescent="0.35">
      <c r="I33974" s="63"/>
      <c r="J33974" s="63"/>
    </row>
    <row r="33975" spans="9:10" x14ac:dyDescent="0.35">
      <c r="I33975" s="63"/>
      <c r="J33975" s="63"/>
    </row>
    <row r="33976" spans="9:10" x14ac:dyDescent="0.35">
      <c r="I33976" s="63"/>
      <c r="J33976" s="63"/>
    </row>
    <row r="33977" spans="9:10" x14ac:dyDescent="0.35">
      <c r="I33977" s="63"/>
      <c r="J33977" s="63"/>
    </row>
    <row r="33978" spans="9:10" x14ac:dyDescent="0.35">
      <c r="I33978" s="63"/>
      <c r="J33978" s="63"/>
    </row>
    <row r="33979" spans="9:10" x14ac:dyDescent="0.35">
      <c r="I33979" s="63"/>
      <c r="J33979" s="63"/>
    </row>
    <row r="33980" spans="9:10" x14ac:dyDescent="0.35">
      <c r="I33980" s="63"/>
      <c r="J33980" s="63"/>
    </row>
    <row r="33981" spans="9:10" x14ac:dyDescent="0.35">
      <c r="I33981" s="63"/>
      <c r="J33981" s="63"/>
    </row>
    <row r="33982" spans="9:10" x14ac:dyDescent="0.35">
      <c r="I33982" s="63"/>
      <c r="J33982" s="63"/>
    </row>
    <row r="33983" spans="9:10" x14ac:dyDescent="0.35">
      <c r="I33983" s="63"/>
      <c r="J33983" s="63"/>
    </row>
    <row r="33984" spans="9:10" x14ac:dyDescent="0.35">
      <c r="I33984" s="63"/>
      <c r="J33984" s="63"/>
    </row>
    <row r="33985" spans="9:10" x14ac:dyDescent="0.35">
      <c r="I33985" s="63"/>
      <c r="J33985" s="63"/>
    </row>
    <row r="33986" spans="9:10" x14ac:dyDescent="0.35">
      <c r="I33986" s="63"/>
      <c r="J33986" s="63"/>
    </row>
    <row r="33987" spans="9:10" x14ac:dyDescent="0.35">
      <c r="I33987" s="63"/>
      <c r="J33987" s="63"/>
    </row>
    <row r="33988" spans="9:10" x14ac:dyDescent="0.35">
      <c r="I33988" s="63"/>
      <c r="J33988" s="63"/>
    </row>
    <row r="33989" spans="9:10" x14ac:dyDescent="0.35">
      <c r="I33989" s="63"/>
      <c r="J33989" s="63"/>
    </row>
    <row r="33990" spans="9:10" x14ac:dyDescent="0.35">
      <c r="I33990" s="63"/>
      <c r="J33990" s="63"/>
    </row>
    <row r="33991" spans="9:10" x14ac:dyDescent="0.35">
      <c r="I33991" s="63"/>
      <c r="J33991" s="63"/>
    </row>
    <row r="33992" spans="9:10" x14ac:dyDescent="0.35">
      <c r="I33992" s="63"/>
      <c r="J33992" s="63"/>
    </row>
    <row r="33993" spans="9:10" x14ac:dyDescent="0.35">
      <c r="I33993" s="63"/>
      <c r="J33993" s="63"/>
    </row>
    <row r="33994" spans="9:10" x14ac:dyDescent="0.35">
      <c r="I33994" s="63"/>
      <c r="J33994" s="63"/>
    </row>
    <row r="33995" spans="9:10" x14ac:dyDescent="0.35">
      <c r="I33995" s="63"/>
      <c r="J33995" s="63"/>
    </row>
    <row r="33996" spans="9:10" x14ac:dyDescent="0.35">
      <c r="I33996" s="63"/>
      <c r="J33996" s="63"/>
    </row>
    <row r="33997" spans="9:10" x14ac:dyDescent="0.35">
      <c r="I33997" s="63"/>
      <c r="J33997" s="63"/>
    </row>
    <row r="33998" spans="9:10" x14ac:dyDescent="0.35">
      <c r="I33998" s="63"/>
      <c r="J33998" s="63"/>
    </row>
    <row r="33999" spans="9:10" x14ac:dyDescent="0.35">
      <c r="I33999" s="63"/>
      <c r="J33999" s="63"/>
    </row>
    <row r="34000" spans="9:10" x14ac:dyDescent="0.35">
      <c r="I34000" s="63"/>
      <c r="J34000" s="63"/>
    </row>
    <row r="34001" spans="9:10" x14ac:dyDescent="0.35">
      <c r="I34001" s="63"/>
      <c r="J34001" s="63"/>
    </row>
    <row r="34002" spans="9:10" x14ac:dyDescent="0.35">
      <c r="I34002" s="63"/>
      <c r="J34002" s="63"/>
    </row>
    <row r="34003" spans="9:10" x14ac:dyDescent="0.35">
      <c r="I34003" s="63"/>
      <c r="J34003" s="63"/>
    </row>
    <row r="34004" spans="9:10" x14ac:dyDescent="0.35">
      <c r="I34004" s="63"/>
      <c r="J34004" s="63"/>
    </row>
    <row r="34005" spans="9:10" x14ac:dyDescent="0.35">
      <c r="I34005" s="63"/>
      <c r="J34005" s="63"/>
    </row>
    <row r="34006" spans="9:10" x14ac:dyDescent="0.35">
      <c r="I34006" s="63"/>
      <c r="J34006" s="63"/>
    </row>
    <row r="34007" spans="9:10" x14ac:dyDescent="0.35">
      <c r="I34007" s="63"/>
      <c r="J34007" s="63"/>
    </row>
    <row r="34008" spans="9:10" x14ac:dyDescent="0.35">
      <c r="I34008" s="63"/>
      <c r="J34008" s="63"/>
    </row>
    <row r="34009" spans="9:10" x14ac:dyDescent="0.35">
      <c r="I34009" s="63"/>
      <c r="J34009" s="63"/>
    </row>
    <row r="34010" spans="9:10" x14ac:dyDescent="0.35">
      <c r="I34010" s="63"/>
      <c r="J34010" s="63"/>
    </row>
    <row r="34011" spans="9:10" x14ac:dyDescent="0.35">
      <c r="I34011" s="63"/>
      <c r="J34011" s="63"/>
    </row>
    <row r="34012" spans="9:10" x14ac:dyDescent="0.35">
      <c r="I34012" s="63"/>
      <c r="J34012" s="63"/>
    </row>
    <row r="34013" spans="9:10" x14ac:dyDescent="0.35">
      <c r="I34013" s="63"/>
      <c r="J34013" s="63"/>
    </row>
    <row r="34014" spans="9:10" x14ac:dyDescent="0.35">
      <c r="I34014" s="63"/>
      <c r="J34014" s="63"/>
    </row>
    <row r="34015" spans="9:10" x14ac:dyDescent="0.35">
      <c r="I34015" s="63"/>
      <c r="J34015" s="63"/>
    </row>
    <row r="34016" spans="9:10" x14ac:dyDescent="0.35">
      <c r="I34016" s="63"/>
      <c r="J34016" s="63"/>
    </row>
    <row r="34017" spans="9:10" x14ac:dyDescent="0.35">
      <c r="I34017" s="63"/>
      <c r="J34017" s="63"/>
    </row>
    <row r="34018" spans="9:10" x14ac:dyDescent="0.35">
      <c r="I34018" s="63"/>
      <c r="J34018" s="63"/>
    </row>
    <row r="34019" spans="9:10" x14ac:dyDescent="0.35">
      <c r="I34019" s="63"/>
      <c r="J34019" s="63"/>
    </row>
    <row r="34020" spans="9:10" x14ac:dyDescent="0.35">
      <c r="I34020" s="63"/>
      <c r="J34020" s="63"/>
    </row>
    <row r="34021" spans="9:10" x14ac:dyDescent="0.35">
      <c r="I34021" s="63"/>
      <c r="J34021" s="63"/>
    </row>
    <row r="34022" spans="9:10" x14ac:dyDescent="0.35">
      <c r="I34022" s="63"/>
      <c r="J34022" s="63"/>
    </row>
    <row r="34023" spans="9:10" x14ac:dyDescent="0.35">
      <c r="I34023" s="63"/>
      <c r="J34023" s="63"/>
    </row>
    <row r="34024" spans="9:10" x14ac:dyDescent="0.35">
      <c r="I34024" s="63"/>
      <c r="J34024" s="63"/>
    </row>
    <row r="34025" spans="9:10" x14ac:dyDescent="0.35">
      <c r="I34025" s="63"/>
      <c r="J34025" s="63"/>
    </row>
    <row r="34026" spans="9:10" x14ac:dyDescent="0.35">
      <c r="I34026" s="63"/>
      <c r="J34026" s="63"/>
    </row>
    <row r="34027" spans="9:10" x14ac:dyDescent="0.35">
      <c r="I34027" s="63"/>
      <c r="J34027" s="63"/>
    </row>
    <row r="34028" spans="9:10" x14ac:dyDescent="0.35">
      <c r="I34028" s="63"/>
      <c r="J34028" s="63"/>
    </row>
    <row r="34029" spans="9:10" x14ac:dyDescent="0.35">
      <c r="I34029" s="63"/>
      <c r="J34029" s="63"/>
    </row>
    <row r="34030" spans="9:10" x14ac:dyDescent="0.35">
      <c r="I34030" s="63"/>
      <c r="J34030" s="63"/>
    </row>
    <row r="34031" spans="9:10" x14ac:dyDescent="0.35">
      <c r="I34031" s="63"/>
      <c r="J34031" s="63"/>
    </row>
    <row r="34032" spans="9:10" x14ac:dyDescent="0.35">
      <c r="I34032" s="63"/>
      <c r="J34032" s="63"/>
    </row>
    <row r="34033" spans="9:10" x14ac:dyDescent="0.35">
      <c r="I34033" s="63"/>
      <c r="J34033" s="63"/>
    </row>
    <row r="34034" spans="9:10" x14ac:dyDescent="0.35">
      <c r="I34034" s="63"/>
      <c r="J34034" s="63"/>
    </row>
    <row r="34035" spans="9:10" x14ac:dyDescent="0.35">
      <c r="I34035" s="63"/>
      <c r="J34035" s="63"/>
    </row>
    <row r="34036" spans="9:10" x14ac:dyDescent="0.35">
      <c r="I34036" s="63"/>
      <c r="J34036" s="63"/>
    </row>
    <row r="34037" spans="9:10" x14ac:dyDescent="0.35">
      <c r="I34037" s="63"/>
      <c r="J34037" s="63"/>
    </row>
    <row r="34038" spans="9:10" x14ac:dyDescent="0.35">
      <c r="I34038" s="63"/>
      <c r="J34038" s="63"/>
    </row>
    <row r="34039" spans="9:10" x14ac:dyDescent="0.35">
      <c r="I34039" s="63"/>
      <c r="J34039" s="63"/>
    </row>
    <row r="34040" spans="9:10" x14ac:dyDescent="0.35">
      <c r="I34040" s="63"/>
      <c r="J34040" s="63"/>
    </row>
    <row r="34041" spans="9:10" x14ac:dyDescent="0.35">
      <c r="I34041" s="63"/>
      <c r="J34041" s="63"/>
    </row>
    <row r="34042" spans="9:10" x14ac:dyDescent="0.35">
      <c r="I34042" s="63"/>
      <c r="J34042" s="63"/>
    </row>
    <row r="34043" spans="9:10" x14ac:dyDescent="0.35">
      <c r="I34043" s="63"/>
      <c r="J34043" s="63"/>
    </row>
    <row r="34044" spans="9:10" x14ac:dyDescent="0.35">
      <c r="I34044" s="63"/>
      <c r="J34044" s="63"/>
    </row>
    <row r="34045" spans="9:10" x14ac:dyDescent="0.35">
      <c r="I34045" s="63"/>
      <c r="J34045" s="63"/>
    </row>
    <row r="34046" spans="9:10" x14ac:dyDescent="0.35">
      <c r="I34046" s="63"/>
      <c r="J34046" s="63"/>
    </row>
    <row r="34047" spans="9:10" x14ac:dyDescent="0.35">
      <c r="I34047" s="63"/>
      <c r="J34047" s="63"/>
    </row>
    <row r="34048" spans="9:10" x14ac:dyDescent="0.35">
      <c r="I34048" s="63"/>
      <c r="J34048" s="63"/>
    </row>
    <row r="34049" spans="9:10" x14ac:dyDescent="0.35">
      <c r="I34049" s="63"/>
      <c r="J34049" s="63"/>
    </row>
    <row r="34050" spans="9:10" x14ac:dyDescent="0.35">
      <c r="I34050" s="63"/>
      <c r="J34050" s="63"/>
    </row>
    <row r="34051" spans="9:10" x14ac:dyDescent="0.35">
      <c r="I34051" s="63"/>
      <c r="J34051" s="63"/>
    </row>
    <row r="34052" spans="9:10" x14ac:dyDescent="0.35">
      <c r="I34052" s="63"/>
      <c r="J34052" s="63"/>
    </row>
    <row r="34053" spans="9:10" x14ac:dyDescent="0.35">
      <c r="I34053" s="63"/>
      <c r="J34053" s="63"/>
    </row>
    <row r="34054" spans="9:10" x14ac:dyDescent="0.35">
      <c r="I34054" s="63"/>
      <c r="J34054" s="63"/>
    </row>
    <row r="34055" spans="9:10" x14ac:dyDescent="0.35">
      <c r="I34055" s="63"/>
      <c r="J34055" s="63"/>
    </row>
    <row r="34056" spans="9:10" x14ac:dyDescent="0.35">
      <c r="I34056" s="63"/>
      <c r="J34056" s="63"/>
    </row>
    <row r="34057" spans="9:10" x14ac:dyDescent="0.35">
      <c r="I34057" s="63"/>
      <c r="J34057" s="63"/>
    </row>
    <row r="34058" spans="9:10" x14ac:dyDescent="0.35">
      <c r="I34058" s="63"/>
      <c r="J34058" s="63"/>
    </row>
    <row r="34059" spans="9:10" x14ac:dyDescent="0.35">
      <c r="I34059" s="63"/>
      <c r="J34059" s="63"/>
    </row>
    <row r="34060" spans="9:10" x14ac:dyDescent="0.35">
      <c r="I34060" s="63"/>
      <c r="J34060" s="63"/>
    </row>
    <row r="34061" spans="9:10" x14ac:dyDescent="0.35">
      <c r="I34061" s="63"/>
      <c r="J34061" s="63"/>
    </row>
    <row r="34062" spans="9:10" x14ac:dyDescent="0.35">
      <c r="I34062" s="63"/>
      <c r="J34062" s="63"/>
    </row>
    <row r="34063" spans="9:10" x14ac:dyDescent="0.35">
      <c r="I34063" s="63"/>
      <c r="J34063" s="63"/>
    </row>
    <row r="34064" spans="9:10" x14ac:dyDescent="0.35">
      <c r="I34064" s="63"/>
      <c r="J34064" s="63"/>
    </row>
    <row r="34065" spans="9:10" x14ac:dyDescent="0.35">
      <c r="I34065" s="63"/>
      <c r="J34065" s="63"/>
    </row>
    <row r="34066" spans="9:10" x14ac:dyDescent="0.35">
      <c r="I34066" s="63"/>
      <c r="J34066" s="63"/>
    </row>
    <row r="34067" spans="9:10" x14ac:dyDescent="0.35">
      <c r="I34067" s="63"/>
      <c r="J34067" s="63"/>
    </row>
    <row r="34068" spans="9:10" x14ac:dyDescent="0.35">
      <c r="I34068" s="63"/>
      <c r="J34068" s="63"/>
    </row>
    <row r="34069" spans="9:10" x14ac:dyDescent="0.35">
      <c r="I34069" s="63"/>
      <c r="J34069" s="63"/>
    </row>
    <row r="34070" spans="9:10" x14ac:dyDescent="0.35">
      <c r="I34070" s="63"/>
      <c r="J34070" s="63"/>
    </row>
    <row r="34071" spans="9:10" x14ac:dyDescent="0.35">
      <c r="I34071" s="63"/>
      <c r="J34071" s="63"/>
    </row>
    <row r="34072" spans="9:10" x14ac:dyDescent="0.35">
      <c r="I34072" s="63"/>
      <c r="J34072" s="63"/>
    </row>
    <row r="34073" spans="9:10" x14ac:dyDescent="0.35">
      <c r="I34073" s="63"/>
      <c r="J34073" s="63"/>
    </row>
    <row r="34074" spans="9:10" x14ac:dyDescent="0.35">
      <c r="I34074" s="63"/>
      <c r="J34074" s="63"/>
    </row>
    <row r="34075" spans="9:10" x14ac:dyDescent="0.35">
      <c r="I34075" s="63"/>
      <c r="J34075" s="63"/>
    </row>
    <row r="34076" spans="9:10" x14ac:dyDescent="0.35">
      <c r="I34076" s="63"/>
      <c r="J34076" s="63"/>
    </row>
    <row r="34077" spans="9:10" x14ac:dyDescent="0.35">
      <c r="I34077" s="63"/>
      <c r="J34077" s="63"/>
    </row>
    <row r="34078" spans="9:10" x14ac:dyDescent="0.35">
      <c r="I34078" s="63"/>
      <c r="J34078" s="63"/>
    </row>
    <row r="34079" spans="9:10" x14ac:dyDescent="0.35">
      <c r="I34079" s="63"/>
      <c r="J34079" s="63"/>
    </row>
    <row r="34080" spans="9:10" x14ac:dyDescent="0.35">
      <c r="I34080" s="63"/>
      <c r="J34080" s="63"/>
    </row>
    <row r="34081" spans="9:10" x14ac:dyDescent="0.35">
      <c r="I34081" s="63"/>
      <c r="J34081" s="63"/>
    </row>
    <row r="34082" spans="9:10" x14ac:dyDescent="0.35">
      <c r="I34082" s="63"/>
      <c r="J34082" s="63"/>
    </row>
    <row r="34083" spans="9:10" x14ac:dyDescent="0.35">
      <c r="I34083" s="63"/>
      <c r="J34083" s="63"/>
    </row>
    <row r="34084" spans="9:10" x14ac:dyDescent="0.35">
      <c r="I34084" s="63"/>
      <c r="J34084" s="63"/>
    </row>
    <row r="34085" spans="9:10" x14ac:dyDescent="0.35">
      <c r="I34085" s="63"/>
      <c r="J34085" s="63"/>
    </row>
    <row r="34086" spans="9:10" x14ac:dyDescent="0.35">
      <c r="I34086" s="63"/>
      <c r="J34086" s="63"/>
    </row>
    <row r="34087" spans="9:10" x14ac:dyDescent="0.35">
      <c r="I34087" s="63"/>
      <c r="J34087" s="63"/>
    </row>
    <row r="34088" spans="9:10" x14ac:dyDescent="0.35">
      <c r="I34088" s="63"/>
      <c r="J34088" s="63"/>
    </row>
    <row r="34089" spans="9:10" x14ac:dyDescent="0.35">
      <c r="I34089" s="63"/>
      <c r="J34089" s="63"/>
    </row>
    <row r="34090" spans="9:10" x14ac:dyDescent="0.35">
      <c r="I34090" s="63"/>
      <c r="J34090" s="63"/>
    </row>
    <row r="34091" spans="9:10" x14ac:dyDescent="0.35">
      <c r="I34091" s="63"/>
      <c r="J34091" s="63"/>
    </row>
    <row r="34092" spans="9:10" x14ac:dyDescent="0.35">
      <c r="I34092" s="63"/>
      <c r="J34092" s="63"/>
    </row>
    <row r="34093" spans="9:10" x14ac:dyDescent="0.35">
      <c r="I34093" s="63"/>
      <c r="J34093" s="63"/>
    </row>
    <row r="34094" spans="9:10" x14ac:dyDescent="0.35">
      <c r="I34094" s="63"/>
      <c r="J34094" s="63"/>
    </row>
    <row r="34095" spans="9:10" x14ac:dyDescent="0.35">
      <c r="I34095" s="63"/>
      <c r="J34095" s="63"/>
    </row>
    <row r="34096" spans="9:10" x14ac:dyDescent="0.35">
      <c r="I34096" s="63"/>
      <c r="J34096" s="63"/>
    </row>
    <row r="34097" spans="9:10" x14ac:dyDescent="0.35">
      <c r="I34097" s="63"/>
      <c r="J34097" s="63"/>
    </row>
    <row r="34098" spans="9:10" x14ac:dyDescent="0.35">
      <c r="I34098" s="63"/>
      <c r="J34098" s="63"/>
    </row>
    <row r="34099" spans="9:10" x14ac:dyDescent="0.35">
      <c r="I34099" s="63"/>
      <c r="J34099" s="63"/>
    </row>
    <row r="34100" spans="9:10" x14ac:dyDescent="0.35">
      <c r="I34100" s="63"/>
      <c r="J34100" s="63"/>
    </row>
    <row r="34101" spans="9:10" x14ac:dyDescent="0.35">
      <c r="I34101" s="63"/>
      <c r="J34101" s="63"/>
    </row>
    <row r="34102" spans="9:10" x14ac:dyDescent="0.35">
      <c r="I34102" s="63"/>
      <c r="J34102" s="63"/>
    </row>
    <row r="34103" spans="9:10" x14ac:dyDescent="0.35">
      <c r="I34103" s="63"/>
      <c r="J34103" s="63"/>
    </row>
    <row r="34104" spans="9:10" x14ac:dyDescent="0.35">
      <c r="I34104" s="63"/>
      <c r="J34104" s="63"/>
    </row>
    <row r="34105" spans="9:10" x14ac:dyDescent="0.35">
      <c r="I34105" s="63"/>
      <c r="J34105" s="63"/>
    </row>
    <row r="34106" spans="9:10" x14ac:dyDescent="0.35">
      <c r="I34106" s="63"/>
      <c r="J34106" s="63"/>
    </row>
    <row r="34107" spans="9:10" x14ac:dyDescent="0.35">
      <c r="I34107" s="63"/>
      <c r="J34107" s="63"/>
    </row>
    <row r="34108" spans="9:10" x14ac:dyDescent="0.35">
      <c r="I34108" s="63"/>
      <c r="J34108" s="63"/>
    </row>
    <row r="34109" spans="9:10" x14ac:dyDescent="0.35">
      <c r="I34109" s="63"/>
      <c r="J34109" s="63"/>
    </row>
    <row r="34110" spans="9:10" x14ac:dyDescent="0.35">
      <c r="I34110" s="63"/>
      <c r="J34110" s="63"/>
    </row>
    <row r="34111" spans="9:10" x14ac:dyDescent="0.35">
      <c r="I34111" s="63"/>
      <c r="J34111" s="63"/>
    </row>
    <row r="34112" spans="9:10" x14ac:dyDescent="0.35">
      <c r="I34112" s="63"/>
      <c r="J34112" s="63"/>
    </row>
    <row r="34113" spans="9:10" x14ac:dyDescent="0.35">
      <c r="I34113" s="63"/>
      <c r="J34113" s="63"/>
    </row>
    <row r="34114" spans="9:10" x14ac:dyDescent="0.35">
      <c r="I34114" s="63"/>
      <c r="J34114" s="63"/>
    </row>
    <row r="34115" spans="9:10" x14ac:dyDescent="0.35">
      <c r="I34115" s="63"/>
      <c r="J34115" s="63"/>
    </row>
    <row r="34116" spans="9:10" x14ac:dyDescent="0.35">
      <c r="I34116" s="63"/>
      <c r="J34116" s="63"/>
    </row>
    <row r="34117" spans="9:10" x14ac:dyDescent="0.35">
      <c r="I34117" s="63"/>
      <c r="J34117" s="63"/>
    </row>
    <row r="34118" spans="9:10" x14ac:dyDescent="0.35">
      <c r="I34118" s="63"/>
      <c r="J34118" s="63"/>
    </row>
    <row r="34119" spans="9:10" x14ac:dyDescent="0.35">
      <c r="I34119" s="63"/>
      <c r="J34119" s="63"/>
    </row>
    <row r="34120" spans="9:10" x14ac:dyDescent="0.35">
      <c r="I34120" s="63"/>
      <c r="J34120" s="63"/>
    </row>
    <row r="34121" spans="9:10" x14ac:dyDescent="0.35">
      <c r="I34121" s="63"/>
      <c r="J34121" s="63"/>
    </row>
    <row r="34122" spans="9:10" x14ac:dyDescent="0.35">
      <c r="I34122" s="63"/>
      <c r="J34122" s="63"/>
    </row>
    <row r="34123" spans="9:10" x14ac:dyDescent="0.35">
      <c r="I34123" s="63"/>
      <c r="J34123" s="63"/>
    </row>
    <row r="34124" spans="9:10" x14ac:dyDescent="0.35">
      <c r="I34124" s="63"/>
      <c r="J34124" s="63"/>
    </row>
    <row r="34125" spans="9:10" x14ac:dyDescent="0.35">
      <c r="I34125" s="63"/>
      <c r="J34125" s="63"/>
    </row>
    <row r="34126" spans="9:10" x14ac:dyDescent="0.35">
      <c r="I34126" s="63"/>
      <c r="J34126" s="63"/>
    </row>
    <row r="34127" spans="9:10" x14ac:dyDescent="0.35">
      <c r="I34127" s="63"/>
      <c r="J34127" s="63"/>
    </row>
    <row r="34128" spans="9:10" x14ac:dyDescent="0.35">
      <c r="I34128" s="63"/>
      <c r="J34128" s="63"/>
    </row>
    <row r="34129" spans="9:10" x14ac:dyDescent="0.35">
      <c r="I34129" s="63"/>
      <c r="J34129" s="63"/>
    </row>
    <row r="34130" spans="9:10" x14ac:dyDescent="0.35">
      <c r="I34130" s="63"/>
      <c r="J34130" s="63"/>
    </row>
    <row r="34131" spans="9:10" x14ac:dyDescent="0.35">
      <c r="I34131" s="63"/>
      <c r="J34131" s="63"/>
    </row>
    <row r="34132" spans="9:10" x14ac:dyDescent="0.35">
      <c r="I34132" s="63"/>
      <c r="J34132" s="63"/>
    </row>
    <row r="34133" spans="9:10" x14ac:dyDescent="0.35">
      <c r="I34133" s="63"/>
      <c r="J34133" s="63"/>
    </row>
    <row r="34134" spans="9:10" x14ac:dyDescent="0.35">
      <c r="I34134" s="63"/>
      <c r="J34134" s="63"/>
    </row>
    <row r="34135" spans="9:10" x14ac:dyDescent="0.35">
      <c r="I34135" s="63"/>
      <c r="J34135" s="63"/>
    </row>
    <row r="34136" spans="9:10" x14ac:dyDescent="0.35">
      <c r="I34136" s="63"/>
      <c r="J34136" s="63"/>
    </row>
    <row r="34137" spans="9:10" x14ac:dyDescent="0.35">
      <c r="I34137" s="63"/>
      <c r="J34137" s="63"/>
    </row>
    <row r="34138" spans="9:10" x14ac:dyDescent="0.35">
      <c r="I34138" s="63"/>
      <c r="J34138" s="63"/>
    </row>
    <row r="34139" spans="9:10" x14ac:dyDescent="0.35">
      <c r="I34139" s="63"/>
      <c r="J34139" s="63"/>
    </row>
    <row r="34140" spans="9:10" x14ac:dyDescent="0.35">
      <c r="I34140" s="63"/>
      <c r="J34140" s="63"/>
    </row>
    <row r="34141" spans="9:10" x14ac:dyDescent="0.35">
      <c r="I34141" s="63"/>
      <c r="J34141" s="63"/>
    </row>
    <row r="34142" spans="9:10" x14ac:dyDescent="0.35">
      <c r="I34142" s="63"/>
      <c r="J34142" s="63"/>
    </row>
    <row r="34143" spans="9:10" x14ac:dyDescent="0.35">
      <c r="I34143" s="63"/>
      <c r="J34143" s="63"/>
    </row>
    <row r="34144" spans="9:10" x14ac:dyDescent="0.35">
      <c r="I34144" s="63"/>
      <c r="J34144" s="63"/>
    </row>
    <row r="34145" spans="9:10" x14ac:dyDescent="0.35">
      <c r="I34145" s="63"/>
      <c r="J34145" s="63"/>
    </row>
    <row r="34146" spans="9:10" x14ac:dyDescent="0.35">
      <c r="I34146" s="63"/>
      <c r="J34146" s="63"/>
    </row>
    <row r="34147" spans="9:10" x14ac:dyDescent="0.35">
      <c r="I34147" s="63"/>
      <c r="J34147" s="63"/>
    </row>
    <row r="34148" spans="9:10" x14ac:dyDescent="0.35">
      <c r="I34148" s="63"/>
      <c r="J34148" s="63"/>
    </row>
    <row r="34149" spans="9:10" x14ac:dyDescent="0.35">
      <c r="I34149" s="63"/>
      <c r="J34149" s="63"/>
    </row>
    <row r="34150" spans="9:10" x14ac:dyDescent="0.35">
      <c r="I34150" s="63"/>
      <c r="J34150" s="63"/>
    </row>
    <row r="34151" spans="9:10" x14ac:dyDescent="0.35">
      <c r="I34151" s="63"/>
      <c r="J34151" s="63"/>
    </row>
    <row r="34152" spans="9:10" x14ac:dyDescent="0.35">
      <c r="I34152" s="63"/>
      <c r="J34152" s="63"/>
    </row>
    <row r="34153" spans="9:10" x14ac:dyDescent="0.35">
      <c r="I34153" s="63"/>
      <c r="J34153" s="63"/>
    </row>
    <row r="34154" spans="9:10" x14ac:dyDescent="0.35">
      <c r="I34154" s="63"/>
      <c r="J34154" s="63"/>
    </row>
    <row r="34155" spans="9:10" x14ac:dyDescent="0.35">
      <c r="I34155" s="63"/>
      <c r="J34155" s="63"/>
    </row>
    <row r="34156" spans="9:10" x14ac:dyDescent="0.35">
      <c r="I34156" s="63"/>
      <c r="J34156" s="63"/>
    </row>
    <row r="34157" spans="9:10" x14ac:dyDescent="0.35">
      <c r="I34157" s="63"/>
      <c r="J34157" s="63"/>
    </row>
    <row r="34158" spans="9:10" x14ac:dyDescent="0.35">
      <c r="I34158" s="63"/>
      <c r="J34158" s="63"/>
    </row>
    <row r="34159" spans="9:10" x14ac:dyDescent="0.35">
      <c r="I34159" s="63"/>
      <c r="J34159" s="63"/>
    </row>
    <row r="34160" spans="9:10" x14ac:dyDescent="0.35">
      <c r="I34160" s="63"/>
      <c r="J34160" s="63"/>
    </row>
    <row r="34161" spans="9:10" x14ac:dyDescent="0.35">
      <c r="I34161" s="63"/>
      <c r="J34161" s="63"/>
    </row>
    <row r="34162" spans="9:10" x14ac:dyDescent="0.35">
      <c r="I34162" s="63"/>
      <c r="J34162" s="63"/>
    </row>
    <row r="34163" spans="9:10" x14ac:dyDescent="0.35">
      <c r="I34163" s="63"/>
      <c r="J34163" s="63"/>
    </row>
    <row r="34164" spans="9:10" x14ac:dyDescent="0.35">
      <c r="I34164" s="63"/>
      <c r="J34164" s="63"/>
    </row>
    <row r="34165" spans="9:10" x14ac:dyDescent="0.35">
      <c r="I34165" s="63"/>
      <c r="J34165" s="63"/>
    </row>
    <row r="34166" spans="9:10" x14ac:dyDescent="0.35">
      <c r="I34166" s="63"/>
      <c r="J34166" s="63"/>
    </row>
    <row r="34167" spans="9:10" x14ac:dyDescent="0.35">
      <c r="I34167" s="63"/>
      <c r="J34167" s="63"/>
    </row>
    <row r="34168" spans="9:10" x14ac:dyDescent="0.35">
      <c r="I34168" s="63"/>
      <c r="J34168" s="63"/>
    </row>
    <row r="34169" spans="9:10" x14ac:dyDescent="0.35">
      <c r="I34169" s="63"/>
      <c r="J34169" s="63"/>
    </row>
    <row r="34170" spans="9:10" x14ac:dyDescent="0.35">
      <c r="I34170" s="63"/>
      <c r="J34170" s="63"/>
    </row>
    <row r="34171" spans="9:10" x14ac:dyDescent="0.35">
      <c r="I34171" s="63"/>
      <c r="J34171" s="63"/>
    </row>
    <row r="34172" spans="9:10" x14ac:dyDescent="0.35">
      <c r="I34172" s="63"/>
      <c r="J34172" s="63"/>
    </row>
    <row r="34173" spans="9:10" x14ac:dyDescent="0.35">
      <c r="I34173" s="63"/>
      <c r="J34173" s="63"/>
    </row>
    <row r="34174" spans="9:10" x14ac:dyDescent="0.35">
      <c r="I34174" s="63"/>
      <c r="J34174" s="63"/>
    </row>
    <row r="34175" spans="9:10" x14ac:dyDescent="0.35">
      <c r="I34175" s="63"/>
      <c r="J34175" s="63"/>
    </row>
    <row r="34176" spans="9:10" x14ac:dyDescent="0.35">
      <c r="I34176" s="63"/>
      <c r="J34176" s="63"/>
    </row>
    <row r="34177" spans="9:10" x14ac:dyDescent="0.35">
      <c r="I34177" s="63"/>
      <c r="J34177" s="63"/>
    </row>
    <row r="34178" spans="9:10" x14ac:dyDescent="0.35">
      <c r="I34178" s="63"/>
      <c r="J34178" s="63"/>
    </row>
    <row r="34179" spans="9:10" x14ac:dyDescent="0.35">
      <c r="I34179" s="63"/>
      <c r="J34179" s="63"/>
    </row>
    <row r="34180" spans="9:10" x14ac:dyDescent="0.35">
      <c r="I34180" s="63"/>
      <c r="J34180" s="63"/>
    </row>
    <row r="34181" spans="9:10" x14ac:dyDescent="0.35">
      <c r="I34181" s="63"/>
      <c r="J34181" s="63"/>
    </row>
    <row r="34182" spans="9:10" x14ac:dyDescent="0.35">
      <c r="I34182" s="63"/>
      <c r="J34182" s="63"/>
    </row>
    <row r="34183" spans="9:10" x14ac:dyDescent="0.35">
      <c r="I34183" s="63"/>
      <c r="J34183" s="63"/>
    </row>
    <row r="34184" spans="9:10" x14ac:dyDescent="0.35">
      <c r="I34184" s="63"/>
      <c r="J34184" s="63"/>
    </row>
    <row r="34185" spans="9:10" x14ac:dyDescent="0.35">
      <c r="I34185" s="63"/>
      <c r="J34185" s="63"/>
    </row>
    <row r="34186" spans="9:10" x14ac:dyDescent="0.35">
      <c r="I34186" s="63"/>
      <c r="J34186" s="63"/>
    </row>
    <row r="34187" spans="9:10" x14ac:dyDescent="0.35">
      <c r="I34187" s="63"/>
      <c r="J34187" s="63"/>
    </row>
    <row r="34188" spans="9:10" x14ac:dyDescent="0.35">
      <c r="I34188" s="63"/>
      <c r="J34188" s="63"/>
    </row>
    <row r="34189" spans="9:10" x14ac:dyDescent="0.35">
      <c r="I34189" s="63"/>
      <c r="J34189" s="63"/>
    </row>
    <row r="34190" spans="9:10" x14ac:dyDescent="0.35">
      <c r="I34190" s="63"/>
      <c r="J34190" s="63"/>
    </row>
    <row r="34191" spans="9:10" x14ac:dyDescent="0.35">
      <c r="I34191" s="63"/>
      <c r="J34191" s="63"/>
    </row>
    <row r="34192" spans="9:10" x14ac:dyDescent="0.35">
      <c r="I34192" s="63"/>
      <c r="J34192" s="63"/>
    </row>
    <row r="34193" spans="9:10" x14ac:dyDescent="0.35">
      <c r="I34193" s="63"/>
      <c r="J34193" s="63"/>
    </row>
    <row r="34194" spans="9:10" x14ac:dyDescent="0.35">
      <c r="I34194" s="63"/>
      <c r="J34194" s="63"/>
    </row>
    <row r="34195" spans="9:10" x14ac:dyDescent="0.35">
      <c r="I34195" s="63"/>
      <c r="J34195" s="63"/>
    </row>
    <row r="34196" spans="9:10" x14ac:dyDescent="0.35">
      <c r="I34196" s="63"/>
      <c r="J34196" s="63"/>
    </row>
    <row r="34197" spans="9:10" x14ac:dyDescent="0.35">
      <c r="I34197" s="63"/>
      <c r="J34197" s="63"/>
    </row>
    <row r="34198" spans="9:10" x14ac:dyDescent="0.35">
      <c r="I34198" s="63"/>
      <c r="J34198" s="63"/>
    </row>
    <row r="34199" spans="9:10" x14ac:dyDescent="0.35">
      <c r="I34199" s="63"/>
      <c r="J34199" s="63"/>
    </row>
    <row r="34200" spans="9:10" x14ac:dyDescent="0.35">
      <c r="I34200" s="63"/>
      <c r="J34200" s="63"/>
    </row>
    <row r="34201" spans="9:10" x14ac:dyDescent="0.35">
      <c r="I34201" s="63"/>
      <c r="J34201" s="63"/>
    </row>
    <row r="34202" spans="9:10" x14ac:dyDescent="0.35">
      <c r="I34202" s="63"/>
      <c r="J34202" s="63"/>
    </row>
    <row r="34203" spans="9:10" x14ac:dyDescent="0.35">
      <c r="I34203" s="63"/>
      <c r="J34203" s="63"/>
    </row>
    <row r="34204" spans="9:10" x14ac:dyDescent="0.35">
      <c r="I34204" s="63"/>
      <c r="J34204" s="63"/>
    </row>
    <row r="34205" spans="9:10" x14ac:dyDescent="0.35">
      <c r="I34205" s="63"/>
      <c r="J34205" s="63"/>
    </row>
    <row r="34206" spans="9:10" x14ac:dyDescent="0.35">
      <c r="I34206" s="63"/>
      <c r="J34206" s="63"/>
    </row>
    <row r="34207" spans="9:10" x14ac:dyDescent="0.35">
      <c r="I34207" s="63"/>
      <c r="J34207" s="63"/>
    </row>
    <row r="34208" spans="9:10" x14ac:dyDescent="0.35">
      <c r="I34208" s="63"/>
      <c r="J34208" s="63"/>
    </row>
    <row r="34209" spans="9:10" x14ac:dyDescent="0.35">
      <c r="I34209" s="63"/>
      <c r="J34209" s="63"/>
    </row>
    <row r="34210" spans="9:10" x14ac:dyDescent="0.35">
      <c r="I34210" s="63"/>
      <c r="J34210" s="63"/>
    </row>
    <row r="34211" spans="9:10" x14ac:dyDescent="0.35">
      <c r="I34211" s="63"/>
      <c r="J34211" s="63"/>
    </row>
    <row r="34212" spans="9:10" x14ac:dyDescent="0.35">
      <c r="I34212" s="63"/>
      <c r="J34212" s="63"/>
    </row>
    <row r="34213" spans="9:10" x14ac:dyDescent="0.35">
      <c r="I34213" s="63"/>
      <c r="J34213" s="63"/>
    </row>
    <row r="34214" spans="9:10" x14ac:dyDescent="0.35">
      <c r="I34214" s="63"/>
      <c r="J34214" s="63"/>
    </row>
    <row r="34215" spans="9:10" x14ac:dyDescent="0.35">
      <c r="I34215" s="63"/>
      <c r="J34215" s="63"/>
    </row>
    <row r="34216" spans="9:10" x14ac:dyDescent="0.35">
      <c r="I34216" s="63"/>
      <c r="J34216" s="63"/>
    </row>
    <row r="34217" spans="9:10" x14ac:dyDescent="0.35">
      <c r="I34217" s="63"/>
      <c r="J34217" s="63"/>
    </row>
    <row r="34218" spans="9:10" x14ac:dyDescent="0.35">
      <c r="I34218" s="63"/>
      <c r="J34218" s="63"/>
    </row>
    <row r="34219" spans="9:10" x14ac:dyDescent="0.35">
      <c r="I34219" s="63"/>
      <c r="J34219" s="63"/>
    </row>
    <row r="34220" spans="9:10" x14ac:dyDescent="0.35">
      <c r="I34220" s="63"/>
      <c r="J34220" s="63"/>
    </row>
    <row r="34221" spans="9:10" x14ac:dyDescent="0.35">
      <c r="I34221" s="63"/>
      <c r="J34221" s="63"/>
    </row>
    <row r="34222" spans="9:10" x14ac:dyDescent="0.35">
      <c r="I34222" s="63"/>
      <c r="J34222" s="63"/>
    </row>
    <row r="34223" spans="9:10" x14ac:dyDescent="0.35">
      <c r="I34223" s="63"/>
      <c r="J34223" s="63"/>
    </row>
    <row r="34224" spans="9:10" x14ac:dyDescent="0.35">
      <c r="I34224" s="63"/>
      <c r="J34224" s="63"/>
    </row>
    <row r="34225" spans="9:10" x14ac:dyDescent="0.35">
      <c r="I34225" s="63"/>
      <c r="J34225" s="63"/>
    </row>
    <row r="34226" spans="9:10" x14ac:dyDescent="0.35">
      <c r="I34226" s="63"/>
      <c r="J34226" s="63"/>
    </row>
    <row r="34227" spans="9:10" x14ac:dyDescent="0.35">
      <c r="I34227" s="63"/>
      <c r="J34227" s="63"/>
    </row>
    <row r="34228" spans="9:10" x14ac:dyDescent="0.35">
      <c r="I34228" s="63"/>
      <c r="J34228" s="63"/>
    </row>
    <row r="34229" spans="9:10" x14ac:dyDescent="0.35">
      <c r="I34229" s="63"/>
      <c r="J34229" s="63"/>
    </row>
    <row r="34230" spans="9:10" x14ac:dyDescent="0.35">
      <c r="I34230" s="63"/>
      <c r="J34230" s="63"/>
    </row>
    <row r="34231" spans="9:10" x14ac:dyDescent="0.35">
      <c r="I34231" s="63"/>
      <c r="J34231" s="63"/>
    </row>
    <row r="34232" spans="9:10" x14ac:dyDescent="0.35">
      <c r="I34232" s="63"/>
      <c r="J34232" s="63"/>
    </row>
    <row r="34233" spans="9:10" x14ac:dyDescent="0.35">
      <c r="I34233" s="63"/>
      <c r="J34233" s="63"/>
    </row>
    <row r="34234" spans="9:10" x14ac:dyDescent="0.35">
      <c r="I34234" s="63"/>
      <c r="J34234" s="63"/>
    </row>
    <row r="34235" spans="9:10" x14ac:dyDescent="0.35">
      <c r="I34235" s="63"/>
      <c r="J34235" s="63"/>
    </row>
    <row r="34236" spans="9:10" x14ac:dyDescent="0.35">
      <c r="I34236" s="63"/>
      <c r="J34236" s="63"/>
    </row>
    <row r="34237" spans="9:10" x14ac:dyDescent="0.35">
      <c r="I34237" s="63"/>
      <c r="J34237" s="63"/>
    </row>
    <row r="34238" spans="9:10" x14ac:dyDescent="0.35">
      <c r="I34238" s="63"/>
      <c r="J34238" s="63"/>
    </row>
    <row r="34239" spans="9:10" x14ac:dyDescent="0.35">
      <c r="I34239" s="63"/>
      <c r="J34239" s="63"/>
    </row>
    <row r="34240" spans="9:10" x14ac:dyDescent="0.35">
      <c r="I34240" s="63"/>
      <c r="J34240" s="63"/>
    </row>
    <row r="34241" spans="9:10" x14ac:dyDescent="0.35">
      <c r="I34241" s="63"/>
      <c r="J34241" s="63"/>
    </row>
    <row r="34242" spans="9:10" x14ac:dyDescent="0.35">
      <c r="I34242" s="63"/>
      <c r="J34242" s="63"/>
    </row>
    <row r="34243" spans="9:10" x14ac:dyDescent="0.35">
      <c r="I34243" s="63"/>
      <c r="J34243" s="63"/>
    </row>
    <row r="34244" spans="9:10" x14ac:dyDescent="0.35">
      <c r="I34244" s="63"/>
      <c r="J34244" s="63"/>
    </row>
    <row r="34245" spans="9:10" x14ac:dyDescent="0.35">
      <c r="I34245" s="63"/>
      <c r="J34245" s="63"/>
    </row>
    <row r="34246" spans="9:10" x14ac:dyDescent="0.35">
      <c r="I34246" s="63"/>
      <c r="J34246" s="63"/>
    </row>
    <row r="34247" spans="9:10" x14ac:dyDescent="0.35">
      <c r="I34247" s="63"/>
      <c r="J34247" s="63"/>
    </row>
    <row r="34248" spans="9:10" x14ac:dyDescent="0.35">
      <c r="I34248" s="63"/>
      <c r="J34248" s="63"/>
    </row>
    <row r="34249" spans="9:10" x14ac:dyDescent="0.35">
      <c r="I34249" s="63"/>
      <c r="J34249" s="63"/>
    </row>
    <row r="34250" spans="9:10" x14ac:dyDescent="0.35">
      <c r="I34250" s="63"/>
      <c r="J34250" s="63"/>
    </row>
    <row r="34251" spans="9:10" x14ac:dyDescent="0.35">
      <c r="I34251" s="63"/>
      <c r="J34251" s="63"/>
    </row>
    <row r="34252" spans="9:10" x14ac:dyDescent="0.35">
      <c r="I34252" s="63"/>
      <c r="J34252" s="63"/>
    </row>
    <row r="34253" spans="9:10" x14ac:dyDescent="0.35">
      <c r="I34253" s="63"/>
      <c r="J34253" s="63"/>
    </row>
    <row r="34254" spans="9:10" x14ac:dyDescent="0.35">
      <c r="I34254" s="63"/>
      <c r="J34254" s="63"/>
    </row>
    <row r="34255" spans="9:10" x14ac:dyDescent="0.35">
      <c r="I34255" s="63"/>
      <c r="J34255" s="63"/>
    </row>
    <row r="34256" spans="9:10" x14ac:dyDescent="0.35">
      <c r="I34256" s="63"/>
      <c r="J34256" s="63"/>
    </row>
    <row r="34257" spans="9:10" x14ac:dyDescent="0.35">
      <c r="I34257" s="63"/>
      <c r="J34257" s="63"/>
    </row>
    <row r="34258" spans="9:10" x14ac:dyDescent="0.35">
      <c r="I34258" s="63"/>
      <c r="J34258" s="63"/>
    </row>
    <row r="34259" spans="9:10" x14ac:dyDescent="0.35">
      <c r="I34259" s="63"/>
      <c r="J34259" s="63"/>
    </row>
    <row r="34260" spans="9:10" x14ac:dyDescent="0.35">
      <c r="I34260" s="63"/>
      <c r="J34260" s="63"/>
    </row>
    <row r="34261" spans="9:10" x14ac:dyDescent="0.35">
      <c r="I34261" s="63"/>
      <c r="J34261" s="63"/>
    </row>
    <row r="34262" spans="9:10" x14ac:dyDescent="0.35">
      <c r="I34262" s="63"/>
      <c r="J34262" s="63"/>
    </row>
    <row r="34263" spans="9:10" x14ac:dyDescent="0.35">
      <c r="I34263" s="63"/>
      <c r="J34263" s="63"/>
    </row>
    <row r="34264" spans="9:10" x14ac:dyDescent="0.35">
      <c r="I34264" s="63"/>
      <c r="J34264" s="63"/>
    </row>
    <row r="34265" spans="9:10" x14ac:dyDescent="0.35">
      <c r="I34265" s="63"/>
      <c r="J34265" s="63"/>
    </row>
    <row r="34266" spans="9:10" x14ac:dyDescent="0.35">
      <c r="I34266" s="63"/>
      <c r="J34266" s="63"/>
    </row>
    <row r="34267" spans="9:10" x14ac:dyDescent="0.35">
      <c r="I34267" s="63"/>
      <c r="J34267" s="63"/>
    </row>
    <row r="34268" spans="9:10" x14ac:dyDescent="0.35">
      <c r="I34268" s="63"/>
      <c r="J34268" s="63"/>
    </row>
    <row r="34269" spans="9:10" x14ac:dyDescent="0.35">
      <c r="I34269" s="63"/>
      <c r="J34269" s="63"/>
    </row>
    <row r="34270" spans="9:10" x14ac:dyDescent="0.35">
      <c r="I34270" s="63"/>
      <c r="J34270" s="63"/>
    </row>
    <row r="34271" spans="9:10" x14ac:dyDescent="0.35">
      <c r="I34271" s="63"/>
      <c r="J34271" s="63"/>
    </row>
    <row r="34272" spans="9:10" x14ac:dyDescent="0.35">
      <c r="I34272" s="63"/>
      <c r="J34272" s="63"/>
    </row>
    <row r="34273" spans="9:10" x14ac:dyDescent="0.35">
      <c r="I34273" s="63"/>
      <c r="J34273" s="63"/>
    </row>
    <row r="34274" spans="9:10" x14ac:dyDescent="0.35">
      <c r="I34274" s="63"/>
      <c r="J34274" s="63"/>
    </row>
    <row r="34275" spans="9:10" x14ac:dyDescent="0.35">
      <c r="I34275" s="63"/>
      <c r="J34275" s="63"/>
    </row>
    <row r="34276" spans="9:10" x14ac:dyDescent="0.35">
      <c r="I34276" s="63"/>
      <c r="J34276" s="63"/>
    </row>
    <row r="34277" spans="9:10" x14ac:dyDescent="0.35">
      <c r="I34277" s="63"/>
      <c r="J34277" s="63"/>
    </row>
    <row r="34278" spans="9:10" x14ac:dyDescent="0.35">
      <c r="I34278" s="63"/>
      <c r="J34278" s="63"/>
    </row>
    <row r="34279" spans="9:10" x14ac:dyDescent="0.35">
      <c r="I34279" s="63"/>
      <c r="J34279" s="63"/>
    </row>
    <row r="34280" spans="9:10" x14ac:dyDescent="0.35">
      <c r="I34280" s="63"/>
      <c r="J34280" s="63"/>
    </row>
    <row r="34281" spans="9:10" x14ac:dyDescent="0.35">
      <c r="I34281" s="63"/>
      <c r="J34281" s="63"/>
    </row>
    <row r="34282" spans="9:10" x14ac:dyDescent="0.35">
      <c r="I34282" s="63"/>
      <c r="J34282" s="63"/>
    </row>
    <row r="34283" spans="9:10" x14ac:dyDescent="0.35">
      <c r="I34283" s="63"/>
      <c r="J34283" s="63"/>
    </row>
    <row r="34284" spans="9:10" x14ac:dyDescent="0.35">
      <c r="I34284" s="63"/>
      <c r="J34284" s="63"/>
    </row>
    <row r="34285" spans="9:10" x14ac:dyDescent="0.35">
      <c r="I34285" s="63"/>
      <c r="J34285" s="63"/>
    </row>
    <row r="34286" spans="9:10" x14ac:dyDescent="0.35">
      <c r="I34286" s="63"/>
      <c r="J34286" s="63"/>
    </row>
    <row r="34287" spans="9:10" x14ac:dyDescent="0.35">
      <c r="I34287" s="63"/>
      <c r="J34287" s="63"/>
    </row>
    <row r="34288" spans="9:10" x14ac:dyDescent="0.35">
      <c r="I34288" s="63"/>
      <c r="J34288" s="63"/>
    </row>
    <row r="34289" spans="9:10" x14ac:dyDescent="0.35">
      <c r="I34289" s="63"/>
      <c r="J34289" s="63"/>
    </row>
    <row r="34290" spans="9:10" x14ac:dyDescent="0.35">
      <c r="I34290" s="63"/>
      <c r="J34290" s="63"/>
    </row>
    <row r="34291" spans="9:10" x14ac:dyDescent="0.35">
      <c r="I34291" s="63"/>
      <c r="J34291" s="63"/>
    </row>
    <row r="34292" spans="9:10" x14ac:dyDescent="0.35">
      <c r="I34292" s="63"/>
      <c r="J34292" s="63"/>
    </row>
    <row r="34293" spans="9:10" x14ac:dyDescent="0.35">
      <c r="I34293" s="63"/>
      <c r="J34293" s="63"/>
    </row>
    <row r="34294" spans="9:10" x14ac:dyDescent="0.35">
      <c r="I34294" s="63"/>
      <c r="J34294" s="63"/>
    </row>
    <row r="34295" spans="9:10" x14ac:dyDescent="0.35">
      <c r="I34295" s="63"/>
      <c r="J34295" s="63"/>
    </row>
    <row r="34296" spans="9:10" x14ac:dyDescent="0.35">
      <c r="I34296" s="63"/>
      <c r="J34296" s="63"/>
    </row>
    <row r="34297" spans="9:10" x14ac:dyDescent="0.35">
      <c r="I34297" s="63"/>
      <c r="J34297" s="63"/>
    </row>
    <row r="34298" spans="9:10" x14ac:dyDescent="0.35">
      <c r="I34298" s="63"/>
      <c r="J34298" s="63"/>
    </row>
    <row r="34299" spans="9:10" x14ac:dyDescent="0.35">
      <c r="I34299" s="63"/>
      <c r="J34299" s="63"/>
    </row>
    <row r="34300" spans="9:10" x14ac:dyDescent="0.35">
      <c r="I34300" s="63"/>
      <c r="J34300" s="63"/>
    </row>
    <row r="34301" spans="9:10" x14ac:dyDescent="0.35">
      <c r="I34301" s="63"/>
      <c r="J34301" s="63"/>
    </row>
    <row r="34302" spans="9:10" x14ac:dyDescent="0.35">
      <c r="I34302" s="63"/>
      <c r="J34302" s="63"/>
    </row>
    <row r="34303" spans="9:10" x14ac:dyDescent="0.35">
      <c r="I34303" s="63"/>
      <c r="J34303" s="63"/>
    </row>
    <row r="34304" spans="9:10" x14ac:dyDescent="0.35">
      <c r="I34304" s="63"/>
      <c r="J34304" s="63"/>
    </row>
    <row r="34305" spans="9:10" x14ac:dyDescent="0.35">
      <c r="I34305" s="63"/>
      <c r="J34305" s="63"/>
    </row>
    <row r="34306" spans="9:10" x14ac:dyDescent="0.35">
      <c r="I34306" s="63"/>
      <c r="J34306" s="63"/>
    </row>
    <row r="34307" spans="9:10" x14ac:dyDescent="0.35">
      <c r="I34307" s="63"/>
      <c r="J34307" s="63"/>
    </row>
    <row r="34308" spans="9:10" x14ac:dyDescent="0.35">
      <c r="I34308" s="63"/>
      <c r="J34308" s="63"/>
    </row>
    <row r="34309" spans="9:10" x14ac:dyDescent="0.35">
      <c r="I34309" s="63"/>
      <c r="J34309" s="63"/>
    </row>
    <row r="34310" spans="9:10" x14ac:dyDescent="0.35">
      <c r="I34310" s="63"/>
      <c r="J34310" s="63"/>
    </row>
    <row r="34311" spans="9:10" x14ac:dyDescent="0.35">
      <c r="I34311" s="63"/>
      <c r="J34311" s="63"/>
    </row>
    <row r="34312" spans="9:10" x14ac:dyDescent="0.35">
      <c r="I34312" s="63"/>
      <c r="J34312" s="63"/>
    </row>
    <row r="34313" spans="9:10" x14ac:dyDescent="0.35">
      <c r="I34313" s="63"/>
      <c r="J34313" s="63"/>
    </row>
    <row r="34314" spans="9:10" x14ac:dyDescent="0.35">
      <c r="I34314" s="63"/>
      <c r="J34314" s="63"/>
    </row>
    <row r="34315" spans="9:10" x14ac:dyDescent="0.35">
      <c r="I34315" s="63"/>
      <c r="J34315" s="63"/>
    </row>
    <row r="34316" spans="9:10" x14ac:dyDescent="0.35">
      <c r="I34316" s="63"/>
      <c r="J34316" s="63"/>
    </row>
    <row r="34317" spans="9:10" x14ac:dyDescent="0.35">
      <c r="I34317" s="63"/>
      <c r="J34317" s="63"/>
    </row>
    <row r="34318" spans="9:10" x14ac:dyDescent="0.35">
      <c r="I34318" s="63"/>
      <c r="J34318" s="63"/>
    </row>
    <row r="34319" spans="9:10" x14ac:dyDescent="0.35">
      <c r="I34319" s="63"/>
      <c r="J34319" s="63"/>
    </row>
    <row r="34320" spans="9:10" x14ac:dyDescent="0.35">
      <c r="I34320" s="63"/>
      <c r="J34320" s="63"/>
    </row>
    <row r="34321" spans="9:10" x14ac:dyDescent="0.35">
      <c r="I34321" s="63"/>
      <c r="J34321" s="63"/>
    </row>
    <row r="34322" spans="9:10" x14ac:dyDescent="0.35">
      <c r="I34322" s="63"/>
      <c r="J34322" s="63"/>
    </row>
    <row r="34323" spans="9:10" x14ac:dyDescent="0.35">
      <c r="I34323" s="63"/>
      <c r="J34323" s="63"/>
    </row>
    <row r="34324" spans="9:10" x14ac:dyDescent="0.35">
      <c r="I34324" s="63"/>
      <c r="J34324" s="63"/>
    </row>
    <row r="34325" spans="9:10" x14ac:dyDescent="0.35">
      <c r="I34325" s="63"/>
      <c r="J34325" s="63"/>
    </row>
    <row r="34326" spans="9:10" x14ac:dyDescent="0.35">
      <c r="I34326" s="63"/>
      <c r="J34326" s="63"/>
    </row>
    <row r="34327" spans="9:10" x14ac:dyDescent="0.35">
      <c r="I34327" s="63"/>
      <c r="J34327" s="63"/>
    </row>
    <row r="34328" spans="9:10" x14ac:dyDescent="0.35">
      <c r="I34328" s="63"/>
      <c r="J34328" s="63"/>
    </row>
    <row r="34329" spans="9:10" x14ac:dyDescent="0.35">
      <c r="I34329" s="63"/>
      <c r="J34329" s="63"/>
    </row>
    <row r="34330" spans="9:10" x14ac:dyDescent="0.35">
      <c r="I34330" s="63"/>
      <c r="J34330" s="63"/>
    </row>
    <row r="34331" spans="9:10" x14ac:dyDescent="0.35">
      <c r="I34331" s="63"/>
      <c r="J34331" s="63"/>
    </row>
    <row r="34332" spans="9:10" x14ac:dyDescent="0.35">
      <c r="I34332" s="63"/>
      <c r="J34332" s="63"/>
    </row>
    <row r="34333" spans="9:10" x14ac:dyDescent="0.35">
      <c r="I34333" s="63"/>
      <c r="J34333" s="63"/>
    </row>
    <row r="34334" spans="9:10" x14ac:dyDescent="0.35">
      <c r="I34334" s="63"/>
      <c r="J34334" s="63"/>
    </row>
    <row r="34335" spans="9:10" x14ac:dyDescent="0.35">
      <c r="I34335" s="63"/>
      <c r="J34335" s="63"/>
    </row>
    <row r="34336" spans="9:10" x14ac:dyDescent="0.35">
      <c r="I34336" s="63"/>
      <c r="J34336" s="63"/>
    </row>
    <row r="34337" spans="9:10" x14ac:dyDescent="0.35">
      <c r="I34337" s="63"/>
      <c r="J34337" s="63"/>
    </row>
    <row r="34338" spans="9:10" x14ac:dyDescent="0.35">
      <c r="I34338" s="63"/>
      <c r="J34338" s="63"/>
    </row>
    <row r="34339" spans="9:10" x14ac:dyDescent="0.35">
      <c r="I34339" s="63"/>
      <c r="J34339" s="63"/>
    </row>
    <row r="34340" spans="9:10" x14ac:dyDescent="0.35">
      <c r="I34340" s="63"/>
      <c r="J34340" s="63"/>
    </row>
    <row r="34341" spans="9:10" x14ac:dyDescent="0.35">
      <c r="I34341" s="63"/>
      <c r="J34341" s="63"/>
    </row>
    <row r="34342" spans="9:10" x14ac:dyDescent="0.35">
      <c r="I34342" s="63"/>
      <c r="J34342" s="63"/>
    </row>
    <row r="34343" spans="9:10" x14ac:dyDescent="0.35">
      <c r="I34343" s="63"/>
      <c r="J34343" s="63"/>
    </row>
    <row r="34344" spans="9:10" x14ac:dyDescent="0.35">
      <c r="I34344" s="63"/>
      <c r="J34344" s="63"/>
    </row>
    <row r="34345" spans="9:10" x14ac:dyDescent="0.35">
      <c r="I34345" s="63"/>
      <c r="J34345" s="63"/>
    </row>
    <row r="34346" spans="9:10" x14ac:dyDescent="0.35">
      <c r="I34346" s="63"/>
      <c r="J34346" s="63"/>
    </row>
    <row r="34347" spans="9:10" x14ac:dyDescent="0.35">
      <c r="I34347" s="63"/>
      <c r="J34347" s="63"/>
    </row>
    <row r="34348" spans="9:10" x14ac:dyDescent="0.35">
      <c r="I34348" s="63"/>
      <c r="J34348" s="63"/>
    </row>
    <row r="34349" spans="9:10" x14ac:dyDescent="0.35">
      <c r="I34349" s="63"/>
      <c r="J34349" s="63"/>
    </row>
    <row r="34350" spans="9:10" x14ac:dyDescent="0.35">
      <c r="I34350" s="63"/>
      <c r="J34350" s="63"/>
    </row>
    <row r="34351" spans="9:10" x14ac:dyDescent="0.35">
      <c r="I34351" s="63"/>
      <c r="J34351" s="63"/>
    </row>
    <row r="34352" spans="9:10" x14ac:dyDescent="0.35">
      <c r="I34352" s="63"/>
      <c r="J34352" s="63"/>
    </row>
    <row r="34353" spans="9:10" x14ac:dyDescent="0.35">
      <c r="I34353" s="63"/>
      <c r="J34353" s="63"/>
    </row>
    <row r="34354" spans="9:10" x14ac:dyDescent="0.35">
      <c r="I34354" s="63"/>
      <c r="J34354" s="63"/>
    </row>
    <row r="34355" spans="9:10" x14ac:dyDescent="0.35">
      <c r="I34355" s="63"/>
      <c r="J34355" s="63"/>
    </row>
    <row r="34356" spans="9:10" x14ac:dyDescent="0.35">
      <c r="I34356" s="63"/>
      <c r="J34356" s="63"/>
    </row>
    <row r="34357" spans="9:10" x14ac:dyDescent="0.35">
      <c r="I34357" s="63"/>
      <c r="J34357" s="63"/>
    </row>
    <row r="34358" spans="9:10" x14ac:dyDescent="0.35">
      <c r="I34358" s="63"/>
      <c r="J34358" s="63"/>
    </row>
    <row r="34359" spans="9:10" x14ac:dyDescent="0.35">
      <c r="I34359" s="63"/>
      <c r="J34359" s="63"/>
    </row>
    <row r="34360" spans="9:10" x14ac:dyDescent="0.35">
      <c r="I34360" s="63"/>
      <c r="J34360" s="63"/>
    </row>
    <row r="34361" spans="9:10" x14ac:dyDescent="0.35">
      <c r="I34361" s="63"/>
      <c r="J34361" s="63"/>
    </row>
    <row r="34362" spans="9:10" x14ac:dyDescent="0.35">
      <c r="I34362" s="63"/>
      <c r="J34362" s="63"/>
    </row>
    <row r="34363" spans="9:10" x14ac:dyDescent="0.35">
      <c r="I34363" s="63"/>
      <c r="J34363" s="63"/>
    </row>
    <row r="34364" spans="9:10" x14ac:dyDescent="0.35">
      <c r="I34364" s="63"/>
      <c r="J34364" s="63"/>
    </row>
    <row r="34365" spans="9:10" x14ac:dyDescent="0.35">
      <c r="I34365" s="63"/>
      <c r="J34365" s="63"/>
    </row>
    <row r="34366" spans="9:10" x14ac:dyDescent="0.35">
      <c r="I34366" s="63"/>
      <c r="J34366" s="63"/>
    </row>
    <row r="34367" spans="9:10" x14ac:dyDescent="0.35">
      <c r="I34367" s="63"/>
      <c r="J34367" s="63"/>
    </row>
    <row r="34368" spans="9:10" x14ac:dyDescent="0.35">
      <c r="I34368" s="63"/>
      <c r="J34368" s="63"/>
    </row>
    <row r="34369" spans="9:10" x14ac:dyDescent="0.35">
      <c r="I34369" s="63"/>
      <c r="J34369" s="63"/>
    </row>
    <row r="34370" spans="9:10" x14ac:dyDescent="0.35">
      <c r="I34370" s="63"/>
      <c r="J34370" s="63"/>
    </row>
    <row r="34371" spans="9:10" x14ac:dyDescent="0.35">
      <c r="I34371" s="63"/>
      <c r="J34371" s="63"/>
    </row>
    <row r="34372" spans="9:10" x14ac:dyDescent="0.35">
      <c r="I34372" s="63"/>
      <c r="J34372" s="63"/>
    </row>
    <row r="34373" spans="9:10" x14ac:dyDescent="0.35">
      <c r="I34373" s="63"/>
      <c r="J34373" s="63"/>
    </row>
    <row r="34374" spans="9:10" x14ac:dyDescent="0.35">
      <c r="I34374" s="63"/>
      <c r="J34374" s="63"/>
    </row>
    <row r="34375" spans="9:10" x14ac:dyDescent="0.35">
      <c r="I34375" s="63"/>
      <c r="J34375" s="63"/>
    </row>
    <row r="34376" spans="9:10" x14ac:dyDescent="0.35">
      <c r="I34376" s="63"/>
      <c r="J34376" s="63"/>
    </row>
    <row r="34377" spans="9:10" x14ac:dyDescent="0.35">
      <c r="I34377" s="63"/>
      <c r="J34377" s="63"/>
    </row>
    <row r="34378" spans="9:10" x14ac:dyDescent="0.35">
      <c r="I34378" s="63"/>
      <c r="J34378" s="63"/>
    </row>
    <row r="34379" spans="9:10" x14ac:dyDescent="0.35">
      <c r="I34379" s="63"/>
      <c r="J34379" s="63"/>
    </row>
    <row r="34380" spans="9:10" x14ac:dyDescent="0.35">
      <c r="I34380" s="63"/>
      <c r="J34380" s="63"/>
    </row>
    <row r="34381" spans="9:10" x14ac:dyDescent="0.35">
      <c r="I34381" s="63"/>
      <c r="J34381" s="63"/>
    </row>
    <row r="34382" spans="9:10" x14ac:dyDescent="0.35">
      <c r="I34382" s="63"/>
      <c r="J34382" s="63"/>
    </row>
    <row r="34383" spans="9:10" x14ac:dyDescent="0.35">
      <c r="I34383" s="63"/>
      <c r="J34383" s="63"/>
    </row>
    <row r="34384" spans="9:10" x14ac:dyDescent="0.35">
      <c r="I34384" s="63"/>
      <c r="J34384" s="63"/>
    </row>
    <row r="34385" spans="9:10" x14ac:dyDescent="0.35">
      <c r="I34385" s="63"/>
      <c r="J34385" s="63"/>
    </row>
    <row r="34386" spans="9:10" x14ac:dyDescent="0.35">
      <c r="I34386" s="63"/>
      <c r="J34386" s="63"/>
    </row>
    <row r="34387" spans="9:10" x14ac:dyDescent="0.35">
      <c r="I34387" s="63"/>
      <c r="J34387" s="63"/>
    </row>
    <row r="34388" spans="9:10" x14ac:dyDescent="0.35">
      <c r="I34388" s="63"/>
      <c r="J34388" s="63"/>
    </row>
    <row r="34389" spans="9:10" x14ac:dyDescent="0.35">
      <c r="I34389" s="63"/>
      <c r="J34389" s="63"/>
    </row>
    <row r="34390" spans="9:10" x14ac:dyDescent="0.35">
      <c r="I34390" s="63"/>
      <c r="J34390" s="63"/>
    </row>
    <row r="34391" spans="9:10" x14ac:dyDescent="0.35">
      <c r="I34391" s="63"/>
      <c r="J34391" s="63"/>
    </row>
    <row r="34392" spans="9:10" x14ac:dyDescent="0.35">
      <c r="I34392" s="63"/>
      <c r="J34392" s="63"/>
    </row>
    <row r="34393" spans="9:10" x14ac:dyDescent="0.35">
      <c r="I34393" s="63"/>
      <c r="J34393" s="63"/>
    </row>
    <row r="34394" spans="9:10" x14ac:dyDescent="0.35">
      <c r="I34394" s="63"/>
      <c r="J34394" s="63"/>
    </row>
    <row r="34395" spans="9:10" x14ac:dyDescent="0.35">
      <c r="I34395" s="63"/>
      <c r="J34395" s="63"/>
    </row>
    <row r="34396" spans="9:10" x14ac:dyDescent="0.35">
      <c r="I34396" s="63"/>
      <c r="J34396" s="63"/>
    </row>
    <row r="34397" spans="9:10" x14ac:dyDescent="0.35">
      <c r="I34397" s="63"/>
      <c r="J34397" s="63"/>
    </row>
    <row r="34398" spans="9:10" x14ac:dyDescent="0.35">
      <c r="I34398" s="63"/>
      <c r="J34398" s="63"/>
    </row>
    <row r="34399" spans="9:10" x14ac:dyDescent="0.35">
      <c r="I34399" s="63"/>
      <c r="J34399" s="63"/>
    </row>
    <row r="34400" spans="9:10" x14ac:dyDescent="0.35">
      <c r="I34400" s="63"/>
      <c r="J34400" s="63"/>
    </row>
    <row r="34401" spans="9:10" x14ac:dyDescent="0.35">
      <c r="I34401" s="63"/>
      <c r="J34401" s="63"/>
    </row>
    <row r="34402" spans="9:10" x14ac:dyDescent="0.35">
      <c r="I34402" s="63"/>
      <c r="J34402" s="63"/>
    </row>
    <row r="34403" spans="9:10" x14ac:dyDescent="0.35">
      <c r="I34403" s="63"/>
      <c r="J34403" s="63"/>
    </row>
    <row r="34404" spans="9:10" x14ac:dyDescent="0.35">
      <c r="I34404" s="63"/>
      <c r="J34404" s="63"/>
    </row>
    <row r="34405" spans="9:10" x14ac:dyDescent="0.35">
      <c r="I34405" s="63"/>
      <c r="J34405" s="63"/>
    </row>
    <row r="34406" spans="9:10" x14ac:dyDescent="0.35">
      <c r="I34406" s="63"/>
      <c r="J34406" s="63"/>
    </row>
    <row r="34407" spans="9:10" x14ac:dyDescent="0.35">
      <c r="I34407" s="63"/>
      <c r="J34407" s="63"/>
    </row>
    <row r="34408" spans="9:10" x14ac:dyDescent="0.35">
      <c r="I34408" s="63"/>
      <c r="J34408" s="63"/>
    </row>
    <row r="34409" spans="9:10" x14ac:dyDescent="0.35">
      <c r="I34409" s="63"/>
      <c r="J34409" s="63"/>
    </row>
    <row r="34410" spans="9:10" x14ac:dyDescent="0.35">
      <c r="I34410" s="63"/>
      <c r="J34410" s="63"/>
    </row>
    <row r="34411" spans="9:10" x14ac:dyDescent="0.35">
      <c r="I34411" s="63"/>
      <c r="J34411" s="63"/>
    </row>
    <row r="34412" spans="9:10" x14ac:dyDescent="0.35">
      <c r="I34412" s="63"/>
      <c r="J34412" s="63"/>
    </row>
    <row r="34413" spans="9:10" x14ac:dyDescent="0.35">
      <c r="I34413" s="63"/>
      <c r="J34413" s="63"/>
    </row>
    <row r="34414" spans="9:10" x14ac:dyDescent="0.35">
      <c r="I34414" s="63"/>
      <c r="J34414" s="63"/>
    </row>
    <row r="34415" spans="9:10" x14ac:dyDescent="0.35">
      <c r="I34415" s="63"/>
      <c r="J34415" s="63"/>
    </row>
    <row r="34416" spans="9:10" x14ac:dyDescent="0.35">
      <c r="I34416" s="63"/>
      <c r="J34416" s="63"/>
    </row>
    <row r="34417" spans="9:10" x14ac:dyDescent="0.35">
      <c r="I34417" s="63"/>
      <c r="J34417" s="63"/>
    </row>
    <row r="34418" spans="9:10" x14ac:dyDescent="0.35">
      <c r="I34418" s="63"/>
      <c r="J34418" s="63"/>
    </row>
    <row r="34419" spans="9:10" x14ac:dyDescent="0.35">
      <c r="I34419" s="63"/>
      <c r="J34419" s="63"/>
    </row>
    <row r="34420" spans="9:10" x14ac:dyDescent="0.35">
      <c r="I34420" s="63"/>
      <c r="J34420" s="63"/>
    </row>
    <row r="34421" spans="9:10" x14ac:dyDescent="0.35">
      <c r="I34421" s="63"/>
      <c r="J34421" s="63"/>
    </row>
    <row r="34422" spans="9:10" x14ac:dyDescent="0.35">
      <c r="I34422" s="63"/>
      <c r="J34422" s="63"/>
    </row>
    <row r="34423" spans="9:10" x14ac:dyDescent="0.35">
      <c r="I34423" s="63"/>
      <c r="J34423" s="63"/>
    </row>
    <row r="34424" spans="9:10" x14ac:dyDescent="0.35">
      <c r="I34424" s="63"/>
      <c r="J34424" s="63"/>
    </row>
    <row r="34425" spans="9:10" x14ac:dyDescent="0.35">
      <c r="I34425" s="63"/>
      <c r="J34425" s="63"/>
    </row>
    <row r="34426" spans="9:10" x14ac:dyDescent="0.35">
      <c r="I34426" s="63"/>
      <c r="J34426" s="63"/>
    </row>
    <row r="34427" spans="9:10" x14ac:dyDescent="0.35">
      <c r="I34427" s="63"/>
      <c r="J34427" s="63"/>
    </row>
    <row r="34428" spans="9:10" x14ac:dyDescent="0.35">
      <c r="I34428" s="63"/>
      <c r="J34428" s="63"/>
    </row>
    <row r="34429" spans="9:10" x14ac:dyDescent="0.35">
      <c r="I34429" s="63"/>
      <c r="J34429" s="63"/>
    </row>
    <row r="34430" spans="9:10" x14ac:dyDescent="0.35">
      <c r="I34430" s="63"/>
      <c r="J34430" s="63"/>
    </row>
    <row r="34431" spans="9:10" x14ac:dyDescent="0.35">
      <c r="I34431" s="63"/>
      <c r="J34431" s="63"/>
    </row>
    <row r="34432" spans="9:10" x14ac:dyDescent="0.35">
      <c r="I34432" s="63"/>
      <c r="J34432" s="63"/>
    </row>
    <row r="34433" spans="9:10" x14ac:dyDescent="0.35">
      <c r="I34433" s="63"/>
      <c r="J34433" s="63"/>
    </row>
    <row r="34434" spans="9:10" x14ac:dyDescent="0.35">
      <c r="I34434" s="63"/>
      <c r="J34434" s="63"/>
    </row>
    <row r="34435" spans="9:10" x14ac:dyDescent="0.35">
      <c r="I34435" s="63"/>
      <c r="J34435" s="63"/>
    </row>
    <row r="34436" spans="9:10" x14ac:dyDescent="0.35">
      <c r="I34436" s="63"/>
      <c r="J34436" s="63"/>
    </row>
    <row r="34437" spans="9:10" x14ac:dyDescent="0.35">
      <c r="I34437" s="63"/>
      <c r="J34437" s="63"/>
    </row>
    <row r="34438" spans="9:10" x14ac:dyDescent="0.35">
      <c r="I34438" s="63"/>
      <c r="J34438" s="63"/>
    </row>
    <row r="34439" spans="9:10" x14ac:dyDescent="0.35">
      <c r="I34439" s="63"/>
      <c r="J34439" s="63"/>
    </row>
    <row r="34440" spans="9:10" x14ac:dyDescent="0.35">
      <c r="I34440" s="63"/>
      <c r="J34440" s="63"/>
    </row>
    <row r="34441" spans="9:10" x14ac:dyDescent="0.35">
      <c r="I34441" s="63"/>
      <c r="J34441" s="63"/>
    </row>
    <row r="34442" spans="9:10" x14ac:dyDescent="0.35">
      <c r="I34442" s="63"/>
      <c r="J34442" s="63"/>
    </row>
    <row r="34443" spans="9:10" x14ac:dyDescent="0.35">
      <c r="I34443" s="63"/>
      <c r="J34443" s="63"/>
    </row>
    <row r="34444" spans="9:10" x14ac:dyDescent="0.35">
      <c r="I34444" s="63"/>
      <c r="J34444" s="63"/>
    </row>
    <row r="34445" spans="9:10" x14ac:dyDescent="0.35">
      <c r="I34445" s="63"/>
      <c r="J34445" s="63"/>
    </row>
    <row r="34446" spans="9:10" x14ac:dyDescent="0.35">
      <c r="I34446" s="63"/>
      <c r="J34446" s="63"/>
    </row>
    <row r="34447" spans="9:10" x14ac:dyDescent="0.35">
      <c r="I34447" s="63"/>
      <c r="J34447" s="63"/>
    </row>
    <row r="34448" spans="9:10" x14ac:dyDescent="0.35">
      <c r="I34448" s="63"/>
      <c r="J34448" s="63"/>
    </row>
    <row r="34449" spans="9:10" x14ac:dyDescent="0.35">
      <c r="I34449" s="63"/>
      <c r="J34449" s="63"/>
    </row>
    <row r="34450" spans="9:10" x14ac:dyDescent="0.35">
      <c r="I34450" s="63"/>
      <c r="J34450" s="63"/>
    </row>
    <row r="34451" spans="9:10" x14ac:dyDescent="0.35">
      <c r="I34451" s="63"/>
      <c r="J34451" s="63"/>
    </row>
    <row r="34452" spans="9:10" x14ac:dyDescent="0.35">
      <c r="I34452" s="63"/>
      <c r="J34452" s="63"/>
    </row>
    <row r="34453" spans="9:10" x14ac:dyDescent="0.35">
      <c r="I34453" s="63"/>
      <c r="J34453" s="63"/>
    </row>
    <row r="34454" spans="9:10" x14ac:dyDescent="0.35">
      <c r="I34454" s="63"/>
      <c r="J34454" s="63"/>
    </row>
    <row r="34455" spans="9:10" x14ac:dyDescent="0.35">
      <c r="I34455" s="63"/>
      <c r="J34455" s="63"/>
    </row>
    <row r="34456" spans="9:10" x14ac:dyDescent="0.35">
      <c r="I34456" s="63"/>
      <c r="J34456" s="63"/>
    </row>
    <row r="34457" spans="9:10" x14ac:dyDescent="0.35">
      <c r="I34457" s="63"/>
      <c r="J34457" s="63"/>
    </row>
    <row r="34458" spans="9:10" x14ac:dyDescent="0.35">
      <c r="I34458" s="63"/>
      <c r="J34458" s="63"/>
    </row>
    <row r="34459" spans="9:10" x14ac:dyDescent="0.35">
      <c r="I34459" s="63"/>
      <c r="J34459" s="63"/>
    </row>
    <row r="34460" spans="9:10" x14ac:dyDescent="0.35">
      <c r="I34460" s="63"/>
      <c r="J34460" s="63"/>
    </row>
    <row r="34461" spans="9:10" x14ac:dyDescent="0.35">
      <c r="I34461" s="63"/>
      <c r="J34461" s="63"/>
    </row>
    <row r="34462" spans="9:10" x14ac:dyDescent="0.35">
      <c r="I34462" s="63"/>
      <c r="J34462" s="63"/>
    </row>
    <row r="34463" spans="9:10" x14ac:dyDescent="0.35">
      <c r="I34463" s="63"/>
      <c r="J34463" s="63"/>
    </row>
    <row r="34464" spans="9:10" x14ac:dyDescent="0.35">
      <c r="I34464" s="63"/>
      <c r="J34464" s="63"/>
    </row>
    <row r="34465" spans="9:10" x14ac:dyDescent="0.35">
      <c r="I34465" s="63"/>
      <c r="J34465" s="63"/>
    </row>
    <row r="34466" spans="9:10" x14ac:dyDescent="0.35">
      <c r="I34466" s="63"/>
      <c r="J34466" s="63"/>
    </row>
    <row r="34467" spans="9:10" x14ac:dyDescent="0.35">
      <c r="I34467" s="63"/>
      <c r="J34467" s="63"/>
    </row>
    <row r="34468" spans="9:10" x14ac:dyDescent="0.35">
      <c r="I34468" s="63"/>
      <c r="J34468" s="63"/>
    </row>
    <row r="34469" spans="9:10" x14ac:dyDescent="0.35">
      <c r="I34469" s="63"/>
      <c r="J34469" s="63"/>
    </row>
    <row r="34470" spans="9:10" x14ac:dyDescent="0.35">
      <c r="I34470" s="63"/>
      <c r="J34470" s="63"/>
    </row>
    <row r="34471" spans="9:10" x14ac:dyDescent="0.35">
      <c r="I34471" s="63"/>
      <c r="J34471" s="63"/>
    </row>
    <row r="34472" spans="9:10" x14ac:dyDescent="0.35">
      <c r="I34472" s="63"/>
      <c r="J34472" s="63"/>
    </row>
    <row r="34473" spans="9:10" x14ac:dyDescent="0.35">
      <c r="I34473" s="63"/>
      <c r="J34473" s="63"/>
    </row>
    <row r="34474" spans="9:10" x14ac:dyDescent="0.35">
      <c r="I34474" s="63"/>
      <c r="J34474" s="63"/>
    </row>
    <row r="34475" spans="9:10" x14ac:dyDescent="0.35">
      <c r="I34475" s="63"/>
      <c r="J34475" s="63"/>
    </row>
    <row r="34476" spans="9:10" x14ac:dyDescent="0.35">
      <c r="I34476" s="63"/>
      <c r="J34476" s="63"/>
    </row>
    <row r="34477" spans="9:10" x14ac:dyDescent="0.35">
      <c r="I34477" s="63"/>
      <c r="J34477" s="63"/>
    </row>
    <row r="34478" spans="9:10" x14ac:dyDescent="0.35">
      <c r="I34478" s="63"/>
      <c r="J34478" s="63"/>
    </row>
    <row r="34479" spans="9:10" x14ac:dyDescent="0.35">
      <c r="I34479" s="63"/>
      <c r="J34479" s="63"/>
    </row>
    <row r="34480" spans="9:10" x14ac:dyDescent="0.35">
      <c r="I34480" s="63"/>
      <c r="J34480" s="63"/>
    </row>
    <row r="34481" spans="9:10" x14ac:dyDescent="0.35">
      <c r="I34481" s="63"/>
      <c r="J34481" s="63"/>
    </row>
    <row r="34482" spans="9:10" x14ac:dyDescent="0.35">
      <c r="I34482" s="63"/>
      <c r="J34482" s="63"/>
    </row>
    <row r="34483" spans="9:10" x14ac:dyDescent="0.35">
      <c r="I34483" s="63"/>
      <c r="J34483" s="63"/>
    </row>
    <row r="34484" spans="9:10" x14ac:dyDescent="0.35">
      <c r="I34484" s="63"/>
      <c r="J34484" s="63"/>
    </row>
    <row r="34485" spans="9:10" x14ac:dyDescent="0.35">
      <c r="I34485" s="63"/>
      <c r="J34485" s="63"/>
    </row>
    <row r="34486" spans="9:10" x14ac:dyDescent="0.35">
      <c r="I34486" s="63"/>
      <c r="J34486" s="63"/>
    </row>
    <row r="34487" spans="9:10" x14ac:dyDescent="0.35">
      <c r="I34487" s="63"/>
      <c r="J34487" s="63"/>
    </row>
    <row r="34488" spans="9:10" x14ac:dyDescent="0.35">
      <c r="I34488" s="63"/>
      <c r="J34488" s="63"/>
    </row>
    <row r="34489" spans="9:10" x14ac:dyDescent="0.35">
      <c r="I34489" s="63"/>
      <c r="J34489" s="63"/>
    </row>
    <row r="34490" spans="9:10" x14ac:dyDescent="0.35">
      <c r="I34490" s="63"/>
      <c r="J34490" s="63"/>
    </row>
    <row r="34491" spans="9:10" x14ac:dyDescent="0.35">
      <c r="I34491" s="63"/>
      <c r="J34491" s="63"/>
    </row>
    <row r="34492" spans="9:10" x14ac:dyDescent="0.35">
      <c r="I34492" s="63"/>
      <c r="J34492" s="63"/>
    </row>
    <row r="34493" spans="9:10" x14ac:dyDescent="0.35">
      <c r="I34493" s="63"/>
      <c r="J34493" s="63"/>
    </row>
    <row r="34494" spans="9:10" x14ac:dyDescent="0.35">
      <c r="I34494" s="63"/>
      <c r="J34494" s="63"/>
    </row>
    <row r="34495" spans="9:10" x14ac:dyDescent="0.35">
      <c r="I34495" s="63"/>
      <c r="J34495" s="63"/>
    </row>
    <row r="34496" spans="9:10" x14ac:dyDescent="0.35">
      <c r="I34496" s="63"/>
      <c r="J34496" s="63"/>
    </row>
    <row r="34497" spans="9:10" x14ac:dyDescent="0.35">
      <c r="I34497" s="63"/>
      <c r="J34497" s="63"/>
    </row>
    <row r="34498" spans="9:10" x14ac:dyDescent="0.35">
      <c r="I34498" s="63"/>
      <c r="J34498" s="63"/>
    </row>
    <row r="34499" spans="9:10" x14ac:dyDescent="0.35">
      <c r="I34499" s="63"/>
      <c r="J34499" s="63"/>
    </row>
    <row r="34500" spans="9:10" x14ac:dyDescent="0.35">
      <c r="I34500" s="63"/>
      <c r="J34500" s="63"/>
    </row>
    <row r="34501" spans="9:10" x14ac:dyDescent="0.35">
      <c r="I34501" s="63"/>
      <c r="J34501" s="63"/>
    </row>
    <row r="34502" spans="9:10" x14ac:dyDescent="0.35">
      <c r="I34502" s="63"/>
      <c r="J34502" s="63"/>
    </row>
    <row r="34503" spans="9:10" x14ac:dyDescent="0.35">
      <c r="I34503" s="63"/>
      <c r="J34503" s="63"/>
    </row>
    <row r="34504" spans="9:10" x14ac:dyDescent="0.35">
      <c r="I34504" s="63"/>
      <c r="J34504" s="63"/>
    </row>
    <row r="34505" spans="9:10" x14ac:dyDescent="0.35">
      <c r="I34505" s="63"/>
      <c r="J34505" s="63"/>
    </row>
    <row r="34506" spans="9:10" x14ac:dyDescent="0.35">
      <c r="I34506" s="63"/>
      <c r="J34506" s="63"/>
    </row>
    <row r="34507" spans="9:10" x14ac:dyDescent="0.35">
      <c r="I34507" s="63"/>
      <c r="J34507" s="63"/>
    </row>
    <row r="34508" spans="9:10" x14ac:dyDescent="0.35">
      <c r="I34508" s="63"/>
      <c r="J34508" s="63"/>
    </row>
    <row r="34509" spans="9:10" x14ac:dyDescent="0.35">
      <c r="I34509" s="63"/>
      <c r="J34509" s="63"/>
    </row>
    <row r="34510" spans="9:10" x14ac:dyDescent="0.35">
      <c r="I34510" s="63"/>
      <c r="J34510" s="63"/>
    </row>
    <row r="34511" spans="9:10" x14ac:dyDescent="0.35">
      <c r="I34511" s="63"/>
      <c r="J34511" s="63"/>
    </row>
    <row r="34512" spans="9:10" x14ac:dyDescent="0.35">
      <c r="I34512" s="63"/>
      <c r="J34512" s="63"/>
    </row>
    <row r="34513" spans="9:10" x14ac:dyDescent="0.35">
      <c r="I34513" s="63"/>
      <c r="J34513" s="63"/>
    </row>
    <row r="34514" spans="9:10" x14ac:dyDescent="0.35">
      <c r="I34514" s="63"/>
      <c r="J34514" s="63"/>
    </row>
    <row r="34515" spans="9:10" x14ac:dyDescent="0.35">
      <c r="I34515" s="63"/>
      <c r="J34515" s="63"/>
    </row>
    <row r="34516" spans="9:10" x14ac:dyDescent="0.35">
      <c r="I34516" s="63"/>
      <c r="J34516" s="63"/>
    </row>
    <row r="34517" spans="9:10" x14ac:dyDescent="0.35">
      <c r="I34517" s="63"/>
      <c r="J34517" s="63"/>
    </row>
    <row r="34518" spans="9:10" x14ac:dyDescent="0.35">
      <c r="I34518" s="63"/>
      <c r="J34518" s="63"/>
    </row>
    <row r="34519" spans="9:10" x14ac:dyDescent="0.35">
      <c r="I34519" s="63"/>
      <c r="J34519" s="63"/>
    </row>
    <row r="34520" spans="9:10" x14ac:dyDescent="0.35">
      <c r="I34520" s="63"/>
      <c r="J34520" s="63"/>
    </row>
    <row r="34521" spans="9:10" x14ac:dyDescent="0.35">
      <c r="I34521" s="63"/>
      <c r="J34521" s="63"/>
    </row>
    <row r="34522" spans="9:10" x14ac:dyDescent="0.35">
      <c r="I34522" s="63"/>
      <c r="J34522" s="63"/>
    </row>
    <row r="34523" spans="9:10" x14ac:dyDescent="0.35">
      <c r="I34523" s="63"/>
      <c r="J34523" s="63"/>
    </row>
    <row r="34524" spans="9:10" x14ac:dyDescent="0.35">
      <c r="I34524" s="63"/>
      <c r="J34524" s="63"/>
    </row>
    <row r="34525" spans="9:10" x14ac:dyDescent="0.35">
      <c r="I34525" s="63"/>
      <c r="J34525" s="63"/>
    </row>
    <row r="34526" spans="9:10" x14ac:dyDescent="0.35">
      <c r="I34526" s="63"/>
      <c r="J34526" s="63"/>
    </row>
    <row r="34527" spans="9:10" x14ac:dyDescent="0.35">
      <c r="I34527" s="63"/>
      <c r="J34527" s="63"/>
    </row>
    <row r="34528" spans="9:10" x14ac:dyDescent="0.35">
      <c r="I34528" s="63"/>
      <c r="J34528" s="63"/>
    </row>
    <row r="34529" spans="9:10" x14ac:dyDescent="0.35">
      <c r="I34529" s="63"/>
      <c r="J34529" s="63"/>
    </row>
    <row r="34530" spans="9:10" x14ac:dyDescent="0.35">
      <c r="I34530" s="63"/>
      <c r="J34530" s="63"/>
    </row>
    <row r="34531" spans="9:10" x14ac:dyDescent="0.35">
      <c r="I34531" s="63"/>
      <c r="J34531" s="63"/>
    </row>
    <row r="34532" spans="9:10" x14ac:dyDescent="0.35">
      <c r="I34532" s="63"/>
      <c r="J34532" s="63"/>
    </row>
    <row r="34533" spans="9:10" x14ac:dyDescent="0.35">
      <c r="I34533" s="63"/>
      <c r="J34533" s="63"/>
    </row>
    <row r="34534" spans="9:10" x14ac:dyDescent="0.35">
      <c r="I34534" s="63"/>
      <c r="J34534" s="63"/>
    </row>
    <row r="34535" spans="9:10" x14ac:dyDescent="0.35">
      <c r="I34535" s="63"/>
      <c r="J34535" s="63"/>
    </row>
    <row r="34536" spans="9:10" x14ac:dyDescent="0.35">
      <c r="I34536" s="63"/>
      <c r="J34536" s="63"/>
    </row>
    <row r="34537" spans="9:10" x14ac:dyDescent="0.35">
      <c r="I34537" s="63"/>
      <c r="J34537" s="63"/>
    </row>
    <row r="34538" spans="9:10" x14ac:dyDescent="0.35">
      <c r="I34538" s="63"/>
      <c r="J34538" s="63"/>
    </row>
    <row r="34539" spans="9:10" x14ac:dyDescent="0.35">
      <c r="I34539" s="63"/>
      <c r="J34539" s="63"/>
    </row>
    <row r="34540" spans="9:10" x14ac:dyDescent="0.35">
      <c r="I34540" s="63"/>
      <c r="J34540" s="63"/>
    </row>
    <row r="34541" spans="9:10" x14ac:dyDescent="0.35">
      <c r="I34541" s="63"/>
      <c r="J34541" s="63"/>
    </row>
    <row r="34542" spans="9:10" x14ac:dyDescent="0.35">
      <c r="I34542" s="63"/>
      <c r="J34542" s="63"/>
    </row>
    <row r="34543" spans="9:10" x14ac:dyDescent="0.35">
      <c r="I34543" s="63"/>
      <c r="J34543" s="63"/>
    </row>
    <row r="34544" spans="9:10" x14ac:dyDescent="0.35">
      <c r="I34544" s="63"/>
      <c r="J34544" s="63"/>
    </row>
    <row r="34545" spans="9:10" x14ac:dyDescent="0.35">
      <c r="I34545" s="63"/>
      <c r="J34545" s="63"/>
    </row>
    <row r="34546" spans="9:10" x14ac:dyDescent="0.35">
      <c r="I34546" s="63"/>
      <c r="J34546" s="63"/>
    </row>
    <row r="34547" spans="9:10" x14ac:dyDescent="0.35">
      <c r="I34547" s="63"/>
      <c r="J34547" s="63"/>
    </row>
    <row r="34548" spans="9:10" x14ac:dyDescent="0.35">
      <c r="I34548" s="63"/>
      <c r="J34548" s="63"/>
    </row>
    <row r="34549" spans="9:10" x14ac:dyDescent="0.35">
      <c r="I34549" s="63"/>
      <c r="J34549" s="63"/>
    </row>
    <row r="34550" spans="9:10" x14ac:dyDescent="0.35">
      <c r="I34550" s="63"/>
      <c r="J34550" s="63"/>
    </row>
    <row r="34551" spans="9:10" x14ac:dyDescent="0.35">
      <c r="I34551" s="63"/>
      <c r="J34551" s="63"/>
    </row>
    <row r="34552" spans="9:10" x14ac:dyDescent="0.35">
      <c r="I34552" s="63"/>
      <c r="J34552" s="63"/>
    </row>
    <row r="34553" spans="9:10" x14ac:dyDescent="0.35">
      <c r="I34553" s="63"/>
      <c r="J34553" s="63"/>
    </row>
    <row r="34554" spans="9:10" x14ac:dyDescent="0.35">
      <c r="I34554" s="63"/>
      <c r="J34554" s="63"/>
    </row>
    <row r="34555" spans="9:10" x14ac:dyDescent="0.35">
      <c r="I34555" s="63"/>
      <c r="J34555" s="63"/>
    </row>
    <row r="34556" spans="9:10" x14ac:dyDescent="0.35">
      <c r="I34556" s="63"/>
      <c r="J34556" s="63"/>
    </row>
    <row r="34557" spans="9:10" x14ac:dyDescent="0.35">
      <c r="I34557" s="63"/>
      <c r="J34557" s="63"/>
    </row>
    <row r="34558" spans="9:10" x14ac:dyDescent="0.35">
      <c r="I34558" s="63"/>
      <c r="J34558" s="63"/>
    </row>
    <row r="34559" spans="9:10" x14ac:dyDescent="0.35">
      <c r="I34559" s="63"/>
      <c r="J34559" s="63"/>
    </row>
    <row r="34560" spans="9:10" x14ac:dyDescent="0.35">
      <c r="I34560" s="63"/>
      <c r="J34560" s="63"/>
    </row>
    <row r="34561" spans="9:10" x14ac:dyDescent="0.35">
      <c r="I34561" s="63"/>
      <c r="J34561" s="63"/>
    </row>
    <row r="34562" spans="9:10" x14ac:dyDescent="0.35">
      <c r="I34562" s="63"/>
      <c r="J34562" s="63"/>
    </row>
    <row r="34563" spans="9:10" x14ac:dyDescent="0.35">
      <c r="I34563" s="63"/>
      <c r="J34563" s="63"/>
    </row>
    <row r="34564" spans="9:10" x14ac:dyDescent="0.35">
      <c r="I34564" s="63"/>
      <c r="J34564" s="63"/>
    </row>
    <row r="34565" spans="9:10" x14ac:dyDescent="0.35">
      <c r="I34565" s="63"/>
      <c r="J34565" s="63"/>
    </row>
    <row r="34566" spans="9:10" x14ac:dyDescent="0.35">
      <c r="I34566" s="63"/>
      <c r="J34566" s="63"/>
    </row>
    <row r="34567" spans="9:10" x14ac:dyDescent="0.35">
      <c r="I34567" s="63"/>
      <c r="J34567" s="63"/>
    </row>
    <row r="34568" spans="9:10" x14ac:dyDescent="0.35">
      <c r="I34568" s="63"/>
      <c r="J34568" s="63"/>
    </row>
    <row r="34569" spans="9:10" x14ac:dyDescent="0.35">
      <c r="I34569" s="63"/>
      <c r="J34569" s="63"/>
    </row>
    <row r="34570" spans="9:10" x14ac:dyDescent="0.35">
      <c r="I34570" s="63"/>
      <c r="J34570" s="63"/>
    </row>
    <row r="34571" spans="9:10" x14ac:dyDescent="0.35">
      <c r="I34571" s="63"/>
      <c r="J34571" s="63"/>
    </row>
    <row r="34572" spans="9:10" x14ac:dyDescent="0.35">
      <c r="I34572" s="63"/>
      <c r="J34572" s="63"/>
    </row>
    <row r="34573" spans="9:10" x14ac:dyDescent="0.35">
      <c r="I34573" s="63"/>
      <c r="J34573" s="63"/>
    </row>
    <row r="34574" spans="9:10" x14ac:dyDescent="0.35">
      <c r="I34574" s="63"/>
      <c r="J34574" s="63"/>
    </row>
    <row r="34575" spans="9:10" x14ac:dyDescent="0.35">
      <c r="I34575" s="63"/>
      <c r="J34575" s="63"/>
    </row>
    <row r="34576" spans="9:10" x14ac:dyDescent="0.35">
      <c r="I34576" s="63"/>
      <c r="J34576" s="63"/>
    </row>
    <row r="34577" spans="9:10" x14ac:dyDescent="0.35">
      <c r="I34577" s="63"/>
      <c r="J34577" s="63"/>
    </row>
    <row r="34578" spans="9:10" x14ac:dyDescent="0.35">
      <c r="I34578" s="63"/>
      <c r="J34578" s="63"/>
    </row>
    <row r="34579" spans="9:10" x14ac:dyDescent="0.35">
      <c r="I34579" s="63"/>
      <c r="J34579" s="63"/>
    </row>
    <row r="34580" spans="9:10" x14ac:dyDescent="0.35">
      <c r="I34580" s="63"/>
      <c r="J34580" s="63"/>
    </row>
    <row r="34581" spans="9:10" x14ac:dyDescent="0.35">
      <c r="I34581" s="63"/>
      <c r="J34581" s="63"/>
    </row>
    <row r="34582" spans="9:10" x14ac:dyDescent="0.35">
      <c r="I34582" s="63"/>
      <c r="J34582" s="63"/>
    </row>
    <row r="34583" spans="9:10" x14ac:dyDescent="0.35">
      <c r="I34583" s="63"/>
      <c r="J34583" s="63"/>
    </row>
    <row r="34584" spans="9:10" x14ac:dyDescent="0.35">
      <c r="I34584" s="63"/>
      <c r="J34584" s="63"/>
    </row>
    <row r="34585" spans="9:10" x14ac:dyDescent="0.35">
      <c r="I34585" s="63"/>
      <c r="J34585" s="63"/>
    </row>
    <row r="34586" spans="9:10" x14ac:dyDescent="0.35">
      <c r="I34586" s="63"/>
      <c r="J34586" s="63"/>
    </row>
    <row r="34587" spans="9:10" x14ac:dyDescent="0.35">
      <c r="I34587" s="63"/>
      <c r="J34587" s="63"/>
    </row>
    <row r="34588" spans="9:10" x14ac:dyDescent="0.35">
      <c r="I34588" s="63"/>
      <c r="J34588" s="63"/>
    </row>
    <row r="34589" spans="9:10" x14ac:dyDescent="0.35">
      <c r="I34589" s="63"/>
      <c r="J34589" s="63"/>
    </row>
    <row r="34590" spans="9:10" x14ac:dyDescent="0.35">
      <c r="I34590" s="63"/>
      <c r="J34590" s="63"/>
    </row>
    <row r="34591" spans="9:10" x14ac:dyDescent="0.35">
      <c r="I34591" s="63"/>
      <c r="J34591" s="63"/>
    </row>
    <row r="34592" spans="9:10" x14ac:dyDescent="0.35">
      <c r="I34592" s="63"/>
      <c r="J34592" s="63"/>
    </row>
    <row r="34593" spans="9:10" x14ac:dyDescent="0.35">
      <c r="I34593" s="63"/>
      <c r="J34593" s="63"/>
    </row>
    <row r="34594" spans="9:10" x14ac:dyDescent="0.35">
      <c r="I34594" s="63"/>
      <c r="J34594" s="63"/>
    </row>
    <row r="34595" spans="9:10" x14ac:dyDescent="0.35">
      <c r="I34595" s="63"/>
      <c r="J34595" s="63"/>
    </row>
    <row r="34596" spans="9:10" x14ac:dyDescent="0.35">
      <c r="I34596" s="63"/>
      <c r="J34596" s="63"/>
    </row>
    <row r="34597" spans="9:10" x14ac:dyDescent="0.35">
      <c r="I34597" s="63"/>
      <c r="J34597" s="63"/>
    </row>
    <row r="34598" spans="9:10" x14ac:dyDescent="0.35">
      <c r="I34598" s="63"/>
      <c r="J34598" s="63"/>
    </row>
    <row r="34599" spans="9:10" x14ac:dyDescent="0.35">
      <c r="I34599" s="63"/>
      <c r="J34599" s="63"/>
    </row>
    <row r="34600" spans="9:10" x14ac:dyDescent="0.35">
      <c r="I34600" s="63"/>
      <c r="J34600" s="63"/>
    </row>
    <row r="34601" spans="9:10" x14ac:dyDescent="0.35">
      <c r="I34601" s="63"/>
      <c r="J34601" s="63"/>
    </row>
    <row r="34602" spans="9:10" x14ac:dyDescent="0.35">
      <c r="I34602" s="63"/>
      <c r="J34602" s="63"/>
    </row>
    <row r="34603" spans="9:10" x14ac:dyDescent="0.35">
      <c r="I34603" s="63"/>
      <c r="J34603" s="63"/>
    </row>
    <row r="34604" spans="9:10" x14ac:dyDescent="0.35">
      <c r="I34604" s="63"/>
      <c r="J34604" s="63"/>
    </row>
    <row r="34605" spans="9:10" x14ac:dyDescent="0.35">
      <c r="I34605" s="63"/>
      <c r="J34605" s="63"/>
    </row>
    <row r="34606" spans="9:10" x14ac:dyDescent="0.35">
      <c r="I34606" s="63"/>
      <c r="J34606" s="63"/>
    </row>
    <row r="34607" spans="9:10" x14ac:dyDescent="0.35">
      <c r="I34607" s="63"/>
      <c r="J34607" s="63"/>
    </row>
    <row r="34608" spans="9:10" x14ac:dyDescent="0.35">
      <c r="I34608" s="63"/>
      <c r="J34608" s="63"/>
    </row>
    <row r="34609" spans="9:10" x14ac:dyDescent="0.35">
      <c r="I34609" s="63"/>
      <c r="J34609" s="63"/>
    </row>
    <row r="34610" spans="9:10" x14ac:dyDescent="0.35">
      <c r="I34610" s="63"/>
      <c r="J34610" s="63"/>
    </row>
    <row r="34611" spans="9:10" x14ac:dyDescent="0.35">
      <c r="I34611" s="63"/>
      <c r="J34611" s="63"/>
    </row>
    <row r="34612" spans="9:10" x14ac:dyDescent="0.35">
      <c r="I34612" s="63"/>
      <c r="J34612" s="63"/>
    </row>
    <row r="34613" spans="9:10" x14ac:dyDescent="0.35">
      <c r="I34613" s="63"/>
      <c r="J34613" s="63"/>
    </row>
    <row r="34614" spans="9:10" x14ac:dyDescent="0.35">
      <c r="I34614" s="63"/>
      <c r="J34614" s="63"/>
    </row>
    <row r="34615" spans="9:10" x14ac:dyDescent="0.35">
      <c r="I34615" s="63"/>
      <c r="J34615" s="63"/>
    </row>
    <row r="34616" spans="9:10" x14ac:dyDescent="0.35">
      <c r="I34616" s="63"/>
      <c r="J34616" s="63"/>
    </row>
    <row r="34617" spans="9:10" x14ac:dyDescent="0.35">
      <c r="I34617" s="63"/>
      <c r="J34617" s="63"/>
    </row>
    <row r="34618" spans="9:10" x14ac:dyDescent="0.35">
      <c r="I34618" s="63"/>
      <c r="J34618" s="63"/>
    </row>
    <row r="34619" spans="9:10" x14ac:dyDescent="0.35">
      <c r="I34619" s="63"/>
      <c r="J34619" s="63"/>
    </row>
    <row r="34620" spans="9:10" x14ac:dyDescent="0.35">
      <c r="I34620" s="63"/>
      <c r="J34620" s="63"/>
    </row>
    <row r="34621" spans="9:10" x14ac:dyDescent="0.35">
      <c r="I34621" s="63"/>
      <c r="J34621" s="63"/>
    </row>
    <row r="34622" spans="9:10" x14ac:dyDescent="0.35">
      <c r="I34622" s="63"/>
      <c r="J34622" s="63"/>
    </row>
    <row r="34623" spans="9:10" x14ac:dyDescent="0.35">
      <c r="I34623" s="63"/>
      <c r="J34623" s="63"/>
    </row>
    <row r="34624" spans="9:10" x14ac:dyDescent="0.35">
      <c r="I34624" s="63"/>
      <c r="J34624" s="63"/>
    </row>
    <row r="34625" spans="9:10" x14ac:dyDescent="0.35">
      <c r="I34625" s="63"/>
      <c r="J34625" s="63"/>
    </row>
    <row r="34626" spans="9:10" x14ac:dyDescent="0.35">
      <c r="I34626" s="63"/>
      <c r="J34626" s="63"/>
    </row>
    <row r="34627" spans="9:10" x14ac:dyDescent="0.35">
      <c r="I34627" s="63"/>
      <c r="J34627" s="63"/>
    </row>
    <row r="34628" spans="9:10" x14ac:dyDescent="0.35">
      <c r="I34628" s="63"/>
      <c r="J34628" s="63"/>
    </row>
    <row r="34629" spans="9:10" x14ac:dyDescent="0.35">
      <c r="I34629" s="63"/>
      <c r="J34629" s="63"/>
    </row>
    <row r="34630" spans="9:10" x14ac:dyDescent="0.35">
      <c r="I34630" s="63"/>
      <c r="J34630" s="63"/>
    </row>
    <row r="34631" spans="9:10" x14ac:dyDescent="0.35">
      <c r="I34631" s="63"/>
      <c r="J34631" s="63"/>
    </row>
    <row r="34632" spans="9:10" x14ac:dyDescent="0.35">
      <c r="I34632" s="63"/>
      <c r="J34632" s="63"/>
    </row>
    <row r="34633" spans="9:10" x14ac:dyDescent="0.35">
      <c r="I34633" s="63"/>
      <c r="J34633" s="63"/>
    </row>
    <row r="34634" spans="9:10" x14ac:dyDescent="0.35">
      <c r="I34634" s="63"/>
      <c r="J34634" s="63"/>
    </row>
    <row r="34635" spans="9:10" x14ac:dyDescent="0.35">
      <c r="I34635" s="63"/>
      <c r="J34635" s="63"/>
    </row>
    <row r="34636" spans="9:10" x14ac:dyDescent="0.35">
      <c r="I34636" s="63"/>
      <c r="J34636" s="63"/>
    </row>
    <row r="34637" spans="9:10" x14ac:dyDescent="0.35">
      <c r="I34637" s="63"/>
      <c r="J34637" s="63"/>
    </row>
    <row r="34638" spans="9:10" x14ac:dyDescent="0.35">
      <c r="I34638" s="63"/>
      <c r="J34638" s="63"/>
    </row>
    <row r="34639" spans="9:10" x14ac:dyDescent="0.35">
      <c r="I34639" s="63"/>
      <c r="J34639" s="63"/>
    </row>
    <row r="34640" spans="9:10" x14ac:dyDescent="0.35">
      <c r="I34640" s="63"/>
      <c r="J34640" s="63"/>
    </row>
    <row r="34641" spans="9:10" x14ac:dyDescent="0.35">
      <c r="I34641" s="63"/>
      <c r="J34641" s="63"/>
    </row>
    <row r="34642" spans="9:10" x14ac:dyDescent="0.35">
      <c r="I34642" s="63"/>
      <c r="J34642" s="63"/>
    </row>
    <row r="34643" spans="9:10" x14ac:dyDescent="0.35">
      <c r="I34643" s="63"/>
      <c r="J34643" s="63"/>
    </row>
    <row r="34644" spans="9:10" x14ac:dyDescent="0.35">
      <c r="I34644" s="63"/>
      <c r="J34644" s="63"/>
    </row>
    <row r="34645" spans="9:10" x14ac:dyDescent="0.35">
      <c r="I34645" s="63"/>
      <c r="J34645" s="63"/>
    </row>
    <row r="34646" spans="9:10" x14ac:dyDescent="0.35">
      <c r="I34646" s="63"/>
      <c r="J34646" s="63"/>
    </row>
    <row r="34647" spans="9:10" x14ac:dyDescent="0.35">
      <c r="I34647" s="63"/>
      <c r="J34647" s="63"/>
    </row>
    <row r="34648" spans="9:10" x14ac:dyDescent="0.35">
      <c r="I34648" s="63"/>
      <c r="J34648" s="63"/>
    </row>
    <row r="34649" spans="9:10" x14ac:dyDescent="0.35">
      <c r="I34649" s="63"/>
      <c r="J34649" s="63"/>
    </row>
    <row r="34650" spans="9:10" x14ac:dyDescent="0.35">
      <c r="I34650" s="63"/>
      <c r="J34650" s="63"/>
    </row>
    <row r="34651" spans="9:10" x14ac:dyDescent="0.35">
      <c r="I34651" s="63"/>
      <c r="J34651" s="63"/>
    </row>
    <row r="34652" spans="9:10" x14ac:dyDescent="0.35">
      <c r="I34652" s="63"/>
      <c r="J34652" s="63"/>
    </row>
    <row r="34653" spans="9:10" x14ac:dyDescent="0.35">
      <c r="I34653" s="63"/>
      <c r="J34653" s="63"/>
    </row>
    <row r="34654" spans="9:10" x14ac:dyDescent="0.35">
      <c r="I34654" s="63"/>
      <c r="J34654" s="63"/>
    </row>
    <row r="34655" spans="9:10" x14ac:dyDescent="0.35">
      <c r="I34655" s="63"/>
      <c r="J34655" s="63"/>
    </row>
    <row r="34656" spans="9:10" x14ac:dyDescent="0.35">
      <c r="I34656" s="63"/>
      <c r="J34656" s="63"/>
    </row>
    <row r="34657" spans="9:10" x14ac:dyDescent="0.35">
      <c r="I34657" s="63"/>
      <c r="J34657" s="63"/>
    </row>
    <row r="34658" spans="9:10" x14ac:dyDescent="0.35">
      <c r="I34658" s="63"/>
      <c r="J34658" s="63"/>
    </row>
    <row r="34659" spans="9:10" x14ac:dyDescent="0.35">
      <c r="I34659" s="63"/>
      <c r="J34659" s="63"/>
    </row>
    <row r="34660" spans="9:10" x14ac:dyDescent="0.35">
      <c r="I34660" s="63"/>
      <c r="J34660" s="63"/>
    </row>
    <row r="34661" spans="9:10" x14ac:dyDescent="0.35">
      <c r="I34661" s="63"/>
      <c r="J34661" s="63"/>
    </row>
    <row r="34662" spans="9:10" x14ac:dyDescent="0.35">
      <c r="I34662" s="63"/>
      <c r="J34662" s="63"/>
    </row>
    <row r="34663" spans="9:10" x14ac:dyDescent="0.35">
      <c r="I34663" s="63"/>
      <c r="J34663" s="63"/>
    </row>
    <row r="34664" spans="9:10" x14ac:dyDescent="0.35">
      <c r="I34664" s="63"/>
      <c r="J34664" s="63"/>
    </row>
    <row r="34665" spans="9:10" x14ac:dyDescent="0.35">
      <c r="I34665" s="63"/>
      <c r="J34665" s="63"/>
    </row>
    <row r="34666" spans="9:10" x14ac:dyDescent="0.35">
      <c r="I34666" s="63"/>
      <c r="J34666" s="63"/>
    </row>
    <row r="34667" spans="9:10" x14ac:dyDescent="0.35">
      <c r="I34667" s="63"/>
      <c r="J34667" s="63"/>
    </row>
    <row r="34668" spans="9:10" x14ac:dyDescent="0.35">
      <c r="I34668" s="63"/>
      <c r="J34668" s="63"/>
    </row>
    <row r="34669" spans="9:10" x14ac:dyDescent="0.35">
      <c r="I34669" s="63"/>
      <c r="J34669" s="63"/>
    </row>
    <row r="34670" spans="9:10" x14ac:dyDescent="0.35">
      <c r="I34670" s="63"/>
      <c r="J34670" s="63"/>
    </row>
    <row r="34671" spans="9:10" x14ac:dyDescent="0.35">
      <c r="I34671" s="63"/>
      <c r="J34671" s="63"/>
    </row>
    <row r="34672" spans="9:10" x14ac:dyDescent="0.35">
      <c r="I34672" s="63"/>
      <c r="J34672" s="63"/>
    </row>
    <row r="34673" spans="9:10" x14ac:dyDescent="0.35">
      <c r="I34673" s="63"/>
      <c r="J34673" s="63"/>
    </row>
    <row r="34674" spans="9:10" x14ac:dyDescent="0.35">
      <c r="I34674" s="63"/>
      <c r="J34674" s="63"/>
    </row>
    <row r="34675" spans="9:10" x14ac:dyDescent="0.35">
      <c r="I34675" s="63"/>
      <c r="J34675" s="63"/>
    </row>
    <row r="34676" spans="9:10" x14ac:dyDescent="0.35">
      <c r="I34676" s="63"/>
      <c r="J34676" s="63"/>
    </row>
    <row r="34677" spans="9:10" x14ac:dyDescent="0.35">
      <c r="I34677" s="63"/>
      <c r="J34677" s="63"/>
    </row>
    <row r="34678" spans="9:10" x14ac:dyDescent="0.35">
      <c r="I34678" s="63"/>
      <c r="J34678" s="63"/>
    </row>
    <row r="34679" spans="9:10" x14ac:dyDescent="0.35">
      <c r="I34679" s="63"/>
      <c r="J34679" s="63"/>
    </row>
    <row r="34680" spans="9:10" x14ac:dyDescent="0.35">
      <c r="I34680" s="63"/>
      <c r="J34680" s="63"/>
    </row>
    <row r="34681" spans="9:10" x14ac:dyDescent="0.35">
      <c r="I34681" s="63"/>
      <c r="J34681" s="63"/>
    </row>
    <row r="34682" spans="9:10" x14ac:dyDescent="0.35">
      <c r="I34682" s="63"/>
      <c r="J34682" s="63"/>
    </row>
    <row r="34683" spans="9:10" x14ac:dyDescent="0.35">
      <c r="I34683" s="63"/>
      <c r="J34683" s="63"/>
    </row>
    <row r="34684" spans="9:10" x14ac:dyDescent="0.35">
      <c r="I34684" s="63"/>
      <c r="J34684" s="63"/>
    </row>
    <row r="34685" spans="9:10" x14ac:dyDescent="0.35">
      <c r="I34685" s="63"/>
      <c r="J34685" s="63"/>
    </row>
    <row r="34686" spans="9:10" x14ac:dyDescent="0.35">
      <c r="I34686" s="63"/>
      <c r="J34686" s="63"/>
    </row>
    <row r="34687" spans="9:10" x14ac:dyDescent="0.35">
      <c r="I34687" s="63"/>
      <c r="J34687" s="63"/>
    </row>
    <row r="34688" spans="9:10" x14ac:dyDescent="0.35">
      <c r="I34688" s="63"/>
      <c r="J34688" s="63"/>
    </row>
    <row r="34689" spans="9:10" x14ac:dyDescent="0.35">
      <c r="I34689" s="63"/>
      <c r="J34689" s="63"/>
    </row>
    <row r="34690" spans="9:10" x14ac:dyDescent="0.35">
      <c r="I34690" s="63"/>
      <c r="J34690" s="63"/>
    </row>
    <row r="34691" spans="9:10" x14ac:dyDescent="0.35">
      <c r="I34691" s="63"/>
      <c r="J34691" s="63"/>
    </row>
    <row r="34692" spans="9:10" x14ac:dyDescent="0.35">
      <c r="I34692" s="63"/>
      <c r="J34692" s="63"/>
    </row>
    <row r="34693" spans="9:10" x14ac:dyDescent="0.35">
      <c r="I34693" s="63"/>
      <c r="J34693" s="63"/>
    </row>
    <row r="34694" spans="9:10" x14ac:dyDescent="0.35">
      <c r="I34694" s="63"/>
      <c r="J34694" s="63"/>
    </row>
    <row r="34695" spans="9:10" x14ac:dyDescent="0.35">
      <c r="I34695" s="63"/>
      <c r="J34695" s="63"/>
    </row>
    <row r="34696" spans="9:10" x14ac:dyDescent="0.35">
      <c r="I34696" s="63"/>
      <c r="J34696" s="63"/>
    </row>
    <row r="34697" spans="9:10" x14ac:dyDescent="0.35">
      <c r="I34697" s="63"/>
      <c r="J34697" s="63"/>
    </row>
    <row r="34698" spans="9:10" x14ac:dyDescent="0.35">
      <c r="I34698" s="63"/>
      <c r="J34698" s="63"/>
    </row>
    <row r="34699" spans="9:10" x14ac:dyDescent="0.35">
      <c r="I34699" s="63"/>
      <c r="J34699" s="63"/>
    </row>
    <row r="34700" spans="9:10" x14ac:dyDescent="0.35">
      <c r="I34700" s="63"/>
      <c r="J34700" s="63"/>
    </row>
    <row r="34701" spans="9:10" x14ac:dyDescent="0.35">
      <c r="I34701" s="63"/>
      <c r="J34701" s="63"/>
    </row>
    <row r="34702" spans="9:10" x14ac:dyDescent="0.35">
      <c r="I34702" s="63"/>
      <c r="J34702" s="63"/>
    </row>
    <row r="34703" spans="9:10" x14ac:dyDescent="0.35">
      <c r="I34703" s="63"/>
      <c r="J34703" s="63"/>
    </row>
    <row r="34704" spans="9:10" x14ac:dyDescent="0.35">
      <c r="I34704" s="63"/>
      <c r="J34704" s="63"/>
    </row>
    <row r="34705" spans="9:10" x14ac:dyDescent="0.35">
      <c r="I34705" s="63"/>
      <c r="J34705" s="63"/>
    </row>
    <row r="34706" spans="9:10" x14ac:dyDescent="0.35">
      <c r="I34706" s="63"/>
      <c r="J34706" s="63"/>
    </row>
    <row r="34707" spans="9:10" x14ac:dyDescent="0.35">
      <c r="I34707" s="63"/>
      <c r="J34707" s="63"/>
    </row>
    <row r="34708" spans="9:10" x14ac:dyDescent="0.35">
      <c r="I34708" s="63"/>
      <c r="J34708" s="63"/>
    </row>
    <row r="34709" spans="9:10" x14ac:dyDescent="0.35">
      <c r="I34709" s="63"/>
      <c r="J34709" s="63"/>
    </row>
    <row r="34710" spans="9:10" x14ac:dyDescent="0.35">
      <c r="I34710" s="63"/>
      <c r="J34710" s="63"/>
    </row>
    <row r="34711" spans="9:10" x14ac:dyDescent="0.35">
      <c r="I34711" s="63"/>
      <c r="J34711" s="63"/>
    </row>
    <row r="34712" spans="9:10" x14ac:dyDescent="0.35">
      <c r="I34712" s="63"/>
      <c r="J34712" s="63"/>
    </row>
    <row r="34713" spans="9:10" x14ac:dyDescent="0.35">
      <c r="I34713" s="63"/>
      <c r="J34713" s="63"/>
    </row>
    <row r="34714" spans="9:10" x14ac:dyDescent="0.35">
      <c r="I34714" s="63"/>
      <c r="J34714" s="63"/>
    </row>
    <row r="34715" spans="9:10" x14ac:dyDescent="0.35">
      <c r="I34715" s="63"/>
      <c r="J34715" s="63"/>
    </row>
    <row r="34716" spans="9:10" x14ac:dyDescent="0.35">
      <c r="I34716" s="63"/>
      <c r="J34716" s="63"/>
    </row>
    <row r="34717" spans="9:10" x14ac:dyDescent="0.35">
      <c r="I34717" s="63"/>
      <c r="J34717" s="63"/>
    </row>
    <row r="34718" spans="9:10" x14ac:dyDescent="0.35">
      <c r="I34718" s="63"/>
      <c r="J34718" s="63"/>
    </row>
    <row r="34719" spans="9:10" x14ac:dyDescent="0.35">
      <c r="I34719" s="63"/>
      <c r="J34719" s="63"/>
    </row>
    <row r="34720" spans="9:10" x14ac:dyDescent="0.35">
      <c r="I34720" s="63"/>
      <c r="J34720" s="63"/>
    </row>
    <row r="34721" spans="9:10" x14ac:dyDescent="0.35">
      <c r="I34721" s="63"/>
      <c r="J34721" s="63"/>
    </row>
    <row r="34722" spans="9:10" x14ac:dyDescent="0.35">
      <c r="I34722" s="63"/>
      <c r="J34722" s="63"/>
    </row>
    <row r="34723" spans="9:10" x14ac:dyDescent="0.35">
      <c r="I34723" s="63"/>
      <c r="J34723" s="63"/>
    </row>
    <row r="34724" spans="9:10" x14ac:dyDescent="0.35">
      <c r="I34724" s="63"/>
      <c r="J34724" s="63"/>
    </row>
    <row r="34725" spans="9:10" x14ac:dyDescent="0.35">
      <c r="I34725" s="63"/>
      <c r="J34725" s="63"/>
    </row>
    <row r="34726" spans="9:10" x14ac:dyDescent="0.35">
      <c r="I34726" s="63"/>
      <c r="J34726" s="63"/>
    </row>
    <row r="34727" spans="9:10" x14ac:dyDescent="0.35">
      <c r="I34727" s="63"/>
      <c r="J34727" s="63"/>
    </row>
    <row r="34728" spans="9:10" x14ac:dyDescent="0.35">
      <c r="I34728" s="63"/>
      <c r="J34728" s="63"/>
    </row>
    <row r="34729" spans="9:10" x14ac:dyDescent="0.35">
      <c r="I34729" s="63"/>
      <c r="J34729" s="63"/>
    </row>
    <row r="34730" spans="9:10" x14ac:dyDescent="0.35">
      <c r="I34730" s="63"/>
      <c r="J34730" s="63"/>
    </row>
    <row r="34731" spans="9:10" x14ac:dyDescent="0.35">
      <c r="I34731" s="63"/>
      <c r="J34731" s="63"/>
    </row>
    <row r="34732" spans="9:10" x14ac:dyDescent="0.35">
      <c r="I34732" s="63"/>
      <c r="J34732" s="63"/>
    </row>
    <row r="34733" spans="9:10" x14ac:dyDescent="0.35">
      <c r="I34733" s="63"/>
      <c r="J34733" s="63"/>
    </row>
    <row r="34734" spans="9:10" x14ac:dyDescent="0.35">
      <c r="I34734" s="63"/>
      <c r="J34734" s="63"/>
    </row>
    <row r="34735" spans="9:10" x14ac:dyDescent="0.35">
      <c r="I34735" s="63"/>
      <c r="J34735" s="63"/>
    </row>
    <row r="34736" spans="9:10" x14ac:dyDescent="0.35">
      <c r="I34736" s="63"/>
      <c r="J34736" s="63"/>
    </row>
    <row r="34737" spans="9:10" x14ac:dyDescent="0.35">
      <c r="I34737" s="63"/>
      <c r="J34737" s="63"/>
    </row>
    <row r="34738" spans="9:10" x14ac:dyDescent="0.35">
      <c r="I34738" s="63"/>
      <c r="J34738" s="63"/>
    </row>
    <row r="34739" spans="9:10" x14ac:dyDescent="0.35">
      <c r="I34739" s="63"/>
      <c r="J34739" s="63"/>
    </row>
    <row r="34740" spans="9:10" x14ac:dyDescent="0.35">
      <c r="I34740" s="63"/>
      <c r="J34740" s="63"/>
    </row>
    <row r="34741" spans="9:10" x14ac:dyDescent="0.35">
      <c r="I34741" s="63"/>
      <c r="J34741" s="63"/>
    </row>
    <row r="34742" spans="9:10" x14ac:dyDescent="0.35">
      <c r="I34742" s="63"/>
      <c r="J34742" s="63"/>
    </row>
    <row r="34743" spans="9:10" x14ac:dyDescent="0.35">
      <c r="I34743" s="63"/>
      <c r="J34743" s="63"/>
    </row>
    <row r="34744" spans="9:10" x14ac:dyDescent="0.35">
      <c r="I34744" s="63"/>
      <c r="J34744" s="63"/>
    </row>
    <row r="34745" spans="9:10" x14ac:dyDescent="0.35">
      <c r="I34745" s="63"/>
      <c r="J34745" s="63"/>
    </row>
    <row r="34746" spans="9:10" x14ac:dyDescent="0.35">
      <c r="I34746" s="63"/>
      <c r="J34746" s="63"/>
    </row>
    <row r="34747" spans="9:10" x14ac:dyDescent="0.35">
      <c r="I34747" s="63"/>
      <c r="J34747" s="63"/>
    </row>
    <row r="34748" spans="9:10" x14ac:dyDescent="0.35">
      <c r="I34748" s="63"/>
      <c r="J34748" s="63"/>
    </row>
    <row r="34749" spans="9:10" x14ac:dyDescent="0.35">
      <c r="I34749" s="63"/>
      <c r="J34749" s="63"/>
    </row>
    <row r="34750" spans="9:10" x14ac:dyDescent="0.35">
      <c r="I34750" s="63"/>
      <c r="J34750" s="63"/>
    </row>
    <row r="34751" spans="9:10" x14ac:dyDescent="0.35">
      <c r="I34751" s="63"/>
      <c r="J34751" s="63"/>
    </row>
    <row r="34752" spans="9:10" x14ac:dyDescent="0.35">
      <c r="I34752" s="63"/>
      <c r="J34752" s="63"/>
    </row>
    <row r="34753" spans="9:10" x14ac:dyDescent="0.35">
      <c r="I34753" s="63"/>
      <c r="J34753" s="63"/>
    </row>
    <row r="34754" spans="9:10" x14ac:dyDescent="0.35">
      <c r="I34754" s="63"/>
      <c r="J34754" s="63"/>
    </row>
    <row r="34755" spans="9:10" x14ac:dyDescent="0.35">
      <c r="I34755" s="63"/>
      <c r="J34755" s="63"/>
    </row>
    <row r="34756" spans="9:10" x14ac:dyDescent="0.35">
      <c r="I34756" s="63"/>
      <c r="J34756" s="63"/>
    </row>
    <row r="34757" spans="9:10" x14ac:dyDescent="0.35">
      <c r="I34757" s="63"/>
      <c r="J34757" s="63"/>
    </row>
    <row r="34758" spans="9:10" x14ac:dyDescent="0.35">
      <c r="I34758" s="63"/>
      <c r="J34758" s="63"/>
    </row>
    <row r="34759" spans="9:10" x14ac:dyDescent="0.35">
      <c r="I34759" s="63"/>
      <c r="J34759" s="63"/>
    </row>
    <row r="34760" spans="9:10" x14ac:dyDescent="0.35">
      <c r="I34760" s="63"/>
      <c r="J34760" s="63"/>
    </row>
    <row r="34761" spans="9:10" x14ac:dyDescent="0.35">
      <c r="I34761" s="63"/>
      <c r="J34761" s="63"/>
    </row>
    <row r="34762" spans="9:10" x14ac:dyDescent="0.35">
      <c r="I34762" s="63"/>
      <c r="J34762" s="63"/>
    </row>
    <row r="34763" spans="9:10" x14ac:dyDescent="0.35">
      <c r="I34763" s="63"/>
      <c r="J34763" s="63"/>
    </row>
    <row r="34764" spans="9:10" x14ac:dyDescent="0.35">
      <c r="I34764" s="63"/>
      <c r="J34764" s="63"/>
    </row>
    <row r="34765" spans="9:10" x14ac:dyDescent="0.35">
      <c r="I34765" s="63"/>
      <c r="J34765" s="63"/>
    </row>
    <row r="34766" spans="9:10" x14ac:dyDescent="0.35">
      <c r="I34766" s="63"/>
      <c r="J34766" s="63"/>
    </row>
    <row r="34767" spans="9:10" x14ac:dyDescent="0.35">
      <c r="I34767" s="63"/>
      <c r="J34767" s="63"/>
    </row>
    <row r="34768" spans="9:10" x14ac:dyDescent="0.35">
      <c r="I34768" s="63"/>
      <c r="J34768" s="63"/>
    </row>
    <row r="34769" spans="9:10" x14ac:dyDescent="0.35">
      <c r="I34769" s="63"/>
      <c r="J34769" s="63"/>
    </row>
    <row r="34770" spans="9:10" x14ac:dyDescent="0.35">
      <c r="I34770" s="63"/>
      <c r="J34770" s="63"/>
    </row>
    <row r="34771" spans="9:10" x14ac:dyDescent="0.35">
      <c r="I34771" s="63"/>
      <c r="J34771" s="63"/>
    </row>
    <row r="34772" spans="9:10" x14ac:dyDescent="0.35">
      <c r="I34772" s="63"/>
      <c r="J34772" s="63"/>
    </row>
    <row r="34773" spans="9:10" x14ac:dyDescent="0.35">
      <c r="I34773" s="63"/>
      <c r="J34773" s="63"/>
    </row>
    <row r="34774" spans="9:10" x14ac:dyDescent="0.35">
      <c r="I34774" s="63"/>
      <c r="J34774" s="63"/>
    </row>
    <row r="34775" spans="9:10" x14ac:dyDescent="0.35">
      <c r="I34775" s="63"/>
      <c r="J34775" s="63"/>
    </row>
    <row r="34776" spans="9:10" x14ac:dyDescent="0.35">
      <c r="I34776" s="63"/>
      <c r="J34776" s="63"/>
    </row>
    <row r="34777" spans="9:10" x14ac:dyDescent="0.35">
      <c r="I34777" s="63"/>
      <c r="J34777" s="63"/>
    </row>
    <row r="34778" spans="9:10" x14ac:dyDescent="0.35">
      <c r="I34778" s="63"/>
      <c r="J34778" s="63"/>
    </row>
    <row r="34779" spans="9:10" x14ac:dyDescent="0.35">
      <c r="I34779" s="63"/>
      <c r="J34779" s="63"/>
    </row>
    <row r="34780" spans="9:10" x14ac:dyDescent="0.35">
      <c r="I34780" s="63"/>
      <c r="J34780" s="63"/>
    </row>
    <row r="34781" spans="9:10" x14ac:dyDescent="0.35">
      <c r="I34781" s="63"/>
      <c r="J34781" s="63"/>
    </row>
    <row r="34782" spans="9:10" x14ac:dyDescent="0.35">
      <c r="I34782" s="63"/>
      <c r="J34782" s="63"/>
    </row>
    <row r="34783" spans="9:10" x14ac:dyDescent="0.35">
      <c r="I34783" s="63"/>
      <c r="J34783" s="63"/>
    </row>
    <row r="34784" spans="9:10" x14ac:dyDescent="0.35">
      <c r="I34784" s="63"/>
      <c r="J34784" s="63"/>
    </row>
    <row r="34785" spans="9:10" x14ac:dyDescent="0.35">
      <c r="I34785" s="63"/>
      <c r="J34785" s="63"/>
    </row>
    <row r="34786" spans="9:10" x14ac:dyDescent="0.35">
      <c r="I34786" s="63"/>
      <c r="J34786" s="63"/>
    </row>
    <row r="34787" spans="9:10" x14ac:dyDescent="0.35">
      <c r="I34787" s="63"/>
      <c r="J34787" s="63"/>
    </row>
    <row r="34788" spans="9:10" x14ac:dyDescent="0.35">
      <c r="I34788" s="63"/>
      <c r="J34788" s="63"/>
    </row>
    <row r="34789" spans="9:10" x14ac:dyDescent="0.35">
      <c r="I34789" s="63"/>
      <c r="J34789" s="63"/>
    </row>
    <row r="34790" spans="9:10" x14ac:dyDescent="0.35">
      <c r="I34790" s="63"/>
      <c r="J34790" s="63"/>
    </row>
    <row r="34791" spans="9:10" x14ac:dyDescent="0.35">
      <c r="I34791" s="63"/>
      <c r="J34791" s="63"/>
    </row>
    <row r="34792" spans="9:10" x14ac:dyDescent="0.35">
      <c r="I34792" s="63"/>
      <c r="J34792" s="63"/>
    </row>
    <row r="34793" spans="9:10" x14ac:dyDescent="0.35">
      <c r="I34793" s="63"/>
      <c r="J34793" s="63"/>
    </row>
    <row r="34794" spans="9:10" x14ac:dyDescent="0.35">
      <c r="I34794" s="63"/>
      <c r="J34794" s="63"/>
    </row>
    <row r="34795" spans="9:10" x14ac:dyDescent="0.35">
      <c r="I34795" s="63"/>
      <c r="J34795" s="63"/>
    </row>
    <row r="34796" spans="9:10" x14ac:dyDescent="0.35">
      <c r="I34796" s="63"/>
      <c r="J34796" s="63"/>
    </row>
    <row r="34797" spans="9:10" x14ac:dyDescent="0.35">
      <c r="I34797" s="63"/>
      <c r="J34797" s="63"/>
    </row>
    <row r="34798" spans="9:10" x14ac:dyDescent="0.35">
      <c r="I34798" s="63"/>
      <c r="J34798" s="63"/>
    </row>
    <row r="34799" spans="9:10" x14ac:dyDescent="0.35">
      <c r="I34799" s="63"/>
      <c r="J34799" s="63"/>
    </row>
    <row r="34800" spans="9:10" x14ac:dyDescent="0.35">
      <c r="I34800" s="63"/>
      <c r="J34800" s="63"/>
    </row>
    <row r="34801" spans="9:10" x14ac:dyDescent="0.35">
      <c r="I34801" s="63"/>
      <c r="J34801" s="63"/>
    </row>
    <row r="34802" spans="9:10" x14ac:dyDescent="0.35">
      <c r="I34802" s="63"/>
      <c r="J34802" s="63"/>
    </row>
    <row r="34803" spans="9:10" x14ac:dyDescent="0.35">
      <c r="I34803" s="63"/>
      <c r="J34803" s="63"/>
    </row>
    <row r="34804" spans="9:10" x14ac:dyDescent="0.35">
      <c r="I34804" s="63"/>
      <c r="J34804" s="63"/>
    </row>
    <row r="34805" spans="9:10" x14ac:dyDescent="0.35">
      <c r="I34805" s="63"/>
      <c r="J34805" s="63"/>
    </row>
    <row r="34806" spans="9:10" x14ac:dyDescent="0.35">
      <c r="I34806" s="63"/>
      <c r="J34806" s="63"/>
    </row>
    <row r="34807" spans="9:10" x14ac:dyDescent="0.35">
      <c r="I34807" s="63"/>
      <c r="J34807" s="63"/>
    </row>
    <row r="34808" spans="9:10" x14ac:dyDescent="0.35">
      <c r="I34808" s="63"/>
      <c r="J34808" s="63"/>
    </row>
    <row r="34809" spans="9:10" x14ac:dyDescent="0.35">
      <c r="I34809" s="63"/>
      <c r="J34809" s="63"/>
    </row>
    <row r="34810" spans="9:10" x14ac:dyDescent="0.35">
      <c r="I34810" s="63"/>
      <c r="J34810" s="63"/>
    </row>
    <row r="34811" spans="9:10" x14ac:dyDescent="0.35">
      <c r="I34811" s="63"/>
      <c r="J34811" s="63"/>
    </row>
    <row r="34812" spans="9:10" x14ac:dyDescent="0.35">
      <c r="I34812" s="63"/>
      <c r="J34812" s="63"/>
    </row>
    <row r="34813" spans="9:10" x14ac:dyDescent="0.35">
      <c r="I34813" s="63"/>
      <c r="J34813" s="63"/>
    </row>
    <row r="34814" spans="9:10" x14ac:dyDescent="0.35">
      <c r="I34814" s="63"/>
      <c r="J34814" s="63"/>
    </row>
    <row r="34815" spans="9:10" x14ac:dyDescent="0.35">
      <c r="I34815" s="63"/>
      <c r="J34815" s="63"/>
    </row>
    <row r="34816" spans="9:10" x14ac:dyDescent="0.35">
      <c r="I34816" s="63"/>
      <c r="J34816" s="63"/>
    </row>
    <row r="34817" spans="9:10" x14ac:dyDescent="0.35">
      <c r="I34817" s="63"/>
      <c r="J34817" s="63"/>
    </row>
    <row r="34818" spans="9:10" x14ac:dyDescent="0.35">
      <c r="I34818" s="63"/>
      <c r="J34818" s="63"/>
    </row>
    <row r="34819" spans="9:10" x14ac:dyDescent="0.35">
      <c r="I34819" s="63"/>
      <c r="J34819" s="63"/>
    </row>
    <row r="34820" spans="9:10" x14ac:dyDescent="0.35">
      <c r="I34820" s="63"/>
      <c r="J34820" s="63"/>
    </row>
    <row r="34821" spans="9:10" x14ac:dyDescent="0.35">
      <c r="I34821" s="63"/>
      <c r="J34821" s="63"/>
    </row>
    <row r="34822" spans="9:10" x14ac:dyDescent="0.35">
      <c r="I34822" s="63"/>
      <c r="J34822" s="63"/>
    </row>
    <row r="34823" spans="9:10" x14ac:dyDescent="0.35">
      <c r="I34823" s="63"/>
      <c r="J34823" s="63"/>
    </row>
    <row r="34824" spans="9:10" x14ac:dyDescent="0.35">
      <c r="I34824" s="63"/>
      <c r="J34824" s="63"/>
    </row>
    <row r="34825" spans="9:10" x14ac:dyDescent="0.35">
      <c r="I34825" s="63"/>
      <c r="J34825" s="63"/>
    </row>
    <row r="34826" spans="9:10" x14ac:dyDescent="0.35">
      <c r="I34826" s="63"/>
      <c r="J34826" s="63"/>
    </row>
    <row r="34827" spans="9:10" x14ac:dyDescent="0.35">
      <c r="I34827" s="63"/>
      <c r="J34827" s="63"/>
    </row>
    <row r="34828" spans="9:10" x14ac:dyDescent="0.35">
      <c r="I34828" s="63"/>
      <c r="J34828" s="63"/>
    </row>
    <row r="34829" spans="9:10" x14ac:dyDescent="0.35">
      <c r="I34829" s="63"/>
      <c r="J34829" s="63"/>
    </row>
    <row r="34830" spans="9:10" x14ac:dyDescent="0.35">
      <c r="I34830" s="63"/>
      <c r="J34830" s="63"/>
    </row>
    <row r="34831" spans="9:10" x14ac:dyDescent="0.35">
      <c r="I34831" s="63"/>
      <c r="J34831" s="63"/>
    </row>
    <row r="34832" spans="9:10" x14ac:dyDescent="0.35">
      <c r="I34832" s="63"/>
      <c r="J34832" s="63"/>
    </row>
    <row r="34833" spans="9:10" x14ac:dyDescent="0.35">
      <c r="I34833" s="63"/>
      <c r="J34833" s="63"/>
    </row>
    <row r="34834" spans="9:10" x14ac:dyDescent="0.35">
      <c r="I34834" s="63"/>
      <c r="J34834" s="63"/>
    </row>
    <row r="34835" spans="9:10" x14ac:dyDescent="0.35">
      <c r="I34835" s="63"/>
      <c r="J34835" s="63"/>
    </row>
    <row r="34836" spans="9:10" x14ac:dyDescent="0.35">
      <c r="I34836" s="63"/>
      <c r="J34836" s="63"/>
    </row>
    <row r="34837" spans="9:10" x14ac:dyDescent="0.35">
      <c r="I34837" s="63"/>
      <c r="J34837" s="63"/>
    </row>
    <row r="34838" spans="9:10" x14ac:dyDescent="0.35">
      <c r="I34838" s="63"/>
      <c r="J34838" s="63"/>
    </row>
    <row r="34839" spans="9:10" x14ac:dyDescent="0.35">
      <c r="I34839" s="63"/>
      <c r="J34839" s="63"/>
    </row>
    <row r="34840" spans="9:10" x14ac:dyDescent="0.35">
      <c r="I34840" s="63"/>
      <c r="J34840" s="63"/>
    </row>
    <row r="34841" spans="9:10" x14ac:dyDescent="0.35">
      <c r="I34841" s="63"/>
      <c r="J34841" s="63"/>
    </row>
    <row r="34842" spans="9:10" x14ac:dyDescent="0.35">
      <c r="I34842" s="63"/>
      <c r="J34842" s="63"/>
    </row>
    <row r="34843" spans="9:10" x14ac:dyDescent="0.35">
      <c r="I34843" s="63"/>
      <c r="J34843" s="63"/>
    </row>
    <row r="34844" spans="9:10" x14ac:dyDescent="0.35">
      <c r="I34844" s="63"/>
      <c r="J34844" s="63"/>
    </row>
    <row r="34845" spans="9:10" x14ac:dyDescent="0.35">
      <c r="I34845" s="63"/>
      <c r="J34845" s="63"/>
    </row>
    <row r="34846" spans="9:10" x14ac:dyDescent="0.35">
      <c r="I34846" s="63"/>
      <c r="J34846" s="63"/>
    </row>
    <row r="34847" spans="9:10" x14ac:dyDescent="0.35">
      <c r="I34847" s="63"/>
      <c r="J34847" s="63"/>
    </row>
    <row r="34848" spans="9:10" x14ac:dyDescent="0.35">
      <c r="I34848" s="63"/>
      <c r="J34848" s="63"/>
    </row>
    <row r="34849" spans="9:10" x14ac:dyDescent="0.35">
      <c r="I34849" s="63"/>
      <c r="J34849" s="63"/>
    </row>
    <row r="34850" spans="9:10" x14ac:dyDescent="0.35">
      <c r="I34850" s="63"/>
      <c r="J34850" s="63"/>
    </row>
    <row r="34851" spans="9:10" x14ac:dyDescent="0.35">
      <c r="I34851" s="63"/>
      <c r="J34851" s="63"/>
    </row>
    <row r="34852" spans="9:10" x14ac:dyDescent="0.35">
      <c r="I34852" s="63"/>
      <c r="J34852" s="63"/>
    </row>
    <row r="34853" spans="9:10" x14ac:dyDescent="0.35">
      <c r="I34853" s="63"/>
      <c r="J34853" s="63"/>
    </row>
    <row r="34854" spans="9:10" x14ac:dyDescent="0.35">
      <c r="I34854" s="63"/>
      <c r="J34854" s="63"/>
    </row>
    <row r="34855" spans="9:10" x14ac:dyDescent="0.35">
      <c r="I34855" s="63"/>
      <c r="J34855" s="63"/>
    </row>
    <row r="34856" spans="9:10" x14ac:dyDescent="0.35">
      <c r="I34856" s="63"/>
      <c r="J34856" s="63"/>
    </row>
    <row r="34857" spans="9:10" x14ac:dyDescent="0.35">
      <c r="I34857" s="63"/>
      <c r="J34857" s="63"/>
    </row>
    <row r="34858" spans="9:10" x14ac:dyDescent="0.35">
      <c r="I34858" s="63"/>
      <c r="J34858" s="63"/>
    </row>
    <row r="34859" spans="9:10" x14ac:dyDescent="0.35">
      <c r="I34859" s="63"/>
      <c r="J34859" s="63"/>
    </row>
    <row r="34860" spans="9:10" x14ac:dyDescent="0.35">
      <c r="I34860" s="63"/>
      <c r="J34860" s="63"/>
    </row>
    <row r="34861" spans="9:10" x14ac:dyDescent="0.35">
      <c r="I34861" s="63"/>
      <c r="J34861" s="63"/>
    </row>
    <row r="34862" spans="9:10" x14ac:dyDescent="0.35">
      <c r="I34862" s="63"/>
      <c r="J34862" s="63"/>
    </row>
    <row r="34863" spans="9:10" x14ac:dyDescent="0.35">
      <c r="I34863" s="63"/>
      <c r="J34863" s="63"/>
    </row>
    <row r="34864" spans="9:10" x14ac:dyDescent="0.35">
      <c r="I34864" s="63"/>
      <c r="J34864" s="63"/>
    </row>
    <row r="34865" spans="9:10" x14ac:dyDescent="0.35">
      <c r="I34865" s="63"/>
      <c r="J34865" s="63"/>
    </row>
    <row r="34866" spans="9:10" x14ac:dyDescent="0.35">
      <c r="I34866" s="63"/>
      <c r="J34866" s="63"/>
    </row>
    <row r="34867" spans="9:10" x14ac:dyDescent="0.35">
      <c r="I34867" s="63"/>
      <c r="J34867" s="63"/>
    </row>
    <row r="34868" spans="9:10" x14ac:dyDescent="0.35">
      <c r="I34868" s="63"/>
      <c r="J34868" s="63"/>
    </row>
    <row r="34869" spans="9:10" x14ac:dyDescent="0.35">
      <c r="I34869" s="63"/>
      <c r="J34869" s="63"/>
    </row>
    <row r="34870" spans="9:10" x14ac:dyDescent="0.35">
      <c r="I34870" s="63"/>
      <c r="J34870" s="63"/>
    </row>
    <row r="34871" spans="9:10" x14ac:dyDescent="0.35">
      <c r="I34871" s="63"/>
      <c r="J34871" s="63"/>
    </row>
    <row r="34872" spans="9:10" x14ac:dyDescent="0.35">
      <c r="I34872" s="63"/>
      <c r="J34872" s="63"/>
    </row>
    <row r="34873" spans="9:10" x14ac:dyDescent="0.35">
      <c r="I34873" s="63"/>
      <c r="J34873" s="63"/>
    </row>
    <row r="34874" spans="9:10" x14ac:dyDescent="0.35">
      <c r="I34874" s="63"/>
      <c r="J34874" s="63"/>
    </row>
    <row r="34875" spans="9:10" x14ac:dyDescent="0.35">
      <c r="I34875" s="63"/>
      <c r="J34875" s="63"/>
    </row>
    <row r="34876" spans="9:10" x14ac:dyDescent="0.35">
      <c r="I34876" s="63"/>
      <c r="J34876" s="63"/>
    </row>
    <row r="34877" spans="9:10" x14ac:dyDescent="0.35">
      <c r="I34877" s="63"/>
      <c r="J34877" s="63"/>
    </row>
    <row r="34878" spans="9:10" x14ac:dyDescent="0.35">
      <c r="I34878" s="63"/>
      <c r="J34878" s="63"/>
    </row>
    <row r="34879" spans="9:10" x14ac:dyDescent="0.35">
      <c r="I34879" s="63"/>
      <c r="J34879" s="63"/>
    </row>
    <row r="34880" spans="9:10" x14ac:dyDescent="0.35">
      <c r="I34880" s="63"/>
      <c r="J34880" s="63"/>
    </row>
    <row r="34881" spans="9:10" x14ac:dyDescent="0.35">
      <c r="I34881" s="63"/>
      <c r="J34881" s="63"/>
    </row>
    <row r="34882" spans="9:10" x14ac:dyDescent="0.35">
      <c r="I34882" s="63"/>
      <c r="J34882" s="63"/>
    </row>
    <row r="34883" spans="9:10" x14ac:dyDescent="0.35">
      <c r="I34883" s="63"/>
      <c r="J34883" s="63"/>
    </row>
    <row r="34884" spans="9:10" x14ac:dyDescent="0.35">
      <c r="I34884" s="63"/>
      <c r="J34884" s="63"/>
    </row>
    <row r="34885" spans="9:10" x14ac:dyDescent="0.35">
      <c r="I34885" s="63"/>
      <c r="J34885" s="63"/>
    </row>
    <row r="34886" spans="9:10" x14ac:dyDescent="0.35">
      <c r="I34886" s="63"/>
      <c r="J34886" s="63"/>
    </row>
    <row r="34887" spans="9:10" x14ac:dyDescent="0.35">
      <c r="I34887" s="63"/>
      <c r="J34887" s="63"/>
    </row>
    <row r="34888" spans="9:10" x14ac:dyDescent="0.35">
      <c r="I34888" s="63"/>
      <c r="J34888" s="63"/>
    </row>
    <row r="34889" spans="9:10" x14ac:dyDescent="0.35">
      <c r="I34889" s="63"/>
      <c r="J34889" s="63"/>
    </row>
    <row r="34890" spans="9:10" x14ac:dyDescent="0.35">
      <c r="I34890" s="63"/>
      <c r="J34890" s="63"/>
    </row>
    <row r="34891" spans="9:10" x14ac:dyDescent="0.35">
      <c r="I34891" s="63"/>
      <c r="J34891" s="63"/>
    </row>
    <row r="34892" spans="9:10" x14ac:dyDescent="0.35">
      <c r="I34892" s="63"/>
      <c r="J34892" s="63"/>
    </row>
    <row r="34893" spans="9:10" x14ac:dyDescent="0.35">
      <c r="I34893" s="63"/>
      <c r="J34893" s="63"/>
    </row>
    <row r="34894" spans="9:10" x14ac:dyDescent="0.35">
      <c r="I34894" s="63"/>
      <c r="J34894" s="63"/>
    </row>
    <row r="34895" spans="9:10" x14ac:dyDescent="0.35">
      <c r="I34895" s="63"/>
      <c r="J34895" s="63"/>
    </row>
    <row r="34896" spans="9:10" x14ac:dyDescent="0.35">
      <c r="I34896" s="63"/>
      <c r="J34896" s="63"/>
    </row>
    <row r="34897" spans="9:10" x14ac:dyDescent="0.35">
      <c r="I34897" s="63"/>
      <c r="J34897" s="63"/>
    </row>
    <row r="34898" spans="9:10" x14ac:dyDescent="0.35">
      <c r="I34898" s="63"/>
      <c r="J34898" s="63"/>
    </row>
    <row r="34899" spans="9:10" x14ac:dyDescent="0.35">
      <c r="I34899" s="63"/>
      <c r="J34899" s="63"/>
    </row>
    <row r="34900" spans="9:10" x14ac:dyDescent="0.35">
      <c r="I34900" s="63"/>
      <c r="J34900" s="63"/>
    </row>
    <row r="34901" spans="9:10" x14ac:dyDescent="0.35">
      <c r="I34901" s="63"/>
      <c r="J34901" s="63"/>
    </row>
    <row r="34902" spans="9:10" x14ac:dyDescent="0.35">
      <c r="I34902" s="63"/>
      <c r="J34902" s="63"/>
    </row>
    <row r="34903" spans="9:10" x14ac:dyDescent="0.35">
      <c r="I34903" s="63"/>
      <c r="J34903" s="63"/>
    </row>
    <row r="34904" spans="9:10" x14ac:dyDescent="0.35">
      <c r="I34904" s="63"/>
      <c r="J34904" s="63"/>
    </row>
    <row r="34905" spans="9:10" x14ac:dyDescent="0.35">
      <c r="I34905" s="63"/>
      <c r="J34905" s="63"/>
    </row>
    <row r="34906" spans="9:10" x14ac:dyDescent="0.35">
      <c r="I34906" s="63"/>
      <c r="J34906" s="63"/>
    </row>
    <row r="34907" spans="9:10" x14ac:dyDescent="0.35">
      <c r="I34907" s="63"/>
      <c r="J34907" s="63"/>
    </row>
    <row r="34908" spans="9:10" x14ac:dyDescent="0.35">
      <c r="I34908" s="63"/>
      <c r="J34908" s="63"/>
    </row>
    <row r="34909" spans="9:10" x14ac:dyDescent="0.35">
      <c r="I34909" s="63"/>
      <c r="J34909" s="63"/>
    </row>
    <row r="34910" spans="9:10" x14ac:dyDescent="0.35">
      <c r="I34910" s="63"/>
      <c r="J34910" s="63"/>
    </row>
    <row r="34911" spans="9:10" x14ac:dyDescent="0.35">
      <c r="I34911" s="63"/>
      <c r="J34911" s="63"/>
    </row>
    <row r="34912" spans="9:10" x14ac:dyDescent="0.35">
      <c r="I34912" s="63"/>
      <c r="J34912" s="63"/>
    </row>
    <row r="34913" spans="9:10" x14ac:dyDescent="0.35">
      <c r="I34913" s="63"/>
      <c r="J34913" s="63"/>
    </row>
    <row r="34914" spans="9:10" x14ac:dyDescent="0.35">
      <c r="I34914" s="63"/>
      <c r="J34914" s="63"/>
    </row>
    <row r="34915" spans="9:10" x14ac:dyDescent="0.35">
      <c r="I34915" s="63"/>
      <c r="J34915" s="63"/>
    </row>
    <row r="34916" spans="9:10" x14ac:dyDescent="0.35">
      <c r="I34916" s="63"/>
      <c r="J34916" s="63"/>
    </row>
    <row r="34917" spans="9:10" x14ac:dyDescent="0.35">
      <c r="I34917" s="63"/>
      <c r="J34917" s="63"/>
    </row>
    <row r="34918" spans="9:10" x14ac:dyDescent="0.35">
      <c r="I34918" s="63"/>
      <c r="J34918" s="63"/>
    </row>
    <row r="34919" spans="9:10" x14ac:dyDescent="0.35">
      <c r="I34919" s="63"/>
      <c r="J34919" s="63"/>
    </row>
    <row r="34920" spans="9:10" x14ac:dyDescent="0.35">
      <c r="I34920" s="63"/>
      <c r="J34920" s="63"/>
    </row>
    <row r="34921" spans="9:10" x14ac:dyDescent="0.35">
      <c r="I34921" s="63"/>
      <c r="J34921" s="63"/>
    </row>
    <row r="34922" spans="9:10" x14ac:dyDescent="0.35">
      <c r="I34922" s="63"/>
      <c r="J34922" s="63"/>
    </row>
    <row r="34923" spans="9:10" x14ac:dyDescent="0.35">
      <c r="I34923" s="63"/>
      <c r="J34923" s="63"/>
    </row>
    <row r="34924" spans="9:10" x14ac:dyDescent="0.35">
      <c r="I34924" s="63"/>
      <c r="J34924" s="63"/>
    </row>
    <row r="34925" spans="9:10" x14ac:dyDescent="0.35">
      <c r="I34925" s="63"/>
      <c r="J34925" s="63"/>
    </row>
    <row r="34926" spans="9:10" x14ac:dyDescent="0.35">
      <c r="I34926" s="63"/>
      <c r="J34926" s="63"/>
    </row>
    <row r="34927" spans="9:10" x14ac:dyDescent="0.35">
      <c r="I34927" s="63"/>
      <c r="J34927" s="63"/>
    </row>
    <row r="34928" spans="9:10" x14ac:dyDescent="0.35">
      <c r="I34928" s="63"/>
      <c r="J34928" s="63"/>
    </row>
    <row r="34929" spans="9:10" x14ac:dyDescent="0.35">
      <c r="I34929" s="63"/>
      <c r="J34929" s="63"/>
    </row>
    <row r="34930" spans="9:10" x14ac:dyDescent="0.35">
      <c r="I34930" s="63"/>
      <c r="J34930" s="63"/>
    </row>
    <row r="34931" spans="9:10" x14ac:dyDescent="0.35">
      <c r="I34931" s="63"/>
      <c r="J34931" s="63"/>
    </row>
    <row r="34932" spans="9:10" x14ac:dyDescent="0.35">
      <c r="I34932" s="63"/>
      <c r="J34932" s="63"/>
    </row>
    <row r="34933" spans="9:10" x14ac:dyDescent="0.35">
      <c r="I34933" s="63"/>
      <c r="J34933" s="63"/>
    </row>
    <row r="34934" spans="9:10" x14ac:dyDescent="0.35">
      <c r="I34934" s="63"/>
      <c r="J34934" s="63"/>
    </row>
    <row r="34935" spans="9:10" x14ac:dyDescent="0.35">
      <c r="I34935" s="63"/>
      <c r="J34935" s="63"/>
    </row>
    <row r="34936" spans="9:10" x14ac:dyDescent="0.35">
      <c r="I34936" s="63"/>
      <c r="J34936" s="63"/>
    </row>
    <row r="34937" spans="9:10" x14ac:dyDescent="0.35">
      <c r="I34937" s="63"/>
      <c r="J34937" s="63"/>
    </row>
    <row r="34938" spans="9:10" x14ac:dyDescent="0.35">
      <c r="I34938" s="63"/>
      <c r="J34938" s="63"/>
    </row>
    <row r="34939" spans="9:10" x14ac:dyDescent="0.35">
      <c r="I34939" s="63"/>
      <c r="J34939" s="63"/>
    </row>
    <row r="34940" spans="9:10" x14ac:dyDescent="0.35">
      <c r="I34940" s="63"/>
      <c r="J34940" s="63"/>
    </row>
    <row r="34941" spans="9:10" x14ac:dyDescent="0.35">
      <c r="I34941" s="63"/>
      <c r="J34941" s="63"/>
    </row>
    <row r="34942" spans="9:10" x14ac:dyDescent="0.35">
      <c r="I34942" s="63"/>
      <c r="J34942" s="63"/>
    </row>
    <row r="34943" spans="9:10" x14ac:dyDescent="0.35">
      <c r="I34943" s="63"/>
      <c r="J34943" s="63"/>
    </row>
    <row r="34944" spans="9:10" x14ac:dyDescent="0.35">
      <c r="I34944" s="63"/>
      <c r="J34944" s="63"/>
    </row>
    <row r="34945" spans="9:10" x14ac:dyDescent="0.35">
      <c r="I34945" s="63"/>
      <c r="J34945" s="63"/>
    </row>
    <row r="34946" spans="9:10" x14ac:dyDescent="0.35">
      <c r="I34946" s="63"/>
      <c r="J34946" s="63"/>
    </row>
    <row r="34947" spans="9:10" x14ac:dyDescent="0.35">
      <c r="I34947" s="63"/>
      <c r="J34947" s="63"/>
    </row>
    <row r="34948" spans="9:10" x14ac:dyDescent="0.35">
      <c r="I34948" s="63"/>
      <c r="J34948" s="63"/>
    </row>
    <row r="34949" spans="9:10" x14ac:dyDescent="0.35">
      <c r="I34949" s="63"/>
      <c r="J34949" s="63"/>
    </row>
    <row r="34950" spans="9:10" x14ac:dyDescent="0.35">
      <c r="I34950" s="63"/>
      <c r="J34950" s="63"/>
    </row>
    <row r="34951" spans="9:10" x14ac:dyDescent="0.35">
      <c r="I34951" s="63"/>
      <c r="J34951" s="63"/>
    </row>
    <row r="34952" spans="9:10" x14ac:dyDescent="0.35">
      <c r="I34952" s="63"/>
      <c r="J34952" s="63"/>
    </row>
    <row r="34953" spans="9:10" x14ac:dyDescent="0.35">
      <c r="I34953" s="63"/>
      <c r="J34953" s="63"/>
    </row>
    <row r="34954" spans="9:10" x14ac:dyDescent="0.35">
      <c r="I34954" s="63"/>
      <c r="J34954" s="63"/>
    </row>
    <row r="34955" spans="9:10" x14ac:dyDescent="0.35">
      <c r="I34955" s="63"/>
      <c r="J34955" s="63"/>
    </row>
    <row r="34956" spans="9:10" x14ac:dyDescent="0.35">
      <c r="I34956" s="63"/>
      <c r="J34956" s="63"/>
    </row>
    <row r="34957" spans="9:10" x14ac:dyDescent="0.35">
      <c r="I34957" s="63"/>
      <c r="J34957" s="63"/>
    </row>
    <row r="34958" spans="9:10" x14ac:dyDescent="0.35">
      <c r="I34958" s="63"/>
      <c r="J34958" s="63"/>
    </row>
    <row r="34959" spans="9:10" x14ac:dyDescent="0.35">
      <c r="I34959" s="63"/>
      <c r="J34959" s="63"/>
    </row>
    <row r="34960" spans="9:10" x14ac:dyDescent="0.35">
      <c r="I34960" s="63"/>
      <c r="J34960" s="63"/>
    </row>
    <row r="34961" spans="9:10" x14ac:dyDescent="0.35">
      <c r="I34961" s="63"/>
      <c r="J34961" s="63"/>
    </row>
    <row r="34962" spans="9:10" x14ac:dyDescent="0.35">
      <c r="I34962" s="63"/>
      <c r="J34962" s="63"/>
    </row>
    <row r="34963" spans="9:10" x14ac:dyDescent="0.35">
      <c r="I34963" s="63"/>
      <c r="J34963" s="63"/>
    </row>
    <row r="34964" spans="9:10" x14ac:dyDescent="0.35">
      <c r="I34964" s="63"/>
      <c r="J34964" s="63"/>
    </row>
    <row r="34965" spans="9:10" x14ac:dyDescent="0.35">
      <c r="I34965" s="63"/>
      <c r="J34965" s="63"/>
    </row>
    <row r="34966" spans="9:10" x14ac:dyDescent="0.35">
      <c r="I34966" s="63"/>
      <c r="J34966" s="63"/>
    </row>
    <row r="34967" spans="9:10" x14ac:dyDescent="0.35">
      <c r="I34967" s="63"/>
      <c r="J34967" s="63"/>
    </row>
    <row r="34968" spans="9:10" x14ac:dyDescent="0.35">
      <c r="I34968" s="63"/>
      <c r="J34968" s="63"/>
    </row>
    <row r="34969" spans="9:10" x14ac:dyDescent="0.35">
      <c r="I34969" s="63"/>
      <c r="J34969" s="63"/>
    </row>
    <row r="34970" spans="9:10" x14ac:dyDescent="0.35">
      <c r="I34970" s="63"/>
      <c r="J34970" s="63"/>
    </row>
    <row r="34971" spans="9:10" x14ac:dyDescent="0.35">
      <c r="I34971" s="63"/>
      <c r="J34971" s="63"/>
    </row>
    <row r="34972" spans="9:10" x14ac:dyDescent="0.35">
      <c r="I34972" s="63"/>
      <c r="J34972" s="63"/>
    </row>
    <row r="34973" spans="9:10" x14ac:dyDescent="0.35">
      <c r="I34973" s="63"/>
      <c r="J34973" s="63"/>
    </row>
    <row r="34974" spans="9:10" x14ac:dyDescent="0.35">
      <c r="I34974" s="63"/>
      <c r="J34974" s="63"/>
    </row>
    <row r="34975" spans="9:10" x14ac:dyDescent="0.35">
      <c r="I34975" s="63"/>
      <c r="J34975" s="63"/>
    </row>
    <row r="34976" spans="9:10" x14ac:dyDescent="0.35">
      <c r="I34976" s="63"/>
      <c r="J34976" s="63"/>
    </row>
    <row r="34977" spans="9:10" x14ac:dyDescent="0.35">
      <c r="I34977" s="63"/>
      <c r="J34977" s="63"/>
    </row>
    <row r="34978" spans="9:10" x14ac:dyDescent="0.35">
      <c r="I34978" s="63"/>
      <c r="J34978" s="63"/>
    </row>
    <row r="34979" spans="9:10" x14ac:dyDescent="0.35">
      <c r="I34979" s="63"/>
      <c r="J34979" s="63"/>
    </row>
    <row r="34980" spans="9:10" x14ac:dyDescent="0.35">
      <c r="I34980" s="63"/>
      <c r="J34980" s="63"/>
    </row>
    <row r="34981" spans="9:10" x14ac:dyDescent="0.35">
      <c r="I34981" s="63"/>
      <c r="J34981" s="63"/>
    </row>
    <row r="34982" spans="9:10" x14ac:dyDescent="0.35">
      <c r="I34982" s="63"/>
      <c r="J34982" s="63"/>
    </row>
    <row r="34983" spans="9:10" x14ac:dyDescent="0.35">
      <c r="I34983" s="63"/>
      <c r="J34983" s="63"/>
    </row>
    <row r="34984" spans="9:10" x14ac:dyDescent="0.35">
      <c r="I34984" s="63"/>
      <c r="J34984" s="63"/>
    </row>
    <row r="34985" spans="9:10" x14ac:dyDescent="0.35">
      <c r="I34985" s="63"/>
      <c r="J34985" s="63"/>
    </row>
    <row r="34986" spans="9:10" x14ac:dyDescent="0.35">
      <c r="I34986" s="63"/>
      <c r="J34986" s="63"/>
    </row>
    <row r="34987" spans="9:10" x14ac:dyDescent="0.35">
      <c r="I34987" s="63"/>
      <c r="J34987" s="63"/>
    </row>
    <row r="34988" spans="9:10" x14ac:dyDescent="0.35">
      <c r="I34988" s="63"/>
      <c r="J34988" s="63"/>
    </row>
    <row r="34989" spans="9:10" x14ac:dyDescent="0.35">
      <c r="I34989" s="63"/>
      <c r="J34989" s="63"/>
    </row>
    <row r="34990" spans="9:10" x14ac:dyDescent="0.35">
      <c r="I34990" s="63"/>
      <c r="J34990" s="63"/>
    </row>
    <row r="34991" spans="9:10" x14ac:dyDescent="0.35">
      <c r="I34991" s="63"/>
      <c r="J34991" s="63"/>
    </row>
    <row r="34992" spans="9:10" x14ac:dyDescent="0.35">
      <c r="I34992" s="63"/>
      <c r="J34992" s="63"/>
    </row>
    <row r="34993" spans="9:10" x14ac:dyDescent="0.35">
      <c r="I34993" s="63"/>
      <c r="J34993" s="63"/>
    </row>
    <row r="34994" spans="9:10" x14ac:dyDescent="0.35">
      <c r="I34994" s="63"/>
      <c r="J34994" s="63"/>
    </row>
    <row r="34995" spans="9:10" x14ac:dyDescent="0.35">
      <c r="I34995" s="63"/>
      <c r="J34995" s="63"/>
    </row>
    <row r="34996" spans="9:10" x14ac:dyDescent="0.35">
      <c r="I34996" s="63"/>
      <c r="J34996" s="63"/>
    </row>
    <row r="34997" spans="9:10" x14ac:dyDescent="0.35">
      <c r="I34997" s="63"/>
      <c r="J34997" s="63"/>
    </row>
    <row r="34998" spans="9:10" x14ac:dyDescent="0.35">
      <c r="I34998" s="63"/>
      <c r="J34998" s="63"/>
    </row>
    <row r="34999" spans="9:10" x14ac:dyDescent="0.35">
      <c r="I34999" s="63"/>
      <c r="J34999" s="63"/>
    </row>
    <row r="35000" spans="9:10" x14ac:dyDescent="0.35">
      <c r="I35000" s="63"/>
      <c r="J35000" s="63"/>
    </row>
    <row r="35001" spans="9:10" x14ac:dyDescent="0.35">
      <c r="I35001" s="63"/>
      <c r="J35001" s="63"/>
    </row>
    <row r="35002" spans="9:10" x14ac:dyDescent="0.35">
      <c r="I35002" s="63"/>
      <c r="J35002" s="63"/>
    </row>
    <row r="35003" spans="9:10" x14ac:dyDescent="0.35">
      <c r="I35003" s="63"/>
      <c r="J35003" s="63"/>
    </row>
    <row r="35004" spans="9:10" x14ac:dyDescent="0.35">
      <c r="I35004" s="63"/>
      <c r="J35004" s="63"/>
    </row>
    <row r="35005" spans="9:10" x14ac:dyDescent="0.35">
      <c r="I35005" s="63"/>
      <c r="J35005" s="63"/>
    </row>
    <row r="35006" spans="9:10" x14ac:dyDescent="0.35">
      <c r="I35006" s="63"/>
      <c r="J35006" s="63"/>
    </row>
    <row r="35007" spans="9:10" x14ac:dyDescent="0.35">
      <c r="I35007" s="63"/>
      <c r="J35007" s="63"/>
    </row>
    <row r="35008" spans="9:10" x14ac:dyDescent="0.35">
      <c r="I35008" s="63"/>
      <c r="J35008" s="63"/>
    </row>
    <row r="35009" spans="9:10" x14ac:dyDescent="0.35">
      <c r="I35009" s="63"/>
      <c r="J35009" s="63"/>
    </row>
    <row r="35010" spans="9:10" x14ac:dyDescent="0.35">
      <c r="I35010" s="63"/>
      <c r="J35010" s="63"/>
    </row>
    <row r="35011" spans="9:10" x14ac:dyDescent="0.35">
      <c r="I35011" s="63"/>
      <c r="J35011" s="63"/>
    </row>
    <row r="35012" spans="9:10" x14ac:dyDescent="0.35">
      <c r="I35012" s="63"/>
      <c r="J35012" s="63"/>
    </row>
    <row r="35013" spans="9:10" x14ac:dyDescent="0.35">
      <c r="I35013" s="63"/>
      <c r="J35013" s="63"/>
    </row>
    <row r="35014" spans="9:10" x14ac:dyDescent="0.35">
      <c r="I35014" s="63"/>
      <c r="J35014" s="63"/>
    </row>
    <row r="35015" spans="9:10" x14ac:dyDescent="0.35">
      <c r="I35015" s="63"/>
      <c r="J35015" s="63"/>
    </row>
    <row r="35016" spans="9:10" x14ac:dyDescent="0.35">
      <c r="I35016" s="63"/>
      <c r="J35016" s="63"/>
    </row>
    <row r="35017" spans="9:10" x14ac:dyDescent="0.35">
      <c r="I35017" s="63"/>
      <c r="J35017" s="63"/>
    </row>
    <row r="35018" spans="9:10" x14ac:dyDescent="0.35">
      <c r="I35018" s="63"/>
      <c r="J35018" s="63"/>
    </row>
    <row r="35019" spans="9:10" x14ac:dyDescent="0.35">
      <c r="I35019" s="63"/>
      <c r="J35019" s="63"/>
    </row>
    <row r="35020" spans="9:10" x14ac:dyDescent="0.35">
      <c r="I35020" s="63"/>
      <c r="J35020" s="63"/>
    </row>
    <row r="35021" spans="9:10" x14ac:dyDescent="0.35">
      <c r="I35021" s="63"/>
      <c r="J35021" s="63"/>
    </row>
    <row r="35022" spans="9:10" x14ac:dyDescent="0.35">
      <c r="I35022" s="63"/>
      <c r="J35022" s="63"/>
    </row>
    <row r="35023" spans="9:10" x14ac:dyDescent="0.35">
      <c r="I35023" s="63"/>
      <c r="J35023" s="63"/>
    </row>
    <row r="35024" spans="9:10" x14ac:dyDescent="0.35">
      <c r="I35024" s="63"/>
      <c r="J35024" s="63"/>
    </row>
    <row r="35025" spans="9:10" x14ac:dyDescent="0.35">
      <c r="I35025" s="63"/>
      <c r="J35025" s="63"/>
    </row>
    <row r="35026" spans="9:10" x14ac:dyDescent="0.35">
      <c r="I35026" s="63"/>
      <c r="J35026" s="63"/>
    </row>
    <row r="35027" spans="9:10" x14ac:dyDescent="0.35">
      <c r="I35027" s="63"/>
      <c r="J35027" s="63"/>
    </row>
    <row r="35028" spans="9:10" x14ac:dyDescent="0.35">
      <c r="I35028" s="63"/>
      <c r="J35028" s="63"/>
    </row>
    <row r="35029" spans="9:10" x14ac:dyDescent="0.35">
      <c r="I35029" s="63"/>
      <c r="J35029" s="63"/>
    </row>
    <row r="35030" spans="9:10" x14ac:dyDescent="0.35">
      <c r="I35030" s="63"/>
      <c r="J35030" s="63"/>
    </row>
    <row r="35031" spans="9:10" x14ac:dyDescent="0.35">
      <c r="I35031" s="63"/>
      <c r="J35031" s="63"/>
    </row>
    <row r="35032" spans="9:10" x14ac:dyDescent="0.35">
      <c r="I35032" s="63"/>
      <c r="J35032" s="63"/>
    </row>
    <row r="35033" spans="9:10" x14ac:dyDescent="0.35">
      <c r="I35033" s="63"/>
      <c r="J35033" s="63"/>
    </row>
    <row r="35034" spans="9:10" x14ac:dyDescent="0.35">
      <c r="I35034" s="63"/>
      <c r="J35034" s="63"/>
    </row>
    <row r="35035" spans="9:10" x14ac:dyDescent="0.35">
      <c r="I35035" s="63"/>
      <c r="J35035" s="63"/>
    </row>
    <row r="35036" spans="9:10" x14ac:dyDescent="0.35">
      <c r="I35036" s="63"/>
      <c r="J35036" s="63"/>
    </row>
    <row r="35037" spans="9:10" x14ac:dyDescent="0.35">
      <c r="I35037" s="63"/>
      <c r="J35037" s="63"/>
    </row>
    <row r="35038" spans="9:10" x14ac:dyDescent="0.35">
      <c r="I35038" s="63"/>
      <c r="J35038" s="63"/>
    </row>
    <row r="35039" spans="9:10" x14ac:dyDescent="0.35">
      <c r="I35039" s="63"/>
      <c r="J35039" s="63"/>
    </row>
    <row r="35040" spans="9:10" x14ac:dyDescent="0.35">
      <c r="I35040" s="63"/>
      <c r="J35040" s="63"/>
    </row>
    <row r="35041" spans="9:10" x14ac:dyDescent="0.35">
      <c r="I35041" s="63"/>
      <c r="J35041" s="63"/>
    </row>
    <row r="35042" spans="9:10" x14ac:dyDescent="0.35">
      <c r="I35042" s="63"/>
      <c r="J35042" s="63"/>
    </row>
    <row r="35043" spans="9:10" x14ac:dyDescent="0.35">
      <c r="I35043" s="63"/>
      <c r="J35043" s="63"/>
    </row>
    <row r="35044" spans="9:10" x14ac:dyDescent="0.35">
      <c r="I35044" s="63"/>
      <c r="J35044" s="63"/>
    </row>
    <row r="35045" spans="9:10" x14ac:dyDescent="0.35">
      <c r="I35045" s="63"/>
      <c r="J35045" s="63"/>
    </row>
    <row r="35046" spans="9:10" x14ac:dyDescent="0.35">
      <c r="I35046" s="63"/>
      <c r="J35046" s="63"/>
    </row>
    <row r="35047" spans="9:10" x14ac:dyDescent="0.35">
      <c r="I35047" s="63"/>
      <c r="J35047" s="63"/>
    </row>
    <row r="35048" spans="9:10" x14ac:dyDescent="0.35">
      <c r="I35048" s="63"/>
      <c r="J35048" s="63"/>
    </row>
    <row r="35049" spans="9:10" x14ac:dyDescent="0.35">
      <c r="I35049" s="63"/>
      <c r="J35049" s="63"/>
    </row>
    <row r="35050" spans="9:10" x14ac:dyDescent="0.35">
      <c r="I35050" s="63"/>
      <c r="J35050" s="63"/>
    </row>
    <row r="35051" spans="9:10" x14ac:dyDescent="0.35">
      <c r="I35051" s="63"/>
      <c r="J35051" s="63"/>
    </row>
    <row r="35052" spans="9:10" x14ac:dyDescent="0.35">
      <c r="I35052" s="63"/>
      <c r="J35052" s="63"/>
    </row>
    <row r="35053" spans="9:10" x14ac:dyDescent="0.35">
      <c r="I35053" s="63"/>
      <c r="J35053" s="63"/>
    </row>
    <row r="35054" spans="9:10" x14ac:dyDescent="0.35">
      <c r="I35054" s="63"/>
      <c r="J35054" s="63"/>
    </row>
    <row r="35055" spans="9:10" x14ac:dyDescent="0.35">
      <c r="I35055" s="63"/>
      <c r="J35055" s="63"/>
    </row>
    <row r="35056" spans="9:10" x14ac:dyDescent="0.35">
      <c r="I35056" s="63"/>
      <c r="J35056" s="63"/>
    </row>
    <row r="35057" spans="9:10" x14ac:dyDescent="0.35">
      <c r="I35057" s="63"/>
      <c r="J35057" s="63"/>
    </row>
    <row r="35058" spans="9:10" x14ac:dyDescent="0.35">
      <c r="I35058" s="63"/>
      <c r="J35058" s="63"/>
    </row>
    <row r="35059" spans="9:10" x14ac:dyDescent="0.35">
      <c r="I35059" s="63"/>
      <c r="J35059" s="63"/>
    </row>
    <row r="35060" spans="9:10" x14ac:dyDescent="0.35">
      <c r="I35060" s="63"/>
      <c r="J35060" s="63"/>
    </row>
    <row r="35061" spans="9:10" x14ac:dyDescent="0.35">
      <c r="I35061" s="63"/>
      <c r="J35061" s="63"/>
    </row>
    <row r="35062" spans="9:10" x14ac:dyDescent="0.35">
      <c r="I35062" s="63"/>
      <c r="J35062" s="63"/>
    </row>
    <row r="35063" spans="9:10" x14ac:dyDescent="0.35">
      <c r="I35063" s="63"/>
      <c r="J35063" s="63"/>
    </row>
    <row r="35064" spans="9:10" x14ac:dyDescent="0.35">
      <c r="I35064" s="63"/>
      <c r="J35064" s="63"/>
    </row>
    <row r="35065" spans="9:10" x14ac:dyDescent="0.35">
      <c r="I35065" s="63"/>
      <c r="J35065" s="63"/>
    </row>
    <row r="35066" spans="9:10" x14ac:dyDescent="0.35">
      <c r="I35066" s="63"/>
      <c r="J35066" s="63"/>
    </row>
    <row r="35067" spans="9:10" x14ac:dyDescent="0.35">
      <c r="I35067" s="63"/>
      <c r="J35067" s="63"/>
    </row>
    <row r="35068" spans="9:10" x14ac:dyDescent="0.35">
      <c r="I35068" s="63"/>
      <c r="J35068" s="63"/>
    </row>
    <row r="35069" spans="9:10" x14ac:dyDescent="0.35">
      <c r="I35069" s="63"/>
      <c r="J35069" s="63"/>
    </row>
    <row r="35070" spans="9:10" x14ac:dyDescent="0.35">
      <c r="I35070" s="63"/>
      <c r="J35070" s="63"/>
    </row>
    <row r="35071" spans="9:10" x14ac:dyDescent="0.35">
      <c r="I35071" s="63"/>
      <c r="J35071" s="63"/>
    </row>
    <row r="35072" spans="9:10" x14ac:dyDescent="0.35">
      <c r="I35072" s="63"/>
      <c r="J35072" s="63"/>
    </row>
    <row r="35073" spans="9:10" x14ac:dyDescent="0.35">
      <c r="I35073" s="63"/>
      <c r="J35073" s="63"/>
    </row>
    <row r="35074" spans="9:10" x14ac:dyDescent="0.35">
      <c r="I35074" s="63"/>
      <c r="J35074" s="63"/>
    </row>
    <row r="35075" spans="9:10" x14ac:dyDescent="0.35">
      <c r="I35075" s="63"/>
      <c r="J35075" s="63"/>
    </row>
    <row r="35076" spans="9:10" x14ac:dyDescent="0.35">
      <c r="I35076" s="63"/>
      <c r="J35076" s="63"/>
    </row>
    <row r="35077" spans="9:10" x14ac:dyDescent="0.35">
      <c r="I35077" s="63"/>
      <c r="J35077" s="63"/>
    </row>
    <row r="35078" spans="9:10" x14ac:dyDescent="0.35">
      <c r="I35078" s="63"/>
      <c r="J35078" s="63"/>
    </row>
    <row r="35079" spans="9:10" x14ac:dyDescent="0.35">
      <c r="I35079" s="63"/>
      <c r="J35079" s="63"/>
    </row>
    <row r="35080" spans="9:10" x14ac:dyDescent="0.35">
      <c r="I35080" s="63"/>
      <c r="J35080" s="63"/>
    </row>
    <row r="35081" spans="9:10" x14ac:dyDescent="0.35">
      <c r="I35081" s="63"/>
      <c r="J35081" s="63"/>
    </row>
    <row r="35082" spans="9:10" x14ac:dyDescent="0.35">
      <c r="I35082" s="63"/>
      <c r="J35082" s="63"/>
    </row>
    <row r="35083" spans="9:10" x14ac:dyDescent="0.35">
      <c r="I35083" s="63"/>
      <c r="J35083" s="63"/>
    </row>
    <row r="35084" spans="9:10" x14ac:dyDescent="0.35">
      <c r="I35084" s="63"/>
      <c r="J35084" s="63"/>
    </row>
    <row r="35085" spans="9:10" x14ac:dyDescent="0.35">
      <c r="I35085" s="63"/>
      <c r="J35085" s="63"/>
    </row>
    <row r="35086" spans="9:10" x14ac:dyDescent="0.35">
      <c r="I35086" s="63"/>
      <c r="J35086" s="63"/>
    </row>
    <row r="35087" spans="9:10" x14ac:dyDescent="0.35">
      <c r="I35087" s="63"/>
      <c r="J35087" s="63"/>
    </row>
    <row r="35088" spans="9:10" x14ac:dyDescent="0.35">
      <c r="I35088" s="63"/>
      <c r="J35088" s="63"/>
    </row>
    <row r="35089" spans="9:10" x14ac:dyDescent="0.35">
      <c r="I35089" s="63"/>
      <c r="J35089" s="63"/>
    </row>
    <row r="35090" spans="9:10" x14ac:dyDescent="0.35">
      <c r="I35090" s="63"/>
      <c r="J35090" s="63"/>
    </row>
    <row r="35091" spans="9:10" x14ac:dyDescent="0.35">
      <c r="I35091" s="63"/>
      <c r="J35091" s="63"/>
    </row>
    <row r="35092" spans="9:10" x14ac:dyDescent="0.35">
      <c r="I35092" s="63"/>
      <c r="J35092" s="63"/>
    </row>
    <row r="35093" spans="9:10" x14ac:dyDescent="0.35">
      <c r="I35093" s="63"/>
      <c r="J35093" s="63"/>
    </row>
    <row r="35094" spans="9:10" x14ac:dyDescent="0.35">
      <c r="I35094" s="63"/>
      <c r="J35094" s="63"/>
    </row>
    <row r="35095" spans="9:10" x14ac:dyDescent="0.35">
      <c r="I35095" s="63"/>
      <c r="J35095" s="63"/>
    </row>
    <row r="35096" spans="9:10" x14ac:dyDescent="0.35">
      <c r="I35096" s="63"/>
      <c r="J35096" s="63"/>
    </row>
    <row r="35097" spans="9:10" x14ac:dyDescent="0.35">
      <c r="I35097" s="63"/>
      <c r="J35097" s="63"/>
    </row>
    <row r="35098" spans="9:10" x14ac:dyDescent="0.35">
      <c r="I35098" s="63"/>
      <c r="J35098" s="63"/>
    </row>
    <row r="35099" spans="9:10" x14ac:dyDescent="0.35">
      <c r="I35099" s="63"/>
      <c r="J35099" s="63"/>
    </row>
    <row r="35100" spans="9:10" x14ac:dyDescent="0.35">
      <c r="I35100" s="63"/>
      <c r="J35100" s="63"/>
    </row>
    <row r="35101" spans="9:10" x14ac:dyDescent="0.35">
      <c r="I35101" s="63"/>
      <c r="J35101" s="63"/>
    </row>
    <row r="35102" spans="9:10" x14ac:dyDescent="0.35">
      <c r="I35102" s="63"/>
      <c r="J35102" s="63"/>
    </row>
    <row r="35103" spans="9:10" x14ac:dyDescent="0.35">
      <c r="I35103" s="63"/>
      <c r="J35103" s="63"/>
    </row>
    <row r="35104" spans="9:10" x14ac:dyDescent="0.35">
      <c r="I35104" s="63"/>
      <c r="J35104" s="63"/>
    </row>
    <row r="35105" spans="9:10" x14ac:dyDescent="0.35">
      <c r="I35105" s="63"/>
      <c r="J35105" s="63"/>
    </row>
    <row r="35106" spans="9:10" x14ac:dyDescent="0.35">
      <c r="I35106" s="63"/>
      <c r="J35106" s="63"/>
    </row>
    <row r="35107" spans="9:10" x14ac:dyDescent="0.35">
      <c r="I35107" s="63"/>
      <c r="J35107" s="63"/>
    </row>
    <row r="35108" spans="9:10" x14ac:dyDescent="0.35">
      <c r="I35108" s="63"/>
      <c r="J35108" s="63"/>
    </row>
    <row r="35109" spans="9:10" x14ac:dyDescent="0.35">
      <c r="I35109" s="63"/>
      <c r="J35109" s="63"/>
    </row>
    <row r="35110" spans="9:10" x14ac:dyDescent="0.35">
      <c r="I35110" s="63"/>
      <c r="J35110" s="63"/>
    </row>
    <row r="35111" spans="9:10" x14ac:dyDescent="0.35">
      <c r="I35111" s="63"/>
      <c r="J35111" s="63"/>
    </row>
    <row r="35112" spans="9:10" x14ac:dyDescent="0.35">
      <c r="I35112" s="63"/>
      <c r="J35112" s="63"/>
    </row>
    <row r="35113" spans="9:10" x14ac:dyDescent="0.35">
      <c r="I35113" s="63"/>
      <c r="J35113" s="63"/>
    </row>
    <row r="35114" spans="9:10" x14ac:dyDescent="0.35">
      <c r="I35114" s="63"/>
      <c r="J35114" s="63"/>
    </row>
    <row r="35115" spans="9:10" x14ac:dyDescent="0.35">
      <c r="I35115" s="63"/>
      <c r="J35115" s="63"/>
    </row>
    <row r="35116" spans="9:10" x14ac:dyDescent="0.35">
      <c r="I35116" s="63"/>
      <c r="J35116" s="63"/>
    </row>
    <row r="35117" spans="9:10" x14ac:dyDescent="0.35">
      <c r="I35117" s="63"/>
      <c r="J35117" s="63"/>
    </row>
    <row r="35118" spans="9:10" x14ac:dyDescent="0.35">
      <c r="I35118" s="63"/>
      <c r="J35118" s="63"/>
    </row>
    <row r="35119" spans="9:10" x14ac:dyDescent="0.35">
      <c r="I35119" s="63"/>
      <c r="J35119" s="63"/>
    </row>
    <row r="35120" spans="9:10" x14ac:dyDescent="0.35">
      <c r="I35120" s="63"/>
      <c r="J35120" s="63"/>
    </row>
    <row r="35121" spans="9:10" x14ac:dyDescent="0.35">
      <c r="I35121" s="63"/>
      <c r="J35121" s="63"/>
    </row>
    <row r="35122" spans="9:10" x14ac:dyDescent="0.35">
      <c r="I35122" s="63"/>
      <c r="J35122" s="63"/>
    </row>
    <row r="35123" spans="9:10" x14ac:dyDescent="0.35">
      <c r="I35123" s="63"/>
      <c r="J35123" s="63"/>
    </row>
    <row r="35124" spans="9:10" x14ac:dyDescent="0.35">
      <c r="I35124" s="63"/>
      <c r="J35124" s="63"/>
    </row>
    <row r="35125" spans="9:10" x14ac:dyDescent="0.35">
      <c r="I35125" s="63"/>
      <c r="J35125" s="63"/>
    </row>
    <row r="35126" spans="9:10" x14ac:dyDescent="0.35">
      <c r="I35126" s="63"/>
      <c r="J35126" s="63"/>
    </row>
    <row r="35127" spans="9:10" x14ac:dyDescent="0.35">
      <c r="I35127" s="63"/>
      <c r="J35127" s="63"/>
    </row>
    <row r="35128" spans="9:10" x14ac:dyDescent="0.35">
      <c r="I35128" s="63"/>
      <c r="J35128" s="63"/>
    </row>
    <row r="35129" spans="9:10" x14ac:dyDescent="0.35">
      <c r="I35129" s="63"/>
      <c r="J35129" s="63"/>
    </row>
    <row r="35130" spans="9:10" x14ac:dyDescent="0.35">
      <c r="I35130" s="63"/>
      <c r="J35130" s="63"/>
    </row>
    <row r="35131" spans="9:10" x14ac:dyDescent="0.35">
      <c r="I35131" s="63"/>
      <c r="J35131" s="63"/>
    </row>
    <row r="35132" spans="9:10" x14ac:dyDescent="0.35">
      <c r="I35132" s="63"/>
      <c r="J35132" s="63"/>
    </row>
    <row r="35133" spans="9:10" x14ac:dyDescent="0.35">
      <c r="I35133" s="63"/>
      <c r="J35133" s="63"/>
    </row>
    <row r="35134" spans="9:10" x14ac:dyDescent="0.35">
      <c r="I35134" s="63"/>
      <c r="J35134" s="63"/>
    </row>
    <row r="35135" spans="9:10" x14ac:dyDescent="0.35">
      <c r="I35135" s="63"/>
      <c r="J35135" s="63"/>
    </row>
    <row r="35136" spans="9:10" x14ac:dyDescent="0.35">
      <c r="I35136" s="63"/>
      <c r="J35136" s="63"/>
    </row>
    <row r="35137" spans="9:10" x14ac:dyDescent="0.35">
      <c r="I35137" s="63"/>
      <c r="J35137" s="63"/>
    </row>
    <row r="35138" spans="9:10" x14ac:dyDescent="0.35">
      <c r="I35138" s="63"/>
      <c r="J35138" s="63"/>
    </row>
    <row r="35139" spans="9:10" x14ac:dyDescent="0.35">
      <c r="I35139" s="63"/>
      <c r="J35139" s="63"/>
    </row>
    <row r="35140" spans="9:10" x14ac:dyDescent="0.35">
      <c r="I35140" s="63"/>
      <c r="J35140" s="63"/>
    </row>
    <row r="35141" spans="9:10" x14ac:dyDescent="0.35">
      <c r="I35141" s="63"/>
      <c r="J35141" s="63"/>
    </row>
    <row r="35142" spans="9:10" x14ac:dyDescent="0.35">
      <c r="I35142" s="63"/>
      <c r="J35142" s="63"/>
    </row>
    <row r="35143" spans="9:10" x14ac:dyDescent="0.35">
      <c r="I35143" s="63"/>
      <c r="J35143" s="63"/>
    </row>
    <row r="35144" spans="9:10" x14ac:dyDescent="0.35">
      <c r="I35144" s="63"/>
      <c r="J35144" s="63"/>
    </row>
    <row r="35145" spans="9:10" x14ac:dyDescent="0.35">
      <c r="I35145" s="63"/>
      <c r="J35145" s="63"/>
    </row>
    <row r="35146" spans="9:10" x14ac:dyDescent="0.35">
      <c r="I35146" s="63"/>
      <c r="J35146" s="63"/>
    </row>
    <row r="35147" spans="9:10" x14ac:dyDescent="0.35">
      <c r="I35147" s="63"/>
      <c r="J35147" s="63"/>
    </row>
    <row r="35148" spans="9:10" x14ac:dyDescent="0.35">
      <c r="I35148" s="63"/>
      <c r="J35148" s="63"/>
    </row>
    <row r="35149" spans="9:10" x14ac:dyDescent="0.35">
      <c r="I35149" s="63"/>
      <c r="J35149" s="63"/>
    </row>
    <row r="35150" spans="9:10" x14ac:dyDescent="0.35">
      <c r="I35150" s="63"/>
      <c r="J35150" s="63"/>
    </row>
    <row r="35151" spans="9:10" x14ac:dyDescent="0.35">
      <c r="I35151" s="63"/>
      <c r="J35151" s="63"/>
    </row>
    <row r="35152" spans="9:10" x14ac:dyDescent="0.35">
      <c r="I35152" s="63"/>
      <c r="J35152" s="63"/>
    </row>
    <row r="35153" spans="9:10" x14ac:dyDescent="0.35">
      <c r="I35153" s="63"/>
      <c r="J35153" s="63"/>
    </row>
    <row r="35154" spans="9:10" x14ac:dyDescent="0.35">
      <c r="I35154" s="63"/>
      <c r="J35154" s="63"/>
    </row>
    <row r="35155" spans="9:10" x14ac:dyDescent="0.35">
      <c r="I35155" s="63"/>
      <c r="J35155" s="63"/>
    </row>
    <row r="35156" spans="9:10" x14ac:dyDescent="0.35">
      <c r="I35156" s="63"/>
      <c r="J35156" s="63"/>
    </row>
    <row r="35157" spans="9:10" x14ac:dyDescent="0.35">
      <c r="I35157" s="63"/>
      <c r="J35157" s="63"/>
    </row>
    <row r="35158" spans="9:10" x14ac:dyDescent="0.35">
      <c r="I35158" s="63"/>
      <c r="J35158" s="63"/>
    </row>
    <row r="35159" spans="9:10" x14ac:dyDescent="0.35">
      <c r="I35159" s="63"/>
      <c r="J35159" s="63"/>
    </row>
    <row r="35160" spans="9:10" x14ac:dyDescent="0.35">
      <c r="I35160" s="63"/>
      <c r="J35160" s="63"/>
    </row>
    <row r="35161" spans="9:10" x14ac:dyDescent="0.35">
      <c r="I35161" s="63"/>
      <c r="J35161" s="63"/>
    </row>
    <row r="35162" spans="9:10" x14ac:dyDescent="0.35">
      <c r="I35162" s="63"/>
      <c r="J35162" s="63"/>
    </row>
    <row r="35163" spans="9:10" x14ac:dyDescent="0.35">
      <c r="I35163" s="63"/>
      <c r="J35163" s="63"/>
    </row>
    <row r="35164" spans="9:10" x14ac:dyDescent="0.35">
      <c r="I35164" s="63"/>
      <c r="J35164" s="63"/>
    </row>
    <row r="35165" spans="9:10" x14ac:dyDescent="0.35">
      <c r="I35165" s="63"/>
      <c r="J35165" s="63"/>
    </row>
    <row r="35166" spans="9:10" x14ac:dyDescent="0.35">
      <c r="I35166" s="63"/>
      <c r="J35166" s="63"/>
    </row>
    <row r="35167" spans="9:10" x14ac:dyDescent="0.35">
      <c r="I35167" s="63"/>
      <c r="J35167" s="63"/>
    </row>
    <row r="35168" spans="9:10" x14ac:dyDescent="0.35">
      <c r="I35168" s="63"/>
      <c r="J35168" s="63"/>
    </row>
    <row r="35169" spans="9:10" x14ac:dyDescent="0.35">
      <c r="I35169" s="63"/>
      <c r="J35169" s="63"/>
    </row>
    <row r="35170" spans="9:10" x14ac:dyDescent="0.35">
      <c r="I35170" s="63"/>
      <c r="J35170" s="63"/>
    </row>
    <row r="35171" spans="9:10" x14ac:dyDescent="0.35">
      <c r="I35171" s="63"/>
      <c r="J35171" s="63"/>
    </row>
    <row r="35172" spans="9:10" x14ac:dyDescent="0.35">
      <c r="I35172" s="63"/>
      <c r="J35172" s="63"/>
    </row>
    <row r="35173" spans="9:10" x14ac:dyDescent="0.35">
      <c r="I35173" s="63"/>
      <c r="J35173" s="63"/>
    </row>
    <row r="35174" spans="9:10" x14ac:dyDescent="0.35">
      <c r="I35174" s="63"/>
      <c r="J35174" s="63"/>
    </row>
    <row r="35175" spans="9:10" x14ac:dyDescent="0.35">
      <c r="I35175" s="63"/>
      <c r="J35175" s="63"/>
    </row>
    <row r="35176" spans="9:10" x14ac:dyDescent="0.35">
      <c r="I35176" s="63"/>
      <c r="J35176" s="63"/>
    </row>
    <row r="35177" spans="9:10" x14ac:dyDescent="0.35">
      <c r="I35177" s="63"/>
      <c r="J35177" s="63"/>
    </row>
    <row r="35178" spans="9:10" x14ac:dyDescent="0.35">
      <c r="I35178" s="63"/>
      <c r="J35178" s="63"/>
    </row>
    <row r="35179" spans="9:10" x14ac:dyDescent="0.35">
      <c r="I35179" s="63"/>
      <c r="J35179" s="63"/>
    </row>
    <row r="35180" spans="9:10" x14ac:dyDescent="0.35">
      <c r="I35180" s="63"/>
      <c r="J35180" s="63"/>
    </row>
    <row r="35181" spans="9:10" x14ac:dyDescent="0.35">
      <c r="I35181" s="63"/>
      <c r="J35181" s="63"/>
    </row>
    <row r="35182" spans="9:10" x14ac:dyDescent="0.35">
      <c r="I35182" s="63"/>
      <c r="J35182" s="63"/>
    </row>
    <row r="35183" spans="9:10" x14ac:dyDescent="0.35">
      <c r="I35183" s="63"/>
      <c r="J35183" s="63"/>
    </row>
    <row r="35184" spans="9:10" x14ac:dyDescent="0.35">
      <c r="I35184" s="63"/>
      <c r="J35184" s="63"/>
    </row>
    <row r="35185" spans="9:10" x14ac:dyDescent="0.35">
      <c r="I35185" s="63"/>
      <c r="J35185" s="63"/>
    </row>
    <row r="35186" spans="9:10" x14ac:dyDescent="0.35">
      <c r="I35186" s="63"/>
      <c r="J35186" s="63"/>
    </row>
    <row r="35187" spans="9:10" x14ac:dyDescent="0.35">
      <c r="I35187" s="63"/>
      <c r="J35187" s="63"/>
    </row>
    <row r="35188" spans="9:10" x14ac:dyDescent="0.35">
      <c r="I35188" s="63"/>
      <c r="J35188" s="63"/>
    </row>
    <row r="35189" spans="9:10" x14ac:dyDescent="0.35">
      <c r="I35189" s="63"/>
      <c r="J35189" s="63"/>
    </row>
    <row r="35190" spans="9:10" x14ac:dyDescent="0.35">
      <c r="I35190" s="63"/>
      <c r="J35190" s="63"/>
    </row>
    <row r="35191" spans="9:10" x14ac:dyDescent="0.35">
      <c r="I35191" s="63"/>
      <c r="J35191" s="63"/>
    </row>
    <row r="35192" spans="9:10" x14ac:dyDescent="0.35">
      <c r="I35192" s="63"/>
      <c r="J35192" s="63"/>
    </row>
    <row r="35193" spans="9:10" x14ac:dyDescent="0.35">
      <c r="I35193" s="63"/>
      <c r="J35193" s="63"/>
    </row>
    <row r="35194" spans="9:10" x14ac:dyDescent="0.35">
      <c r="I35194" s="63"/>
      <c r="J35194" s="63"/>
    </row>
    <row r="35195" spans="9:10" x14ac:dyDescent="0.35">
      <c r="I35195" s="63"/>
      <c r="J35195" s="63"/>
    </row>
    <row r="35196" spans="9:10" x14ac:dyDescent="0.35">
      <c r="I35196" s="63"/>
      <c r="J35196" s="63"/>
    </row>
    <row r="35197" spans="9:10" x14ac:dyDescent="0.35">
      <c r="I35197" s="63"/>
      <c r="J35197" s="63"/>
    </row>
    <row r="35198" spans="9:10" x14ac:dyDescent="0.35">
      <c r="I35198" s="63"/>
      <c r="J35198" s="63"/>
    </row>
    <row r="35199" spans="9:10" x14ac:dyDescent="0.35">
      <c r="I35199" s="63"/>
      <c r="J35199" s="63"/>
    </row>
    <row r="35200" spans="9:10" x14ac:dyDescent="0.35">
      <c r="I35200" s="63"/>
      <c r="J35200" s="63"/>
    </row>
    <row r="35201" spans="9:10" x14ac:dyDescent="0.35">
      <c r="I35201" s="63"/>
      <c r="J35201" s="63"/>
    </row>
    <row r="35202" spans="9:10" x14ac:dyDescent="0.35">
      <c r="I35202" s="63"/>
      <c r="J35202" s="63"/>
    </row>
    <row r="35203" spans="9:10" x14ac:dyDescent="0.35">
      <c r="I35203" s="63"/>
      <c r="J35203" s="63"/>
    </row>
    <row r="35204" spans="9:10" x14ac:dyDescent="0.35">
      <c r="I35204" s="63"/>
      <c r="J35204" s="63"/>
    </row>
    <row r="35205" spans="9:10" x14ac:dyDescent="0.35">
      <c r="I35205" s="63"/>
      <c r="J35205" s="63"/>
    </row>
    <row r="35206" spans="9:10" x14ac:dyDescent="0.35">
      <c r="I35206" s="63"/>
      <c r="J35206" s="63"/>
    </row>
    <row r="35207" spans="9:10" x14ac:dyDescent="0.35">
      <c r="I35207" s="63"/>
      <c r="J35207" s="63"/>
    </row>
    <row r="35208" spans="9:10" x14ac:dyDescent="0.35">
      <c r="I35208" s="63"/>
      <c r="J35208" s="63"/>
    </row>
    <row r="35209" spans="9:10" x14ac:dyDescent="0.35">
      <c r="I35209" s="63"/>
      <c r="J35209" s="63"/>
    </row>
    <row r="35210" spans="9:10" x14ac:dyDescent="0.35">
      <c r="I35210" s="63"/>
      <c r="J35210" s="63"/>
    </row>
    <row r="35211" spans="9:10" x14ac:dyDescent="0.35">
      <c r="I35211" s="63"/>
      <c r="J35211" s="63"/>
    </row>
    <row r="35212" spans="9:10" x14ac:dyDescent="0.35">
      <c r="I35212" s="63"/>
      <c r="J35212" s="63"/>
    </row>
    <row r="35213" spans="9:10" x14ac:dyDescent="0.35">
      <c r="I35213" s="63"/>
      <c r="J35213" s="63"/>
    </row>
    <row r="35214" spans="9:10" x14ac:dyDescent="0.35">
      <c r="I35214" s="63"/>
      <c r="J35214" s="63"/>
    </row>
    <row r="35215" spans="9:10" x14ac:dyDescent="0.35">
      <c r="I35215" s="63"/>
      <c r="J35215" s="63"/>
    </row>
    <row r="35216" spans="9:10" x14ac:dyDescent="0.35">
      <c r="I35216" s="63"/>
      <c r="J35216" s="63"/>
    </row>
    <row r="35217" spans="9:10" x14ac:dyDescent="0.35">
      <c r="I35217" s="63"/>
      <c r="J35217" s="63"/>
    </row>
    <row r="35218" spans="9:10" x14ac:dyDescent="0.35">
      <c r="I35218" s="63"/>
      <c r="J35218" s="63"/>
    </row>
    <row r="35219" spans="9:10" x14ac:dyDescent="0.35">
      <c r="I35219" s="63"/>
      <c r="J35219" s="63"/>
    </row>
    <row r="35220" spans="9:10" x14ac:dyDescent="0.35">
      <c r="I35220" s="63"/>
      <c r="J35220" s="63"/>
    </row>
    <row r="35221" spans="9:10" x14ac:dyDescent="0.35">
      <c r="I35221" s="63"/>
      <c r="J35221" s="63"/>
    </row>
    <row r="35222" spans="9:10" x14ac:dyDescent="0.35">
      <c r="I35222" s="63"/>
      <c r="J35222" s="63"/>
    </row>
    <row r="35223" spans="9:10" x14ac:dyDescent="0.35">
      <c r="I35223" s="63"/>
      <c r="J35223" s="63"/>
    </row>
    <row r="35224" spans="9:10" x14ac:dyDescent="0.35">
      <c r="I35224" s="63"/>
      <c r="J35224" s="63"/>
    </row>
    <row r="35225" spans="9:10" x14ac:dyDescent="0.35">
      <c r="I35225" s="63"/>
      <c r="J35225" s="63"/>
    </row>
    <row r="35226" spans="9:10" x14ac:dyDescent="0.35">
      <c r="I35226" s="63"/>
      <c r="J35226" s="63"/>
    </row>
    <row r="35227" spans="9:10" x14ac:dyDescent="0.35">
      <c r="I35227" s="63"/>
      <c r="J35227" s="63"/>
    </row>
    <row r="35228" spans="9:10" x14ac:dyDescent="0.35">
      <c r="I35228" s="63"/>
      <c r="J35228" s="63"/>
    </row>
    <row r="35229" spans="9:10" x14ac:dyDescent="0.35">
      <c r="I35229" s="63"/>
      <c r="J35229" s="63"/>
    </row>
    <row r="35230" spans="9:10" x14ac:dyDescent="0.35">
      <c r="I35230" s="63"/>
      <c r="J35230" s="63"/>
    </row>
    <row r="35231" spans="9:10" x14ac:dyDescent="0.35">
      <c r="I35231" s="63"/>
      <c r="J35231" s="63"/>
    </row>
    <row r="35232" spans="9:10" x14ac:dyDescent="0.35">
      <c r="I35232" s="63"/>
      <c r="J35232" s="63"/>
    </row>
    <row r="35233" spans="9:10" x14ac:dyDescent="0.35">
      <c r="I35233" s="63"/>
      <c r="J35233" s="63"/>
    </row>
    <row r="35234" spans="9:10" x14ac:dyDescent="0.35">
      <c r="I35234" s="63"/>
      <c r="J35234" s="63"/>
    </row>
    <row r="35235" spans="9:10" x14ac:dyDescent="0.35">
      <c r="I35235" s="63"/>
      <c r="J35235" s="63"/>
    </row>
    <row r="35236" spans="9:10" x14ac:dyDescent="0.35">
      <c r="I35236" s="63"/>
      <c r="J35236" s="63"/>
    </row>
    <row r="35237" spans="9:10" x14ac:dyDescent="0.35">
      <c r="I35237" s="63"/>
      <c r="J35237" s="63"/>
    </row>
    <row r="35238" spans="9:10" x14ac:dyDescent="0.35">
      <c r="I35238" s="63"/>
      <c r="J35238" s="63"/>
    </row>
    <row r="35239" spans="9:10" x14ac:dyDescent="0.35">
      <c r="I35239" s="63"/>
      <c r="J35239" s="63"/>
    </row>
    <row r="35240" spans="9:10" x14ac:dyDescent="0.35">
      <c r="I35240" s="63"/>
      <c r="J35240" s="63"/>
    </row>
    <row r="35241" spans="9:10" x14ac:dyDescent="0.35">
      <c r="I35241" s="63"/>
      <c r="J35241" s="63"/>
    </row>
    <row r="35242" spans="9:10" x14ac:dyDescent="0.35">
      <c r="I35242" s="63"/>
      <c r="J35242" s="63"/>
    </row>
    <row r="35243" spans="9:10" x14ac:dyDescent="0.35">
      <c r="I35243" s="63"/>
      <c r="J35243" s="63"/>
    </row>
    <row r="35244" spans="9:10" x14ac:dyDescent="0.35">
      <c r="I35244" s="63"/>
      <c r="J35244" s="63"/>
    </row>
    <row r="35245" spans="9:10" x14ac:dyDescent="0.35">
      <c r="I35245" s="63"/>
      <c r="J35245" s="63"/>
    </row>
    <row r="35246" spans="9:10" x14ac:dyDescent="0.35">
      <c r="I35246" s="63"/>
      <c r="J35246" s="63"/>
    </row>
    <row r="35247" spans="9:10" x14ac:dyDescent="0.35">
      <c r="I35247" s="63"/>
      <c r="J35247" s="63"/>
    </row>
    <row r="35248" spans="9:10" x14ac:dyDescent="0.35">
      <c r="I35248" s="63"/>
      <c r="J35248" s="63"/>
    </row>
    <row r="35249" spans="9:10" x14ac:dyDescent="0.35">
      <c r="I35249" s="63"/>
      <c r="J35249" s="63"/>
    </row>
    <row r="35250" spans="9:10" x14ac:dyDescent="0.35">
      <c r="I35250" s="63"/>
      <c r="J35250" s="63"/>
    </row>
    <row r="35251" spans="9:10" x14ac:dyDescent="0.35">
      <c r="I35251" s="63"/>
      <c r="J35251" s="63"/>
    </row>
    <row r="35252" spans="9:10" x14ac:dyDescent="0.35">
      <c r="I35252" s="63"/>
      <c r="J35252" s="63"/>
    </row>
    <row r="35253" spans="9:10" x14ac:dyDescent="0.35">
      <c r="I35253" s="63"/>
      <c r="J35253" s="63"/>
    </row>
    <row r="35254" spans="9:10" x14ac:dyDescent="0.35">
      <c r="I35254" s="63"/>
      <c r="J35254" s="63"/>
    </row>
    <row r="35255" spans="9:10" x14ac:dyDescent="0.35">
      <c r="I35255" s="63"/>
      <c r="J35255" s="63"/>
    </row>
    <row r="35256" spans="9:10" x14ac:dyDescent="0.35">
      <c r="I35256" s="63"/>
      <c r="J35256" s="63"/>
    </row>
    <row r="35257" spans="9:10" x14ac:dyDescent="0.35">
      <c r="I35257" s="63"/>
      <c r="J35257" s="63"/>
    </row>
    <row r="35258" spans="9:10" x14ac:dyDescent="0.35">
      <c r="I35258" s="63"/>
      <c r="J35258" s="63"/>
    </row>
    <row r="35259" spans="9:10" x14ac:dyDescent="0.35">
      <c r="I35259" s="63"/>
      <c r="J35259" s="63"/>
    </row>
    <row r="35260" spans="9:10" x14ac:dyDescent="0.35">
      <c r="I35260" s="63"/>
      <c r="J35260" s="63"/>
    </row>
    <row r="35261" spans="9:10" x14ac:dyDescent="0.35">
      <c r="I35261" s="63"/>
      <c r="J35261" s="63"/>
    </row>
    <row r="35262" spans="9:10" x14ac:dyDescent="0.35">
      <c r="I35262" s="63"/>
      <c r="J35262" s="63"/>
    </row>
    <row r="35263" spans="9:10" x14ac:dyDescent="0.35">
      <c r="I35263" s="63"/>
      <c r="J35263" s="63"/>
    </row>
    <row r="35264" spans="9:10" x14ac:dyDescent="0.35">
      <c r="I35264" s="63"/>
      <c r="J35264" s="63"/>
    </row>
    <row r="35265" spans="9:10" x14ac:dyDescent="0.35">
      <c r="I35265" s="63"/>
      <c r="J35265" s="63"/>
    </row>
    <row r="35266" spans="9:10" x14ac:dyDescent="0.35">
      <c r="I35266" s="63"/>
      <c r="J35266" s="63"/>
    </row>
    <row r="35267" spans="9:10" x14ac:dyDescent="0.35">
      <c r="I35267" s="63"/>
      <c r="J35267" s="63"/>
    </row>
    <row r="35268" spans="9:10" x14ac:dyDescent="0.35">
      <c r="I35268" s="63"/>
      <c r="J35268" s="63"/>
    </row>
    <row r="35269" spans="9:10" x14ac:dyDescent="0.35">
      <c r="I35269" s="63"/>
      <c r="J35269" s="63"/>
    </row>
    <row r="35270" spans="9:10" x14ac:dyDescent="0.35">
      <c r="I35270" s="63"/>
      <c r="J35270" s="63"/>
    </row>
    <row r="35271" spans="9:10" x14ac:dyDescent="0.35">
      <c r="I35271" s="63"/>
      <c r="J35271" s="63"/>
    </row>
    <row r="35272" spans="9:10" x14ac:dyDescent="0.35">
      <c r="I35272" s="63"/>
      <c r="J35272" s="63"/>
    </row>
    <row r="35273" spans="9:10" x14ac:dyDescent="0.35">
      <c r="I35273" s="63"/>
      <c r="J35273" s="63"/>
    </row>
    <row r="35274" spans="9:10" x14ac:dyDescent="0.35">
      <c r="I35274" s="63"/>
      <c r="J35274" s="63"/>
    </row>
    <row r="35275" spans="9:10" x14ac:dyDescent="0.35">
      <c r="I35275" s="63"/>
      <c r="J35275" s="63"/>
    </row>
    <row r="35276" spans="9:10" x14ac:dyDescent="0.35">
      <c r="I35276" s="63"/>
      <c r="J35276" s="63"/>
    </row>
    <row r="35277" spans="9:10" x14ac:dyDescent="0.35">
      <c r="I35277" s="63"/>
      <c r="J35277" s="63"/>
    </row>
    <row r="35278" spans="9:10" x14ac:dyDescent="0.35">
      <c r="I35278" s="63"/>
      <c r="J35278" s="63"/>
    </row>
    <row r="35279" spans="9:10" x14ac:dyDescent="0.35">
      <c r="I35279" s="63"/>
      <c r="J35279" s="63"/>
    </row>
    <row r="35280" spans="9:10" x14ac:dyDescent="0.35">
      <c r="I35280" s="63"/>
      <c r="J35280" s="63"/>
    </row>
    <row r="35281" spans="9:10" x14ac:dyDescent="0.35">
      <c r="I35281" s="63"/>
      <c r="J35281" s="63"/>
    </row>
    <row r="35282" spans="9:10" x14ac:dyDescent="0.35">
      <c r="I35282" s="63"/>
      <c r="J35282" s="63"/>
    </row>
    <row r="35283" spans="9:10" x14ac:dyDescent="0.35">
      <c r="I35283" s="63"/>
      <c r="J35283" s="63"/>
    </row>
    <row r="35284" spans="9:10" x14ac:dyDescent="0.35">
      <c r="I35284" s="63"/>
      <c r="J35284" s="63"/>
    </row>
    <row r="35285" spans="9:10" x14ac:dyDescent="0.35">
      <c r="I35285" s="63"/>
      <c r="J35285" s="63"/>
    </row>
    <row r="35286" spans="9:10" x14ac:dyDescent="0.35">
      <c r="I35286" s="63"/>
      <c r="J35286" s="63"/>
    </row>
    <row r="35287" spans="9:10" x14ac:dyDescent="0.35">
      <c r="I35287" s="63"/>
      <c r="J35287" s="63"/>
    </row>
    <row r="35288" spans="9:10" x14ac:dyDescent="0.35">
      <c r="I35288" s="63"/>
      <c r="J35288" s="63"/>
    </row>
    <row r="35289" spans="9:10" x14ac:dyDescent="0.35">
      <c r="I35289" s="63"/>
      <c r="J35289" s="63"/>
    </row>
    <row r="35290" spans="9:10" x14ac:dyDescent="0.35">
      <c r="I35290" s="63"/>
      <c r="J35290" s="63"/>
    </row>
    <row r="35291" spans="9:10" x14ac:dyDescent="0.35">
      <c r="I35291" s="63"/>
      <c r="J35291" s="63"/>
    </row>
    <row r="35292" spans="9:10" x14ac:dyDescent="0.35">
      <c r="I35292" s="63"/>
      <c r="J35292" s="63"/>
    </row>
    <row r="35293" spans="9:10" x14ac:dyDescent="0.35">
      <c r="I35293" s="63"/>
      <c r="J35293" s="63"/>
    </row>
    <row r="35294" spans="9:10" x14ac:dyDescent="0.35">
      <c r="I35294" s="63"/>
      <c r="J35294" s="63"/>
    </row>
    <row r="35295" spans="9:10" x14ac:dyDescent="0.35">
      <c r="I35295" s="63"/>
      <c r="J35295" s="63"/>
    </row>
    <row r="35296" spans="9:10" x14ac:dyDescent="0.35">
      <c r="I35296" s="63"/>
      <c r="J35296" s="63"/>
    </row>
    <row r="35297" spans="9:10" x14ac:dyDescent="0.35">
      <c r="I35297" s="63"/>
      <c r="J35297" s="63"/>
    </row>
    <row r="35298" spans="9:10" x14ac:dyDescent="0.35">
      <c r="I35298" s="63"/>
      <c r="J35298" s="63"/>
    </row>
    <row r="35299" spans="9:10" x14ac:dyDescent="0.35">
      <c r="I35299" s="63"/>
      <c r="J35299" s="63"/>
    </row>
    <row r="35300" spans="9:10" x14ac:dyDescent="0.35">
      <c r="I35300" s="63"/>
      <c r="J35300" s="63"/>
    </row>
    <row r="35301" spans="9:10" x14ac:dyDescent="0.35">
      <c r="I35301" s="63"/>
      <c r="J35301" s="63"/>
    </row>
    <row r="35302" spans="9:10" x14ac:dyDescent="0.35">
      <c r="I35302" s="63"/>
      <c r="J35302" s="63"/>
    </row>
    <row r="35303" spans="9:10" x14ac:dyDescent="0.35">
      <c r="I35303" s="63"/>
      <c r="J35303" s="63"/>
    </row>
    <row r="35304" spans="9:10" x14ac:dyDescent="0.35">
      <c r="I35304" s="63"/>
      <c r="J35304" s="63"/>
    </row>
    <row r="35305" spans="9:10" x14ac:dyDescent="0.35">
      <c r="I35305" s="63"/>
      <c r="J35305" s="63"/>
    </row>
    <row r="35306" spans="9:10" x14ac:dyDescent="0.35">
      <c r="I35306" s="63"/>
      <c r="J35306" s="63"/>
    </row>
    <row r="35307" spans="9:10" x14ac:dyDescent="0.35">
      <c r="I35307" s="63"/>
      <c r="J35307" s="63"/>
    </row>
    <row r="35308" spans="9:10" x14ac:dyDescent="0.35">
      <c r="I35308" s="63"/>
      <c r="J35308" s="63"/>
    </row>
    <row r="35309" spans="9:10" x14ac:dyDescent="0.35">
      <c r="I35309" s="63"/>
      <c r="J35309" s="63"/>
    </row>
    <row r="35310" spans="9:10" x14ac:dyDescent="0.35">
      <c r="I35310" s="63"/>
      <c r="J35310" s="63"/>
    </row>
    <row r="35311" spans="9:10" x14ac:dyDescent="0.35">
      <c r="I35311" s="63"/>
      <c r="J35311" s="63"/>
    </row>
    <row r="35312" spans="9:10" x14ac:dyDescent="0.35">
      <c r="I35312" s="63"/>
      <c r="J35312" s="63"/>
    </row>
    <row r="35313" spans="9:10" x14ac:dyDescent="0.35">
      <c r="I35313" s="63"/>
      <c r="J35313" s="63"/>
    </row>
    <row r="35314" spans="9:10" x14ac:dyDescent="0.35">
      <c r="I35314" s="63"/>
      <c r="J35314" s="63"/>
    </row>
    <row r="35315" spans="9:10" x14ac:dyDescent="0.35">
      <c r="I35315" s="63"/>
      <c r="J35315" s="63"/>
    </row>
    <row r="35316" spans="9:10" x14ac:dyDescent="0.35">
      <c r="I35316" s="63"/>
      <c r="J35316" s="63"/>
    </row>
    <row r="35317" spans="9:10" x14ac:dyDescent="0.35">
      <c r="I35317" s="63"/>
      <c r="J35317" s="63"/>
    </row>
    <row r="35318" spans="9:10" x14ac:dyDescent="0.35">
      <c r="I35318" s="63"/>
      <c r="J35318" s="63"/>
    </row>
    <row r="35319" spans="9:10" x14ac:dyDescent="0.35">
      <c r="I35319" s="63"/>
      <c r="J35319" s="63"/>
    </row>
    <row r="35320" spans="9:10" x14ac:dyDescent="0.35">
      <c r="I35320" s="63"/>
      <c r="J35320" s="63"/>
    </row>
    <row r="35321" spans="9:10" x14ac:dyDescent="0.35">
      <c r="I35321" s="63"/>
      <c r="J35321" s="63"/>
    </row>
    <row r="35322" spans="9:10" x14ac:dyDescent="0.35">
      <c r="I35322" s="63"/>
      <c r="J35322" s="63"/>
    </row>
    <row r="35323" spans="9:10" x14ac:dyDescent="0.35">
      <c r="I35323" s="63"/>
      <c r="J35323" s="63"/>
    </row>
    <row r="35324" spans="9:10" x14ac:dyDescent="0.35">
      <c r="I35324" s="63"/>
      <c r="J35324" s="63"/>
    </row>
    <row r="35325" spans="9:10" x14ac:dyDescent="0.35">
      <c r="I35325" s="63"/>
      <c r="J35325" s="63"/>
    </row>
    <row r="35326" spans="9:10" x14ac:dyDescent="0.35">
      <c r="I35326" s="63"/>
      <c r="J35326" s="63"/>
    </row>
    <row r="35327" spans="9:10" x14ac:dyDescent="0.35">
      <c r="I35327" s="63"/>
      <c r="J35327" s="63"/>
    </row>
    <row r="35328" spans="9:10" x14ac:dyDescent="0.35">
      <c r="I35328" s="63"/>
      <c r="J35328" s="63"/>
    </row>
    <row r="35329" spans="9:10" x14ac:dyDescent="0.35">
      <c r="I35329" s="63"/>
      <c r="J35329" s="63"/>
    </row>
    <row r="35330" spans="9:10" x14ac:dyDescent="0.35">
      <c r="I35330" s="63"/>
      <c r="J35330" s="63"/>
    </row>
    <row r="35331" spans="9:10" x14ac:dyDescent="0.35">
      <c r="I35331" s="63"/>
      <c r="J35331" s="63"/>
    </row>
    <row r="35332" spans="9:10" x14ac:dyDescent="0.35">
      <c r="I35332" s="63"/>
      <c r="J35332" s="63"/>
    </row>
    <row r="35333" spans="9:10" x14ac:dyDescent="0.35">
      <c r="I35333" s="63"/>
      <c r="J35333" s="63"/>
    </row>
    <row r="35334" spans="9:10" x14ac:dyDescent="0.35">
      <c r="I35334" s="63"/>
      <c r="J35334" s="63"/>
    </row>
    <row r="35335" spans="9:10" x14ac:dyDescent="0.35">
      <c r="I35335" s="63"/>
      <c r="J35335" s="63"/>
    </row>
    <row r="35336" spans="9:10" x14ac:dyDescent="0.35">
      <c r="I35336" s="63"/>
      <c r="J35336" s="63"/>
    </row>
    <row r="35337" spans="9:10" x14ac:dyDescent="0.35">
      <c r="I35337" s="63"/>
      <c r="J35337" s="63"/>
    </row>
    <row r="35338" spans="9:10" x14ac:dyDescent="0.35">
      <c r="I35338" s="63"/>
      <c r="J35338" s="63"/>
    </row>
    <row r="35339" spans="9:10" x14ac:dyDescent="0.35">
      <c r="I35339" s="63"/>
      <c r="J35339" s="63"/>
    </row>
    <row r="35340" spans="9:10" x14ac:dyDescent="0.35">
      <c r="I35340" s="63"/>
      <c r="J35340" s="63"/>
    </row>
    <row r="35341" spans="9:10" x14ac:dyDescent="0.35">
      <c r="I35341" s="63"/>
      <c r="J35341" s="63"/>
    </row>
    <row r="35342" spans="9:10" x14ac:dyDescent="0.35">
      <c r="I35342" s="63"/>
      <c r="J35342" s="63"/>
    </row>
    <row r="35343" spans="9:10" x14ac:dyDescent="0.35">
      <c r="I35343" s="63"/>
      <c r="J35343" s="63"/>
    </row>
    <row r="35344" spans="9:10" x14ac:dyDescent="0.35">
      <c r="I35344" s="63"/>
      <c r="J35344" s="63"/>
    </row>
    <row r="35345" spans="9:10" x14ac:dyDescent="0.35">
      <c r="I35345" s="63"/>
      <c r="J35345" s="63"/>
    </row>
    <row r="35346" spans="9:10" x14ac:dyDescent="0.35">
      <c r="I35346" s="63"/>
      <c r="J35346" s="63"/>
    </row>
    <row r="35347" spans="9:10" x14ac:dyDescent="0.35">
      <c r="I35347" s="63"/>
      <c r="J35347" s="63"/>
    </row>
    <row r="35348" spans="9:10" x14ac:dyDescent="0.35">
      <c r="I35348" s="63"/>
      <c r="J35348" s="63"/>
    </row>
    <row r="35349" spans="9:10" x14ac:dyDescent="0.35">
      <c r="I35349" s="63"/>
      <c r="J35349" s="63"/>
    </row>
    <row r="35350" spans="9:10" x14ac:dyDescent="0.35">
      <c r="I35350" s="63"/>
      <c r="J35350" s="63"/>
    </row>
    <row r="35351" spans="9:10" x14ac:dyDescent="0.35">
      <c r="I35351" s="63"/>
      <c r="J35351" s="63"/>
    </row>
    <row r="35352" spans="9:10" x14ac:dyDescent="0.35">
      <c r="I35352" s="63"/>
      <c r="J35352" s="63"/>
    </row>
    <row r="35353" spans="9:10" x14ac:dyDescent="0.35">
      <c r="I35353" s="63"/>
      <c r="J35353" s="63"/>
    </row>
    <row r="35354" spans="9:10" x14ac:dyDescent="0.35">
      <c r="I35354" s="63"/>
      <c r="J35354" s="63"/>
    </row>
    <row r="35355" spans="9:10" x14ac:dyDescent="0.35">
      <c r="I35355" s="63"/>
      <c r="J35355" s="63"/>
    </row>
    <row r="35356" spans="9:10" x14ac:dyDescent="0.35">
      <c r="I35356" s="63"/>
      <c r="J35356" s="63"/>
    </row>
    <row r="35357" spans="9:10" x14ac:dyDescent="0.35">
      <c r="I35357" s="63"/>
      <c r="J35357" s="63"/>
    </row>
    <row r="35358" spans="9:10" x14ac:dyDescent="0.35">
      <c r="I35358" s="63"/>
      <c r="J35358" s="63"/>
    </row>
    <row r="35359" spans="9:10" x14ac:dyDescent="0.35">
      <c r="I35359" s="63"/>
      <c r="J35359" s="63"/>
    </row>
    <row r="35360" spans="9:10" x14ac:dyDescent="0.35">
      <c r="I35360" s="63"/>
      <c r="J35360" s="63"/>
    </row>
    <row r="35361" spans="9:10" x14ac:dyDescent="0.35">
      <c r="I35361" s="63"/>
      <c r="J35361" s="63"/>
    </row>
    <row r="35362" spans="9:10" x14ac:dyDescent="0.35">
      <c r="I35362" s="63"/>
      <c r="J35362" s="63"/>
    </row>
    <row r="35363" spans="9:10" x14ac:dyDescent="0.35">
      <c r="I35363" s="63"/>
      <c r="J35363" s="63"/>
    </row>
    <row r="35364" spans="9:10" x14ac:dyDescent="0.35">
      <c r="I35364" s="63"/>
      <c r="J35364" s="63"/>
    </row>
    <row r="35365" spans="9:10" x14ac:dyDescent="0.35">
      <c r="I35365" s="63"/>
      <c r="J35365" s="63"/>
    </row>
    <row r="35366" spans="9:10" x14ac:dyDescent="0.35">
      <c r="I35366" s="63"/>
      <c r="J35366" s="63"/>
    </row>
    <row r="35367" spans="9:10" x14ac:dyDescent="0.35">
      <c r="I35367" s="63"/>
      <c r="J35367" s="63"/>
    </row>
    <row r="35368" spans="9:10" x14ac:dyDescent="0.35">
      <c r="I35368" s="63"/>
      <c r="J35368" s="63"/>
    </row>
    <row r="35369" spans="9:10" x14ac:dyDescent="0.35">
      <c r="I35369" s="63"/>
      <c r="J35369" s="63"/>
    </row>
    <row r="35370" spans="9:10" x14ac:dyDescent="0.35">
      <c r="I35370" s="63"/>
      <c r="J35370" s="63"/>
    </row>
    <row r="35371" spans="9:10" x14ac:dyDescent="0.35">
      <c r="I35371" s="63"/>
      <c r="J35371" s="63"/>
    </row>
    <row r="35372" spans="9:10" x14ac:dyDescent="0.35">
      <c r="I35372" s="63"/>
      <c r="J35372" s="63"/>
    </row>
    <row r="35373" spans="9:10" x14ac:dyDescent="0.35">
      <c r="I35373" s="63"/>
      <c r="J35373" s="63"/>
    </row>
    <row r="35374" spans="9:10" x14ac:dyDescent="0.35">
      <c r="I35374" s="63"/>
      <c r="J35374" s="63"/>
    </row>
    <row r="35375" spans="9:10" x14ac:dyDescent="0.35">
      <c r="I35375" s="63"/>
      <c r="J35375" s="63"/>
    </row>
    <row r="35376" spans="9:10" x14ac:dyDescent="0.35">
      <c r="I35376" s="63"/>
      <c r="J35376" s="63"/>
    </row>
    <row r="35377" spans="9:10" x14ac:dyDescent="0.35">
      <c r="I35377" s="63"/>
      <c r="J35377" s="63"/>
    </row>
    <row r="35378" spans="9:10" x14ac:dyDescent="0.35">
      <c r="I35378" s="63"/>
      <c r="J35378" s="63"/>
    </row>
    <row r="35379" spans="9:10" x14ac:dyDescent="0.35">
      <c r="I35379" s="63"/>
      <c r="J35379" s="63"/>
    </row>
    <row r="35380" spans="9:10" x14ac:dyDescent="0.35">
      <c r="I35380" s="63"/>
      <c r="J35380" s="63"/>
    </row>
    <row r="35381" spans="9:10" x14ac:dyDescent="0.35">
      <c r="I35381" s="63"/>
      <c r="J35381" s="63"/>
    </row>
    <row r="35382" spans="9:10" x14ac:dyDescent="0.35">
      <c r="I35382" s="63"/>
      <c r="J35382" s="63"/>
    </row>
    <row r="35383" spans="9:10" x14ac:dyDescent="0.35">
      <c r="I35383" s="63"/>
      <c r="J35383" s="63"/>
    </row>
    <row r="35384" spans="9:10" x14ac:dyDescent="0.35">
      <c r="I35384" s="63"/>
      <c r="J35384" s="63"/>
    </row>
    <row r="35385" spans="9:10" x14ac:dyDescent="0.35">
      <c r="I35385" s="63"/>
      <c r="J35385" s="63"/>
    </row>
    <row r="35386" spans="9:10" x14ac:dyDescent="0.35">
      <c r="I35386" s="63"/>
      <c r="J35386" s="63"/>
    </row>
    <row r="35387" spans="9:10" x14ac:dyDescent="0.35">
      <c r="I35387" s="63"/>
      <c r="J35387" s="63"/>
    </row>
    <row r="35388" spans="9:10" x14ac:dyDescent="0.35">
      <c r="I35388" s="63"/>
      <c r="J35388" s="63"/>
    </row>
    <row r="35389" spans="9:10" x14ac:dyDescent="0.35">
      <c r="I35389" s="63"/>
      <c r="J35389" s="63"/>
    </row>
    <row r="35390" spans="9:10" x14ac:dyDescent="0.35">
      <c r="I35390" s="63"/>
      <c r="J35390" s="63"/>
    </row>
    <row r="35391" spans="9:10" x14ac:dyDescent="0.35">
      <c r="I35391" s="63"/>
      <c r="J35391" s="63"/>
    </row>
    <row r="35392" spans="9:10" x14ac:dyDescent="0.35">
      <c r="I35392" s="63"/>
      <c r="J35392" s="63"/>
    </row>
    <row r="35393" spans="9:10" x14ac:dyDescent="0.35">
      <c r="I35393" s="63"/>
      <c r="J35393" s="63"/>
    </row>
    <row r="35394" spans="9:10" x14ac:dyDescent="0.35">
      <c r="I35394" s="63"/>
      <c r="J35394" s="63"/>
    </row>
    <row r="35395" spans="9:10" x14ac:dyDescent="0.35">
      <c r="I35395" s="63"/>
      <c r="J35395" s="63"/>
    </row>
    <row r="35396" spans="9:10" x14ac:dyDescent="0.35">
      <c r="I35396" s="63"/>
      <c r="J35396" s="63"/>
    </row>
    <row r="35397" spans="9:10" x14ac:dyDescent="0.35">
      <c r="I35397" s="63"/>
      <c r="J35397" s="63"/>
    </row>
    <row r="35398" spans="9:10" x14ac:dyDescent="0.35">
      <c r="I35398" s="63"/>
      <c r="J35398" s="63"/>
    </row>
    <row r="35399" spans="9:10" x14ac:dyDescent="0.35">
      <c r="I35399" s="63"/>
      <c r="J35399" s="63"/>
    </row>
    <row r="35400" spans="9:10" x14ac:dyDescent="0.35">
      <c r="I35400" s="63"/>
      <c r="J35400" s="63"/>
    </row>
    <row r="35401" spans="9:10" x14ac:dyDescent="0.35">
      <c r="I35401" s="63"/>
      <c r="J35401" s="63"/>
    </row>
    <row r="35402" spans="9:10" x14ac:dyDescent="0.35">
      <c r="I35402" s="63"/>
      <c r="J35402" s="63"/>
    </row>
    <row r="35403" spans="9:10" x14ac:dyDescent="0.35">
      <c r="I35403" s="63"/>
      <c r="J35403" s="63"/>
    </row>
    <row r="35404" spans="9:10" x14ac:dyDescent="0.35">
      <c r="I35404" s="63"/>
      <c r="J35404" s="63"/>
    </row>
    <row r="35405" spans="9:10" x14ac:dyDescent="0.35">
      <c r="I35405" s="63"/>
      <c r="J35405" s="63"/>
    </row>
    <row r="35406" spans="9:10" x14ac:dyDescent="0.35">
      <c r="I35406" s="63"/>
      <c r="J35406" s="63"/>
    </row>
    <row r="35407" spans="9:10" x14ac:dyDescent="0.35">
      <c r="I35407" s="63"/>
      <c r="J35407" s="63"/>
    </row>
    <row r="35408" spans="9:10" x14ac:dyDescent="0.35">
      <c r="I35408" s="63"/>
      <c r="J35408" s="63"/>
    </row>
    <row r="35409" spans="9:10" x14ac:dyDescent="0.35">
      <c r="I35409" s="63"/>
      <c r="J35409" s="63"/>
    </row>
    <row r="35410" spans="9:10" x14ac:dyDescent="0.35">
      <c r="I35410" s="63"/>
      <c r="J35410" s="63"/>
    </row>
    <row r="35411" spans="9:10" x14ac:dyDescent="0.35">
      <c r="I35411" s="63"/>
      <c r="J35411" s="63"/>
    </row>
    <row r="35412" spans="9:10" x14ac:dyDescent="0.35">
      <c r="I35412" s="63"/>
      <c r="J35412" s="63"/>
    </row>
    <row r="35413" spans="9:10" x14ac:dyDescent="0.35">
      <c r="I35413" s="63"/>
      <c r="J35413" s="63"/>
    </row>
    <row r="35414" spans="9:10" x14ac:dyDescent="0.35">
      <c r="I35414" s="63"/>
      <c r="J35414" s="63"/>
    </row>
    <row r="35415" spans="9:10" x14ac:dyDescent="0.35">
      <c r="I35415" s="63"/>
      <c r="J35415" s="63"/>
    </row>
    <row r="35416" spans="9:10" x14ac:dyDescent="0.35">
      <c r="I35416" s="63"/>
      <c r="J35416" s="63"/>
    </row>
    <row r="35417" spans="9:10" x14ac:dyDescent="0.35">
      <c r="I35417" s="63"/>
      <c r="J35417" s="63"/>
    </row>
    <row r="35418" spans="9:10" x14ac:dyDescent="0.35">
      <c r="I35418" s="63"/>
      <c r="J35418" s="63"/>
    </row>
    <row r="35419" spans="9:10" x14ac:dyDescent="0.35">
      <c r="I35419" s="63"/>
      <c r="J35419" s="63"/>
    </row>
    <row r="35420" spans="9:10" x14ac:dyDescent="0.35">
      <c r="I35420" s="63"/>
      <c r="J35420" s="63"/>
    </row>
    <row r="35421" spans="9:10" x14ac:dyDescent="0.35">
      <c r="I35421" s="63"/>
      <c r="J35421" s="63"/>
    </row>
    <row r="35422" spans="9:10" x14ac:dyDescent="0.35">
      <c r="I35422" s="63"/>
      <c r="J35422" s="63"/>
    </row>
    <row r="35423" spans="9:10" x14ac:dyDescent="0.35">
      <c r="I35423" s="63"/>
      <c r="J35423" s="63"/>
    </row>
    <row r="35424" spans="9:10" x14ac:dyDescent="0.35">
      <c r="I35424" s="63"/>
      <c r="J35424" s="63"/>
    </row>
    <row r="35425" spans="9:10" x14ac:dyDescent="0.35">
      <c r="I35425" s="63"/>
      <c r="J35425" s="63"/>
    </row>
    <row r="35426" spans="9:10" x14ac:dyDescent="0.35">
      <c r="I35426" s="63"/>
      <c r="J35426" s="63"/>
    </row>
    <row r="35427" spans="9:10" x14ac:dyDescent="0.35">
      <c r="I35427" s="63"/>
      <c r="J35427" s="63"/>
    </row>
    <row r="35428" spans="9:10" x14ac:dyDescent="0.35">
      <c r="I35428" s="63"/>
      <c r="J35428" s="63"/>
    </row>
    <row r="35429" spans="9:10" x14ac:dyDescent="0.35">
      <c r="I35429" s="63"/>
      <c r="J35429" s="63"/>
    </row>
    <row r="35430" spans="9:10" x14ac:dyDescent="0.35">
      <c r="I35430" s="63"/>
      <c r="J35430" s="63"/>
    </row>
    <row r="35431" spans="9:10" x14ac:dyDescent="0.35">
      <c r="I35431" s="63"/>
      <c r="J35431" s="63"/>
    </row>
    <row r="35432" spans="9:10" x14ac:dyDescent="0.35">
      <c r="I35432" s="63"/>
      <c r="J35432" s="63"/>
    </row>
    <row r="35433" spans="9:10" x14ac:dyDescent="0.35">
      <c r="I35433" s="63"/>
      <c r="J35433" s="63"/>
    </row>
    <row r="35434" spans="9:10" x14ac:dyDescent="0.35">
      <c r="I35434" s="63"/>
      <c r="J35434" s="63"/>
    </row>
    <row r="35435" spans="9:10" x14ac:dyDescent="0.35">
      <c r="I35435" s="63"/>
      <c r="J35435" s="63"/>
    </row>
    <row r="35436" spans="9:10" x14ac:dyDescent="0.35">
      <c r="I35436" s="63"/>
      <c r="J35436" s="63"/>
    </row>
    <row r="35437" spans="9:10" x14ac:dyDescent="0.35">
      <c r="I35437" s="63"/>
      <c r="J35437" s="63"/>
    </row>
    <row r="35438" spans="9:10" x14ac:dyDescent="0.35">
      <c r="I35438" s="63"/>
      <c r="J35438" s="63"/>
    </row>
    <row r="35439" spans="9:10" x14ac:dyDescent="0.35">
      <c r="I35439" s="63"/>
      <c r="J35439" s="63"/>
    </row>
    <row r="35440" spans="9:10" x14ac:dyDescent="0.35">
      <c r="I35440" s="63"/>
      <c r="J35440" s="63"/>
    </row>
    <row r="35441" spans="9:10" x14ac:dyDescent="0.35">
      <c r="I35441" s="63"/>
      <c r="J35441" s="63"/>
    </row>
    <row r="35442" spans="9:10" x14ac:dyDescent="0.35">
      <c r="I35442" s="63"/>
      <c r="J35442" s="63"/>
    </row>
    <row r="35443" spans="9:10" x14ac:dyDescent="0.35">
      <c r="I35443" s="63"/>
      <c r="J35443" s="63"/>
    </row>
    <row r="35444" spans="9:10" x14ac:dyDescent="0.35">
      <c r="I35444" s="63"/>
      <c r="J35444" s="63"/>
    </row>
    <row r="35445" spans="9:10" x14ac:dyDescent="0.35">
      <c r="I35445" s="63"/>
      <c r="J35445" s="63"/>
    </row>
    <row r="35446" spans="9:10" x14ac:dyDescent="0.35">
      <c r="I35446" s="63"/>
      <c r="J35446" s="63"/>
    </row>
    <row r="35447" spans="9:10" x14ac:dyDescent="0.35">
      <c r="I35447" s="63"/>
      <c r="J35447" s="63"/>
    </row>
    <row r="35448" spans="9:10" x14ac:dyDescent="0.35">
      <c r="I35448" s="63"/>
      <c r="J35448" s="63"/>
    </row>
    <row r="35449" spans="9:10" x14ac:dyDescent="0.35">
      <c r="I35449" s="63"/>
      <c r="J35449" s="63"/>
    </row>
    <row r="35450" spans="9:10" x14ac:dyDescent="0.35">
      <c r="I35450" s="63"/>
      <c r="J35450" s="63"/>
    </row>
    <row r="35451" spans="9:10" x14ac:dyDescent="0.35">
      <c r="I35451" s="63"/>
      <c r="J35451" s="63"/>
    </row>
    <row r="35452" spans="9:10" x14ac:dyDescent="0.35">
      <c r="I35452" s="63"/>
      <c r="J35452" s="63"/>
    </row>
    <row r="35453" spans="9:10" x14ac:dyDescent="0.35">
      <c r="I35453" s="63"/>
      <c r="J35453" s="63"/>
    </row>
    <row r="35454" spans="9:10" x14ac:dyDescent="0.35">
      <c r="I35454" s="63"/>
      <c r="J35454" s="63"/>
    </row>
    <row r="35455" spans="9:10" x14ac:dyDescent="0.35">
      <c r="I35455" s="63"/>
      <c r="J35455" s="63"/>
    </row>
    <row r="35456" spans="9:10" x14ac:dyDescent="0.35">
      <c r="I35456" s="63"/>
      <c r="J35456" s="63"/>
    </row>
    <row r="35457" spans="9:10" x14ac:dyDescent="0.35">
      <c r="I35457" s="63"/>
      <c r="J35457" s="63"/>
    </row>
    <row r="35458" spans="9:10" x14ac:dyDescent="0.35">
      <c r="I35458" s="63"/>
      <c r="J35458" s="63"/>
    </row>
    <row r="35459" spans="9:10" x14ac:dyDescent="0.35">
      <c r="I35459" s="63"/>
      <c r="J35459" s="63"/>
    </row>
    <row r="35460" spans="9:10" x14ac:dyDescent="0.35">
      <c r="I35460" s="63"/>
      <c r="J35460" s="63"/>
    </row>
    <row r="35461" spans="9:10" x14ac:dyDescent="0.35">
      <c r="I35461" s="63"/>
      <c r="J35461" s="63"/>
    </row>
    <row r="35462" spans="9:10" x14ac:dyDescent="0.35">
      <c r="I35462" s="63"/>
      <c r="J35462" s="63"/>
    </row>
    <row r="35463" spans="9:10" x14ac:dyDescent="0.35">
      <c r="I35463" s="63"/>
      <c r="J35463" s="63"/>
    </row>
    <row r="35464" spans="9:10" x14ac:dyDescent="0.35">
      <c r="I35464" s="63"/>
      <c r="J35464" s="63"/>
    </row>
    <row r="35465" spans="9:10" x14ac:dyDescent="0.35">
      <c r="I35465" s="63"/>
      <c r="J35465" s="63"/>
    </row>
    <row r="35466" spans="9:10" x14ac:dyDescent="0.35">
      <c r="I35466" s="63"/>
      <c r="J35466" s="63"/>
    </row>
    <row r="35467" spans="9:10" x14ac:dyDescent="0.35">
      <c r="I35467" s="63"/>
      <c r="J35467" s="63"/>
    </row>
    <row r="35468" spans="9:10" x14ac:dyDescent="0.35">
      <c r="I35468" s="63"/>
      <c r="J35468" s="63"/>
    </row>
    <row r="35469" spans="9:10" x14ac:dyDescent="0.35">
      <c r="I35469" s="63"/>
      <c r="J35469" s="63"/>
    </row>
    <row r="35470" spans="9:10" x14ac:dyDescent="0.35">
      <c r="I35470" s="63"/>
      <c r="J35470" s="63"/>
    </row>
    <row r="35471" spans="9:10" x14ac:dyDescent="0.35">
      <c r="I35471" s="63"/>
      <c r="J35471" s="63"/>
    </row>
    <row r="35472" spans="9:10" x14ac:dyDescent="0.35">
      <c r="I35472" s="63"/>
      <c r="J35472" s="63"/>
    </row>
    <row r="35473" spans="9:10" x14ac:dyDescent="0.35">
      <c r="I35473" s="63"/>
      <c r="J35473" s="63"/>
    </row>
    <row r="35474" spans="9:10" x14ac:dyDescent="0.35">
      <c r="I35474" s="63"/>
      <c r="J35474" s="63"/>
    </row>
    <row r="35475" spans="9:10" x14ac:dyDescent="0.35">
      <c r="I35475" s="63"/>
      <c r="J35475" s="63"/>
    </row>
    <row r="35476" spans="9:10" x14ac:dyDescent="0.35">
      <c r="I35476" s="63"/>
      <c r="J35476" s="63"/>
    </row>
    <row r="35477" spans="9:10" x14ac:dyDescent="0.35">
      <c r="I35477" s="63"/>
      <c r="J35477" s="63"/>
    </row>
    <row r="35478" spans="9:10" x14ac:dyDescent="0.35">
      <c r="I35478" s="63"/>
      <c r="J35478" s="63"/>
    </row>
    <row r="35479" spans="9:10" x14ac:dyDescent="0.35">
      <c r="I35479" s="63"/>
      <c r="J35479" s="63"/>
    </row>
    <row r="35480" spans="9:10" x14ac:dyDescent="0.35">
      <c r="I35480" s="63"/>
      <c r="J35480" s="63"/>
    </row>
    <row r="35481" spans="9:10" x14ac:dyDescent="0.35">
      <c r="I35481" s="63"/>
      <c r="J35481" s="63"/>
    </row>
    <row r="35482" spans="9:10" x14ac:dyDescent="0.35">
      <c r="I35482" s="63"/>
      <c r="J35482" s="63"/>
    </row>
    <row r="35483" spans="9:10" x14ac:dyDescent="0.35">
      <c r="I35483" s="63"/>
      <c r="J35483" s="63"/>
    </row>
    <row r="35484" spans="9:10" x14ac:dyDescent="0.35">
      <c r="I35484" s="63"/>
      <c r="J35484" s="63"/>
    </row>
    <row r="35485" spans="9:10" x14ac:dyDescent="0.35">
      <c r="I35485" s="63"/>
      <c r="J35485" s="63"/>
    </row>
    <row r="35486" spans="9:10" x14ac:dyDescent="0.35">
      <c r="I35486" s="63"/>
      <c r="J35486" s="63"/>
    </row>
    <row r="35487" spans="9:10" x14ac:dyDescent="0.35">
      <c r="I35487" s="63"/>
      <c r="J35487" s="63"/>
    </row>
    <row r="35488" spans="9:10" x14ac:dyDescent="0.35">
      <c r="I35488" s="63"/>
      <c r="J35488" s="63"/>
    </row>
    <row r="35489" spans="9:10" x14ac:dyDescent="0.35">
      <c r="I35489" s="63"/>
      <c r="J35489" s="63"/>
    </row>
    <row r="35490" spans="9:10" x14ac:dyDescent="0.35">
      <c r="I35490" s="63"/>
      <c r="J35490" s="63"/>
    </row>
    <row r="35491" spans="9:10" x14ac:dyDescent="0.35">
      <c r="I35491" s="63"/>
      <c r="J35491" s="63"/>
    </row>
    <row r="35492" spans="9:10" x14ac:dyDescent="0.35">
      <c r="I35492" s="63"/>
      <c r="J35492" s="63"/>
    </row>
    <row r="35493" spans="9:10" x14ac:dyDescent="0.35">
      <c r="I35493" s="63"/>
      <c r="J35493" s="63"/>
    </row>
    <row r="35494" spans="9:10" x14ac:dyDescent="0.35">
      <c r="I35494" s="63"/>
      <c r="J35494" s="63"/>
    </row>
    <row r="35495" spans="9:10" x14ac:dyDescent="0.35">
      <c r="I35495" s="63"/>
      <c r="J35495" s="63"/>
    </row>
    <row r="35496" spans="9:10" x14ac:dyDescent="0.35">
      <c r="I35496" s="63"/>
      <c r="J35496" s="63"/>
    </row>
    <row r="35497" spans="9:10" x14ac:dyDescent="0.35">
      <c r="I35497" s="63"/>
      <c r="J35497" s="63"/>
    </row>
    <row r="35498" spans="9:10" x14ac:dyDescent="0.35">
      <c r="I35498" s="63"/>
      <c r="J35498" s="63"/>
    </row>
    <row r="35499" spans="9:10" x14ac:dyDescent="0.35">
      <c r="I35499" s="63"/>
      <c r="J35499" s="63"/>
    </row>
    <row r="35500" spans="9:10" x14ac:dyDescent="0.35">
      <c r="I35500" s="63"/>
      <c r="J35500" s="63"/>
    </row>
    <row r="35501" spans="9:10" x14ac:dyDescent="0.35">
      <c r="I35501" s="63"/>
      <c r="J35501" s="63"/>
    </row>
    <row r="35502" spans="9:10" x14ac:dyDescent="0.35">
      <c r="I35502" s="63"/>
      <c r="J35502" s="63"/>
    </row>
    <row r="35503" spans="9:10" x14ac:dyDescent="0.35">
      <c r="I35503" s="63"/>
      <c r="J35503" s="63"/>
    </row>
    <row r="35504" spans="9:10" x14ac:dyDescent="0.35">
      <c r="I35504" s="63"/>
      <c r="J35504" s="63"/>
    </row>
    <row r="35505" spans="9:10" x14ac:dyDescent="0.35">
      <c r="I35505" s="63"/>
      <c r="J35505" s="63"/>
    </row>
    <row r="35506" spans="9:10" x14ac:dyDescent="0.35">
      <c r="I35506" s="63"/>
      <c r="J35506" s="63"/>
    </row>
    <row r="35507" spans="9:10" x14ac:dyDescent="0.35">
      <c r="I35507" s="63"/>
      <c r="J35507" s="63"/>
    </row>
    <row r="35508" spans="9:10" x14ac:dyDescent="0.35">
      <c r="I35508" s="63"/>
      <c r="J35508" s="63"/>
    </row>
    <row r="35509" spans="9:10" x14ac:dyDescent="0.35">
      <c r="I35509" s="63"/>
      <c r="J35509" s="63"/>
    </row>
    <row r="35510" spans="9:10" x14ac:dyDescent="0.35">
      <c r="I35510" s="63"/>
      <c r="J35510" s="63"/>
    </row>
    <row r="35511" spans="9:10" x14ac:dyDescent="0.35">
      <c r="I35511" s="63"/>
      <c r="J35511" s="63"/>
    </row>
    <row r="35512" spans="9:10" x14ac:dyDescent="0.35">
      <c r="I35512" s="63"/>
      <c r="J35512" s="63"/>
    </row>
    <row r="35513" spans="9:10" x14ac:dyDescent="0.35">
      <c r="I35513" s="63"/>
      <c r="J35513" s="63"/>
    </row>
    <row r="35514" spans="9:10" x14ac:dyDescent="0.35">
      <c r="I35514" s="63"/>
      <c r="J35514" s="63"/>
    </row>
    <row r="35515" spans="9:10" x14ac:dyDescent="0.35">
      <c r="I35515" s="63"/>
      <c r="J35515" s="63"/>
    </row>
    <row r="35516" spans="9:10" x14ac:dyDescent="0.35">
      <c r="I35516" s="63"/>
      <c r="J35516" s="63"/>
    </row>
    <row r="35517" spans="9:10" x14ac:dyDescent="0.35">
      <c r="I35517" s="63"/>
      <c r="J35517" s="63"/>
    </row>
    <row r="35518" spans="9:10" x14ac:dyDescent="0.35">
      <c r="I35518" s="63"/>
      <c r="J35518" s="63"/>
    </row>
    <row r="35519" spans="9:10" x14ac:dyDescent="0.35">
      <c r="I35519" s="63"/>
      <c r="J35519" s="63"/>
    </row>
    <row r="35520" spans="9:10" x14ac:dyDescent="0.35">
      <c r="I35520" s="63"/>
      <c r="J35520" s="63"/>
    </row>
    <row r="35521" spans="9:10" x14ac:dyDescent="0.35">
      <c r="I35521" s="63"/>
      <c r="J35521" s="63"/>
    </row>
    <row r="35522" spans="9:10" x14ac:dyDescent="0.35">
      <c r="I35522" s="63"/>
      <c r="J35522" s="63"/>
    </row>
    <row r="35523" spans="9:10" x14ac:dyDescent="0.35">
      <c r="I35523" s="63"/>
      <c r="J35523" s="63"/>
    </row>
    <row r="35524" spans="9:10" x14ac:dyDescent="0.35">
      <c r="I35524" s="63"/>
      <c r="J35524" s="63"/>
    </row>
    <row r="35525" spans="9:10" x14ac:dyDescent="0.35">
      <c r="I35525" s="63"/>
      <c r="J35525" s="63"/>
    </row>
    <row r="35526" spans="9:10" x14ac:dyDescent="0.35">
      <c r="I35526" s="63"/>
      <c r="J35526" s="63"/>
    </row>
    <row r="35527" spans="9:10" x14ac:dyDescent="0.35">
      <c r="I35527" s="63"/>
      <c r="J35527" s="63"/>
    </row>
    <row r="35528" spans="9:10" x14ac:dyDescent="0.35">
      <c r="I35528" s="63"/>
      <c r="J35528" s="63"/>
    </row>
    <row r="35529" spans="9:10" x14ac:dyDescent="0.35">
      <c r="I35529" s="63"/>
      <c r="J35529" s="63"/>
    </row>
    <row r="35530" spans="9:10" x14ac:dyDescent="0.35">
      <c r="I35530" s="63"/>
      <c r="J35530" s="63"/>
    </row>
    <row r="35531" spans="9:10" x14ac:dyDescent="0.35">
      <c r="I35531" s="63"/>
      <c r="J35531" s="63"/>
    </row>
    <row r="35532" spans="9:10" x14ac:dyDescent="0.35">
      <c r="I35532" s="63"/>
      <c r="J35532" s="63"/>
    </row>
    <row r="35533" spans="9:10" x14ac:dyDescent="0.35">
      <c r="I35533" s="63"/>
      <c r="J35533" s="63"/>
    </row>
    <row r="35534" spans="9:10" x14ac:dyDescent="0.35">
      <c r="I35534" s="63"/>
      <c r="J35534" s="63"/>
    </row>
    <row r="35535" spans="9:10" x14ac:dyDescent="0.35">
      <c r="I35535" s="63"/>
      <c r="J35535" s="63"/>
    </row>
    <row r="35536" spans="9:10" x14ac:dyDescent="0.35">
      <c r="I35536" s="63"/>
      <c r="J35536" s="63"/>
    </row>
    <row r="35537" spans="9:10" x14ac:dyDescent="0.35">
      <c r="I35537" s="63"/>
      <c r="J35537" s="63"/>
    </row>
    <row r="35538" spans="9:10" x14ac:dyDescent="0.35">
      <c r="I35538" s="63"/>
      <c r="J35538" s="63"/>
    </row>
    <row r="35539" spans="9:10" x14ac:dyDescent="0.35">
      <c r="I35539" s="63"/>
      <c r="J35539" s="63"/>
    </row>
    <row r="35540" spans="9:10" x14ac:dyDescent="0.35">
      <c r="I35540" s="63"/>
      <c r="J35540" s="63"/>
    </row>
    <row r="35541" spans="9:10" x14ac:dyDescent="0.35">
      <c r="I35541" s="63"/>
      <c r="J35541" s="63"/>
    </row>
    <row r="35542" spans="9:10" x14ac:dyDescent="0.35">
      <c r="I35542" s="63"/>
      <c r="J35542" s="63"/>
    </row>
    <row r="35543" spans="9:10" x14ac:dyDescent="0.35">
      <c r="I35543" s="63"/>
      <c r="J35543" s="63"/>
    </row>
    <row r="35544" spans="9:10" x14ac:dyDescent="0.35">
      <c r="I35544" s="63"/>
      <c r="J35544" s="63"/>
    </row>
    <row r="35545" spans="9:10" x14ac:dyDescent="0.35">
      <c r="I35545" s="63"/>
      <c r="J35545" s="63"/>
    </row>
    <row r="35546" spans="9:10" x14ac:dyDescent="0.35">
      <c r="I35546" s="63"/>
      <c r="J35546" s="63"/>
    </row>
    <row r="35547" spans="9:10" x14ac:dyDescent="0.35">
      <c r="I35547" s="63"/>
      <c r="J35547" s="63"/>
    </row>
    <row r="35548" spans="9:10" x14ac:dyDescent="0.35">
      <c r="I35548" s="63"/>
      <c r="J35548" s="63"/>
    </row>
    <row r="35549" spans="9:10" x14ac:dyDescent="0.35">
      <c r="I35549" s="63"/>
      <c r="J35549" s="63"/>
    </row>
    <row r="35550" spans="9:10" x14ac:dyDescent="0.35">
      <c r="I35550" s="63"/>
      <c r="J35550" s="63"/>
    </row>
    <row r="35551" spans="9:10" x14ac:dyDescent="0.35">
      <c r="I35551" s="63"/>
      <c r="J35551" s="63"/>
    </row>
    <row r="35552" spans="9:10" x14ac:dyDescent="0.35">
      <c r="I35552" s="63"/>
      <c r="J35552" s="63"/>
    </row>
    <row r="35553" spans="9:10" x14ac:dyDescent="0.35">
      <c r="I35553" s="63"/>
      <c r="J35553" s="63"/>
    </row>
    <row r="35554" spans="9:10" x14ac:dyDescent="0.35">
      <c r="I35554" s="63"/>
      <c r="J35554" s="63"/>
    </row>
    <row r="35555" spans="9:10" x14ac:dyDescent="0.35">
      <c r="I35555" s="63"/>
      <c r="J35555" s="63"/>
    </row>
    <row r="35556" spans="9:10" x14ac:dyDescent="0.35">
      <c r="I35556" s="63"/>
      <c r="J35556" s="63"/>
    </row>
    <row r="35557" spans="9:10" x14ac:dyDescent="0.35">
      <c r="I35557" s="63"/>
      <c r="J35557" s="63"/>
    </row>
    <row r="35558" spans="9:10" x14ac:dyDescent="0.35">
      <c r="I35558" s="63"/>
      <c r="J35558" s="63"/>
    </row>
    <row r="35559" spans="9:10" x14ac:dyDescent="0.35">
      <c r="I35559" s="63"/>
      <c r="J35559" s="63"/>
    </row>
    <row r="35560" spans="9:10" x14ac:dyDescent="0.35">
      <c r="I35560" s="63"/>
      <c r="J35560" s="63"/>
    </row>
    <row r="35561" spans="9:10" x14ac:dyDescent="0.35">
      <c r="I35561" s="63"/>
      <c r="J35561" s="63"/>
    </row>
    <row r="35562" spans="9:10" x14ac:dyDescent="0.35">
      <c r="I35562" s="63"/>
      <c r="J35562" s="63"/>
    </row>
    <row r="35563" spans="9:10" x14ac:dyDescent="0.35">
      <c r="I35563" s="63"/>
      <c r="J35563" s="63"/>
    </row>
    <row r="35564" spans="9:10" x14ac:dyDescent="0.35">
      <c r="I35564" s="63"/>
      <c r="J35564" s="63"/>
    </row>
    <row r="35565" spans="9:10" x14ac:dyDescent="0.35">
      <c r="I35565" s="63"/>
      <c r="J35565" s="63"/>
    </row>
    <row r="35566" spans="9:10" x14ac:dyDescent="0.35">
      <c r="I35566" s="63"/>
      <c r="J35566" s="63"/>
    </row>
    <row r="35567" spans="9:10" x14ac:dyDescent="0.35">
      <c r="I35567" s="63"/>
      <c r="J35567" s="63"/>
    </row>
    <row r="35568" spans="9:10" x14ac:dyDescent="0.35">
      <c r="I35568" s="63"/>
      <c r="J35568" s="63"/>
    </row>
    <row r="35569" spans="9:10" x14ac:dyDescent="0.35">
      <c r="I35569" s="63"/>
      <c r="J35569" s="63"/>
    </row>
    <row r="35570" spans="9:10" x14ac:dyDescent="0.35">
      <c r="I35570" s="63"/>
      <c r="J35570" s="63"/>
    </row>
    <row r="35571" spans="9:10" x14ac:dyDescent="0.35">
      <c r="I35571" s="63"/>
      <c r="J35571" s="63"/>
    </row>
    <row r="35572" spans="9:10" x14ac:dyDescent="0.35">
      <c r="I35572" s="63"/>
      <c r="J35572" s="63"/>
    </row>
    <row r="35573" spans="9:10" x14ac:dyDescent="0.35">
      <c r="I35573" s="63"/>
      <c r="J35573" s="63"/>
    </row>
    <row r="35574" spans="9:10" x14ac:dyDescent="0.35">
      <c r="I35574" s="63"/>
      <c r="J35574" s="63"/>
    </row>
    <row r="35575" spans="9:10" x14ac:dyDescent="0.35">
      <c r="I35575" s="63"/>
      <c r="J35575" s="63"/>
    </row>
    <row r="35576" spans="9:10" x14ac:dyDescent="0.35">
      <c r="I35576" s="63"/>
      <c r="J35576" s="63"/>
    </row>
    <row r="35577" spans="9:10" x14ac:dyDescent="0.35">
      <c r="I35577" s="63"/>
      <c r="J35577" s="63"/>
    </row>
    <row r="35578" spans="9:10" x14ac:dyDescent="0.35">
      <c r="I35578" s="63"/>
      <c r="J35578" s="63"/>
    </row>
    <row r="35579" spans="9:10" x14ac:dyDescent="0.35">
      <c r="I35579" s="63"/>
      <c r="J35579" s="63"/>
    </row>
    <row r="35580" spans="9:10" x14ac:dyDescent="0.35">
      <c r="I35580" s="63"/>
      <c r="J35580" s="63"/>
    </row>
    <row r="35581" spans="9:10" x14ac:dyDescent="0.35">
      <c r="I35581" s="63"/>
      <c r="J35581" s="63"/>
    </row>
    <row r="35582" spans="9:10" x14ac:dyDescent="0.35">
      <c r="I35582" s="63"/>
      <c r="J35582" s="63"/>
    </row>
    <row r="35583" spans="9:10" x14ac:dyDescent="0.35">
      <c r="I35583" s="63"/>
      <c r="J35583" s="63"/>
    </row>
    <row r="35584" spans="9:10" x14ac:dyDescent="0.35">
      <c r="I35584" s="63"/>
      <c r="J35584" s="63"/>
    </row>
    <row r="35585" spans="9:10" x14ac:dyDescent="0.35">
      <c r="I35585" s="63"/>
      <c r="J35585" s="63"/>
    </row>
    <row r="35586" spans="9:10" x14ac:dyDescent="0.35">
      <c r="I35586" s="63"/>
      <c r="J35586" s="63"/>
    </row>
    <row r="35587" spans="9:10" x14ac:dyDescent="0.35">
      <c r="I35587" s="63"/>
      <c r="J35587" s="63"/>
    </row>
    <row r="35588" spans="9:10" x14ac:dyDescent="0.35">
      <c r="I35588" s="63"/>
      <c r="J35588" s="63"/>
    </row>
    <row r="35589" spans="9:10" x14ac:dyDescent="0.35">
      <c r="I35589" s="63"/>
      <c r="J35589" s="63"/>
    </row>
    <row r="35590" spans="9:10" x14ac:dyDescent="0.35">
      <c r="I35590" s="63"/>
      <c r="J35590" s="63"/>
    </row>
    <row r="35591" spans="9:10" x14ac:dyDescent="0.35">
      <c r="I35591" s="63"/>
      <c r="J35591" s="63"/>
    </row>
    <row r="35592" spans="9:10" x14ac:dyDescent="0.35">
      <c r="I35592" s="63"/>
      <c r="J35592" s="63"/>
    </row>
    <row r="35593" spans="9:10" x14ac:dyDescent="0.35">
      <c r="I35593" s="63"/>
      <c r="J35593" s="63"/>
    </row>
    <row r="35594" spans="9:10" x14ac:dyDescent="0.35">
      <c r="I35594" s="63"/>
      <c r="J35594" s="63"/>
    </row>
    <row r="35595" spans="9:10" x14ac:dyDescent="0.35">
      <c r="I35595" s="63"/>
      <c r="J35595" s="63"/>
    </row>
    <row r="35596" spans="9:10" x14ac:dyDescent="0.35">
      <c r="I35596" s="63"/>
      <c r="J35596" s="63"/>
    </row>
    <row r="35597" spans="9:10" x14ac:dyDescent="0.35">
      <c r="I35597" s="63"/>
      <c r="J35597" s="63"/>
    </row>
    <row r="35598" spans="9:10" x14ac:dyDescent="0.35">
      <c r="I35598" s="63"/>
      <c r="J35598" s="63"/>
    </row>
    <row r="35599" spans="9:10" x14ac:dyDescent="0.35">
      <c r="I35599" s="63"/>
      <c r="J35599" s="63"/>
    </row>
    <row r="35600" spans="9:10" x14ac:dyDescent="0.35">
      <c r="I35600" s="63"/>
      <c r="J35600" s="63"/>
    </row>
    <row r="35601" spans="9:10" x14ac:dyDescent="0.35">
      <c r="I35601" s="63"/>
      <c r="J35601" s="63"/>
    </row>
    <row r="35602" spans="9:10" x14ac:dyDescent="0.35">
      <c r="I35602" s="63"/>
      <c r="J35602" s="63"/>
    </row>
    <row r="35603" spans="9:10" x14ac:dyDescent="0.35">
      <c r="I35603" s="63"/>
      <c r="J35603" s="63"/>
    </row>
    <row r="35604" spans="9:10" x14ac:dyDescent="0.35">
      <c r="I35604" s="63"/>
      <c r="J35604" s="63"/>
    </row>
    <row r="35605" spans="9:10" x14ac:dyDescent="0.35">
      <c r="I35605" s="63"/>
      <c r="J35605" s="63"/>
    </row>
    <row r="35606" spans="9:10" x14ac:dyDescent="0.35">
      <c r="I35606" s="63"/>
      <c r="J35606" s="63"/>
    </row>
    <row r="35607" spans="9:10" x14ac:dyDescent="0.35">
      <c r="I35607" s="63"/>
      <c r="J35607" s="63"/>
    </row>
    <row r="35608" spans="9:10" x14ac:dyDescent="0.35">
      <c r="I35608" s="63"/>
      <c r="J35608" s="63"/>
    </row>
    <row r="35609" spans="9:10" x14ac:dyDescent="0.35">
      <c r="I35609" s="63"/>
      <c r="J35609" s="63"/>
    </row>
    <row r="35610" spans="9:10" x14ac:dyDescent="0.35">
      <c r="I35610" s="63"/>
      <c r="J35610" s="63"/>
    </row>
    <row r="35611" spans="9:10" x14ac:dyDescent="0.35">
      <c r="I35611" s="63"/>
      <c r="J35611" s="63"/>
    </row>
    <row r="35612" spans="9:10" x14ac:dyDescent="0.35">
      <c r="I35612" s="63"/>
      <c r="J35612" s="63"/>
    </row>
    <row r="35613" spans="9:10" x14ac:dyDescent="0.35">
      <c r="I35613" s="63"/>
      <c r="J35613" s="63"/>
    </row>
    <row r="35614" spans="9:10" x14ac:dyDescent="0.35">
      <c r="I35614" s="63"/>
      <c r="J35614" s="63"/>
    </row>
    <row r="35615" spans="9:10" x14ac:dyDescent="0.35">
      <c r="I35615" s="63"/>
      <c r="J35615" s="63"/>
    </row>
    <row r="35616" spans="9:10" x14ac:dyDescent="0.35">
      <c r="I35616" s="63"/>
      <c r="J35616" s="63"/>
    </row>
    <row r="35617" spans="9:10" x14ac:dyDescent="0.35">
      <c r="I35617" s="63"/>
      <c r="J35617" s="63"/>
    </row>
    <row r="35618" spans="9:10" x14ac:dyDescent="0.35">
      <c r="I35618" s="63"/>
      <c r="J35618" s="63"/>
    </row>
    <row r="35619" spans="9:10" x14ac:dyDescent="0.35">
      <c r="I35619" s="63"/>
      <c r="J35619" s="63"/>
    </row>
    <row r="35620" spans="9:10" x14ac:dyDescent="0.35">
      <c r="I35620" s="63"/>
      <c r="J35620" s="63"/>
    </row>
    <row r="35621" spans="9:10" x14ac:dyDescent="0.35">
      <c r="I35621" s="63"/>
      <c r="J35621" s="63"/>
    </row>
    <row r="35622" spans="9:10" x14ac:dyDescent="0.35">
      <c r="I35622" s="63"/>
      <c r="J35622" s="63"/>
    </row>
    <row r="35623" spans="9:10" x14ac:dyDescent="0.35">
      <c r="I35623" s="63"/>
      <c r="J35623" s="63"/>
    </row>
    <row r="35624" spans="9:10" x14ac:dyDescent="0.35">
      <c r="I35624" s="63"/>
      <c r="J35624" s="63"/>
    </row>
    <row r="35625" spans="9:10" x14ac:dyDescent="0.35">
      <c r="I35625" s="63"/>
      <c r="J35625" s="63"/>
    </row>
    <row r="35626" spans="9:10" x14ac:dyDescent="0.35">
      <c r="I35626" s="63"/>
      <c r="J35626" s="63"/>
    </row>
    <row r="35627" spans="9:10" x14ac:dyDescent="0.35">
      <c r="I35627" s="63"/>
      <c r="J35627" s="63"/>
    </row>
    <row r="35628" spans="9:10" x14ac:dyDescent="0.35">
      <c r="I35628" s="63"/>
      <c r="J35628" s="63"/>
    </row>
    <row r="35629" spans="9:10" x14ac:dyDescent="0.35">
      <c r="I35629" s="63"/>
      <c r="J35629" s="63"/>
    </row>
    <row r="35630" spans="9:10" x14ac:dyDescent="0.35">
      <c r="I35630" s="63"/>
      <c r="J35630" s="63"/>
    </row>
    <row r="35631" spans="9:10" x14ac:dyDescent="0.35">
      <c r="I35631" s="63"/>
      <c r="J35631" s="63"/>
    </row>
    <row r="35632" spans="9:10" x14ac:dyDescent="0.35">
      <c r="I35632" s="63"/>
      <c r="J35632" s="63"/>
    </row>
    <row r="35633" spans="9:10" x14ac:dyDescent="0.35">
      <c r="I35633" s="63"/>
      <c r="J35633" s="63"/>
    </row>
    <row r="35634" spans="9:10" x14ac:dyDescent="0.35">
      <c r="I35634" s="63"/>
      <c r="J35634" s="63"/>
    </row>
    <row r="35635" spans="9:10" x14ac:dyDescent="0.35">
      <c r="I35635" s="63"/>
      <c r="J35635" s="63"/>
    </row>
    <row r="35636" spans="9:10" x14ac:dyDescent="0.35">
      <c r="I35636" s="63"/>
      <c r="J35636" s="63"/>
    </row>
    <row r="35637" spans="9:10" x14ac:dyDescent="0.35">
      <c r="I35637" s="63"/>
      <c r="J35637" s="63"/>
    </row>
    <row r="35638" spans="9:10" x14ac:dyDescent="0.35">
      <c r="I35638" s="63"/>
      <c r="J35638" s="63"/>
    </row>
    <row r="35639" spans="9:10" x14ac:dyDescent="0.35">
      <c r="I35639" s="63"/>
      <c r="J35639" s="63"/>
    </row>
    <row r="35640" spans="9:10" x14ac:dyDescent="0.35">
      <c r="I35640" s="63"/>
      <c r="J35640" s="63"/>
    </row>
    <row r="35641" spans="9:10" x14ac:dyDescent="0.35">
      <c r="I35641" s="63"/>
      <c r="J35641" s="63"/>
    </row>
    <row r="35642" spans="9:10" x14ac:dyDescent="0.35">
      <c r="I35642" s="63"/>
      <c r="J35642" s="63"/>
    </row>
    <row r="35643" spans="9:10" x14ac:dyDescent="0.35">
      <c r="I35643" s="63"/>
      <c r="J35643" s="63"/>
    </row>
    <row r="35644" spans="9:10" x14ac:dyDescent="0.35">
      <c r="I35644" s="63"/>
      <c r="J35644" s="63"/>
    </row>
    <row r="35645" spans="9:10" x14ac:dyDescent="0.35">
      <c r="I35645" s="63"/>
      <c r="J35645" s="63"/>
    </row>
    <row r="35646" spans="9:10" x14ac:dyDescent="0.35">
      <c r="I35646" s="63"/>
      <c r="J35646" s="63"/>
    </row>
    <row r="35647" spans="9:10" x14ac:dyDescent="0.35">
      <c r="I35647" s="63"/>
      <c r="J35647" s="63"/>
    </row>
    <row r="35648" spans="9:10" x14ac:dyDescent="0.35">
      <c r="I35648" s="63"/>
      <c r="J35648" s="63"/>
    </row>
    <row r="35649" spans="9:10" x14ac:dyDescent="0.35">
      <c r="I35649" s="63"/>
      <c r="J35649" s="63"/>
    </row>
    <row r="35650" spans="9:10" x14ac:dyDescent="0.35">
      <c r="I35650" s="63"/>
      <c r="J35650" s="63"/>
    </row>
    <row r="35651" spans="9:10" x14ac:dyDescent="0.35">
      <c r="I35651" s="63"/>
      <c r="J35651" s="63"/>
    </row>
    <row r="35652" spans="9:10" x14ac:dyDescent="0.35">
      <c r="I35652" s="63"/>
      <c r="J35652" s="63"/>
    </row>
    <row r="35653" spans="9:10" x14ac:dyDescent="0.35">
      <c r="I35653" s="63"/>
      <c r="J35653" s="63"/>
    </row>
    <row r="35654" spans="9:10" x14ac:dyDescent="0.35">
      <c r="I35654" s="63"/>
      <c r="J35654" s="63"/>
    </row>
    <row r="35655" spans="9:10" x14ac:dyDescent="0.35">
      <c r="I35655" s="63"/>
      <c r="J35655" s="63"/>
    </row>
    <row r="35656" spans="9:10" x14ac:dyDescent="0.35">
      <c r="I35656" s="63"/>
      <c r="J35656" s="63"/>
    </row>
    <row r="35657" spans="9:10" x14ac:dyDescent="0.35">
      <c r="I35657" s="63"/>
      <c r="J35657" s="63"/>
    </row>
    <row r="35658" spans="9:10" x14ac:dyDescent="0.35">
      <c r="I35658" s="63"/>
      <c r="J35658" s="63"/>
    </row>
    <row r="35659" spans="9:10" x14ac:dyDescent="0.35">
      <c r="I35659" s="63"/>
      <c r="J35659" s="63"/>
    </row>
    <row r="35660" spans="9:10" x14ac:dyDescent="0.35">
      <c r="I35660" s="63"/>
      <c r="J35660" s="63"/>
    </row>
    <row r="35661" spans="9:10" x14ac:dyDescent="0.35">
      <c r="I35661" s="63"/>
      <c r="J35661" s="63"/>
    </row>
    <row r="35662" spans="9:10" x14ac:dyDescent="0.35">
      <c r="I35662" s="63"/>
      <c r="J35662" s="63"/>
    </row>
    <row r="35663" spans="9:10" x14ac:dyDescent="0.35">
      <c r="I35663" s="63"/>
      <c r="J35663" s="63"/>
    </row>
    <row r="35664" spans="9:10" x14ac:dyDescent="0.35">
      <c r="I35664" s="63"/>
      <c r="J35664" s="63"/>
    </row>
    <row r="35665" spans="9:10" x14ac:dyDescent="0.35">
      <c r="I35665" s="63"/>
      <c r="J35665" s="63"/>
    </row>
    <row r="35666" spans="9:10" x14ac:dyDescent="0.35">
      <c r="I35666" s="63"/>
      <c r="J35666" s="63"/>
    </row>
    <row r="35667" spans="9:10" x14ac:dyDescent="0.35">
      <c r="I35667" s="63"/>
      <c r="J35667" s="63"/>
    </row>
    <row r="35668" spans="9:10" x14ac:dyDescent="0.35">
      <c r="I35668" s="63"/>
      <c r="J35668" s="63"/>
    </row>
    <row r="35669" spans="9:10" x14ac:dyDescent="0.35">
      <c r="I35669" s="63"/>
      <c r="J35669" s="63"/>
    </row>
    <row r="35670" spans="9:10" x14ac:dyDescent="0.35">
      <c r="I35670" s="63"/>
      <c r="J35670" s="63"/>
    </row>
    <row r="35671" spans="9:10" x14ac:dyDescent="0.35">
      <c r="I35671" s="63"/>
      <c r="J35671" s="63"/>
    </row>
    <row r="35672" spans="9:10" x14ac:dyDescent="0.35">
      <c r="I35672" s="63"/>
      <c r="J35672" s="63"/>
    </row>
    <row r="35673" spans="9:10" x14ac:dyDescent="0.35">
      <c r="I35673" s="63"/>
      <c r="J35673" s="63"/>
    </row>
    <row r="35674" spans="9:10" x14ac:dyDescent="0.35">
      <c r="I35674" s="63"/>
      <c r="J35674" s="63"/>
    </row>
    <row r="35675" spans="9:10" x14ac:dyDescent="0.35">
      <c r="I35675" s="63"/>
      <c r="J35675" s="63"/>
    </row>
    <row r="35676" spans="9:10" x14ac:dyDescent="0.35">
      <c r="I35676" s="63"/>
      <c r="J35676" s="63"/>
    </row>
    <row r="35677" spans="9:10" x14ac:dyDescent="0.35">
      <c r="I35677" s="63"/>
      <c r="J35677" s="63"/>
    </row>
    <row r="35678" spans="9:10" x14ac:dyDescent="0.35">
      <c r="I35678" s="63"/>
      <c r="J35678" s="63"/>
    </row>
    <row r="35679" spans="9:10" x14ac:dyDescent="0.35">
      <c r="I35679" s="63"/>
      <c r="J35679" s="63"/>
    </row>
    <row r="35680" spans="9:10" x14ac:dyDescent="0.35">
      <c r="I35680" s="63"/>
      <c r="J35680" s="63"/>
    </row>
    <row r="35681" spans="9:10" x14ac:dyDescent="0.35">
      <c r="I35681" s="63"/>
      <c r="J35681" s="63"/>
    </row>
    <row r="35682" spans="9:10" x14ac:dyDescent="0.35">
      <c r="I35682" s="63"/>
      <c r="J35682" s="63"/>
    </row>
    <row r="35683" spans="9:10" x14ac:dyDescent="0.35">
      <c r="I35683" s="63"/>
      <c r="J35683" s="63"/>
    </row>
    <row r="35684" spans="9:10" x14ac:dyDescent="0.35">
      <c r="I35684" s="63"/>
      <c r="J35684" s="63"/>
    </row>
    <row r="35685" spans="9:10" x14ac:dyDescent="0.35">
      <c r="I35685" s="63"/>
      <c r="J35685" s="63"/>
    </row>
    <row r="35686" spans="9:10" x14ac:dyDescent="0.35">
      <c r="I35686" s="63"/>
      <c r="J35686" s="63"/>
    </row>
    <row r="35687" spans="9:10" x14ac:dyDescent="0.35">
      <c r="I35687" s="63"/>
      <c r="J35687" s="63"/>
    </row>
    <row r="35688" spans="9:10" x14ac:dyDescent="0.35">
      <c r="I35688" s="63"/>
      <c r="J35688" s="63"/>
    </row>
    <row r="35689" spans="9:10" x14ac:dyDescent="0.35">
      <c r="I35689" s="63"/>
      <c r="J35689" s="63"/>
    </row>
    <row r="35690" spans="9:10" x14ac:dyDescent="0.35">
      <c r="I35690" s="63"/>
      <c r="J35690" s="63"/>
    </row>
    <row r="35691" spans="9:10" x14ac:dyDescent="0.35">
      <c r="I35691" s="63"/>
      <c r="J35691" s="63"/>
    </row>
    <row r="35692" spans="9:10" x14ac:dyDescent="0.35">
      <c r="I35692" s="63"/>
      <c r="J35692" s="63"/>
    </row>
    <row r="35693" spans="9:10" x14ac:dyDescent="0.35">
      <c r="I35693" s="63"/>
      <c r="J35693" s="63"/>
    </row>
    <row r="35694" spans="9:10" x14ac:dyDescent="0.35">
      <c r="I35694" s="63"/>
      <c r="J35694" s="63"/>
    </row>
    <row r="35695" spans="9:10" x14ac:dyDescent="0.35">
      <c r="I35695" s="63"/>
      <c r="J35695" s="63"/>
    </row>
    <row r="35696" spans="9:10" x14ac:dyDescent="0.35">
      <c r="I35696" s="63"/>
      <c r="J35696" s="63"/>
    </row>
    <row r="35697" spans="9:10" x14ac:dyDescent="0.35">
      <c r="I35697" s="63"/>
      <c r="J35697" s="63"/>
    </row>
    <row r="35698" spans="9:10" x14ac:dyDescent="0.35">
      <c r="I35698" s="63"/>
      <c r="J35698" s="63"/>
    </row>
    <row r="35699" spans="9:10" x14ac:dyDescent="0.35">
      <c r="I35699" s="63"/>
      <c r="J35699" s="63"/>
    </row>
    <row r="35700" spans="9:10" x14ac:dyDescent="0.35">
      <c r="I35700" s="63"/>
      <c r="J35700" s="63"/>
    </row>
    <row r="35701" spans="9:10" x14ac:dyDescent="0.35">
      <c r="I35701" s="63"/>
      <c r="J35701" s="63"/>
    </row>
    <row r="35702" spans="9:10" x14ac:dyDescent="0.35">
      <c r="I35702" s="63"/>
      <c r="J35702" s="63"/>
    </row>
    <row r="35703" spans="9:10" x14ac:dyDescent="0.35">
      <c r="I35703" s="63"/>
      <c r="J35703" s="63"/>
    </row>
    <row r="35704" spans="9:10" x14ac:dyDescent="0.35">
      <c r="I35704" s="63"/>
      <c r="J35704" s="63"/>
    </row>
    <row r="35705" spans="9:10" x14ac:dyDescent="0.35">
      <c r="I35705" s="63"/>
      <c r="J35705" s="63"/>
    </row>
    <row r="35706" spans="9:10" x14ac:dyDescent="0.35">
      <c r="I35706" s="63"/>
      <c r="J35706" s="63"/>
    </row>
    <row r="35707" spans="9:10" x14ac:dyDescent="0.35">
      <c r="I35707" s="63"/>
      <c r="J35707" s="63"/>
    </row>
    <row r="35708" spans="9:10" x14ac:dyDescent="0.35">
      <c r="I35708" s="63"/>
      <c r="J35708" s="63"/>
    </row>
    <row r="35709" spans="9:10" x14ac:dyDescent="0.35">
      <c r="I35709" s="63"/>
      <c r="J35709" s="63"/>
    </row>
    <row r="35710" spans="9:10" x14ac:dyDescent="0.35">
      <c r="I35710" s="63"/>
      <c r="J35710" s="63"/>
    </row>
    <row r="35711" spans="9:10" x14ac:dyDescent="0.35">
      <c r="I35711" s="63"/>
      <c r="J35711" s="63"/>
    </row>
    <row r="35712" spans="9:10" x14ac:dyDescent="0.35">
      <c r="I35712" s="63"/>
      <c r="J35712" s="63"/>
    </row>
    <row r="35713" spans="9:10" x14ac:dyDescent="0.35">
      <c r="I35713" s="63"/>
      <c r="J35713" s="63"/>
    </row>
    <row r="35714" spans="9:10" x14ac:dyDescent="0.35">
      <c r="I35714" s="63"/>
      <c r="J35714" s="63"/>
    </row>
    <row r="35715" spans="9:10" x14ac:dyDescent="0.35">
      <c r="I35715" s="63"/>
      <c r="J35715" s="63"/>
    </row>
    <row r="35716" spans="9:10" x14ac:dyDescent="0.35">
      <c r="I35716" s="63"/>
      <c r="J35716" s="63"/>
    </row>
    <row r="35717" spans="9:10" x14ac:dyDescent="0.35">
      <c r="I35717" s="63"/>
      <c r="J35717" s="63"/>
    </row>
    <row r="35718" spans="9:10" x14ac:dyDescent="0.35">
      <c r="I35718" s="63"/>
      <c r="J35718" s="63"/>
    </row>
    <row r="35719" spans="9:10" x14ac:dyDescent="0.35">
      <c r="I35719" s="63"/>
      <c r="J35719" s="63"/>
    </row>
    <row r="35720" spans="9:10" x14ac:dyDescent="0.35">
      <c r="I35720" s="63"/>
      <c r="J35720" s="63"/>
    </row>
    <row r="35721" spans="9:10" x14ac:dyDescent="0.35">
      <c r="I35721" s="63"/>
      <c r="J35721" s="63"/>
    </row>
    <row r="35722" spans="9:10" x14ac:dyDescent="0.35">
      <c r="I35722" s="63"/>
      <c r="J35722" s="63"/>
    </row>
    <row r="35723" spans="9:10" x14ac:dyDescent="0.35">
      <c r="I35723" s="63"/>
      <c r="J35723" s="63"/>
    </row>
    <row r="35724" spans="9:10" x14ac:dyDescent="0.35">
      <c r="I35724" s="63"/>
      <c r="J35724" s="63"/>
    </row>
    <row r="35725" spans="9:10" x14ac:dyDescent="0.35">
      <c r="I35725" s="63"/>
      <c r="J35725" s="63"/>
    </row>
    <row r="35726" spans="9:10" x14ac:dyDescent="0.35">
      <c r="I35726" s="63"/>
      <c r="J35726" s="63"/>
    </row>
    <row r="35727" spans="9:10" x14ac:dyDescent="0.35">
      <c r="I35727" s="63"/>
      <c r="J35727" s="63"/>
    </row>
    <row r="35728" spans="9:10" x14ac:dyDescent="0.35">
      <c r="I35728" s="63"/>
      <c r="J35728" s="63"/>
    </row>
    <row r="35729" spans="9:10" x14ac:dyDescent="0.35">
      <c r="I35729" s="63"/>
      <c r="J35729" s="63"/>
    </row>
    <row r="35730" spans="9:10" x14ac:dyDescent="0.35">
      <c r="I35730" s="63"/>
      <c r="J35730" s="63"/>
    </row>
    <row r="35731" spans="9:10" x14ac:dyDescent="0.35">
      <c r="I35731" s="63"/>
      <c r="J35731" s="63"/>
    </row>
    <row r="35732" spans="9:10" x14ac:dyDescent="0.35">
      <c r="I35732" s="63"/>
      <c r="J35732" s="63"/>
    </row>
    <row r="35733" spans="9:10" x14ac:dyDescent="0.35">
      <c r="I35733" s="63"/>
      <c r="J35733" s="63"/>
    </row>
    <row r="35734" spans="9:10" x14ac:dyDescent="0.35">
      <c r="I35734" s="63"/>
      <c r="J35734" s="63"/>
    </row>
    <row r="35735" spans="9:10" x14ac:dyDescent="0.35">
      <c r="I35735" s="63"/>
      <c r="J35735" s="63"/>
    </row>
    <row r="35736" spans="9:10" x14ac:dyDescent="0.35">
      <c r="I35736" s="63"/>
      <c r="J35736" s="63"/>
    </row>
    <row r="35737" spans="9:10" x14ac:dyDescent="0.35">
      <c r="I35737" s="63"/>
      <c r="J35737" s="63"/>
    </row>
    <row r="35738" spans="9:10" x14ac:dyDescent="0.35">
      <c r="I35738" s="63"/>
      <c r="J35738" s="63"/>
    </row>
    <row r="35739" spans="9:10" x14ac:dyDescent="0.35">
      <c r="I35739" s="63"/>
      <c r="J35739" s="63"/>
    </row>
    <row r="35740" spans="9:10" x14ac:dyDescent="0.35">
      <c r="I35740" s="63"/>
      <c r="J35740" s="63"/>
    </row>
    <row r="35741" spans="9:10" x14ac:dyDescent="0.35">
      <c r="I35741" s="63"/>
      <c r="J35741" s="63"/>
    </row>
    <row r="35742" spans="9:10" x14ac:dyDescent="0.35">
      <c r="I35742" s="63"/>
      <c r="J35742" s="63"/>
    </row>
    <row r="35743" spans="9:10" x14ac:dyDescent="0.35">
      <c r="I35743" s="63"/>
      <c r="J35743" s="63"/>
    </row>
    <row r="35744" spans="9:10" x14ac:dyDescent="0.35">
      <c r="I35744" s="63"/>
      <c r="J35744" s="63"/>
    </row>
    <row r="35745" spans="9:10" x14ac:dyDescent="0.35">
      <c r="I35745" s="63"/>
      <c r="J35745" s="63"/>
    </row>
    <row r="35746" spans="9:10" x14ac:dyDescent="0.35">
      <c r="I35746" s="63"/>
      <c r="J35746" s="63"/>
    </row>
    <row r="35747" spans="9:10" x14ac:dyDescent="0.35">
      <c r="I35747" s="63"/>
      <c r="J35747" s="63"/>
    </row>
    <row r="35748" spans="9:10" x14ac:dyDescent="0.35">
      <c r="I35748" s="63"/>
      <c r="J35748" s="63"/>
    </row>
    <row r="35749" spans="9:10" x14ac:dyDescent="0.35">
      <c r="I35749" s="63"/>
      <c r="J35749" s="63"/>
    </row>
    <row r="35750" spans="9:10" x14ac:dyDescent="0.35">
      <c r="I35750" s="63"/>
      <c r="J35750" s="63"/>
    </row>
    <row r="35751" spans="9:10" x14ac:dyDescent="0.35">
      <c r="I35751" s="63"/>
      <c r="J35751" s="63"/>
    </row>
    <row r="35752" spans="9:10" x14ac:dyDescent="0.35">
      <c r="I35752" s="63"/>
      <c r="J35752" s="63"/>
    </row>
    <row r="35753" spans="9:10" x14ac:dyDescent="0.35">
      <c r="I35753" s="63"/>
      <c r="J35753" s="63"/>
    </row>
    <row r="35754" spans="9:10" x14ac:dyDescent="0.35">
      <c r="I35754" s="63"/>
      <c r="J35754" s="63"/>
    </row>
    <row r="35755" spans="9:10" x14ac:dyDescent="0.35">
      <c r="I35755" s="63"/>
      <c r="J35755" s="63"/>
    </row>
    <row r="35756" spans="9:10" x14ac:dyDescent="0.35">
      <c r="I35756" s="63"/>
      <c r="J35756" s="63"/>
    </row>
    <row r="35757" spans="9:10" x14ac:dyDescent="0.35">
      <c r="I35757" s="63"/>
      <c r="J35757" s="63"/>
    </row>
    <row r="35758" spans="9:10" x14ac:dyDescent="0.35">
      <c r="I35758" s="63"/>
      <c r="J35758" s="63"/>
    </row>
    <row r="35759" spans="9:10" x14ac:dyDescent="0.35">
      <c r="I35759" s="63"/>
      <c r="J35759" s="63"/>
    </row>
    <row r="35760" spans="9:10" x14ac:dyDescent="0.35">
      <c r="I35760" s="63"/>
      <c r="J35760" s="63"/>
    </row>
    <row r="35761" spans="9:10" x14ac:dyDescent="0.35">
      <c r="I35761" s="63"/>
      <c r="J35761" s="63"/>
    </row>
    <row r="35762" spans="9:10" x14ac:dyDescent="0.35">
      <c r="I35762" s="63"/>
      <c r="J35762" s="63"/>
    </row>
    <row r="35763" spans="9:10" x14ac:dyDescent="0.35">
      <c r="I35763" s="63"/>
      <c r="J35763" s="63"/>
    </row>
    <row r="35764" spans="9:10" x14ac:dyDescent="0.35">
      <c r="I35764" s="63"/>
      <c r="J35764" s="63"/>
    </row>
    <row r="35765" spans="9:10" x14ac:dyDescent="0.35">
      <c r="I35765" s="63"/>
      <c r="J35765" s="63"/>
    </row>
    <row r="35766" spans="9:10" x14ac:dyDescent="0.35">
      <c r="I35766" s="63"/>
      <c r="J35766" s="63"/>
    </row>
    <row r="35767" spans="9:10" x14ac:dyDescent="0.35">
      <c r="I35767" s="63"/>
      <c r="J35767" s="63"/>
    </row>
    <row r="35768" spans="9:10" x14ac:dyDescent="0.35">
      <c r="I35768" s="63"/>
      <c r="J35768" s="63"/>
    </row>
    <row r="35769" spans="9:10" x14ac:dyDescent="0.35">
      <c r="I35769" s="63"/>
      <c r="J35769" s="63"/>
    </row>
    <row r="35770" spans="9:10" x14ac:dyDescent="0.35">
      <c r="I35770" s="63"/>
      <c r="J35770" s="63"/>
    </row>
    <row r="35771" spans="9:10" x14ac:dyDescent="0.35">
      <c r="I35771" s="63"/>
      <c r="J35771" s="63"/>
    </row>
    <row r="35772" spans="9:10" x14ac:dyDescent="0.35">
      <c r="I35772" s="63"/>
      <c r="J35772" s="63"/>
    </row>
    <row r="35773" spans="9:10" x14ac:dyDescent="0.35">
      <c r="I35773" s="63"/>
      <c r="J35773" s="63"/>
    </row>
    <row r="35774" spans="9:10" x14ac:dyDescent="0.35">
      <c r="I35774" s="63"/>
      <c r="J35774" s="63"/>
    </row>
    <row r="35775" spans="9:10" x14ac:dyDescent="0.35">
      <c r="I35775" s="63"/>
      <c r="J35775" s="63"/>
    </row>
    <row r="35776" spans="9:10" x14ac:dyDescent="0.35">
      <c r="I35776" s="63"/>
      <c r="J35776" s="63"/>
    </row>
    <row r="35777" spans="9:10" x14ac:dyDescent="0.35">
      <c r="I35777" s="63"/>
      <c r="J35777" s="63"/>
    </row>
    <row r="35778" spans="9:10" x14ac:dyDescent="0.35">
      <c r="I35778" s="63"/>
      <c r="J35778" s="63"/>
    </row>
    <row r="35779" spans="9:10" x14ac:dyDescent="0.35">
      <c r="I35779" s="63"/>
      <c r="J35779" s="63"/>
    </row>
    <row r="35780" spans="9:10" x14ac:dyDescent="0.35">
      <c r="I35780" s="63"/>
      <c r="J35780" s="63"/>
    </row>
    <row r="35781" spans="9:10" x14ac:dyDescent="0.35">
      <c r="I35781" s="63"/>
      <c r="J35781" s="63"/>
    </row>
    <row r="35782" spans="9:10" x14ac:dyDescent="0.35">
      <c r="I35782" s="63"/>
      <c r="J35782" s="63"/>
    </row>
    <row r="35783" spans="9:10" x14ac:dyDescent="0.35">
      <c r="I35783" s="63"/>
      <c r="J35783" s="63"/>
    </row>
    <row r="35784" spans="9:10" x14ac:dyDescent="0.35">
      <c r="I35784" s="63"/>
      <c r="J35784" s="63"/>
    </row>
    <row r="35785" spans="9:10" x14ac:dyDescent="0.35">
      <c r="I35785" s="63"/>
      <c r="J35785" s="63"/>
    </row>
    <row r="35786" spans="9:10" x14ac:dyDescent="0.35">
      <c r="I35786" s="63"/>
      <c r="J35786" s="63"/>
    </row>
    <row r="35787" spans="9:10" x14ac:dyDescent="0.35">
      <c r="I35787" s="63"/>
      <c r="J35787" s="63"/>
    </row>
    <row r="35788" spans="9:10" x14ac:dyDescent="0.35">
      <c r="I35788" s="63"/>
      <c r="J35788" s="63"/>
    </row>
    <row r="35789" spans="9:10" x14ac:dyDescent="0.35">
      <c r="I35789" s="63"/>
      <c r="J35789" s="63"/>
    </row>
    <row r="35790" spans="9:10" x14ac:dyDescent="0.35">
      <c r="I35790" s="63"/>
      <c r="J35790" s="63"/>
    </row>
    <row r="35791" spans="9:10" x14ac:dyDescent="0.35">
      <c r="I35791" s="63"/>
      <c r="J35791" s="63"/>
    </row>
    <row r="35792" spans="9:10" x14ac:dyDescent="0.35">
      <c r="I35792" s="63"/>
      <c r="J35792" s="63"/>
    </row>
    <row r="35793" spans="9:10" x14ac:dyDescent="0.35">
      <c r="I35793" s="63"/>
      <c r="J35793" s="63"/>
    </row>
    <row r="35794" spans="9:10" x14ac:dyDescent="0.35">
      <c r="I35794" s="63"/>
      <c r="J35794" s="63"/>
    </row>
    <row r="35795" spans="9:10" x14ac:dyDescent="0.35">
      <c r="I35795" s="63"/>
      <c r="J35795" s="63"/>
    </row>
    <row r="35796" spans="9:10" x14ac:dyDescent="0.35">
      <c r="I35796" s="63"/>
      <c r="J35796" s="63"/>
    </row>
    <row r="35797" spans="9:10" x14ac:dyDescent="0.35">
      <c r="I35797" s="63"/>
      <c r="J35797" s="63"/>
    </row>
    <row r="35798" spans="9:10" x14ac:dyDescent="0.35">
      <c r="I35798" s="63"/>
      <c r="J35798" s="63"/>
    </row>
    <row r="35799" spans="9:10" x14ac:dyDescent="0.35">
      <c r="I35799" s="63"/>
      <c r="J35799" s="63"/>
    </row>
    <row r="35800" spans="9:10" x14ac:dyDescent="0.35">
      <c r="I35800" s="63"/>
      <c r="J35800" s="63"/>
    </row>
    <row r="35801" spans="9:10" x14ac:dyDescent="0.35">
      <c r="I35801" s="63"/>
      <c r="J35801" s="63"/>
    </row>
    <row r="35802" spans="9:10" x14ac:dyDescent="0.35">
      <c r="I35802" s="63"/>
      <c r="J35802" s="63"/>
    </row>
    <row r="35803" spans="9:10" x14ac:dyDescent="0.35">
      <c r="I35803" s="63"/>
      <c r="J35803" s="63"/>
    </row>
    <row r="35804" spans="9:10" x14ac:dyDescent="0.35">
      <c r="I35804" s="63"/>
      <c r="J35804" s="63"/>
    </row>
    <row r="35805" spans="9:10" x14ac:dyDescent="0.35">
      <c r="I35805" s="63"/>
      <c r="J35805" s="63"/>
    </row>
    <row r="35806" spans="9:10" x14ac:dyDescent="0.35">
      <c r="I35806" s="63"/>
      <c r="J35806" s="63"/>
    </row>
    <row r="35807" spans="9:10" x14ac:dyDescent="0.35">
      <c r="I35807" s="63"/>
      <c r="J35807" s="63"/>
    </row>
    <row r="35808" spans="9:10" x14ac:dyDescent="0.35">
      <c r="I35808" s="63"/>
      <c r="J35808" s="63"/>
    </row>
    <row r="35809" spans="9:10" x14ac:dyDescent="0.35">
      <c r="I35809" s="63"/>
      <c r="J35809" s="63"/>
    </row>
    <row r="35810" spans="9:10" x14ac:dyDescent="0.35">
      <c r="I35810" s="63"/>
      <c r="J35810" s="63"/>
    </row>
    <row r="35811" spans="9:10" x14ac:dyDescent="0.35">
      <c r="I35811" s="63"/>
      <c r="J35811" s="63"/>
    </row>
    <row r="35812" spans="9:10" x14ac:dyDescent="0.35">
      <c r="I35812" s="63"/>
      <c r="J35812" s="63"/>
    </row>
    <row r="35813" spans="9:10" x14ac:dyDescent="0.35">
      <c r="I35813" s="63"/>
      <c r="J35813" s="63"/>
    </row>
    <row r="35814" spans="9:10" x14ac:dyDescent="0.35">
      <c r="I35814" s="63"/>
      <c r="J35814" s="63"/>
    </row>
    <row r="35815" spans="9:10" x14ac:dyDescent="0.35">
      <c r="I35815" s="63"/>
      <c r="J35815" s="63"/>
    </row>
    <row r="35816" spans="9:10" x14ac:dyDescent="0.35">
      <c r="I35816" s="63"/>
      <c r="J35816" s="63"/>
    </row>
    <row r="35817" spans="9:10" x14ac:dyDescent="0.35">
      <c r="I35817" s="63"/>
      <c r="J35817" s="63"/>
    </row>
    <row r="35818" spans="9:10" x14ac:dyDescent="0.35">
      <c r="I35818" s="63"/>
      <c r="J35818" s="63"/>
    </row>
    <row r="35819" spans="9:10" x14ac:dyDescent="0.35">
      <c r="I35819" s="63"/>
      <c r="J35819" s="63"/>
    </row>
    <row r="35820" spans="9:10" x14ac:dyDescent="0.35">
      <c r="I35820" s="63"/>
      <c r="J35820" s="63"/>
    </row>
    <row r="35821" spans="9:10" x14ac:dyDescent="0.35">
      <c r="I35821" s="63"/>
      <c r="J35821" s="63"/>
    </row>
    <row r="35822" spans="9:10" x14ac:dyDescent="0.35">
      <c r="I35822" s="63"/>
      <c r="J35822" s="63"/>
    </row>
    <row r="35823" spans="9:10" x14ac:dyDescent="0.35">
      <c r="I35823" s="63"/>
      <c r="J35823" s="63"/>
    </row>
    <row r="35824" spans="9:10" x14ac:dyDescent="0.35">
      <c r="I35824" s="63"/>
      <c r="J35824" s="63"/>
    </row>
    <row r="35825" spans="9:10" x14ac:dyDescent="0.35">
      <c r="I35825" s="63"/>
      <c r="J35825" s="63"/>
    </row>
    <row r="35826" spans="9:10" x14ac:dyDescent="0.35">
      <c r="I35826" s="63"/>
      <c r="J35826" s="63"/>
    </row>
    <row r="35827" spans="9:10" x14ac:dyDescent="0.35">
      <c r="I35827" s="63"/>
      <c r="J35827" s="63"/>
    </row>
    <row r="35828" spans="9:10" x14ac:dyDescent="0.35">
      <c r="I35828" s="63"/>
      <c r="J35828" s="63"/>
    </row>
    <row r="35829" spans="9:10" x14ac:dyDescent="0.35">
      <c r="I35829" s="63"/>
      <c r="J35829" s="63"/>
    </row>
    <row r="35830" spans="9:10" x14ac:dyDescent="0.35">
      <c r="I35830" s="63"/>
      <c r="J35830" s="63"/>
    </row>
    <row r="35831" spans="9:10" x14ac:dyDescent="0.35">
      <c r="I35831" s="63"/>
      <c r="J35831" s="63"/>
    </row>
    <row r="35832" spans="9:10" x14ac:dyDescent="0.35">
      <c r="I35832" s="63"/>
      <c r="J35832" s="63"/>
    </row>
    <row r="35833" spans="9:10" x14ac:dyDescent="0.35">
      <c r="I35833" s="63"/>
      <c r="J35833" s="63"/>
    </row>
    <row r="35834" spans="9:10" x14ac:dyDescent="0.35">
      <c r="I35834" s="63"/>
      <c r="J35834" s="63"/>
    </row>
    <row r="35835" spans="9:10" x14ac:dyDescent="0.35">
      <c r="I35835" s="63"/>
      <c r="J35835" s="63"/>
    </row>
    <row r="35836" spans="9:10" x14ac:dyDescent="0.35">
      <c r="I35836" s="63"/>
      <c r="J35836" s="63"/>
    </row>
    <row r="35837" spans="9:10" x14ac:dyDescent="0.35">
      <c r="I35837" s="63"/>
      <c r="J35837" s="63"/>
    </row>
    <row r="35838" spans="9:10" x14ac:dyDescent="0.35">
      <c r="I35838" s="63"/>
      <c r="J35838" s="63"/>
    </row>
    <row r="35839" spans="9:10" x14ac:dyDescent="0.35">
      <c r="I35839" s="63"/>
      <c r="J35839" s="63"/>
    </row>
    <row r="35840" spans="9:10" x14ac:dyDescent="0.35">
      <c r="I35840" s="63"/>
      <c r="J35840" s="63"/>
    </row>
    <row r="35841" spans="9:10" x14ac:dyDescent="0.35">
      <c r="I35841" s="63"/>
      <c r="J35841" s="63"/>
    </row>
    <row r="35842" spans="9:10" x14ac:dyDescent="0.35">
      <c r="I35842" s="63"/>
      <c r="J35842" s="63"/>
    </row>
    <row r="35843" spans="9:10" x14ac:dyDescent="0.35">
      <c r="I35843" s="63"/>
      <c r="J35843" s="63"/>
    </row>
    <row r="35844" spans="9:10" x14ac:dyDescent="0.35">
      <c r="I35844" s="63"/>
      <c r="J35844" s="63"/>
    </row>
    <row r="35845" spans="9:10" x14ac:dyDescent="0.35">
      <c r="I35845" s="63"/>
      <c r="J35845" s="63"/>
    </row>
    <row r="35846" spans="9:10" x14ac:dyDescent="0.35">
      <c r="I35846" s="63"/>
      <c r="J35846" s="63"/>
    </row>
    <row r="35847" spans="9:10" x14ac:dyDescent="0.35">
      <c r="I35847" s="63"/>
      <c r="J35847" s="63"/>
    </row>
    <row r="35848" spans="9:10" x14ac:dyDescent="0.35">
      <c r="I35848" s="63"/>
      <c r="J35848" s="63"/>
    </row>
    <row r="35849" spans="9:10" x14ac:dyDescent="0.35">
      <c r="I35849" s="63"/>
      <c r="J35849" s="63"/>
    </row>
    <row r="35850" spans="9:10" x14ac:dyDescent="0.35">
      <c r="I35850" s="63"/>
      <c r="J35850" s="63"/>
    </row>
    <row r="35851" spans="9:10" x14ac:dyDescent="0.35">
      <c r="I35851" s="63"/>
      <c r="J35851" s="63"/>
    </row>
    <row r="35852" spans="9:10" x14ac:dyDescent="0.35">
      <c r="I35852" s="63"/>
      <c r="J35852" s="63"/>
    </row>
    <row r="35853" spans="9:10" x14ac:dyDescent="0.35">
      <c r="I35853" s="63"/>
      <c r="J35853" s="63"/>
    </row>
    <row r="35854" spans="9:10" x14ac:dyDescent="0.35">
      <c r="I35854" s="63"/>
      <c r="J35854" s="63"/>
    </row>
    <row r="35855" spans="9:10" x14ac:dyDescent="0.35">
      <c r="I35855" s="63"/>
      <c r="J35855" s="63"/>
    </row>
    <row r="35856" spans="9:10" x14ac:dyDescent="0.35">
      <c r="I35856" s="63"/>
      <c r="J35856" s="63"/>
    </row>
    <row r="35857" spans="9:10" x14ac:dyDescent="0.35">
      <c r="I35857" s="63"/>
      <c r="J35857" s="63"/>
    </row>
    <row r="35858" spans="9:10" x14ac:dyDescent="0.35">
      <c r="I35858" s="63"/>
      <c r="J35858" s="63"/>
    </row>
    <row r="35859" spans="9:10" x14ac:dyDescent="0.35">
      <c r="I35859" s="63"/>
      <c r="J35859" s="63"/>
    </row>
    <row r="35860" spans="9:10" x14ac:dyDescent="0.35">
      <c r="I35860" s="63"/>
      <c r="J35860" s="63"/>
    </row>
    <row r="35861" spans="9:10" x14ac:dyDescent="0.35">
      <c r="I35861" s="63"/>
      <c r="J35861" s="63"/>
    </row>
    <row r="35862" spans="9:10" x14ac:dyDescent="0.35">
      <c r="I35862" s="63"/>
      <c r="J35862" s="63"/>
    </row>
    <row r="35863" spans="9:10" x14ac:dyDescent="0.35">
      <c r="I35863" s="63"/>
      <c r="J35863" s="63"/>
    </row>
    <row r="35864" spans="9:10" x14ac:dyDescent="0.35">
      <c r="I35864" s="63"/>
      <c r="J35864" s="63"/>
    </row>
    <row r="35865" spans="9:10" x14ac:dyDescent="0.35">
      <c r="I35865" s="63"/>
      <c r="J35865" s="63"/>
    </row>
    <row r="35866" spans="9:10" x14ac:dyDescent="0.35">
      <c r="I35866" s="63"/>
      <c r="J35866" s="63"/>
    </row>
    <row r="35867" spans="9:10" x14ac:dyDescent="0.35">
      <c r="I35867" s="63"/>
      <c r="J35867" s="63"/>
    </row>
    <row r="35868" spans="9:10" x14ac:dyDescent="0.35">
      <c r="I35868" s="63"/>
      <c r="J35868" s="63"/>
    </row>
    <row r="35869" spans="9:10" x14ac:dyDescent="0.35">
      <c r="I35869" s="63"/>
      <c r="J35869" s="63"/>
    </row>
    <row r="35870" spans="9:10" x14ac:dyDescent="0.35">
      <c r="I35870" s="63"/>
      <c r="J35870" s="63"/>
    </row>
    <row r="35871" spans="9:10" x14ac:dyDescent="0.35">
      <c r="I35871" s="63"/>
      <c r="J35871" s="63"/>
    </row>
    <row r="35872" spans="9:10" x14ac:dyDescent="0.35">
      <c r="I35872" s="63"/>
      <c r="J35872" s="63"/>
    </row>
    <row r="35873" spans="9:10" x14ac:dyDescent="0.35">
      <c r="I35873" s="63"/>
      <c r="J35873" s="63"/>
    </row>
    <row r="35874" spans="9:10" x14ac:dyDescent="0.35">
      <c r="I35874" s="63"/>
      <c r="J35874" s="63"/>
    </row>
    <row r="35875" spans="9:10" x14ac:dyDescent="0.35">
      <c r="I35875" s="63"/>
      <c r="J35875" s="63"/>
    </row>
    <row r="35876" spans="9:10" x14ac:dyDescent="0.35">
      <c r="I35876" s="63"/>
      <c r="J35876" s="63"/>
    </row>
    <row r="35877" spans="9:10" x14ac:dyDescent="0.35">
      <c r="I35877" s="63"/>
      <c r="J35877" s="63"/>
    </row>
    <row r="35878" spans="9:10" x14ac:dyDescent="0.35">
      <c r="I35878" s="63"/>
      <c r="J35878" s="63"/>
    </row>
    <row r="35879" spans="9:10" x14ac:dyDescent="0.35">
      <c r="I35879" s="63"/>
      <c r="J35879" s="63"/>
    </row>
    <row r="35880" spans="9:10" x14ac:dyDescent="0.35">
      <c r="I35880" s="63"/>
      <c r="J35880" s="63"/>
    </row>
    <row r="35881" spans="9:10" x14ac:dyDescent="0.35">
      <c r="I35881" s="63"/>
      <c r="J35881" s="63"/>
    </row>
    <row r="35882" spans="9:10" x14ac:dyDescent="0.35">
      <c r="I35882" s="63"/>
      <c r="J35882" s="63"/>
    </row>
    <row r="35883" spans="9:10" x14ac:dyDescent="0.35">
      <c r="I35883" s="63"/>
      <c r="J35883" s="63"/>
    </row>
    <row r="35884" spans="9:10" x14ac:dyDescent="0.35">
      <c r="I35884" s="63"/>
      <c r="J35884" s="63"/>
    </row>
    <row r="35885" spans="9:10" x14ac:dyDescent="0.35">
      <c r="I35885" s="63"/>
      <c r="J35885" s="63"/>
    </row>
    <row r="35886" spans="9:10" x14ac:dyDescent="0.35">
      <c r="I35886" s="63"/>
      <c r="J35886" s="63"/>
    </row>
    <row r="35887" spans="9:10" x14ac:dyDescent="0.35">
      <c r="I35887" s="63"/>
      <c r="J35887" s="63"/>
    </row>
    <row r="35888" spans="9:10" x14ac:dyDescent="0.35">
      <c r="I35888" s="63"/>
      <c r="J35888" s="63"/>
    </row>
    <row r="35889" spans="9:10" x14ac:dyDescent="0.35">
      <c r="I35889" s="63"/>
      <c r="J35889" s="63"/>
    </row>
    <row r="35890" spans="9:10" x14ac:dyDescent="0.35">
      <c r="I35890" s="63"/>
      <c r="J35890" s="63"/>
    </row>
    <row r="35891" spans="9:10" x14ac:dyDescent="0.35">
      <c r="I35891" s="63"/>
      <c r="J35891" s="63"/>
    </row>
    <row r="35892" spans="9:10" x14ac:dyDescent="0.35">
      <c r="I35892" s="63"/>
      <c r="J35892" s="63"/>
    </row>
    <row r="35893" spans="9:10" x14ac:dyDescent="0.35">
      <c r="I35893" s="63"/>
      <c r="J35893" s="63"/>
    </row>
    <row r="35894" spans="9:10" x14ac:dyDescent="0.35">
      <c r="I35894" s="63"/>
      <c r="J35894" s="63"/>
    </row>
    <row r="35895" spans="9:10" x14ac:dyDescent="0.35">
      <c r="I35895" s="63"/>
      <c r="J35895" s="63"/>
    </row>
    <row r="35896" spans="9:10" x14ac:dyDescent="0.35">
      <c r="I35896" s="63"/>
      <c r="J35896" s="63"/>
    </row>
    <row r="35897" spans="9:10" x14ac:dyDescent="0.35">
      <c r="I35897" s="63"/>
      <c r="J35897" s="63"/>
    </row>
    <row r="35898" spans="9:10" x14ac:dyDescent="0.35">
      <c r="I35898" s="63"/>
      <c r="J35898" s="63"/>
    </row>
    <row r="35899" spans="9:10" x14ac:dyDescent="0.35">
      <c r="I35899" s="63"/>
      <c r="J35899" s="63"/>
    </row>
    <row r="35900" spans="9:10" x14ac:dyDescent="0.35">
      <c r="I35900" s="63"/>
      <c r="J35900" s="63"/>
    </row>
    <row r="35901" spans="9:10" x14ac:dyDescent="0.35">
      <c r="I35901" s="63"/>
      <c r="J35901" s="63"/>
    </row>
    <row r="35902" spans="9:10" x14ac:dyDescent="0.35">
      <c r="I35902" s="63"/>
      <c r="J35902" s="63"/>
    </row>
    <row r="35903" spans="9:10" x14ac:dyDescent="0.35">
      <c r="I35903" s="63"/>
      <c r="J35903" s="63"/>
    </row>
    <row r="35904" spans="9:10" x14ac:dyDescent="0.35">
      <c r="I35904" s="63"/>
      <c r="J35904" s="63"/>
    </row>
    <row r="35905" spans="9:10" x14ac:dyDescent="0.35">
      <c r="I35905" s="63"/>
      <c r="J35905" s="63"/>
    </row>
    <row r="35906" spans="9:10" x14ac:dyDescent="0.35">
      <c r="I35906" s="63"/>
      <c r="J35906" s="63"/>
    </row>
    <row r="35907" spans="9:10" x14ac:dyDescent="0.35">
      <c r="I35907" s="63"/>
      <c r="J35907" s="63"/>
    </row>
    <row r="35908" spans="9:10" x14ac:dyDescent="0.35">
      <c r="I35908" s="63"/>
      <c r="J35908" s="63"/>
    </row>
    <row r="35909" spans="9:10" x14ac:dyDescent="0.35">
      <c r="I35909" s="63"/>
      <c r="J35909" s="63"/>
    </row>
    <row r="35910" spans="9:10" x14ac:dyDescent="0.35">
      <c r="I35910" s="63"/>
      <c r="J35910" s="63"/>
    </row>
    <row r="35911" spans="9:10" x14ac:dyDescent="0.35">
      <c r="I35911" s="63"/>
      <c r="J35911" s="63"/>
    </row>
    <row r="35912" spans="9:10" x14ac:dyDescent="0.35">
      <c r="I35912" s="63"/>
      <c r="J35912" s="63"/>
    </row>
    <row r="35913" spans="9:10" x14ac:dyDescent="0.35">
      <c r="I35913" s="63"/>
      <c r="J35913" s="63"/>
    </row>
    <row r="35914" spans="9:10" x14ac:dyDescent="0.35">
      <c r="I35914" s="63"/>
      <c r="J35914" s="63"/>
    </row>
    <row r="35915" spans="9:10" x14ac:dyDescent="0.35">
      <c r="I35915" s="63"/>
      <c r="J35915" s="63"/>
    </row>
    <row r="35916" spans="9:10" x14ac:dyDescent="0.35">
      <c r="I35916" s="63"/>
      <c r="J35916" s="63"/>
    </row>
    <row r="35917" spans="9:10" x14ac:dyDescent="0.35">
      <c r="I35917" s="63"/>
      <c r="J35917" s="63"/>
    </row>
    <row r="35918" spans="9:10" x14ac:dyDescent="0.35">
      <c r="I35918" s="63"/>
      <c r="J35918" s="63"/>
    </row>
    <row r="35919" spans="9:10" x14ac:dyDescent="0.35">
      <c r="I35919" s="63"/>
      <c r="J35919" s="63"/>
    </row>
    <row r="35920" spans="9:10" x14ac:dyDescent="0.35">
      <c r="I35920" s="63"/>
      <c r="J35920" s="63"/>
    </row>
    <row r="35921" spans="9:10" x14ac:dyDescent="0.35">
      <c r="I35921" s="63"/>
      <c r="J35921" s="63"/>
    </row>
    <row r="35922" spans="9:10" x14ac:dyDescent="0.35">
      <c r="I35922" s="63"/>
      <c r="J35922" s="63"/>
    </row>
    <row r="35923" spans="9:10" x14ac:dyDescent="0.35">
      <c r="I35923" s="63"/>
      <c r="J35923" s="63"/>
    </row>
    <row r="35924" spans="9:10" x14ac:dyDescent="0.35">
      <c r="I35924" s="63"/>
      <c r="J35924" s="63"/>
    </row>
    <row r="35925" spans="9:10" x14ac:dyDescent="0.35">
      <c r="I35925" s="63"/>
      <c r="J35925" s="63"/>
    </row>
    <row r="35926" spans="9:10" x14ac:dyDescent="0.35">
      <c r="I35926" s="63"/>
      <c r="J35926" s="63"/>
    </row>
    <row r="35927" spans="9:10" x14ac:dyDescent="0.35">
      <c r="I35927" s="63"/>
      <c r="J35927" s="63"/>
    </row>
    <row r="35928" spans="9:10" x14ac:dyDescent="0.35">
      <c r="I35928" s="63"/>
      <c r="J35928" s="63"/>
    </row>
    <row r="35929" spans="9:10" x14ac:dyDescent="0.35">
      <c r="I35929" s="63"/>
      <c r="J35929" s="63"/>
    </row>
    <row r="35930" spans="9:10" x14ac:dyDescent="0.35">
      <c r="I35930" s="63"/>
      <c r="J35930" s="63"/>
    </row>
    <row r="35931" spans="9:10" x14ac:dyDescent="0.35">
      <c r="I35931" s="63"/>
      <c r="J35931" s="63"/>
    </row>
    <row r="35932" spans="9:10" x14ac:dyDescent="0.35">
      <c r="I35932" s="63"/>
      <c r="J35932" s="63"/>
    </row>
    <row r="35933" spans="9:10" x14ac:dyDescent="0.35">
      <c r="I35933" s="63"/>
      <c r="J35933" s="63"/>
    </row>
    <row r="35934" spans="9:10" x14ac:dyDescent="0.35">
      <c r="I35934" s="63"/>
      <c r="J35934" s="63"/>
    </row>
    <row r="35935" spans="9:10" x14ac:dyDescent="0.35">
      <c r="I35935" s="63"/>
      <c r="J35935" s="63"/>
    </row>
    <row r="35936" spans="9:10" x14ac:dyDescent="0.35">
      <c r="I35936" s="63"/>
      <c r="J35936" s="63"/>
    </row>
    <row r="35937" spans="9:10" x14ac:dyDescent="0.35">
      <c r="I35937" s="63"/>
      <c r="J35937" s="63"/>
    </row>
    <row r="35938" spans="9:10" x14ac:dyDescent="0.35">
      <c r="I35938" s="63"/>
      <c r="J35938" s="63"/>
    </row>
    <row r="35939" spans="9:10" x14ac:dyDescent="0.35">
      <c r="I35939" s="63"/>
      <c r="J35939" s="63"/>
    </row>
    <row r="35940" spans="9:10" x14ac:dyDescent="0.35">
      <c r="I35940" s="63"/>
      <c r="J35940" s="63"/>
    </row>
    <row r="35941" spans="9:10" x14ac:dyDescent="0.35">
      <c r="I35941" s="63"/>
      <c r="J35941" s="63"/>
    </row>
    <row r="35942" spans="9:10" x14ac:dyDescent="0.35">
      <c r="I35942" s="63"/>
      <c r="J35942" s="63"/>
    </row>
    <row r="35943" spans="9:10" x14ac:dyDescent="0.35">
      <c r="I35943" s="63"/>
      <c r="J35943" s="63"/>
    </row>
    <row r="35944" spans="9:10" x14ac:dyDescent="0.35">
      <c r="I35944" s="63"/>
      <c r="J35944" s="63"/>
    </row>
    <row r="35945" spans="9:10" x14ac:dyDescent="0.35">
      <c r="I35945" s="63"/>
      <c r="J35945" s="63"/>
    </row>
    <row r="35946" spans="9:10" x14ac:dyDescent="0.35">
      <c r="I35946" s="63"/>
      <c r="J35946" s="63"/>
    </row>
    <row r="35947" spans="9:10" x14ac:dyDescent="0.35">
      <c r="I35947" s="63"/>
      <c r="J35947" s="63"/>
    </row>
    <row r="35948" spans="9:10" x14ac:dyDescent="0.35">
      <c r="I35948" s="63"/>
      <c r="J35948" s="63"/>
    </row>
    <row r="35949" spans="9:10" x14ac:dyDescent="0.35">
      <c r="I35949" s="63"/>
      <c r="J35949" s="63"/>
    </row>
    <row r="35950" spans="9:10" x14ac:dyDescent="0.35">
      <c r="I35950" s="63"/>
      <c r="J35950" s="63"/>
    </row>
    <row r="35951" spans="9:10" x14ac:dyDescent="0.35">
      <c r="I35951" s="63"/>
      <c r="J35951" s="63"/>
    </row>
    <row r="35952" spans="9:10" x14ac:dyDescent="0.35">
      <c r="I35952" s="63"/>
      <c r="J35952" s="63"/>
    </row>
    <row r="35953" spans="9:10" x14ac:dyDescent="0.35">
      <c r="I35953" s="63"/>
      <c r="J35953" s="63"/>
    </row>
    <row r="35954" spans="9:10" x14ac:dyDescent="0.35">
      <c r="I35954" s="63"/>
      <c r="J35954" s="63"/>
    </row>
    <row r="35955" spans="9:10" x14ac:dyDescent="0.35">
      <c r="I35955" s="63"/>
      <c r="J35955" s="63"/>
    </row>
    <row r="35956" spans="9:10" x14ac:dyDescent="0.35">
      <c r="I35956" s="63"/>
      <c r="J35956" s="63"/>
    </row>
    <row r="35957" spans="9:10" x14ac:dyDescent="0.35">
      <c r="I35957" s="63"/>
      <c r="J35957" s="63"/>
    </row>
    <row r="35958" spans="9:10" x14ac:dyDescent="0.35">
      <c r="I35958" s="63"/>
      <c r="J35958" s="63"/>
    </row>
    <row r="35959" spans="9:10" x14ac:dyDescent="0.35">
      <c r="I35959" s="63"/>
      <c r="J35959" s="63"/>
    </row>
    <row r="35960" spans="9:10" x14ac:dyDescent="0.35">
      <c r="I35960" s="63"/>
      <c r="J35960" s="63"/>
    </row>
    <row r="35961" spans="9:10" x14ac:dyDescent="0.35">
      <c r="I35961" s="63"/>
      <c r="J35961" s="63"/>
    </row>
    <row r="35962" spans="9:10" x14ac:dyDescent="0.35">
      <c r="I35962" s="63"/>
      <c r="J35962" s="63"/>
    </row>
    <row r="35963" spans="9:10" x14ac:dyDescent="0.35">
      <c r="I35963" s="63"/>
      <c r="J35963" s="63"/>
    </row>
    <row r="35964" spans="9:10" x14ac:dyDescent="0.35">
      <c r="I35964" s="63"/>
      <c r="J35964" s="63"/>
    </row>
    <row r="35965" spans="9:10" x14ac:dyDescent="0.35">
      <c r="I35965" s="63"/>
      <c r="J35965" s="63"/>
    </row>
    <row r="35966" spans="9:10" x14ac:dyDescent="0.35">
      <c r="I35966" s="63"/>
      <c r="J35966" s="63"/>
    </row>
    <row r="35967" spans="9:10" x14ac:dyDescent="0.35">
      <c r="I35967" s="63"/>
      <c r="J35967" s="63"/>
    </row>
    <row r="35968" spans="9:10" x14ac:dyDescent="0.35">
      <c r="I35968" s="63"/>
      <c r="J35968" s="63"/>
    </row>
    <row r="35969" spans="9:10" x14ac:dyDescent="0.35">
      <c r="I35969" s="63"/>
      <c r="J35969" s="63"/>
    </row>
    <row r="35970" spans="9:10" x14ac:dyDescent="0.35">
      <c r="I35970" s="63"/>
      <c r="J35970" s="63"/>
    </row>
    <row r="35971" spans="9:10" x14ac:dyDescent="0.35">
      <c r="I35971" s="63"/>
      <c r="J35971" s="63"/>
    </row>
    <row r="35972" spans="9:10" x14ac:dyDescent="0.35">
      <c r="I35972" s="63"/>
      <c r="J35972" s="63"/>
    </row>
    <row r="35973" spans="9:10" x14ac:dyDescent="0.35">
      <c r="I35973" s="63"/>
      <c r="J35973" s="63"/>
    </row>
    <row r="35974" spans="9:10" x14ac:dyDescent="0.35">
      <c r="I35974" s="63"/>
      <c r="J35974" s="63"/>
    </row>
    <row r="35975" spans="9:10" x14ac:dyDescent="0.35">
      <c r="I35975" s="63"/>
      <c r="J35975" s="63"/>
    </row>
    <row r="35976" spans="9:10" x14ac:dyDescent="0.35">
      <c r="I35976" s="63"/>
      <c r="J35976" s="63"/>
    </row>
    <row r="35977" spans="9:10" x14ac:dyDescent="0.35">
      <c r="I35977" s="63"/>
      <c r="J35977" s="63"/>
    </row>
    <row r="35978" spans="9:10" x14ac:dyDescent="0.35">
      <c r="I35978" s="63"/>
      <c r="J35978" s="63"/>
    </row>
    <row r="35979" spans="9:10" x14ac:dyDescent="0.35">
      <c r="I35979" s="63"/>
      <c r="J35979" s="63"/>
    </row>
    <row r="35980" spans="9:10" x14ac:dyDescent="0.35">
      <c r="I35980" s="63"/>
      <c r="J35980" s="63"/>
    </row>
    <row r="35981" spans="9:10" x14ac:dyDescent="0.35">
      <c r="I35981" s="63"/>
      <c r="J35981" s="63"/>
    </row>
    <row r="35982" spans="9:10" x14ac:dyDescent="0.35">
      <c r="I35982" s="63"/>
      <c r="J35982" s="63"/>
    </row>
    <row r="35983" spans="9:10" x14ac:dyDescent="0.35">
      <c r="I35983" s="63"/>
      <c r="J35983" s="63"/>
    </row>
    <row r="35984" spans="9:10" x14ac:dyDescent="0.35">
      <c r="I35984" s="63"/>
      <c r="J35984" s="63"/>
    </row>
    <row r="35985" spans="9:10" x14ac:dyDescent="0.35">
      <c r="I35985" s="63"/>
      <c r="J35985" s="63"/>
    </row>
    <row r="35986" spans="9:10" x14ac:dyDescent="0.35">
      <c r="I35986" s="63"/>
      <c r="J35986" s="63"/>
    </row>
    <row r="35987" spans="9:10" x14ac:dyDescent="0.35">
      <c r="I35987" s="63"/>
      <c r="J35987" s="63"/>
    </row>
    <row r="35988" spans="9:10" x14ac:dyDescent="0.35">
      <c r="I35988" s="63"/>
      <c r="J35988" s="63"/>
    </row>
    <row r="35989" spans="9:10" x14ac:dyDescent="0.35">
      <c r="I35989" s="63"/>
      <c r="J35989" s="63"/>
    </row>
    <row r="35990" spans="9:10" x14ac:dyDescent="0.35">
      <c r="I35990" s="63"/>
      <c r="J35990" s="63"/>
    </row>
    <row r="35991" spans="9:10" x14ac:dyDescent="0.35">
      <c r="I35991" s="63"/>
      <c r="J35991" s="63"/>
    </row>
    <row r="35992" spans="9:10" x14ac:dyDescent="0.35">
      <c r="I35992" s="63"/>
      <c r="J35992" s="63"/>
    </row>
    <row r="35993" spans="9:10" x14ac:dyDescent="0.35">
      <c r="I35993" s="63"/>
      <c r="J35993" s="63"/>
    </row>
    <row r="35994" spans="9:10" x14ac:dyDescent="0.35">
      <c r="I35994" s="63"/>
      <c r="J35994" s="63"/>
    </row>
    <row r="35995" spans="9:10" x14ac:dyDescent="0.35">
      <c r="I35995" s="63"/>
      <c r="J35995" s="63"/>
    </row>
    <row r="35996" spans="9:10" x14ac:dyDescent="0.35">
      <c r="I35996" s="63"/>
      <c r="J35996" s="63"/>
    </row>
    <row r="35997" spans="9:10" x14ac:dyDescent="0.35">
      <c r="I35997" s="63"/>
      <c r="J35997" s="63"/>
    </row>
    <row r="35998" spans="9:10" x14ac:dyDescent="0.35">
      <c r="I35998" s="63"/>
      <c r="J35998" s="63"/>
    </row>
    <row r="35999" spans="9:10" x14ac:dyDescent="0.35">
      <c r="I35999" s="63"/>
      <c r="J35999" s="63"/>
    </row>
    <row r="36000" spans="9:10" x14ac:dyDescent="0.35">
      <c r="I36000" s="63"/>
      <c r="J36000" s="63"/>
    </row>
    <row r="36001" spans="9:10" x14ac:dyDescent="0.35">
      <c r="I36001" s="63"/>
      <c r="J36001" s="63"/>
    </row>
    <row r="36002" spans="9:10" x14ac:dyDescent="0.35">
      <c r="I36002" s="63"/>
      <c r="J36002" s="63"/>
    </row>
    <row r="36003" spans="9:10" x14ac:dyDescent="0.35">
      <c r="I36003" s="63"/>
      <c r="J36003" s="63"/>
    </row>
    <row r="36004" spans="9:10" x14ac:dyDescent="0.35">
      <c r="I36004" s="63"/>
      <c r="J36004" s="63"/>
    </row>
    <row r="36005" spans="9:10" x14ac:dyDescent="0.35">
      <c r="I36005" s="63"/>
      <c r="J36005" s="63"/>
    </row>
    <row r="36006" spans="9:10" x14ac:dyDescent="0.35">
      <c r="I36006" s="63"/>
      <c r="J36006" s="63"/>
    </row>
    <row r="36007" spans="9:10" x14ac:dyDescent="0.35">
      <c r="I36007" s="63"/>
      <c r="J36007" s="63"/>
    </row>
    <row r="36008" spans="9:10" x14ac:dyDescent="0.35">
      <c r="I36008" s="63"/>
      <c r="J36008" s="63"/>
    </row>
    <row r="36009" spans="9:10" x14ac:dyDescent="0.35">
      <c r="I36009" s="63"/>
      <c r="J36009" s="63"/>
    </row>
    <row r="36010" spans="9:10" x14ac:dyDescent="0.35">
      <c r="I36010" s="63"/>
      <c r="J36010" s="63"/>
    </row>
    <row r="36011" spans="9:10" x14ac:dyDescent="0.35">
      <c r="I36011" s="63"/>
      <c r="J36011" s="63"/>
    </row>
    <row r="36012" spans="9:10" x14ac:dyDescent="0.35">
      <c r="I36012" s="63"/>
      <c r="J36012" s="63"/>
    </row>
    <row r="36013" spans="9:10" x14ac:dyDescent="0.35">
      <c r="I36013" s="63"/>
      <c r="J36013" s="63"/>
    </row>
    <row r="36014" spans="9:10" x14ac:dyDescent="0.35">
      <c r="I36014" s="63"/>
      <c r="J36014" s="63"/>
    </row>
    <row r="36015" spans="9:10" x14ac:dyDescent="0.35">
      <c r="I36015" s="63"/>
      <c r="J36015" s="63"/>
    </row>
    <row r="36016" spans="9:10" x14ac:dyDescent="0.35">
      <c r="I36016" s="63"/>
      <c r="J36016" s="63"/>
    </row>
    <row r="36017" spans="9:10" x14ac:dyDescent="0.35">
      <c r="I36017" s="63"/>
      <c r="J36017" s="63"/>
    </row>
    <row r="36018" spans="9:10" x14ac:dyDescent="0.35">
      <c r="I36018" s="63"/>
      <c r="J36018" s="63"/>
    </row>
    <row r="36019" spans="9:10" x14ac:dyDescent="0.35">
      <c r="I36019" s="63"/>
      <c r="J36019" s="63"/>
    </row>
    <row r="36020" spans="9:10" x14ac:dyDescent="0.35">
      <c r="I36020" s="63"/>
      <c r="J36020" s="63"/>
    </row>
    <row r="36021" spans="9:10" x14ac:dyDescent="0.35">
      <c r="I36021" s="63"/>
      <c r="J36021" s="63"/>
    </row>
    <row r="36022" spans="9:10" x14ac:dyDescent="0.35">
      <c r="I36022" s="63"/>
      <c r="J36022" s="63"/>
    </row>
    <row r="36023" spans="9:10" x14ac:dyDescent="0.35">
      <c r="I36023" s="63"/>
      <c r="J36023" s="63"/>
    </row>
    <row r="36024" spans="9:10" x14ac:dyDescent="0.35">
      <c r="I36024" s="63"/>
      <c r="J36024" s="63"/>
    </row>
    <row r="36025" spans="9:10" x14ac:dyDescent="0.35">
      <c r="I36025" s="63"/>
      <c r="J36025" s="63"/>
    </row>
    <row r="36026" spans="9:10" x14ac:dyDescent="0.35">
      <c r="I36026" s="63"/>
      <c r="J36026" s="63"/>
    </row>
    <row r="36027" spans="9:10" x14ac:dyDescent="0.35">
      <c r="I36027" s="63"/>
      <c r="J36027" s="63"/>
    </row>
    <row r="36028" spans="9:10" x14ac:dyDescent="0.35">
      <c r="I36028" s="63"/>
      <c r="J36028" s="63"/>
    </row>
    <row r="36029" spans="9:10" x14ac:dyDescent="0.35">
      <c r="I36029" s="63"/>
      <c r="J36029" s="63"/>
    </row>
    <row r="36030" spans="9:10" x14ac:dyDescent="0.35">
      <c r="I36030" s="63"/>
      <c r="J36030" s="63"/>
    </row>
    <row r="36031" spans="9:10" x14ac:dyDescent="0.35">
      <c r="I36031" s="63"/>
      <c r="J36031" s="63"/>
    </row>
    <row r="36032" spans="9:10" x14ac:dyDescent="0.35">
      <c r="I36032" s="63"/>
      <c r="J36032" s="63"/>
    </row>
    <row r="36033" spans="9:10" x14ac:dyDescent="0.35">
      <c r="I36033" s="63"/>
      <c r="J36033" s="63"/>
    </row>
    <row r="36034" spans="9:10" x14ac:dyDescent="0.35">
      <c r="I36034" s="63"/>
      <c r="J36034" s="63"/>
    </row>
    <row r="36035" spans="9:10" x14ac:dyDescent="0.35">
      <c r="I36035" s="63"/>
      <c r="J36035" s="63"/>
    </row>
    <row r="36036" spans="9:10" x14ac:dyDescent="0.35">
      <c r="I36036" s="63"/>
      <c r="J36036" s="63"/>
    </row>
    <row r="36037" spans="9:10" x14ac:dyDescent="0.35">
      <c r="I36037" s="63"/>
      <c r="J36037" s="63"/>
    </row>
    <row r="36038" spans="9:10" x14ac:dyDescent="0.35">
      <c r="I36038" s="63"/>
      <c r="J36038" s="63"/>
    </row>
    <row r="36039" spans="9:10" x14ac:dyDescent="0.35">
      <c r="I36039" s="63"/>
      <c r="J36039" s="63"/>
    </row>
    <row r="36040" spans="9:10" x14ac:dyDescent="0.35">
      <c r="I36040" s="63"/>
      <c r="J36040" s="63"/>
    </row>
    <row r="36041" spans="9:10" x14ac:dyDescent="0.35">
      <c r="I36041" s="63"/>
      <c r="J36041" s="63"/>
    </row>
    <row r="36042" spans="9:10" x14ac:dyDescent="0.35">
      <c r="I36042" s="63"/>
      <c r="J36042" s="63"/>
    </row>
    <row r="36043" spans="9:10" x14ac:dyDescent="0.35">
      <c r="I36043" s="63"/>
      <c r="J36043" s="63"/>
    </row>
    <row r="36044" spans="9:10" x14ac:dyDescent="0.35">
      <c r="I36044" s="63"/>
      <c r="J36044" s="63"/>
    </row>
    <row r="36045" spans="9:10" x14ac:dyDescent="0.35">
      <c r="I36045" s="63"/>
      <c r="J36045" s="63"/>
    </row>
    <row r="36046" spans="9:10" x14ac:dyDescent="0.35">
      <c r="I36046" s="63"/>
      <c r="J36046" s="63"/>
    </row>
    <row r="36047" spans="9:10" x14ac:dyDescent="0.35">
      <c r="I36047" s="63"/>
      <c r="J36047" s="63"/>
    </row>
    <row r="36048" spans="9:10" x14ac:dyDescent="0.35">
      <c r="I36048" s="63"/>
      <c r="J36048" s="63"/>
    </row>
    <row r="36049" spans="9:10" x14ac:dyDescent="0.35">
      <c r="I36049" s="63"/>
      <c r="J36049" s="63"/>
    </row>
    <row r="36050" spans="9:10" x14ac:dyDescent="0.35">
      <c r="I36050" s="63"/>
      <c r="J36050" s="63"/>
    </row>
    <row r="36051" spans="9:10" x14ac:dyDescent="0.35">
      <c r="I36051" s="63"/>
      <c r="J36051" s="63"/>
    </row>
    <row r="36052" spans="9:10" x14ac:dyDescent="0.35">
      <c r="I36052" s="63"/>
      <c r="J36052" s="63"/>
    </row>
    <row r="36053" spans="9:10" x14ac:dyDescent="0.35">
      <c r="I36053" s="63"/>
      <c r="J36053" s="63"/>
    </row>
    <row r="36054" spans="9:10" x14ac:dyDescent="0.35">
      <c r="I36054" s="63"/>
      <c r="J36054" s="63"/>
    </row>
    <row r="36055" spans="9:10" x14ac:dyDescent="0.35">
      <c r="I36055" s="63"/>
      <c r="J36055" s="63"/>
    </row>
    <row r="36056" spans="9:10" x14ac:dyDescent="0.35">
      <c r="I36056" s="63"/>
      <c r="J36056" s="63"/>
    </row>
    <row r="36057" spans="9:10" x14ac:dyDescent="0.35">
      <c r="I36057" s="63"/>
      <c r="J36057" s="63"/>
    </row>
    <row r="36058" spans="9:10" x14ac:dyDescent="0.35">
      <c r="I36058" s="63"/>
      <c r="J36058" s="63"/>
    </row>
    <row r="36059" spans="9:10" x14ac:dyDescent="0.35">
      <c r="I36059" s="63"/>
      <c r="J36059" s="63"/>
    </row>
    <row r="36060" spans="9:10" x14ac:dyDescent="0.35">
      <c r="I36060" s="63"/>
      <c r="J36060" s="63"/>
    </row>
    <row r="36061" spans="9:10" x14ac:dyDescent="0.35">
      <c r="I36061" s="63"/>
      <c r="J36061" s="63"/>
    </row>
    <row r="36062" spans="9:10" x14ac:dyDescent="0.35">
      <c r="I36062" s="63"/>
      <c r="J36062" s="63"/>
    </row>
    <row r="36063" spans="9:10" x14ac:dyDescent="0.35">
      <c r="I36063" s="63"/>
      <c r="J36063" s="63"/>
    </row>
    <row r="36064" spans="9:10" x14ac:dyDescent="0.35">
      <c r="I36064" s="63"/>
      <c r="J36064" s="63"/>
    </row>
    <row r="36065" spans="9:10" x14ac:dyDescent="0.35">
      <c r="I36065" s="63"/>
      <c r="J36065" s="63"/>
    </row>
    <row r="36066" spans="9:10" x14ac:dyDescent="0.35">
      <c r="I36066" s="63"/>
      <c r="J36066" s="63"/>
    </row>
    <row r="36067" spans="9:10" x14ac:dyDescent="0.35">
      <c r="I36067" s="63"/>
      <c r="J36067" s="63"/>
    </row>
    <row r="36068" spans="9:10" x14ac:dyDescent="0.35">
      <c r="I36068" s="63"/>
      <c r="J36068" s="63"/>
    </row>
    <row r="36069" spans="9:10" x14ac:dyDescent="0.35">
      <c r="I36069" s="63"/>
      <c r="J36069" s="63"/>
    </row>
    <row r="36070" spans="9:10" x14ac:dyDescent="0.35">
      <c r="I36070" s="63"/>
      <c r="J36070" s="63"/>
    </row>
    <row r="36071" spans="9:10" x14ac:dyDescent="0.35">
      <c r="I36071" s="63"/>
      <c r="J36071" s="63"/>
    </row>
    <row r="36072" spans="9:10" x14ac:dyDescent="0.35">
      <c r="I36072" s="63"/>
      <c r="J36072" s="63"/>
    </row>
    <row r="36073" spans="9:10" x14ac:dyDescent="0.35">
      <c r="I36073" s="63"/>
      <c r="J36073" s="63"/>
    </row>
    <row r="36074" spans="9:10" x14ac:dyDescent="0.35">
      <c r="I36074" s="63"/>
      <c r="J36074" s="63"/>
    </row>
    <row r="36075" spans="9:10" x14ac:dyDescent="0.35">
      <c r="I36075" s="63"/>
      <c r="J36075" s="63"/>
    </row>
    <row r="36076" spans="9:10" x14ac:dyDescent="0.35">
      <c r="I36076" s="63"/>
      <c r="J36076" s="63"/>
    </row>
    <row r="36077" spans="9:10" x14ac:dyDescent="0.35">
      <c r="I36077" s="63"/>
      <c r="J36077" s="63"/>
    </row>
    <row r="36078" spans="9:10" x14ac:dyDescent="0.35">
      <c r="I36078" s="63"/>
      <c r="J36078" s="63"/>
    </row>
    <row r="36079" spans="9:10" x14ac:dyDescent="0.35">
      <c r="I36079" s="63"/>
      <c r="J36079" s="63"/>
    </row>
    <row r="36080" spans="9:10" x14ac:dyDescent="0.35">
      <c r="I36080" s="63"/>
      <c r="J36080" s="63"/>
    </row>
    <row r="36081" spans="9:10" x14ac:dyDescent="0.35">
      <c r="I36081" s="63"/>
      <c r="J36081" s="63"/>
    </row>
    <row r="36082" spans="9:10" x14ac:dyDescent="0.35">
      <c r="I36082" s="63"/>
      <c r="J36082" s="63"/>
    </row>
    <row r="36083" spans="9:10" x14ac:dyDescent="0.35">
      <c r="I36083" s="63"/>
      <c r="J36083" s="63"/>
    </row>
    <row r="36084" spans="9:10" x14ac:dyDescent="0.35">
      <c r="I36084" s="63"/>
      <c r="J36084" s="63"/>
    </row>
    <row r="36085" spans="9:10" x14ac:dyDescent="0.35">
      <c r="I36085" s="63"/>
      <c r="J36085" s="63"/>
    </row>
    <row r="36086" spans="9:10" x14ac:dyDescent="0.35">
      <c r="I36086" s="63"/>
      <c r="J36086" s="63"/>
    </row>
    <row r="36087" spans="9:10" x14ac:dyDescent="0.35">
      <c r="I36087" s="63"/>
      <c r="J36087" s="63"/>
    </row>
    <row r="36088" spans="9:10" x14ac:dyDescent="0.35">
      <c r="I36088" s="63"/>
      <c r="J36088" s="63"/>
    </row>
    <row r="36089" spans="9:10" x14ac:dyDescent="0.35">
      <c r="I36089" s="63"/>
      <c r="J36089" s="63"/>
    </row>
    <row r="36090" spans="9:10" x14ac:dyDescent="0.35">
      <c r="I36090" s="63"/>
      <c r="J36090" s="63"/>
    </row>
    <row r="36091" spans="9:10" x14ac:dyDescent="0.35">
      <c r="I36091" s="63"/>
      <c r="J36091" s="63"/>
    </row>
    <row r="36092" spans="9:10" x14ac:dyDescent="0.35">
      <c r="I36092" s="63"/>
      <c r="J36092" s="63"/>
    </row>
    <row r="36093" spans="9:10" x14ac:dyDescent="0.35">
      <c r="I36093" s="63"/>
      <c r="J36093" s="63"/>
    </row>
    <row r="36094" spans="9:10" x14ac:dyDescent="0.35">
      <c r="I36094" s="63"/>
      <c r="J36094" s="63"/>
    </row>
    <row r="36095" spans="9:10" x14ac:dyDescent="0.35">
      <c r="I36095" s="63"/>
      <c r="J36095" s="63"/>
    </row>
    <row r="36096" spans="9:10" x14ac:dyDescent="0.35">
      <c r="I36096" s="63"/>
      <c r="J36096" s="63"/>
    </row>
    <row r="36097" spans="9:10" x14ac:dyDescent="0.35">
      <c r="I36097" s="63"/>
      <c r="J36097" s="63"/>
    </row>
    <row r="36098" spans="9:10" x14ac:dyDescent="0.35">
      <c r="I36098" s="63"/>
      <c r="J36098" s="63"/>
    </row>
    <row r="36099" spans="9:10" x14ac:dyDescent="0.35">
      <c r="I36099" s="63"/>
      <c r="J36099" s="63"/>
    </row>
    <row r="36100" spans="9:10" x14ac:dyDescent="0.35">
      <c r="I36100" s="63"/>
      <c r="J36100" s="63"/>
    </row>
    <row r="36101" spans="9:10" x14ac:dyDescent="0.35">
      <c r="I36101" s="63"/>
      <c r="J36101" s="63"/>
    </row>
    <row r="36102" spans="9:10" x14ac:dyDescent="0.35">
      <c r="I36102" s="63"/>
      <c r="J36102" s="63"/>
    </row>
    <row r="36103" spans="9:10" x14ac:dyDescent="0.35">
      <c r="I36103" s="63"/>
      <c r="J36103" s="63"/>
    </row>
    <row r="36104" spans="9:10" x14ac:dyDescent="0.35">
      <c r="I36104" s="63"/>
      <c r="J36104" s="63"/>
    </row>
    <row r="36105" spans="9:10" x14ac:dyDescent="0.35">
      <c r="I36105" s="63"/>
      <c r="J36105" s="63"/>
    </row>
    <row r="36106" spans="9:10" x14ac:dyDescent="0.35">
      <c r="I36106" s="63"/>
      <c r="J36106" s="63"/>
    </row>
    <row r="36107" spans="9:10" x14ac:dyDescent="0.35">
      <c r="I36107" s="63"/>
      <c r="J36107" s="63"/>
    </row>
    <row r="36108" spans="9:10" x14ac:dyDescent="0.35">
      <c r="I36108" s="63"/>
      <c r="J36108" s="63"/>
    </row>
    <row r="36109" spans="9:10" x14ac:dyDescent="0.35">
      <c r="I36109" s="63"/>
      <c r="J36109" s="63"/>
    </row>
    <row r="36110" spans="9:10" x14ac:dyDescent="0.35">
      <c r="I36110" s="63"/>
      <c r="J36110" s="63"/>
    </row>
    <row r="36111" spans="9:10" x14ac:dyDescent="0.35">
      <c r="I36111" s="63"/>
      <c r="J36111" s="63"/>
    </row>
    <row r="36112" spans="9:10" x14ac:dyDescent="0.35">
      <c r="I36112" s="63"/>
      <c r="J36112" s="63"/>
    </row>
    <row r="36113" spans="9:10" x14ac:dyDescent="0.35">
      <c r="I36113" s="63"/>
      <c r="J36113" s="63"/>
    </row>
    <row r="36114" spans="9:10" x14ac:dyDescent="0.35">
      <c r="I36114" s="63"/>
      <c r="J36114" s="63"/>
    </row>
    <row r="36115" spans="9:10" x14ac:dyDescent="0.35">
      <c r="I36115" s="63"/>
      <c r="J36115" s="63"/>
    </row>
    <row r="36116" spans="9:10" x14ac:dyDescent="0.35">
      <c r="I36116" s="63"/>
      <c r="J36116" s="63"/>
    </row>
    <row r="36117" spans="9:10" x14ac:dyDescent="0.35">
      <c r="I36117" s="63"/>
      <c r="J36117" s="63"/>
    </row>
    <row r="36118" spans="9:10" x14ac:dyDescent="0.35">
      <c r="I36118" s="63"/>
      <c r="J36118" s="63"/>
    </row>
    <row r="36119" spans="9:10" x14ac:dyDescent="0.35">
      <c r="I36119" s="63"/>
      <c r="J36119" s="63"/>
    </row>
    <row r="36120" spans="9:10" x14ac:dyDescent="0.35">
      <c r="I36120" s="63"/>
      <c r="J36120" s="63"/>
    </row>
    <row r="36121" spans="9:10" x14ac:dyDescent="0.35">
      <c r="I36121" s="63"/>
      <c r="J36121" s="63"/>
    </row>
    <row r="36122" spans="9:10" x14ac:dyDescent="0.35">
      <c r="I36122" s="63"/>
      <c r="J36122" s="63"/>
    </row>
    <row r="36123" spans="9:10" x14ac:dyDescent="0.35">
      <c r="I36123" s="63"/>
      <c r="J36123" s="63"/>
    </row>
    <row r="36124" spans="9:10" x14ac:dyDescent="0.35">
      <c r="I36124" s="63"/>
      <c r="J36124" s="63"/>
    </row>
    <row r="36125" spans="9:10" x14ac:dyDescent="0.35">
      <c r="I36125" s="63"/>
      <c r="J36125" s="63"/>
    </row>
    <row r="36126" spans="9:10" x14ac:dyDescent="0.35">
      <c r="I36126" s="63"/>
      <c r="J36126" s="63"/>
    </row>
    <row r="36127" spans="9:10" x14ac:dyDescent="0.35">
      <c r="I36127" s="63"/>
      <c r="J36127" s="63"/>
    </row>
    <row r="36128" spans="9:10" x14ac:dyDescent="0.35">
      <c r="I36128" s="63"/>
      <c r="J36128" s="63"/>
    </row>
    <row r="36129" spans="9:10" x14ac:dyDescent="0.35">
      <c r="I36129" s="63"/>
      <c r="J36129" s="63"/>
    </row>
    <row r="36130" spans="9:10" x14ac:dyDescent="0.35">
      <c r="I36130" s="63"/>
      <c r="J36130" s="63"/>
    </row>
    <row r="36131" spans="9:10" x14ac:dyDescent="0.35">
      <c r="I36131" s="63"/>
      <c r="J36131" s="63"/>
    </row>
    <row r="36132" spans="9:10" x14ac:dyDescent="0.35">
      <c r="I36132" s="63"/>
      <c r="J36132" s="63"/>
    </row>
    <row r="36133" spans="9:10" x14ac:dyDescent="0.35">
      <c r="I36133" s="63"/>
      <c r="J36133" s="63"/>
    </row>
    <row r="36134" spans="9:10" x14ac:dyDescent="0.35">
      <c r="I36134" s="63"/>
      <c r="J36134" s="63"/>
    </row>
    <row r="36135" spans="9:10" x14ac:dyDescent="0.35">
      <c r="I36135" s="63"/>
      <c r="J36135" s="63"/>
    </row>
    <row r="36136" spans="9:10" x14ac:dyDescent="0.35">
      <c r="I36136" s="63"/>
      <c r="J36136" s="63"/>
    </row>
    <row r="36137" spans="9:10" x14ac:dyDescent="0.35">
      <c r="I36137" s="63"/>
      <c r="J36137" s="63"/>
    </row>
    <row r="36138" spans="9:10" x14ac:dyDescent="0.35">
      <c r="I36138" s="63"/>
      <c r="J36138" s="63"/>
    </row>
    <row r="36139" spans="9:10" x14ac:dyDescent="0.35">
      <c r="I36139" s="63"/>
      <c r="J36139" s="63"/>
    </row>
    <row r="36140" spans="9:10" x14ac:dyDescent="0.35">
      <c r="I36140" s="63"/>
      <c r="J36140" s="63"/>
    </row>
    <row r="36141" spans="9:10" x14ac:dyDescent="0.35">
      <c r="I36141" s="63"/>
      <c r="J36141" s="63"/>
    </row>
    <row r="36142" spans="9:10" x14ac:dyDescent="0.35">
      <c r="I36142" s="63"/>
      <c r="J36142" s="63"/>
    </row>
    <row r="36143" spans="9:10" x14ac:dyDescent="0.35">
      <c r="I36143" s="63"/>
      <c r="J36143" s="63"/>
    </row>
    <row r="36144" spans="9:10" x14ac:dyDescent="0.35">
      <c r="I36144" s="63"/>
      <c r="J36144" s="63"/>
    </row>
    <row r="36145" spans="9:10" x14ac:dyDescent="0.35">
      <c r="I36145" s="63"/>
      <c r="J36145" s="63"/>
    </row>
    <row r="36146" spans="9:10" x14ac:dyDescent="0.35">
      <c r="I36146" s="63"/>
      <c r="J36146" s="63"/>
    </row>
    <row r="36147" spans="9:10" x14ac:dyDescent="0.35">
      <c r="I36147" s="63"/>
      <c r="J36147" s="63"/>
    </row>
    <row r="36148" spans="9:10" x14ac:dyDescent="0.35">
      <c r="I36148" s="63"/>
      <c r="J36148" s="63"/>
    </row>
    <row r="36149" spans="9:10" x14ac:dyDescent="0.35">
      <c r="I36149" s="63"/>
      <c r="J36149" s="63"/>
    </row>
    <row r="36150" spans="9:10" x14ac:dyDescent="0.35">
      <c r="I36150" s="63"/>
      <c r="J36150" s="63"/>
    </row>
    <row r="36151" spans="9:10" x14ac:dyDescent="0.35">
      <c r="I36151" s="63"/>
      <c r="J36151" s="63"/>
    </row>
    <row r="36152" spans="9:10" x14ac:dyDescent="0.35">
      <c r="I36152" s="63"/>
      <c r="J36152" s="63"/>
    </row>
    <row r="36153" spans="9:10" x14ac:dyDescent="0.35">
      <c r="I36153" s="63"/>
      <c r="J36153" s="63"/>
    </row>
    <row r="36154" spans="9:10" x14ac:dyDescent="0.35">
      <c r="I36154" s="63"/>
      <c r="J36154" s="63"/>
    </row>
    <row r="36155" spans="9:10" x14ac:dyDescent="0.35">
      <c r="I36155" s="63"/>
      <c r="J36155" s="63"/>
    </row>
    <row r="36156" spans="9:10" x14ac:dyDescent="0.35">
      <c r="I36156" s="63"/>
      <c r="J36156" s="63"/>
    </row>
    <row r="36157" spans="9:10" x14ac:dyDescent="0.35">
      <c r="I36157" s="63"/>
      <c r="J36157" s="63"/>
    </row>
    <row r="36158" spans="9:10" x14ac:dyDescent="0.35">
      <c r="I36158" s="63"/>
      <c r="J36158" s="63"/>
    </row>
    <row r="36159" spans="9:10" x14ac:dyDescent="0.35">
      <c r="I36159" s="63"/>
      <c r="J36159" s="63"/>
    </row>
    <row r="36160" spans="9:10" x14ac:dyDescent="0.35">
      <c r="I36160" s="63"/>
      <c r="J36160" s="63"/>
    </row>
    <row r="36161" spans="9:10" x14ac:dyDescent="0.35">
      <c r="I36161" s="63"/>
      <c r="J36161" s="63"/>
    </row>
    <row r="36162" spans="9:10" x14ac:dyDescent="0.35">
      <c r="I36162" s="63"/>
      <c r="J36162" s="63"/>
    </row>
    <row r="36163" spans="9:10" x14ac:dyDescent="0.35">
      <c r="I36163" s="63"/>
      <c r="J36163" s="63"/>
    </row>
    <row r="36164" spans="9:10" x14ac:dyDescent="0.35">
      <c r="I36164" s="63"/>
      <c r="J36164" s="63"/>
    </row>
    <row r="36165" spans="9:10" x14ac:dyDescent="0.35">
      <c r="I36165" s="63"/>
      <c r="J36165" s="63"/>
    </row>
    <row r="36166" spans="9:10" x14ac:dyDescent="0.35">
      <c r="I36166" s="63"/>
      <c r="J36166" s="63"/>
    </row>
    <row r="36167" spans="9:10" x14ac:dyDescent="0.35">
      <c r="I36167" s="63"/>
      <c r="J36167" s="63"/>
    </row>
    <row r="36168" spans="9:10" x14ac:dyDescent="0.35">
      <c r="I36168" s="63"/>
      <c r="J36168" s="63"/>
    </row>
    <row r="36169" spans="9:10" x14ac:dyDescent="0.35">
      <c r="I36169" s="63"/>
      <c r="J36169" s="63"/>
    </row>
    <row r="36170" spans="9:10" x14ac:dyDescent="0.35">
      <c r="I36170" s="63"/>
      <c r="J36170" s="63"/>
    </row>
    <row r="36171" spans="9:10" x14ac:dyDescent="0.35">
      <c r="I36171" s="63"/>
      <c r="J36171" s="63"/>
    </row>
    <row r="36172" spans="9:10" x14ac:dyDescent="0.35">
      <c r="I36172" s="63"/>
      <c r="J36172" s="63"/>
    </row>
    <row r="36173" spans="9:10" x14ac:dyDescent="0.35">
      <c r="I36173" s="63"/>
      <c r="J36173" s="63"/>
    </row>
    <row r="36174" spans="9:10" x14ac:dyDescent="0.35">
      <c r="I36174" s="63"/>
      <c r="J36174" s="63"/>
    </row>
    <row r="36175" spans="9:10" x14ac:dyDescent="0.35">
      <c r="I36175" s="63"/>
      <c r="J36175" s="63"/>
    </row>
    <row r="36176" spans="9:10" x14ac:dyDescent="0.35">
      <c r="I36176" s="63"/>
      <c r="J36176" s="63"/>
    </row>
    <row r="36177" spans="9:10" x14ac:dyDescent="0.35">
      <c r="I36177" s="63"/>
      <c r="J36177" s="63"/>
    </row>
    <row r="36178" spans="9:10" x14ac:dyDescent="0.35">
      <c r="I36178" s="63"/>
      <c r="J36178" s="63"/>
    </row>
    <row r="36179" spans="9:10" x14ac:dyDescent="0.35">
      <c r="I36179" s="63"/>
      <c r="J36179" s="63"/>
    </row>
    <row r="36180" spans="9:10" x14ac:dyDescent="0.35">
      <c r="I36180" s="63"/>
      <c r="J36180" s="63"/>
    </row>
    <row r="36181" spans="9:10" x14ac:dyDescent="0.35">
      <c r="I36181" s="63"/>
      <c r="J36181" s="63"/>
    </row>
    <row r="36182" spans="9:10" x14ac:dyDescent="0.35">
      <c r="I36182" s="63"/>
      <c r="J36182" s="63"/>
    </row>
    <row r="36183" spans="9:10" x14ac:dyDescent="0.35">
      <c r="I36183" s="63"/>
      <c r="J36183" s="63"/>
    </row>
    <row r="36184" spans="9:10" x14ac:dyDescent="0.35">
      <c r="I36184" s="63"/>
      <c r="J36184" s="63"/>
    </row>
    <row r="36185" spans="9:10" x14ac:dyDescent="0.35">
      <c r="I36185" s="63"/>
      <c r="J36185" s="63"/>
    </row>
    <row r="36186" spans="9:10" x14ac:dyDescent="0.35">
      <c r="I36186" s="63"/>
      <c r="J36186" s="63"/>
    </row>
    <row r="36187" spans="9:10" x14ac:dyDescent="0.35">
      <c r="I36187" s="63"/>
      <c r="J36187" s="63"/>
    </row>
    <row r="36188" spans="9:10" x14ac:dyDescent="0.35">
      <c r="I36188" s="63"/>
      <c r="J36188" s="63"/>
    </row>
    <row r="36189" spans="9:10" x14ac:dyDescent="0.35">
      <c r="I36189" s="63"/>
      <c r="J36189" s="63"/>
    </row>
    <row r="36190" spans="9:10" x14ac:dyDescent="0.35">
      <c r="I36190" s="63"/>
      <c r="J36190" s="63"/>
    </row>
    <row r="36191" spans="9:10" x14ac:dyDescent="0.35">
      <c r="I36191" s="63"/>
      <c r="J36191" s="63"/>
    </row>
    <row r="36192" spans="9:10" x14ac:dyDescent="0.35">
      <c r="I36192" s="63"/>
      <c r="J36192" s="63"/>
    </row>
    <row r="36193" spans="9:10" x14ac:dyDescent="0.35">
      <c r="I36193" s="63"/>
      <c r="J36193" s="63"/>
    </row>
    <row r="36194" spans="9:10" x14ac:dyDescent="0.35">
      <c r="I36194" s="63"/>
      <c r="J36194" s="63"/>
    </row>
    <row r="36195" spans="9:10" x14ac:dyDescent="0.35">
      <c r="I36195" s="63"/>
      <c r="J36195" s="63"/>
    </row>
    <row r="36196" spans="9:10" x14ac:dyDescent="0.35">
      <c r="I36196" s="63"/>
      <c r="J36196" s="63"/>
    </row>
    <row r="36197" spans="9:10" x14ac:dyDescent="0.35">
      <c r="I36197" s="63"/>
      <c r="J36197" s="63"/>
    </row>
    <row r="36198" spans="9:10" x14ac:dyDescent="0.35">
      <c r="I36198" s="63"/>
      <c r="J36198" s="63"/>
    </row>
    <row r="36199" spans="9:10" x14ac:dyDescent="0.35">
      <c r="I36199" s="63"/>
      <c r="J36199" s="63"/>
    </row>
    <row r="36200" spans="9:10" x14ac:dyDescent="0.35">
      <c r="I36200" s="63"/>
      <c r="J36200" s="63"/>
    </row>
    <row r="36201" spans="9:10" x14ac:dyDescent="0.35">
      <c r="I36201" s="63"/>
      <c r="J36201" s="63"/>
    </row>
    <row r="36202" spans="9:10" x14ac:dyDescent="0.35">
      <c r="I36202" s="63"/>
      <c r="J36202" s="63"/>
    </row>
    <row r="36203" spans="9:10" x14ac:dyDescent="0.35">
      <c r="I36203" s="63"/>
      <c r="J36203" s="63"/>
    </row>
    <row r="36204" spans="9:10" x14ac:dyDescent="0.35">
      <c r="I36204" s="63"/>
      <c r="J36204" s="63"/>
    </row>
    <row r="36205" spans="9:10" x14ac:dyDescent="0.35">
      <c r="I36205" s="63"/>
      <c r="J36205" s="63"/>
    </row>
    <row r="36206" spans="9:10" x14ac:dyDescent="0.35">
      <c r="I36206" s="63"/>
      <c r="J36206" s="63"/>
    </row>
    <row r="36207" spans="9:10" x14ac:dyDescent="0.35">
      <c r="I36207" s="63"/>
      <c r="J36207" s="63"/>
    </row>
    <row r="36208" spans="9:10" x14ac:dyDescent="0.35">
      <c r="I36208" s="63"/>
      <c r="J36208" s="63"/>
    </row>
    <row r="36209" spans="9:10" x14ac:dyDescent="0.35">
      <c r="I36209" s="63"/>
      <c r="J36209" s="63"/>
    </row>
    <row r="36210" spans="9:10" x14ac:dyDescent="0.35">
      <c r="I36210" s="63"/>
      <c r="J36210" s="63"/>
    </row>
    <row r="36211" spans="9:10" x14ac:dyDescent="0.35">
      <c r="I36211" s="63"/>
      <c r="J36211" s="63"/>
    </row>
    <row r="36212" spans="9:10" x14ac:dyDescent="0.35">
      <c r="I36212" s="63"/>
      <c r="J36212" s="63"/>
    </row>
    <row r="36213" spans="9:10" x14ac:dyDescent="0.35">
      <c r="I36213" s="63"/>
      <c r="J36213" s="63"/>
    </row>
    <row r="36214" spans="9:10" x14ac:dyDescent="0.35">
      <c r="I36214" s="63"/>
      <c r="J36214" s="63"/>
    </row>
    <row r="36215" spans="9:10" x14ac:dyDescent="0.35">
      <c r="I36215" s="63"/>
      <c r="J36215" s="63"/>
    </row>
    <row r="36216" spans="9:10" x14ac:dyDescent="0.35">
      <c r="I36216" s="63"/>
      <c r="J36216" s="63"/>
    </row>
    <row r="36217" spans="9:10" x14ac:dyDescent="0.35">
      <c r="I36217" s="63"/>
      <c r="J36217" s="63"/>
    </row>
    <row r="36218" spans="9:10" x14ac:dyDescent="0.35">
      <c r="I36218" s="63"/>
      <c r="J36218" s="63"/>
    </row>
    <row r="36219" spans="9:10" x14ac:dyDescent="0.35">
      <c r="I36219" s="63"/>
      <c r="J36219" s="63"/>
    </row>
    <row r="36220" spans="9:10" x14ac:dyDescent="0.35">
      <c r="I36220" s="63"/>
      <c r="J36220" s="63"/>
    </row>
    <row r="36221" spans="9:10" x14ac:dyDescent="0.35">
      <c r="I36221" s="63"/>
      <c r="J36221" s="63"/>
    </row>
    <row r="36222" spans="9:10" x14ac:dyDescent="0.35">
      <c r="I36222" s="63"/>
      <c r="J36222" s="63"/>
    </row>
    <row r="36223" spans="9:10" x14ac:dyDescent="0.35">
      <c r="I36223" s="63"/>
      <c r="J36223" s="63"/>
    </row>
    <row r="36224" spans="9:10" x14ac:dyDescent="0.35">
      <c r="I36224" s="63"/>
      <c r="J36224" s="63"/>
    </row>
    <row r="36225" spans="9:10" x14ac:dyDescent="0.35">
      <c r="I36225" s="63"/>
      <c r="J36225" s="63"/>
    </row>
    <row r="36226" spans="9:10" x14ac:dyDescent="0.35">
      <c r="I36226" s="63"/>
      <c r="J36226" s="63"/>
    </row>
    <row r="36227" spans="9:10" x14ac:dyDescent="0.35">
      <c r="I36227" s="63"/>
      <c r="J36227" s="63"/>
    </row>
    <row r="36228" spans="9:10" x14ac:dyDescent="0.35">
      <c r="I36228" s="63"/>
      <c r="J36228" s="63"/>
    </row>
    <row r="36229" spans="9:10" x14ac:dyDescent="0.35">
      <c r="I36229" s="63"/>
      <c r="J36229" s="63"/>
    </row>
    <row r="36230" spans="9:10" x14ac:dyDescent="0.35">
      <c r="I36230" s="63"/>
      <c r="J36230" s="63"/>
    </row>
    <row r="36231" spans="9:10" x14ac:dyDescent="0.35">
      <c r="I36231" s="63"/>
      <c r="J36231" s="63"/>
    </row>
    <row r="36232" spans="9:10" x14ac:dyDescent="0.35">
      <c r="I36232" s="63"/>
      <c r="J36232" s="63"/>
    </row>
    <row r="36233" spans="9:10" x14ac:dyDescent="0.35">
      <c r="I36233" s="63"/>
      <c r="J36233" s="63"/>
    </row>
    <row r="36234" spans="9:10" x14ac:dyDescent="0.35">
      <c r="I36234" s="63"/>
      <c r="J36234" s="63"/>
    </row>
    <row r="36235" spans="9:10" x14ac:dyDescent="0.35">
      <c r="I36235" s="63"/>
      <c r="J36235" s="63"/>
    </row>
    <row r="36236" spans="9:10" x14ac:dyDescent="0.35">
      <c r="I36236" s="63"/>
      <c r="J36236" s="63"/>
    </row>
    <row r="36237" spans="9:10" x14ac:dyDescent="0.35">
      <c r="I36237" s="63"/>
      <c r="J36237" s="63"/>
    </row>
    <row r="36238" spans="9:10" x14ac:dyDescent="0.35">
      <c r="I36238" s="63"/>
      <c r="J36238" s="63"/>
    </row>
    <row r="36239" spans="9:10" x14ac:dyDescent="0.35">
      <c r="I36239" s="63"/>
      <c r="J36239" s="63"/>
    </row>
    <row r="36240" spans="9:10" x14ac:dyDescent="0.35">
      <c r="I36240" s="63"/>
      <c r="J36240" s="63"/>
    </row>
    <row r="36241" spans="9:10" x14ac:dyDescent="0.35">
      <c r="I36241" s="63"/>
      <c r="J36241" s="63"/>
    </row>
    <row r="36242" spans="9:10" x14ac:dyDescent="0.35">
      <c r="I36242" s="63"/>
      <c r="J36242" s="63"/>
    </row>
    <row r="36243" spans="9:10" x14ac:dyDescent="0.35">
      <c r="I36243" s="63"/>
      <c r="J36243" s="63"/>
    </row>
    <row r="36244" spans="9:10" x14ac:dyDescent="0.35">
      <c r="I36244" s="63"/>
      <c r="J36244" s="63"/>
    </row>
    <row r="36245" spans="9:10" x14ac:dyDescent="0.35">
      <c r="I36245" s="63"/>
      <c r="J36245" s="63"/>
    </row>
    <row r="36246" spans="9:10" x14ac:dyDescent="0.35">
      <c r="I36246" s="63"/>
      <c r="J36246" s="63"/>
    </row>
    <row r="36247" spans="9:10" x14ac:dyDescent="0.35">
      <c r="I36247" s="63"/>
      <c r="J36247" s="63"/>
    </row>
    <row r="36248" spans="9:10" x14ac:dyDescent="0.35">
      <c r="I36248" s="63"/>
      <c r="J36248" s="63"/>
    </row>
    <row r="36249" spans="9:10" x14ac:dyDescent="0.35">
      <c r="I36249" s="63"/>
      <c r="J36249" s="63"/>
    </row>
    <row r="36250" spans="9:10" x14ac:dyDescent="0.35">
      <c r="I36250" s="63"/>
      <c r="J36250" s="63"/>
    </row>
    <row r="36251" spans="9:10" x14ac:dyDescent="0.35">
      <c r="I36251" s="63"/>
      <c r="J36251" s="63"/>
    </row>
    <row r="36252" spans="9:10" x14ac:dyDescent="0.35">
      <c r="I36252" s="63"/>
      <c r="J36252" s="63"/>
    </row>
    <row r="36253" spans="9:10" x14ac:dyDescent="0.35">
      <c r="I36253" s="63"/>
      <c r="J36253" s="63"/>
    </row>
    <row r="36254" spans="9:10" x14ac:dyDescent="0.35">
      <c r="I36254" s="63"/>
      <c r="J36254" s="63"/>
    </row>
    <row r="36255" spans="9:10" x14ac:dyDescent="0.35">
      <c r="I36255" s="63"/>
      <c r="J36255" s="63"/>
    </row>
    <row r="36256" spans="9:10" x14ac:dyDescent="0.35">
      <c r="I36256" s="63"/>
      <c r="J36256" s="63"/>
    </row>
    <row r="36257" spans="9:10" x14ac:dyDescent="0.35">
      <c r="I36257" s="63"/>
      <c r="J36257" s="63"/>
    </row>
    <row r="36258" spans="9:10" x14ac:dyDescent="0.35">
      <c r="I36258" s="63"/>
      <c r="J36258" s="63"/>
    </row>
    <row r="36259" spans="9:10" x14ac:dyDescent="0.35">
      <c r="I36259" s="63"/>
      <c r="J36259" s="63"/>
    </row>
    <row r="36260" spans="9:10" x14ac:dyDescent="0.35">
      <c r="I36260" s="63"/>
      <c r="J36260" s="63"/>
    </row>
    <row r="36261" spans="9:10" x14ac:dyDescent="0.35">
      <c r="I36261" s="63"/>
      <c r="J36261" s="63"/>
    </row>
    <row r="36262" spans="9:10" x14ac:dyDescent="0.35">
      <c r="I36262" s="63"/>
      <c r="J36262" s="63"/>
    </row>
    <row r="36263" spans="9:10" x14ac:dyDescent="0.35">
      <c r="I36263" s="63"/>
      <c r="J36263" s="63"/>
    </row>
    <row r="36264" spans="9:10" x14ac:dyDescent="0.35">
      <c r="I36264" s="63"/>
      <c r="J36264" s="63"/>
    </row>
    <row r="36265" spans="9:10" x14ac:dyDescent="0.35">
      <c r="I36265" s="63"/>
      <c r="J36265" s="63"/>
    </row>
    <row r="36266" spans="9:10" x14ac:dyDescent="0.35">
      <c r="I36266" s="63"/>
      <c r="J36266" s="63"/>
    </row>
    <row r="36267" spans="9:10" x14ac:dyDescent="0.35">
      <c r="I36267" s="63"/>
      <c r="J36267" s="63"/>
    </row>
    <row r="36268" spans="9:10" x14ac:dyDescent="0.35">
      <c r="I36268" s="63"/>
      <c r="J36268" s="63"/>
    </row>
    <row r="36269" spans="9:10" x14ac:dyDescent="0.35">
      <c r="I36269" s="63"/>
      <c r="J36269" s="63"/>
    </row>
    <row r="36270" spans="9:10" x14ac:dyDescent="0.35">
      <c r="I36270" s="63"/>
      <c r="J36270" s="63"/>
    </row>
    <row r="36271" spans="9:10" x14ac:dyDescent="0.35">
      <c r="I36271" s="63"/>
      <c r="J36271" s="63"/>
    </row>
    <row r="36272" spans="9:10" x14ac:dyDescent="0.35">
      <c r="I36272" s="63"/>
      <c r="J36272" s="63"/>
    </row>
    <row r="36273" spans="9:10" x14ac:dyDescent="0.35">
      <c r="I36273" s="63"/>
      <c r="J36273" s="63"/>
    </row>
    <row r="36274" spans="9:10" x14ac:dyDescent="0.35">
      <c r="I36274" s="63"/>
      <c r="J36274" s="63"/>
    </row>
    <row r="36275" spans="9:10" x14ac:dyDescent="0.35">
      <c r="I36275" s="63"/>
      <c r="J36275" s="63"/>
    </row>
    <row r="36276" spans="9:10" x14ac:dyDescent="0.35">
      <c r="I36276" s="63"/>
      <c r="J36276" s="63"/>
    </row>
    <row r="36277" spans="9:10" x14ac:dyDescent="0.35">
      <c r="I36277" s="63"/>
      <c r="J36277" s="63"/>
    </row>
    <row r="36278" spans="9:10" x14ac:dyDescent="0.35">
      <c r="I36278" s="63"/>
      <c r="J36278" s="63"/>
    </row>
    <row r="36279" spans="9:10" x14ac:dyDescent="0.35">
      <c r="I36279" s="63"/>
      <c r="J36279" s="63"/>
    </row>
    <row r="36280" spans="9:10" x14ac:dyDescent="0.35">
      <c r="I36280" s="63"/>
      <c r="J36280" s="63"/>
    </row>
    <row r="36281" spans="9:10" x14ac:dyDescent="0.35">
      <c r="I36281" s="63"/>
      <c r="J36281" s="63"/>
    </row>
    <row r="36282" spans="9:10" x14ac:dyDescent="0.35">
      <c r="I36282" s="63"/>
      <c r="J36282" s="63"/>
    </row>
    <row r="36283" spans="9:10" x14ac:dyDescent="0.35">
      <c r="I36283" s="63"/>
      <c r="J36283" s="63"/>
    </row>
    <row r="36284" spans="9:10" x14ac:dyDescent="0.35">
      <c r="I36284" s="63"/>
      <c r="J36284" s="63"/>
    </row>
    <row r="36285" spans="9:10" x14ac:dyDescent="0.35">
      <c r="I36285" s="63"/>
      <c r="J36285" s="63"/>
    </row>
    <row r="36286" spans="9:10" x14ac:dyDescent="0.35">
      <c r="I36286" s="63"/>
      <c r="J36286" s="63"/>
    </row>
    <row r="36287" spans="9:10" x14ac:dyDescent="0.35">
      <c r="I36287" s="63"/>
      <c r="J36287" s="63"/>
    </row>
    <row r="36288" spans="9:10" x14ac:dyDescent="0.35">
      <c r="I36288" s="63"/>
      <c r="J36288" s="63"/>
    </row>
    <row r="36289" spans="9:10" x14ac:dyDescent="0.35">
      <c r="I36289" s="63"/>
      <c r="J36289" s="63"/>
    </row>
    <row r="36290" spans="9:10" x14ac:dyDescent="0.35">
      <c r="I36290" s="63"/>
      <c r="J36290" s="63"/>
    </row>
    <row r="36291" spans="9:10" x14ac:dyDescent="0.35">
      <c r="I36291" s="63"/>
      <c r="J36291" s="63"/>
    </row>
    <row r="36292" spans="9:10" x14ac:dyDescent="0.35">
      <c r="I36292" s="63"/>
      <c r="J36292" s="63"/>
    </row>
    <row r="36293" spans="9:10" x14ac:dyDescent="0.35">
      <c r="I36293" s="63"/>
      <c r="J36293" s="63"/>
    </row>
    <row r="36294" spans="9:10" x14ac:dyDescent="0.35">
      <c r="I36294" s="63"/>
      <c r="J36294" s="63"/>
    </row>
    <row r="36295" spans="9:10" x14ac:dyDescent="0.35">
      <c r="I36295" s="63"/>
      <c r="J36295" s="63"/>
    </row>
    <row r="36296" spans="9:10" x14ac:dyDescent="0.35">
      <c r="I36296" s="63"/>
      <c r="J36296" s="63"/>
    </row>
    <row r="36297" spans="9:10" x14ac:dyDescent="0.35">
      <c r="I36297" s="63"/>
      <c r="J36297" s="63"/>
    </row>
    <row r="36298" spans="9:10" x14ac:dyDescent="0.35">
      <c r="I36298" s="63"/>
      <c r="J36298" s="63"/>
    </row>
    <row r="36299" spans="9:10" x14ac:dyDescent="0.35">
      <c r="I36299" s="63"/>
      <c r="J36299" s="63"/>
    </row>
    <row r="36300" spans="9:10" x14ac:dyDescent="0.35">
      <c r="I36300" s="63"/>
      <c r="J36300" s="63"/>
    </row>
    <row r="36301" spans="9:10" x14ac:dyDescent="0.35">
      <c r="I36301" s="63"/>
      <c r="J36301" s="63"/>
    </row>
    <row r="36302" spans="9:10" x14ac:dyDescent="0.35">
      <c r="I36302" s="63"/>
      <c r="J36302" s="63"/>
    </row>
    <row r="36303" spans="9:10" x14ac:dyDescent="0.35">
      <c r="I36303" s="63"/>
      <c r="J36303" s="63"/>
    </row>
    <row r="36304" spans="9:10" x14ac:dyDescent="0.35">
      <c r="I36304" s="63"/>
      <c r="J36304" s="63"/>
    </row>
    <row r="36305" spans="9:10" x14ac:dyDescent="0.35">
      <c r="I36305" s="63"/>
      <c r="J36305" s="63"/>
    </row>
    <row r="36306" spans="9:10" x14ac:dyDescent="0.35">
      <c r="I36306" s="63"/>
      <c r="J36306" s="63"/>
    </row>
    <row r="36307" spans="9:10" x14ac:dyDescent="0.35">
      <c r="I36307" s="63"/>
      <c r="J36307" s="63"/>
    </row>
    <row r="36308" spans="9:10" x14ac:dyDescent="0.35">
      <c r="I36308" s="63"/>
      <c r="J36308" s="63"/>
    </row>
    <row r="36309" spans="9:10" x14ac:dyDescent="0.35">
      <c r="I36309" s="63"/>
      <c r="J36309" s="63"/>
    </row>
    <row r="36310" spans="9:10" x14ac:dyDescent="0.35">
      <c r="I36310" s="63"/>
      <c r="J36310" s="63"/>
    </row>
    <row r="36311" spans="9:10" x14ac:dyDescent="0.35">
      <c r="I36311" s="63"/>
      <c r="J36311" s="63"/>
    </row>
    <row r="36312" spans="9:10" x14ac:dyDescent="0.35">
      <c r="I36312" s="63"/>
      <c r="J36312" s="63"/>
    </row>
    <row r="36313" spans="9:10" x14ac:dyDescent="0.35">
      <c r="I36313" s="63"/>
      <c r="J36313" s="63"/>
    </row>
    <row r="36314" spans="9:10" x14ac:dyDescent="0.35">
      <c r="I36314" s="63"/>
      <c r="J36314" s="63"/>
    </row>
    <row r="36315" spans="9:10" x14ac:dyDescent="0.35">
      <c r="I36315" s="63"/>
      <c r="J36315" s="63"/>
    </row>
    <row r="36316" spans="9:10" x14ac:dyDescent="0.35">
      <c r="I36316" s="63"/>
      <c r="J36316" s="63"/>
    </row>
    <row r="36317" spans="9:10" x14ac:dyDescent="0.35">
      <c r="I36317" s="63"/>
      <c r="J36317" s="63"/>
    </row>
    <row r="36318" spans="9:10" x14ac:dyDescent="0.35">
      <c r="I36318" s="63"/>
      <c r="J36318" s="63"/>
    </row>
    <row r="36319" spans="9:10" x14ac:dyDescent="0.35">
      <c r="I36319" s="63"/>
      <c r="J36319" s="63"/>
    </row>
    <row r="36320" spans="9:10" x14ac:dyDescent="0.35">
      <c r="I36320" s="63"/>
      <c r="J36320" s="63"/>
    </row>
    <row r="36321" spans="9:10" x14ac:dyDescent="0.35">
      <c r="I36321" s="63"/>
      <c r="J36321" s="63"/>
    </row>
    <row r="36322" spans="9:10" x14ac:dyDescent="0.35">
      <c r="I36322" s="63"/>
      <c r="J36322" s="63"/>
    </row>
    <row r="36323" spans="9:10" x14ac:dyDescent="0.35">
      <c r="I36323" s="63"/>
      <c r="J36323" s="63"/>
    </row>
    <row r="36324" spans="9:10" x14ac:dyDescent="0.35">
      <c r="I36324" s="63"/>
      <c r="J36324" s="63"/>
    </row>
    <row r="36325" spans="9:10" x14ac:dyDescent="0.35">
      <c r="I36325" s="63"/>
      <c r="J36325" s="63"/>
    </row>
    <row r="36326" spans="9:10" x14ac:dyDescent="0.35">
      <c r="I36326" s="63"/>
      <c r="J36326" s="63"/>
    </row>
    <row r="36327" spans="9:10" x14ac:dyDescent="0.35">
      <c r="I36327" s="63"/>
      <c r="J36327" s="63"/>
    </row>
    <row r="36328" spans="9:10" x14ac:dyDescent="0.35">
      <c r="I36328" s="63"/>
      <c r="J36328" s="63"/>
    </row>
    <row r="36329" spans="9:10" x14ac:dyDescent="0.35">
      <c r="I36329" s="63"/>
      <c r="J36329" s="63"/>
    </row>
    <row r="36330" spans="9:10" x14ac:dyDescent="0.35">
      <c r="I36330" s="63"/>
      <c r="J36330" s="63"/>
    </row>
    <row r="36331" spans="9:10" x14ac:dyDescent="0.35">
      <c r="I36331" s="63"/>
      <c r="J36331" s="63"/>
    </row>
    <row r="36332" spans="9:10" x14ac:dyDescent="0.35">
      <c r="I36332" s="63"/>
      <c r="J36332" s="63"/>
    </row>
    <row r="36333" spans="9:10" x14ac:dyDescent="0.35">
      <c r="I36333" s="63"/>
      <c r="J36333" s="63"/>
    </row>
    <row r="36334" spans="9:10" x14ac:dyDescent="0.35">
      <c r="I36334" s="63"/>
      <c r="J36334" s="63"/>
    </row>
    <row r="36335" spans="9:10" x14ac:dyDescent="0.35">
      <c r="I36335" s="63"/>
      <c r="J36335" s="63"/>
    </row>
    <row r="36336" spans="9:10" x14ac:dyDescent="0.35">
      <c r="I36336" s="63"/>
      <c r="J36336" s="63"/>
    </row>
    <row r="36337" spans="9:10" x14ac:dyDescent="0.35">
      <c r="I36337" s="63"/>
      <c r="J36337" s="63"/>
    </row>
    <row r="36338" spans="9:10" x14ac:dyDescent="0.35">
      <c r="I36338" s="63"/>
      <c r="J36338" s="63"/>
    </row>
    <row r="36339" spans="9:10" x14ac:dyDescent="0.35">
      <c r="I36339" s="63"/>
      <c r="J36339" s="63"/>
    </row>
    <row r="36340" spans="9:10" x14ac:dyDescent="0.35">
      <c r="I36340" s="63"/>
      <c r="J36340" s="63"/>
    </row>
    <row r="36341" spans="9:10" x14ac:dyDescent="0.35">
      <c r="I36341" s="63"/>
      <c r="J36341" s="63"/>
    </row>
    <row r="36342" spans="9:10" x14ac:dyDescent="0.35">
      <c r="I36342" s="63"/>
      <c r="J36342" s="63"/>
    </row>
    <row r="36343" spans="9:10" x14ac:dyDescent="0.35">
      <c r="I36343" s="63"/>
      <c r="J36343" s="63"/>
    </row>
    <row r="36344" spans="9:10" x14ac:dyDescent="0.35">
      <c r="I36344" s="63"/>
      <c r="J36344" s="63"/>
    </row>
    <row r="36345" spans="9:10" x14ac:dyDescent="0.35">
      <c r="I36345" s="63"/>
      <c r="J36345" s="63"/>
    </row>
    <row r="36346" spans="9:10" x14ac:dyDescent="0.35">
      <c r="I36346" s="63"/>
      <c r="J36346" s="63"/>
    </row>
    <row r="36347" spans="9:10" x14ac:dyDescent="0.35">
      <c r="I36347" s="63"/>
      <c r="J36347" s="63"/>
    </row>
    <row r="36348" spans="9:10" x14ac:dyDescent="0.35">
      <c r="I36348" s="63"/>
      <c r="J36348" s="63"/>
    </row>
    <row r="36349" spans="9:10" x14ac:dyDescent="0.35">
      <c r="I36349" s="63"/>
      <c r="J36349" s="63"/>
    </row>
    <row r="36350" spans="9:10" x14ac:dyDescent="0.35">
      <c r="I36350" s="63"/>
      <c r="J36350" s="63"/>
    </row>
    <row r="36351" spans="9:10" x14ac:dyDescent="0.35">
      <c r="I36351" s="63"/>
      <c r="J36351" s="63"/>
    </row>
    <row r="36352" spans="9:10" x14ac:dyDescent="0.35">
      <c r="I36352" s="63"/>
      <c r="J36352" s="63"/>
    </row>
    <row r="36353" spans="9:10" x14ac:dyDescent="0.35">
      <c r="I36353" s="63"/>
      <c r="J36353" s="63"/>
    </row>
    <row r="36354" spans="9:10" x14ac:dyDescent="0.35">
      <c r="I36354" s="63"/>
      <c r="J36354" s="63"/>
    </row>
    <row r="36355" spans="9:10" x14ac:dyDescent="0.35">
      <c r="I36355" s="63"/>
      <c r="J36355" s="63"/>
    </row>
    <row r="36356" spans="9:10" x14ac:dyDescent="0.35">
      <c r="I36356" s="63"/>
      <c r="J36356" s="63"/>
    </row>
    <row r="36357" spans="9:10" x14ac:dyDescent="0.35">
      <c r="I36357" s="63"/>
      <c r="J36357" s="63"/>
    </row>
    <row r="36358" spans="9:10" x14ac:dyDescent="0.35">
      <c r="I36358" s="63"/>
      <c r="J36358" s="63"/>
    </row>
    <row r="36359" spans="9:10" x14ac:dyDescent="0.35">
      <c r="I36359" s="63"/>
      <c r="J36359" s="63"/>
    </row>
    <row r="36360" spans="9:10" x14ac:dyDescent="0.35">
      <c r="I36360" s="63"/>
      <c r="J36360" s="63"/>
    </row>
    <row r="36361" spans="9:10" x14ac:dyDescent="0.35">
      <c r="I36361" s="63"/>
      <c r="J36361" s="63"/>
    </row>
    <row r="36362" spans="9:10" x14ac:dyDescent="0.35">
      <c r="I36362" s="63"/>
      <c r="J36362" s="63"/>
    </row>
    <row r="36363" spans="9:10" x14ac:dyDescent="0.35">
      <c r="I36363" s="63"/>
      <c r="J36363" s="63"/>
    </row>
    <row r="36364" spans="9:10" x14ac:dyDescent="0.35">
      <c r="I36364" s="63"/>
      <c r="J36364" s="63"/>
    </row>
    <row r="36365" spans="9:10" x14ac:dyDescent="0.35">
      <c r="I36365" s="63"/>
      <c r="J36365" s="63"/>
    </row>
    <row r="36366" spans="9:10" x14ac:dyDescent="0.35">
      <c r="I36366" s="63"/>
      <c r="J36366" s="63"/>
    </row>
    <row r="36367" spans="9:10" x14ac:dyDescent="0.35">
      <c r="I36367" s="63"/>
      <c r="J36367" s="63"/>
    </row>
    <row r="36368" spans="9:10" x14ac:dyDescent="0.35">
      <c r="I36368" s="63"/>
      <c r="J36368" s="63"/>
    </row>
    <row r="36369" spans="9:10" x14ac:dyDescent="0.35">
      <c r="I36369" s="63"/>
      <c r="J36369" s="63"/>
    </row>
    <row r="36370" spans="9:10" x14ac:dyDescent="0.35">
      <c r="I36370" s="63"/>
      <c r="J36370" s="63"/>
    </row>
    <row r="36371" spans="9:10" x14ac:dyDescent="0.35">
      <c r="I36371" s="63"/>
      <c r="J36371" s="63"/>
    </row>
    <row r="36372" spans="9:10" x14ac:dyDescent="0.35">
      <c r="I36372" s="63"/>
      <c r="J36372" s="63"/>
    </row>
    <row r="36373" spans="9:10" x14ac:dyDescent="0.35">
      <c r="I36373" s="63"/>
      <c r="J36373" s="63"/>
    </row>
    <row r="36374" spans="9:10" x14ac:dyDescent="0.35">
      <c r="I36374" s="63"/>
      <c r="J36374" s="63"/>
    </row>
    <row r="36375" spans="9:10" x14ac:dyDescent="0.35">
      <c r="I36375" s="63"/>
      <c r="J36375" s="63"/>
    </row>
    <row r="36376" spans="9:10" x14ac:dyDescent="0.35">
      <c r="I36376" s="63"/>
      <c r="J36376" s="63"/>
    </row>
    <row r="36377" spans="9:10" x14ac:dyDescent="0.35">
      <c r="I36377" s="63"/>
      <c r="J36377" s="63"/>
    </row>
    <row r="36378" spans="9:10" x14ac:dyDescent="0.35">
      <c r="I36378" s="63"/>
      <c r="J36378" s="63"/>
    </row>
    <row r="36379" spans="9:10" x14ac:dyDescent="0.35">
      <c r="I36379" s="63"/>
      <c r="J36379" s="63"/>
    </row>
    <row r="36380" spans="9:10" x14ac:dyDescent="0.35">
      <c r="I36380" s="63"/>
      <c r="J36380" s="63"/>
    </row>
    <row r="36381" spans="9:10" x14ac:dyDescent="0.35">
      <c r="I36381" s="63"/>
      <c r="J36381" s="63"/>
    </row>
    <row r="36382" spans="9:10" x14ac:dyDescent="0.35">
      <c r="I36382" s="63"/>
      <c r="J36382" s="63"/>
    </row>
    <row r="36383" spans="9:10" x14ac:dyDescent="0.35">
      <c r="I36383" s="63"/>
      <c r="J36383" s="63"/>
    </row>
    <row r="36384" spans="9:10" x14ac:dyDescent="0.35">
      <c r="I36384" s="63"/>
      <c r="J36384" s="63"/>
    </row>
    <row r="36385" spans="9:10" x14ac:dyDescent="0.35">
      <c r="I36385" s="63"/>
      <c r="J36385" s="63"/>
    </row>
    <row r="36386" spans="9:10" x14ac:dyDescent="0.35">
      <c r="I36386" s="63"/>
      <c r="J36386" s="63"/>
    </row>
    <row r="36387" spans="9:10" x14ac:dyDescent="0.35">
      <c r="I36387" s="63"/>
      <c r="J36387" s="63"/>
    </row>
    <row r="36388" spans="9:10" x14ac:dyDescent="0.35">
      <c r="I36388" s="63"/>
      <c r="J36388" s="63"/>
    </row>
    <row r="36389" spans="9:10" x14ac:dyDescent="0.35">
      <c r="I36389" s="63"/>
      <c r="J36389" s="63"/>
    </row>
    <row r="36390" spans="9:10" x14ac:dyDescent="0.35">
      <c r="I36390" s="63"/>
      <c r="J36390" s="63"/>
    </row>
    <row r="36391" spans="9:10" x14ac:dyDescent="0.35">
      <c r="I36391" s="63"/>
      <c r="J36391" s="63"/>
    </row>
    <row r="36392" spans="9:10" x14ac:dyDescent="0.35">
      <c r="I36392" s="63"/>
      <c r="J36392" s="63"/>
    </row>
    <row r="36393" spans="9:10" x14ac:dyDescent="0.35">
      <c r="I36393" s="63"/>
      <c r="J36393" s="63"/>
    </row>
    <row r="36394" spans="9:10" x14ac:dyDescent="0.35">
      <c r="I36394" s="63"/>
      <c r="J36394" s="63"/>
    </row>
    <row r="36395" spans="9:10" x14ac:dyDescent="0.35">
      <c r="I36395" s="63"/>
      <c r="J36395" s="63"/>
    </row>
    <row r="36396" spans="9:10" x14ac:dyDescent="0.35">
      <c r="I36396" s="63"/>
      <c r="J36396" s="63"/>
    </row>
    <row r="36397" spans="9:10" x14ac:dyDescent="0.35">
      <c r="I36397" s="63"/>
      <c r="J36397" s="63"/>
    </row>
    <row r="36398" spans="9:10" x14ac:dyDescent="0.35">
      <c r="I36398" s="63"/>
      <c r="J36398" s="63"/>
    </row>
    <row r="36399" spans="9:10" x14ac:dyDescent="0.35">
      <c r="I36399" s="63"/>
      <c r="J36399" s="63"/>
    </row>
    <row r="36400" spans="9:10" x14ac:dyDescent="0.35">
      <c r="I36400" s="63"/>
      <c r="J36400" s="63"/>
    </row>
    <row r="36401" spans="9:10" x14ac:dyDescent="0.35">
      <c r="I36401" s="63"/>
      <c r="J36401" s="63"/>
    </row>
    <row r="36402" spans="9:10" x14ac:dyDescent="0.35">
      <c r="I36402" s="63"/>
      <c r="J36402" s="63"/>
    </row>
    <row r="36403" spans="9:10" x14ac:dyDescent="0.35">
      <c r="I36403" s="63"/>
      <c r="J36403" s="63"/>
    </row>
    <row r="36404" spans="9:10" x14ac:dyDescent="0.35">
      <c r="I36404" s="63"/>
      <c r="J36404" s="63"/>
    </row>
    <row r="36405" spans="9:10" x14ac:dyDescent="0.35">
      <c r="I36405" s="63"/>
      <c r="J36405" s="63"/>
    </row>
    <row r="36406" spans="9:10" x14ac:dyDescent="0.35">
      <c r="I36406" s="63"/>
      <c r="J36406" s="63"/>
    </row>
    <row r="36407" spans="9:10" x14ac:dyDescent="0.35">
      <c r="I36407" s="63"/>
      <c r="J36407" s="63"/>
    </row>
    <row r="36408" spans="9:10" x14ac:dyDescent="0.35">
      <c r="I36408" s="63"/>
      <c r="J36408" s="63"/>
    </row>
    <row r="36409" spans="9:10" x14ac:dyDescent="0.35">
      <c r="I36409" s="63"/>
      <c r="J36409" s="63"/>
    </row>
    <row r="36410" spans="9:10" x14ac:dyDescent="0.35">
      <c r="I36410" s="63"/>
      <c r="J36410" s="63"/>
    </row>
    <row r="36411" spans="9:10" x14ac:dyDescent="0.35">
      <c r="I36411" s="63"/>
      <c r="J36411" s="63"/>
    </row>
    <row r="36412" spans="9:10" x14ac:dyDescent="0.35">
      <c r="I36412" s="63"/>
      <c r="J36412" s="63"/>
    </row>
    <row r="36413" spans="9:10" x14ac:dyDescent="0.35">
      <c r="I36413" s="63"/>
      <c r="J36413" s="63"/>
    </row>
    <row r="36414" spans="9:10" x14ac:dyDescent="0.35">
      <c r="I36414" s="63"/>
      <c r="J36414" s="63"/>
    </row>
    <row r="36415" spans="9:10" x14ac:dyDescent="0.35">
      <c r="I36415" s="63"/>
      <c r="J36415" s="63"/>
    </row>
    <row r="36416" spans="9:10" x14ac:dyDescent="0.35">
      <c r="I36416" s="63"/>
      <c r="J36416" s="63"/>
    </row>
    <row r="36417" spans="9:10" x14ac:dyDescent="0.35">
      <c r="I36417" s="63"/>
      <c r="J36417" s="63"/>
    </row>
    <row r="36418" spans="9:10" x14ac:dyDescent="0.35">
      <c r="I36418" s="63"/>
      <c r="J36418" s="63"/>
    </row>
    <row r="36419" spans="9:10" x14ac:dyDescent="0.35">
      <c r="I36419" s="63"/>
      <c r="J36419" s="63"/>
    </row>
    <row r="36420" spans="9:10" x14ac:dyDescent="0.35">
      <c r="I36420" s="63"/>
      <c r="J36420" s="63"/>
    </row>
    <row r="36421" spans="9:10" x14ac:dyDescent="0.35">
      <c r="I36421" s="63"/>
      <c r="J36421" s="63"/>
    </row>
    <row r="36422" spans="9:10" x14ac:dyDescent="0.35">
      <c r="I36422" s="63"/>
      <c r="J36422" s="63"/>
    </row>
    <row r="36423" spans="9:10" x14ac:dyDescent="0.35">
      <c r="I36423" s="63"/>
      <c r="J36423" s="63"/>
    </row>
    <row r="36424" spans="9:10" x14ac:dyDescent="0.35">
      <c r="I36424" s="63"/>
      <c r="J36424" s="63"/>
    </row>
    <row r="36425" spans="9:10" x14ac:dyDescent="0.35">
      <c r="I36425" s="63"/>
      <c r="J36425" s="63"/>
    </row>
    <row r="36426" spans="9:10" x14ac:dyDescent="0.35">
      <c r="I36426" s="63"/>
      <c r="J36426" s="63"/>
    </row>
    <row r="36427" spans="9:10" x14ac:dyDescent="0.35">
      <c r="I36427" s="63"/>
      <c r="J36427" s="63"/>
    </row>
    <row r="36428" spans="9:10" x14ac:dyDescent="0.35">
      <c r="I36428" s="63"/>
      <c r="J36428" s="63"/>
    </row>
    <row r="36429" spans="9:10" x14ac:dyDescent="0.35">
      <c r="I36429" s="63"/>
      <c r="J36429" s="63"/>
    </row>
    <row r="36430" spans="9:10" x14ac:dyDescent="0.35">
      <c r="I36430" s="63"/>
      <c r="J36430" s="63"/>
    </row>
    <row r="36431" spans="9:10" x14ac:dyDescent="0.35">
      <c r="I36431" s="63"/>
      <c r="J36431" s="63"/>
    </row>
    <row r="36432" spans="9:10" x14ac:dyDescent="0.35">
      <c r="I36432" s="63"/>
      <c r="J36432" s="63"/>
    </row>
    <row r="36433" spans="9:10" x14ac:dyDescent="0.35">
      <c r="I36433" s="63"/>
      <c r="J36433" s="63"/>
    </row>
    <row r="36434" spans="9:10" x14ac:dyDescent="0.35">
      <c r="I36434" s="63"/>
      <c r="J36434" s="63"/>
    </row>
    <row r="36435" spans="9:10" x14ac:dyDescent="0.35">
      <c r="I36435" s="63"/>
      <c r="J36435" s="63"/>
    </row>
    <row r="36436" spans="9:10" x14ac:dyDescent="0.35">
      <c r="I36436" s="63"/>
      <c r="J36436" s="63"/>
    </row>
    <row r="36437" spans="9:10" x14ac:dyDescent="0.35">
      <c r="I36437" s="63"/>
      <c r="J36437" s="63"/>
    </row>
    <row r="36438" spans="9:10" x14ac:dyDescent="0.35">
      <c r="I36438" s="63"/>
      <c r="J36438" s="63"/>
    </row>
    <row r="36439" spans="9:10" x14ac:dyDescent="0.35">
      <c r="I36439" s="63"/>
      <c r="J36439" s="63"/>
    </row>
    <row r="36440" spans="9:10" x14ac:dyDescent="0.35">
      <c r="I36440" s="63"/>
      <c r="J36440" s="63"/>
    </row>
    <row r="36441" spans="9:10" x14ac:dyDescent="0.35">
      <c r="I36441" s="63"/>
      <c r="J36441" s="63"/>
    </row>
    <row r="36442" spans="9:10" x14ac:dyDescent="0.35">
      <c r="I36442" s="63"/>
      <c r="J36442" s="63"/>
    </row>
    <row r="36443" spans="9:10" x14ac:dyDescent="0.35">
      <c r="I36443" s="63"/>
      <c r="J36443" s="63"/>
    </row>
    <row r="36444" spans="9:10" x14ac:dyDescent="0.35">
      <c r="I36444" s="63"/>
      <c r="J36444" s="63"/>
    </row>
    <row r="36445" spans="9:10" x14ac:dyDescent="0.35">
      <c r="I36445" s="63"/>
      <c r="J36445" s="63"/>
    </row>
    <row r="36446" spans="9:10" x14ac:dyDescent="0.35">
      <c r="I36446" s="63"/>
      <c r="J36446" s="63"/>
    </row>
    <row r="36447" spans="9:10" x14ac:dyDescent="0.35">
      <c r="I36447" s="63"/>
      <c r="J36447" s="63"/>
    </row>
    <row r="36448" spans="9:10" x14ac:dyDescent="0.35">
      <c r="I36448" s="63"/>
      <c r="J36448" s="63"/>
    </row>
    <row r="36449" spans="9:10" x14ac:dyDescent="0.35">
      <c r="I36449" s="63"/>
      <c r="J36449" s="63"/>
    </row>
    <row r="36450" spans="9:10" x14ac:dyDescent="0.35">
      <c r="I36450" s="63"/>
      <c r="J36450" s="63"/>
    </row>
    <row r="36451" spans="9:10" x14ac:dyDescent="0.35">
      <c r="I36451" s="63"/>
      <c r="J36451" s="63"/>
    </row>
    <row r="36452" spans="9:10" x14ac:dyDescent="0.35">
      <c r="I36452" s="63"/>
      <c r="J36452" s="63"/>
    </row>
    <row r="36453" spans="9:10" x14ac:dyDescent="0.35">
      <c r="I36453" s="63"/>
      <c r="J36453" s="63"/>
    </row>
    <row r="36454" spans="9:10" x14ac:dyDescent="0.35">
      <c r="I36454" s="63"/>
      <c r="J36454" s="63"/>
    </row>
    <row r="36455" spans="9:10" x14ac:dyDescent="0.35">
      <c r="I36455" s="63"/>
      <c r="J36455" s="63"/>
    </row>
    <row r="36456" spans="9:10" x14ac:dyDescent="0.35">
      <c r="I36456" s="63"/>
      <c r="J36456" s="63"/>
    </row>
    <row r="36457" spans="9:10" x14ac:dyDescent="0.35">
      <c r="I36457" s="63"/>
      <c r="J36457" s="63"/>
    </row>
    <row r="36458" spans="9:10" x14ac:dyDescent="0.35">
      <c r="I36458" s="63"/>
      <c r="J36458" s="63"/>
    </row>
    <row r="36459" spans="9:10" x14ac:dyDescent="0.35">
      <c r="I36459" s="63"/>
      <c r="J36459" s="63"/>
    </row>
    <row r="36460" spans="9:10" x14ac:dyDescent="0.35">
      <c r="I36460" s="63"/>
      <c r="J36460" s="63"/>
    </row>
    <row r="36461" spans="9:10" x14ac:dyDescent="0.35">
      <c r="I36461" s="63"/>
      <c r="J36461" s="63"/>
    </row>
    <row r="36462" spans="9:10" x14ac:dyDescent="0.35">
      <c r="I36462" s="63"/>
      <c r="J36462" s="63"/>
    </row>
    <row r="36463" spans="9:10" x14ac:dyDescent="0.35">
      <c r="I36463" s="63"/>
      <c r="J36463" s="63"/>
    </row>
    <row r="36464" spans="9:10" x14ac:dyDescent="0.35">
      <c r="I36464" s="63"/>
      <c r="J36464" s="63"/>
    </row>
    <row r="36465" spans="9:10" x14ac:dyDescent="0.35">
      <c r="I36465" s="63"/>
      <c r="J36465" s="63"/>
    </row>
    <row r="36466" spans="9:10" x14ac:dyDescent="0.35">
      <c r="I36466" s="63"/>
      <c r="J36466" s="63"/>
    </row>
    <row r="36467" spans="9:10" x14ac:dyDescent="0.35">
      <c r="I36467" s="63"/>
      <c r="J36467" s="63"/>
    </row>
    <row r="36468" spans="9:10" x14ac:dyDescent="0.35">
      <c r="I36468" s="63"/>
      <c r="J36468" s="63"/>
    </row>
    <row r="36469" spans="9:10" x14ac:dyDescent="0.35">
      <c r="I36469" s="63"/>
      <c r="J36469" s="63"/>
    </row>
    <row r="36470" spans="9:10" x14ac:dyDescent="0.35">
      <c r="I36470" s="63"/>
      <c r="J36470" s="63"/>
    </row>
    <row r="36471" spans="9:10" x14ac:dyDescent="0.35">
      <c r="I36471" s="63"/>
      <c r="J36471" s="63"/>
    </row>
    <row r="36472" spans="9:10" x14ac:dyDescent="0.35">
      <c r="I36472" s="63"/>
      <c r="J36472" s="63"/>
    </row>
    <row r="36473" spans="9:10" x14ac:dyDescent="0.35">
      <c r="I36473" s="63"/>
      <c r="J36473" s="63"/>
    </row>
    <row r="36474" spans="9:10" x14ac:dyDescent="0.35">
      <c r="I36474" s="63"/>
      <c r="J36474" s="63"/>
    </row>
    <row r="36475" spans="9:10" x14ac:dyDescent="0.35">
      <c r="I36475" s="63"/>
      <c r="J36475" s="63"/>
    </row>
    <row r="36476" spans="9:10" x14ac:dyDescent="0.35">
      <c r="I36476" s="63"/>
      <c r="J36476" s="63"/>
    </row>
    <row r="36477" spans="9:10" x14ac:dyDescent="0.35">
      <c r="I36477" s="63"/>
      <c r="J36477" s="63"/>
    </row>
    <row r="36478" spans="9:10" x14ac:dyDescent="0.35">
      <c r="I36478" s="63"/>
      <c r="J36478" s="63"/>
    </row>
    <row r="36479" spans="9:10" x14ac:dyDescent="0.35">
      <c r="I36479" s="63"/>
      <c r="J36479" s="63"/>
    </row>
    <row r="36480" spans="9:10" x14ac:dyDescent="0.35">
      <c r="I36480" s="63"/>
      <c r="J36480" s="63"/>
    </row>
    <row r="36481" spans="9:10" x14ac:dyDescent="0.35">
      <c r="I36481" s="63"/>
      <c r="J36481" s="63"/>
    </row>
    <row r="36482" spans="9:10" x14ac:dyDescent="0.35">
      <c r="I36482" s="63"/>
      <c r="J36482" s="63"/>
    </row>
    <row r="36483" spans="9:10" x14ac:dyDescent="0.35">
      <c r="I36483" s="63"/>
      <c r="J36483" s="63"/>
    </row>
    <row r="36484" spans="9:10" x14ac:dyDescent="0.35">
      <c r="I36484" s="63"/>
      <c r="J36484" s="63"/>
    </row>
    <row r="36485" spans="9:10" x14ac:dyDescent="0.35">
      <c r="I36485" s="63"/>
      <c r="J36485" s="63"/>
    </row>
    <row r="36486" spans="9:10" x14ac:dyDescent="0.35">
      <c r="I36486" s="63"/>
      <c r="J36486" s="63"/>
    </row>
    <row r="36487" spans="9:10" x14ac:dyDescent="0.35">
      <c r="I36487" s="63"/>
      <c r="J36487" s="63"/>
    </row>
    <row r="36488" spans="9:10" x14ac:dyDescent="0.35">
      <c r="I36488" s="63"/>
      <c r="J36488" s="63"/>
    </row>
    <row r="36489" spans="9:10" x14ac:dyDescent="0.35">
      <c r="I36489" s="63"/>
      <c r="J36489" s="63"/>
    </row>
    <row r="36490" spans="9:10" x14ac:dyDescent="0.35">
      <c r="I36490" s="63"/>
      <c r="J36490" s="63"/>
    </row>
    <row r="36491" spans="9:10" x14ac:dyDescent="0.35">
      <c r="I36491" s="63"/>
      <c r="J36491" s="63"/>
    </row>
    <row r="36492" spans="9:10" x14ac:dyDescent="0.35">
      <c r="I36492" s="63"/>
      <c r="J36492" s="63"/>
    </row>
    <row r="36493" spans="9:10" x14ac:dyDescent="0.35">
      <c r="I36493" s="63"/>
      <c r="J36493" s="63"/>
    </row>
    <row r="36494" spans="9:10" x14ac:dyDescent="0.35">
      <c r="I36494" s="63"/>
      <c r="J36494" s="63"/>
    </row>
    <row r="36495" spans="9:10" x14ac:dyDescent="0.35">
      <c r="I36495" s="63"/>
      <c r="J36495" s="63"/>
    </row>
    <row r="36496" spans="9:10" x14ac:dyDescent="0.35">
      <c r="I36496" s="63"/>
      <c r="J36496" s="63"/>
    </row>
    <row r="36497" spans="9:10" x14ac:dyDescent="0.35">
      <c r="I36497" s="63"/>
      <c r="J36497" s="63"/>
    </row>
    <row r="36498" spans="9:10" x14ac:dyDescent="0.35">
      <c r="I36498" s="63"/>
      <c r="J36498" s="63"/>
    </row>
    <row r="36499" spans="9:10" x14ac:dyDescent="0.35">
      <c r="I36499" s="63"/>
      <c r="J36499" s="63"/>
    </row>
    <row r="36500" spans="9:10" x14ac:dyDescent="0.35">
      <c r="I36500" s="63"/>
      <c r="J36500" s="63"/>
    </row>
    <row r="36501" spans="9:10" x14ac:dyDescent="0.35">
      <c r="I36501" s="63"/>
      <c r="J36501" s="63"/>
    </row>
    <row r="36502" spans="9:10" x14ac:dyDescent="0.35">
      <c r="I36502" s="63"/>
      <c r="J36502" s="63"/>
    </row>
    <row r="36503" spans="9:10" x14ac:dyDescent="0.35">
      <c r="I36503" s="63"/>
      <c r="J36503" s="63"/>
    </row>
    <row r="36504" spans="9:10" x14ac:dyDescent="0.35">
      <c r="I36504" s="63"/>
      <c r="J36504" s="63"/>
    </row>
    <row r="36505" spans="9:10" x14ac:dyDescent="0.35">
      <c r="I36505" s="63"/>
      <c r="J36505" s="63"/>
    </row>
    <row r="36506" spans="9:10" x14ac:dyDescent="0.35">
      <c r="I36506" s="63"/>
      <c r="J36506" s="63"/>
    </row>
    <row r="36507" spans="9:10" x14ac:dyDescent="0.35">
      <c r="I36507" s="63"/>
      <c r="J36507" s="63"/>
    </row>
    <row r="36508" spans="9:10" x14ac:dyDescent="0.35">
      <c r="I36508" s="63"/>
      <c r="J36508" s="63"/>
    </row>
    <row r="36509" spans="9:10" x14ac:dyDescent="0.35">
      <c r="I36509" s="63"/>
      <c r="J36509" s="63"/>
    </row>
    <row r="36510" spans="9:10" x14ac:dyDescent="0.35">
      <c r="I36510" s="63"/>
      <c r="J36510" s="63"/>
    </row>
    <row r="36511" spans="9:10" x14ac:dyDescent="0.35">
      <c r="I36511" s="63"/>
      <c r="J36511" s="63"/>
    </row>
    <row r="36512" spans="9:10" x14ac:dyDescent="0.35">
      <c r="I36512" s="63"/>
      <c r="J36512" s="63"/>
    </row>
    <row r="36513" spans="9:10" x14ac:dyDescent="0.35">
      <c r="I36513" s="63"/>
      <c r="J36513" s="63"/>
    </row>
    <row r="36514" spans="9:10" x14ac:dyDescent="0.35">
      <c r="I36514" s="63"/>
      <c r="J36514" s="63"/>
    </row>
    <row r="36515" spans="9:10" x14ac:dyDescent="0.35">
      <c r="I36515" s="63"/>
      <c r="J36515" s="63"/>
    </row>
    <row r="36516" spans="9:10" x14ac:dyDescent="0.35">
      <c r="I36516" s="63"/>
      <c r="J36516" s="63"/>
    </row>
    <row r="36517" spans="9:10" x14ac:dyDescent="0.35">
      <c r="I36517" s="63"/>
      <c r="J36517" s="63"/>
    </row>
    <row r="36518" spans="9:10" x14ac:dyDescent="0.35">
      <c r="I36518" s="63"/>
      <c r="J36518" s="63"/>
    </row>
    <row r="36519" spans="9:10" x14ac:dyDescent="0.35">
      <c r="I36519" s="63"/>
      <c r="J36519" s="63"/>
    </row>
    <row r="36520" spans="9:10" x14ac:dyDescent="0.35">
      <c r="I36520" s="63"/>
      <c r="J36520" s="63"/>
    </row>
    <row r="36521" spans="9:10" x14ac:dyDescent="0.35">
      <c r="I36521" s="63"/>
      <c r="J36521" s="63"/>
    </row>
    <row r="36522" spans="9:10" x14ac:dyDescent="0.35">
      <c r="I36522" s="63"/>
      <c r="J36522" s="63"/>
    </row>
    <row r="36523" spans="9:10" x14ac:dyDescent="0.35">
      <c r="I36523" s="63"/>
      <c r="J36523" s="63"/>
    </row>
    <row r="36524" spans="9:10" x14ac:dyDescent="0.35">
      <c r="I36524" s="63"/>
      <c r="J36524" s="63"/>
    </row>
    <row r="36525" spans="9:10" x14ac:dyDescent="0.35">
      <c r="I36525" s="63"/>
      <c r="J36525" s="63"/>
    </row>
    <row r="36526" spans="9:10" x14ac:dyDescent="0.35">
      <c r="I36526" s="63"/>
      <c r="J36526" s="63"/>
    </row>
    <row r="36527" spans="9:10" x14ac:dyDescent="0.35">
      <c r="I36527" s="63"/>
      <c r="J36527" s="63"/>
    </row>
    <row r="36528" spans="9:10" x14ac:dyDescent="0.35">
      <c r="I36528" s="63"/>
      <c r="J36528" s="63"/>
    </row>
    <row r="36529" spans="9:10" x14ac:dyDescent="0.35">
      <c r="I36529" s="63"/>
      <c r="J36529" s="63"/>
    </row>
    <row r="36530" spans="9:10" x14ac:dyDescent="0.35">
      <c r="I36530" s="63"/>
      <c r="J36530" s="63"/>
    </row>
    <row r="36531" spans="9:10" x14ac:dyDescent="0.35">
      <c r="I36531" s="63"/>
      <c r="J36531" s="63"/>
    </row>
    <row r="36532" spans="9:10" x14ac:dyDescent="0.35">
      <c r="I36532" s="63"/>
      <c r="J36532" s="63"/>
    </row>
    <row r="36533" spans="9:10" x14ac:dyDescent="0.35">
      <c r="I36533" s="63"/>
      <c r="J36533" s="63"/>
    </row>
    <row r="36534" spans="9:10" x14ac:dyDescent="0.35">
      <c r="I36534" s="63"/>
      <c r="J36534" s="63"/>
    </row>
    <row r="36535" spans="9:10" x14ac:dyDescent="0.35">
      <c r="I36535" s="63"/>
      <c r="J36535" s="63"/>
    </row>
    <row r="36536" spans="9:10" x14ac:dyDescent="0.35">
      <c r="I36536" s="63"/>
      <c r="J36536" s="63"/>
    </row>
    <row r="36537" spans="9:10" x14ac:dyDescent="0.35">
      <c r="I36537" s="63"/>
      <c r="J36537" s="63"/>
    </row>
    <row r="36538" spans="9:10" x14ac:dyDescent="0.35">
      <c r="I36538" s="63"/>
      <c r="J36538" s="63"/>
    </row>
    <row r="36539" spans="9:10" x14ac:dyDescent="0.35">
      <c r="I36539" s="63"/>
      <c r="J36539" s="63"/>
    </row>
    <row r="36540" spans="9:10" x14ac:dyDescent="0.35">
      <c r="I36540" s="63"/>
      <c r="J36540" s="63"/>
    </row>
    <row r="36541" spans="9:10" x14ac:dyDescent="0.35">
      <c r="I36541" s="63"/>
      <c r="J36541" s="63"/>
    </row>
    <row r="36542" spans="9:10" x14ac:dyDescent="0.35">
      <c r="I36542" s="63"/>
      <c r="J36542" s="63"/>
    </row>
    <row r="36543" spans="9:10" x14ac:dyDescent="0.35">
      <c r="I36543" s="63"/>
      <c r="J36543" s="63"/>
    </row>
    <row r="36544" spans="9:10" x14ac:dyDescent="0.35">
      <c r="I36544" s="63"/>
      <c r="J36544" s="63"/>
    </row>
    <row r="36545" spans="9:10" x14ac:dyDescent="0.35">
      <c r="I36545" s="63"/>
      <c r="J36545" s="63"/>
    </row>
    <row r="36546" spans="9:10" x14ac:dyDescent="0.35">
      <c r="I36546" s="63"/>
      <c r="J36546" s="63"/>
    </row>
    <row r="36547" spans="9:10" x14ac:dyDescent="0.35">
      <c r="I36547" s="63"/>
      <c r="J36547" s="63"/>
    </row>
    <row r="36548" spans="9:10" x14ac:dyDescent="0.35">
      <c r="I36548" s="63"/>
      <c r="J36548" s="63"/>
    </row>
    <row r="36549" spans="9:10" x14ac:dyDescent="0.35">
      <c r="I36549" s="63"/>
      <c r="J36549" s="63"/>
    </row>
    <row r="36550" spans="9:10" x14ac:dyDescent="0.35">
      <c r="I36550" s="63"/>
      <c r="J36550" s="63"/>
    </row>
    <row r="36551" spans="9:10" x14ac:dyDescent="0.35">
      <c r="I36551" s="63"/>
      <c r="J36551" s="63"/>
    </row>
    <row r="36552" spans="9:10" x14ac:dyDescent="0.35">
      <c r="I36552" s="63"/>
      <c r="J36552" s="63"/>
    </row>
    <row r="36553" spans="9:10" x14ac:dyDescent="0.35">
      <c r="I36553" s="63"/>
      <c r="J36553" s="63"/>
    </row>
    <row r="36554" spans="9:10" x14ac:dyDescent="0.35">
      <c r="I36554" s="63"/>
      <c r="J36554" s="63"/>
    </row>
    <row r="36555" spans="9:10" x14ac:dyDescent="0.35">
      <c r="I36555" s="63"/>
      <c r="J36555" s="63"/>
    </row>
    <row r="36556" spans="9:10" x14ac:dyDescent="0.35">
      <c r="I36556" s="63"/>
      <c r="J36556" s="63"/>
    </row>
    <row r="36557" spans="9:10" x14ac:dyDescent="0.35">
      <c r="I36557" s="63"/>
      <c r="J36557" s="63"/>
    </row>
    <row r="36558" spans="9:10" x14ac:dyDescent="0.35">
      <c r="I36558" s="63"/>
      <c r="J36558" s="63"/>
    </row>
    <row r="36559" spans="9:10" x14ac:dyDescent="0.35">
      <c r="I36559" s="63"/>
      <c r="J36559" s="63"/>
    </row>
    <row r="36560" spans="9:10" x14ac:dyDescent="0.35">
      <c r="I36560" s="63"/>
      <c r="J36560" s="63"/>
    </row>
    <row r="36561" spans="9:10" x14ac:dyDescent="0.35">
      <c r="I36561" s="63"/>
      <c r="J36561" s="63"/>
    </row>
    <row r="36562" spans="9:10" x14ac:dyDescent="0.35">
      <c r="I36562" s="63"/>
      <c r="J36562" s="63"/>
    </row>
    <row r="36563" spans="9:10" x14ac:dyDescent="0.35">
      <c r="I36563" s="63"/>
      <c r="J36563" s="63"/>
    </row>
    <row r="36564" spans="9:10" x14ac:dyDescent="0.35">
      <c r="I36564" s="63"/>
      <c r="J36564" s="63"/>
    </row>
    <row r="36565" spans="9:10" x14ac:dyDescent="0.35">
      <c r="I36565" s="63"/>
      <c r="J36565" s="63"/>
    </row>
    <row r="36566" spans="9:10" x14ac:dyDescent="0.35">
      <c r="I36566" s="63"/>
      <c r="J36566" s="63"/>
    </row>
    <row r="36567" spans="9:10" x14ac:dyDescent="0.35">
      <c r="I36567" s="63"/>
      <c r="J36567" s="63"/>
    </row>
    <row r="36568" spans="9:10" x14ac:dyDescent="0.35">
      <c r="I36568" s="63"/>
      <c r="J36568" s="63"/>
    </row>
    <row r="36569" spans="9:10" x14ac:dyDescent="0.35">
      <c r="I36569" s="63"/>
      <c r="J36569" s="63"/>
    </row>
    <row r="36570" spans="9:10" x14ac:dyDescent="0.35">
      <c r="I36570" s="63"/>
      <c r="J36570" s="63"/>
    </row>
    <row r="36571" spans="9:10" x14ac:dyDescent="0.35">
      <c r="I36571" s="63"/>
      <c r="J36571" s="63"/>
    </row>
    <row r="36572" spans="9:10" x14ac:dyDescent="0.35">
      <c r="I36572" s="63"/>
      <c r="J36572" s="63"/>
    </row>
    <row r="36573" spans="9:10" x14ac:dyDescent="0.35">
      <c r="I36573" s="63"/>
      <c r="J36573" s="63"/>
    </row>
    <row r="36574" spans="9:10" x14ac:dyDescent="0.35">
      <c r="I36574" s="63"/>
      <c r="J36574" s="63"/>
    </row>
    <row r="36575" spans="9:10" x14ac:dyDescent="0.35">
      <c r="I36575" s="63"/>
      <c r="J36575" s="63"/>
    </row>
    <row r="36576" spans="9:10" x14ac:dyDescent="0.35">
      <c r="I36576" s="63"/>
      <c r="J36576" s="63"/>
    </row>
    <row r="36577" spans="9:10" x14ac:dyDescent="0.35">
      <c r="I36577" s="63"/>
      <c r="J36577" s="63"/>
    </row>
    <row r="36578" spans="9:10" x14ac:dyDescent="0.35">
      <c r="I36578" s="63"/>
      <c r="J36578" s="63"/>
    </row>
    <row r="36579" spans="9:10" x14ac:dyDescent="0.35">
      <c r="I36579" s="63"/>
      <c r="J36579" s="63"/>
    </row>
    <row r="36580" spans="9:10" x14ac:dyDescent="0.35">
      <c r="I36580" s="63"/>
      <c r="J36580" s="63"/>
    </row>
    <row r="36581" spans="9:10" x14ac:dyDescent="0.35">
      <c r="I36581" s="63"/>
      <c r="J36581" s="63"/>
    </row>
    <row r="36582" spans="9:10" x14ac:dyDescent="0.35">
      <c r="I36582" s="63"/>
      <c r="J36582" s="63"/>
    </row>
    <row r="36583" spans="9:10" x14ac:dyDescent="0.35">
      <c r="I36583" s="63"/>
      <c r="J36583" s="63"/>
    </row>
    <row r="36584" spans="9:10" x14ac:dyDescent="0.35">
      <c r="I36584" s="63"/>
      <c r="J36584" s="63"/>
    </row>
    <row r="36585" spans="9:10" x14ac:dyDescent="0.35">
      <c r="I36585" s="63"/>
      <c r="J36585" s="63"/>
    </row>
    <row r="36586" spans="9:10" x14ac:dyDescent="0.35">
      <c r="I36586" s="63"/>
      <c r="J36586" s="63"/>
    </row>
    <row r="36587" spans="9:10" x14ac:dyDescent="0.35">
      <c r="I36587" s="63"/>
      <c r="J36587" s="63"/>
    </row>
    <row r="36588" spans="9:10" x14ac:dyDescent="0.35">
      <c r="I36588" s="63"/>
      <c r="J36588" s="63"/>
    </row>
    <row r="36589" spans="9:10" x14ac:dyDescent="0.35">
      <c r="I36589" s="63"/>
      <c r="J36589" s="63"/>
    </row>
    <row r="36590" spans="9:10" x14ac:dyDescent="0.35">
      <c r="I36590" s="63"/>
      <c r="J36590" s="63"/>
    </row>
    <row r="36591" spans="9:10" x14ac:dyDescent="0.35">
      <c r="I36591" s="63"/>
      <c r="J36591" s="63"/>
    </row>
    <row r="36592" spans="9:10" x14ac:dyDescent="0.35">
      <c r="I36592" s="63"/>
      <c r="J36592" s="63"/>
    </row>
    <row r="36593" spans="9:10" x14ac:dyDescent="0.35">
      <c r="I36593" s="63"/>
      <c r="J36593" s="63"/>
    </row>
    <row r="36594" spans="9:10" x14ac:dyDescent="0.35">
      <c r="I36594" s="63"/>
      <c r="J36594" s="63"/>
    </row>
    <row r="36595" spans="9:10" x14ac:dyDescent="0.35">
      <c r="I36595" s="63"/>
      <c r="J36595" s="63"/>
    </row>
    <row r="36596" spans="9:10" x14ac:dyDescent="0.35">
      <c r="I36596" s="63"/>
      <c r="J36596" s="63"/>
    </row>
    <row r="36597" spans="9:10" x14ac:dyDescent="0.35">
      <c r="I36597" s="63"/>
      <c r="J36597" s="63"/>
    </row>
    <row r="36598" spans="9:10" x14ac:dyDescent="0.35">
      <c r="I36598" s="63"/>
      <c r="J36598" s="63"/>
    </row>
    <row r="36599" spans="9:10" x14ac:dyDescent="0.35">
      <c r="I36599" s="63"/>
      <c r="J36599" s="63"/>
    </row>
    <row r="36600" spans="9:10" x14ac:dyDescent="0.35">
      <c r="I36600" s="63"/>
      <c r="J36600" s="63"/>
    </row>
    <row r="36601" spans="9:10" x14ac:dyDescent="0.35">
      <c r="I36601" s="63"/>
      <c r="J36601" s="63"/>
    </row>
    <row r="36602" spans="9:10" x14ac:dyDescent="0.35">
      <c r="I36602" s="63"/>
      <c r="J36602" s="63"/>
    </row>
    <row r="36603" spans="9:10" x14ac:dyDescent="0.35">
      <c r="I36603" s="63"/>
      <c r="J36603" s="63"/>
    </row>
    <row r="36604" spans="9:10" x14ac:dyDescent="0.35">
      <c r="I36604" s="63"/>
      <c r="J36604" s="63"/>
    </row>
    <row r="36605" spans="9:10" x14ac:dyDescent="0.35">
      <c r="I36605" s="63"/>
      <c r="J36605" s="63"/>
    </row>
    <row r="36606" spans="9:10" x14ac:dyDescent="0.35">
      <c r="I36606" s="63"/>
      <c r="J36606" s="63"/>
    </row>
    <row r="36607" spans="9:10" x14ac:dyDescent="0.35">
      <c r="I36607" s="63"/>
      <c r="J36607" s="63"/>
    </row>
    <row r="36608" spans="9:10" x14ac:dyDescent="0.35">
      <c r="I36608" s="63"/>
      <c r="J36608" s="63"/>
    </row>
    <row r="36609" spans="9:10" x14ac:dyDescent="0.35">
      <c r="I36609" s="63"/>
      <c r="J36609" s="63"/>
    </row>
    <row r="36610" spans="9:10" x14ac:dyDescent="0.35">
      <c r="I36610" s="63"/>
      <c r="J36610" s="63"/>
    </row>
    <row r="36611" spans="9:10" x14ac:dyDescent="0.35">
      <c r="I36611" s="63"/>
      <c r="J36611" s="63"/>
    </row>
    <row r="36612" spans="9:10" x14ac:dyDescent="0.35">
      <c r="I36612" s="63"/>
      <c r="J36612" s="63"/>
    </row>
    <row r="36613" spans="9:10" x14ac:dyDescent="0.35">
      <c r="I36613" s="63"/>
      <c r="J36613" s="63"/>
    </row>
    <row r="36614" spans="9:10" x14ac:dyDescent="0.35">
      <c r="I36614" s="63"/>
      <c r="J36614" s="63"/>
    </row>
    <row r="36615" spans="9:10" x14ac:dyDescent="0.35">
      <c r="I36615" s="63"/>
      <c r="J36615" s="63"/>
    </row>
    <row r="36616" spans="9:10" x14ac:dyDescent="0.35">
      <c r="I36616" s="63"/>
      <c r="J36616" s="63"/>
    </row>
    <row r="36617" spans="9:10" x14ac:dyDescent="0.35">
      <c r="I36617" s="63"/>
      <c r="J36617" s="63"/>
    </row>
    <row r="36618" spans="9:10" x14ac:dyDescent="0.35">
      <c r="I36618" s="63"/>
      <c r="J36618" s="63"/>
    </row>
    <row r="36619" spans="9:10" x14ac:dyDescent="0.35">
      <c r="I36619" s="63"/>
      <c r="J36619" s="63"/>
    </row>
    <row r="36620" spans="9:10" x14ac:dyDescent="0.35">
      <c r="I36620" s="63"/>
      <c r="J36620" s="63"/>
    </row>
    <row r="36621" spans="9:10" x14ac:dyDescent="0.35">
      <c r="I36621" s="63"/>
      <c r="J36621" s="63"/>
    </row>
    <row r="36622" spans="9:10" x14ac:dyDescent="0.35">
      <c r="I36622" s="63"/>
      <c r="J36622" s="63"/>
    </row>
    <row r="36623" spans="9:10" x14ac:dyDescent="0.35">
      <c r="I36623" s="63"/>
      <c r="J36623" s="63"/>
    </row>
    <row r="36624" spans="9:10" x14ac:dyDescent="0.35">
      <c r="I36624" s="63"/>
      <c r="J36624" s="63"/>
    </row>
    <row r="36625" spans="9:10" x14ac:dyDescent="0.35">
      <c r="I36625" s="63"/>
      <c r="J36625" s="63"/>
    </row>
    <row r="36626" spans="9:10" x14ac:dyDescent="0.35">
      <c r="I36626" s="63"/>
      <c r="J36626" s="63"/>
    </row>
    <row r="36627" spans="9:10" x14ac:dyDescent="0.35">
      <c r="I36627" s="63"/>
      <c r="J36627" s="63"/>
    </row>
    <row r="36628" spans="9:10" x14ac:dyDescent="0.35">
      <c r="I36628" s="63"/>
      <c r="J36628" s="63"/>
    </row>
    <row r="36629" spans="9:10" x14ac:dyDescent="0.35">
      <c r="I36629" s="63"/>
      <c r="J36629" s="63"/>
    </row>
    <row r="36630" spans="9:10" x14ac:dyDescent="0.35">
      <c r="I36630" s="63"/>
      <c r="J36630" s="63"/>
    </row>
    <row r="36631" spans="9:10" x14ac:dyDescent="0.35">
      <c r="I36631" s="63"/>
      <c r="J36631" s="63"/>
    </row>
    <row r="36632" spans="9:10" x14ac:dyDescent="0.35">
      <c r="I36632" s="63"/>
      <c r="J36632" s="63"/>
    </row>
    <row r="36633" spans="9:10" x14ac:dyDescent="0.35">
      <c r="I36633" s="63"/>
      <c r="J36633" s="63"/>
    </row>
    <row r="36634" spans="9:10" x14ac:dyDescent="0.35">
      <c r="I36634" s="63"/>
      <c r="J36634" s="63"/>
    </row>
    <row r="36635" spans="9:10" x14ac:dyDescent="0.35">
      <c r="I36635" s="63"/>
      <c r="J36635" s="63"/>
    </row>
    <row r="36636" spans="9:10" x14ac:dyDescent="0.35">
      <c r="I36636" s="63"/>
      <c r="J36636" s="63"/>
    </row>
    <row r="36637" spans="9:10" x14ac:dyDescent="0.35">
      <c r="I36637" s="63"/>
      <c r="J36637" s="63"/>
    </row>
    <row r="36638" spans="9:10" x14ac:dyDescent="0.35">
      <c r="I36638" s="63"/>
      <c r="J36638" s="63"/>
    </row>
    <row r="36639" spans="9:10" x14ac:dyDescent="0.35">
      <c r="I36639" s="63"/>
      <c r="J36639" s="63"/>
    </row>
    <row r="36640" spans="9:10" x14ac:dyDescent="0.35">
      <c r="I36640" s="63"/>
      <c r="J36640" s="63"/>
    </row>
    <row r="36641" spans="9:10" x14ac:dyDescent="0.35">
      <c r="I36641" s="63"/>
      <c r="J36641" s="63"/>
    </row>
    <row r="36642" spans="9:10" x14ac:dyDescent="0.35">
      <c r="I36642" s="63"/>
      <c r="J36642" s="63"/>
    </row>
    <row r="36643" spans="9:10" x14ac:dyDescent="0.35">
      <c r="I36643" s="63"/>
      <c r="J36643" s="63"/>
    </row>
    <row r="36644" spans="9:10" x14ac:dyDescent="0.35">
      <c r="I36644" s="63"/>
      <c r="J36644" s="63"/>
    </row>
    <row r="36645" spans="9:10" x14ac:dyDescent="0.35">
      <c r="I36645" s="63"/>
      <c r="J36645" s="63"/>
    </row>
    <row r="36646" spans="9:10" x14ac:dyDescent="0.35">
      <c r="I36646" s="63"/>
      <c r="J36646" s="63"/>
    </row>
    <row r="36647" spans="9:10" x14ac:dyDescent="0.35">
      <c r="I36647" s="63"/>
      <c r="J36647" s="63"/>
    </row>
    <row r="36648" spans="9:10" x14ac:dyDescent="0.35">
      <c r="I36648" s="63"/>
      <c r="J36648" s="63"/>
    </row>
    <row r="36649" spans="9:10" x14ac:dyDescent="0.35">
      <c r="I36649" s="63"/>
      <c r="J36649" s="63"/>
    </row>
    <row r="36650" spans="9:10" x14ac:dyDescent="0.35">
      <c r="I36650" s="63"/>
      <c r="J36650" s="63"/>
    </row>
    <row r="36651" spans="9:10" x14ac:dyDescent="0.35">
      <c r="I36651" s="63"/>
      <c r="J36651" s="63"/>
    </row>
    <row r="36652" spans="9:10" x14ac:dyDescent="0.35">
      <c r="I36652" s="63"/>
      <c r="J36652" s="63"/>
    </row>
    <row r="36653" spans="9:10" x14ac:dyDescent="0.35">
      <c r="I36653" s="63"/>
      <c r="J36653" s="63"/>
    </row>
    <row r="36654" spans="9:10" x14ac:dyDescent="0.35">
      <c r="I36654" s="63"/>
      <c r="J36654" s="63"/>
    </row>
    <row r="36655" spans="9:10" x14ac:dyDescent="0.35">
      <c r="I36655" s="63"/>
      <c r="J36655" s="63"/>
    </row>
    <row r="36656" spans="9:10" x14ac:dyDescent="0.35">
      <c r="I36656" s="63"/>
      <c r="J36656" s="63"/>
    </row>
    <row r="36657" spans="9:10" x14ac:dyDescent="0.35">
      <c r="I36657" s="63"/>
      <c r="J36657" s="63"/>
    </row>
    <row r="36658" spans="9:10" x14ac:dyDescent="0.35">
      <c r="I36658" s="63"/>
      <c r="J36658" s="63"/>
    </row>
    <row r="36659" spans="9:10" x14ac:dyDescent="0.35">
      <c r="I36659" s="63"/>
      <c r="J36659" s="63"/>
    </row>
    <row r="36660" spans="9:10" x14ac:dyDescent="0.35">
      <c r="I36660" s="63"/>
      <c r="J36660" s="63"/>
    </row>
    <row r="36661" spans="9:10" x14ac:dyDescent="0.35">
      <c r="I36661" s="63"/>
      <c r="J36661" s="63"/>
    </row>
    <row r="36662" spans="9:10" x14ac:dyDescent="0.35">
      <c r="I36662" s="63"/>
      <c r="J36662" s="63"/>
    </row>
    <row r="36663" spans="9:10" x14ac:dyDescent="0.35">
      <c r="I36663" s="63"/>
      <c r="J36663" s="63"/>
    </row>
    <row r="36664" spans="9:10" x14ac:dyDescent="0.35">
      <c r="I36664" s="63"/>
      <c r="J36664" s="63"/>
    </row>
    <row r="36665" spans="9:10" x14ac:dyDescent="0.35">
      <c r="I36665" s="63"/>
      <c r="J36665" s="63"/>
    </row>
    <row r="36666" spans="9:10" x14ac:dyDescent="0.35">
      <c r="I36666" s="63"/>
      <c r="J36666" s="63"/>
    </row>
    <row r="36667" spans="9:10" x14ac:dyDescent="0.35">
      <c r="I36667" s="63"/>
      <c r="J36667" s="63"/>
    </row>
    <row r="36668" spans="9:10" x14ac:dyDescent="0.35">
      <c r="I36668" s="63"/>
      <c r="J36668" s="63"/>
    </row>
    <row r="36669" spans="9:10" x14ac:dyDescent="0.35">
      <c r="I36669" s="63"/>
      <c r="J36669" s="63"/>
    </row>
    <row r="36670" spans="9:10" x14ac:dyDescent="0.35">
      <c r="I36670" s="63"/>
      <c r="J36670" s="63"/>
    </row>
    <row r="36671" spans="9:10" x14ac:dyDescent="0.35">
      <c r="I36671" s="63"/>
      <c r="J36671" s="63"/>
    </row>
    <row r="36672" spans="9:10" x14ac:dyDescent="0.35">
      <c r="I36672" s="63"/>
      <c r="J36672" s="63"/>
    </row>
    <row r="36673" spans="9:10" x14ac:dyDescent="0.35">
      <c r="I36673" s="63"/>
      <c r="J36673" s="63"/>
    </row>
    <row r="36674" spans="9:10" x14ac:dyDescent="0.35">
      <c r="I36674" s="63"/>
      <c r="J36674" s="63"/>
    </row>
    <row r="36675" spans="9:10" x14ac:dyDescent="0.35">
      <c r="I36675" s="63"/>
      <c r="J36675" s="63"/>
    </row>
    <row r="36676" spans="9:10" x14ac:dyDescent="0.35">
      <c r="I36676" s="63"/>
      <c r="J36676" s="63"/>
    </row>
    <row r="36677" spans="9:10" x14ac:dyDescent="0.35">
      <c r="I36677" s="63"/>
      <c r="J36677" s="63"/>
    </row>
    <row r="36678" spans="9:10" x14ac:dyDescent="0.35">
      <c r="I36678" s="63"/>
      <c r="J36678" s="63"/>
    </row>
    <row r="36679" spans="9:10" x14ac:dyDescent="0.35">
      <c r="I36679" s="63"/>
      <c r="J36679" s="63"/>
    </row>
    <row r="36680" spans="9:10" x14ac:dyDescent="0.35">
      <c r="I36680" s="63"/>
      <c r="J36680" s="63"/>
    </row>
    <row r="36681" spans="9:10" x14ac:dyDescent="0.35">
      <c r="I36681" s="63"/>
      <c r="J36681" s="63"/>
    </row>
    <row r="36682" spans="9:10" x14ac:dyDescent="0.35">
      <c r="I36682" s="63"/>
      <c r="J36682" s="63"/>
    </row>
    <row r="36683" spans="9:10" x14ac:dyDescent="0.35">
      <c r="I36683" s="63"/>
      <c r="J36683" s="63"/>
    </row>
    <row r="36684" spans="9:10" x14ac:dyDescent="0.35">
      <c r="I36684" s="63"/>
      <c r="J36684" s="63"/>
    </row>
    <row r="36685" spans="9:10" x14ac:dyDescent="0.35">
      <c r="I36685" s="63"/>
      <c r="J36685" s="63"/>
    </row>
    <row r="36686" spans="9:10" x14ac:dyDescent="0.35">
      <c r="I36686" s="63"/>
      <c r="J36686" s="63"/>
    </row>
    <row r="36687" spans="9:10" x14ac:dyDescent="0.35">
      <c r="I36687" s="63"/>
      <c r="J36687" s="63"/>
    </row>
    <row r="36688" spans="9:10" x14ac:dyDescent="0.35">
      <c r="I36688" s="63"/>
      <c r="J36688" s="63"/>
    </row>
    <row r="36689" spans="9:10" x14ac:dyDescent="0.35">
      <c r="I36689" s="63"/>
      <c r="J36689" s="63"/>
    </row>
    <row r="36690" spans="9:10" x14ac:dyDescent="0.35">
      <c r="I36690" s="63"/>
      <c r="J36690" s="63"/>
    </row>
    <row r="36691" spans="9:10" x14ac:dyDescent="0.35">
      <c r="I36691" s="63"/>
      <c r="J36691" s="63"/>
    </row>
    <row r="36692" spans="9:10" x14ac:dyDescent="0.35">
      <c r="I36692" s="63"/>
      <c r="J36692" s="63"/>
    </row>
    <row r="36693" spans="9:10" x14ac:dyDescent="0.35">
      <c r="I36693" s="63"/>
      <c r="J36693" s="63"/>
    </row>
    <row r="36694" spans="9:10" x14ac:dyDescent="0.35">
      <c r="I36694" s="63"/>
      <c r="J36694" s="63"/>
    </row>
    <row r="36695" spans="9:10" x14ac:dyDescent="0.35">
      <c r="I36695" s="63"/>
      <c r="J36695" s="63"/>
    </row>
    <row r="36696" spans="9:10" x14ac:dyDescent="0.35">
      <c r="I36696" s="63"/>
      <c r="J36696" s="63"/>
    </row>
    <row r="36697" spans="9:10" x14ac:dyDescent="0.35">
      <c r="I36697" s="63"/>
      <c r="J36697" s="63"/>
    </row>
    <row r="36698" spans="9:10" x14ac:dyDescent="0.35">
      <c r="I36698" s="63"/>
      <c r="J36698" s="63"/>
    </row>
    <row r="36699" spans="9:10" x14ac:dyDescent="0.35">
      <c r="I36699" s="63"/>
      <c r="J36699" s="63"/>
    </row>
    <row r="36700" spans="9:10" x14ac:dyDescent="0.35">
      <c r="I36700" s="63"/>
      <c r="J36700" s="63"/>
    </row>
    <row r="36701" spans="9:10" x14ac:dyDescent="0.35">
      <c r="I36701" s="63"/>
      <c r="J36701" s="63"/>
    </row>
    <row r="36702" spans="9:10" x14ac:dyDescent="0.35">
      <c r="I36702" s="63"/>
      <c r="J36702" s="63"/>
    </row>
    <row r="36703" spans="9:10" x14ac:dyDescent="0.35">
      <c r="I36703" s="63"/>
      <c r="J36703" s="63"/>
    </row>
    <row r="36704" spans="9:10" x14ac:dyDescent="0.35">
      <c r="I36704" s="63"/>
      <c r="J36704" s="63"/>
    </row>
    <row r="36705" spans="9:10" x14ac:dyDescent="0.35">
      <c r="I36705" s="63"/>
      <c r="J36705" s="63"/>
    </row>
    <row r="36706" spans="9:10" x14ac:dyDescent="0.35">
      <c r="I36706" s="63"/>
      <c r="J36706" s="63"/>
    </row>
    <row r="36707" spans="9:10" x14ac:dyDescent="0.35">
      <c r="I36707" s="63"/>
      <c r="J36707" s="63"/>
    </row>
    <row r="36708" spans="9:10" x14ac:dyDescent="0.35">
      <c r="I36708" s="63"/>
      <c r="J36708" s="63"/>
    </row>
    <row r="36709" spans="9:10" x14ac:dyDescent="0.35">
      <c r="I36709" s="63"/>
      <c r="J36709" s="63"/>
    </row>
    <row r="36710" spans="9:10" x14ac:dyDescent="0.35">
      <c r="I36710" s="63"/>
      <c r="J36710" s="63"/>
    </row>
    <row r="36711" spans="9:10" x14ac:dyDescent="0.35">
      <c r="I36711" s="63"/>
      <c r="J36711" s="63"/>
    </row>
    <row r="36712" spans="9:10" x14ac:dyDescent="0.35">
      <c r="I36712" s="63"/>
      <c r="J36712" s="63"/>
    </row>
    <row r="36713" spans="9:10" x14ac:dyDescent="0.35">
      <c r="I36713" s="63"/>
      <c r="J36713" s="63"/>
    </row>
    <row r="36714" spans="9:10" x14ac:dyDescent="0.35">
      <c r="I36714" s="63"/>
      <c r="J36714" s="63"/>
    </row>
    <row r="36715" spans="9:10" x14ac:dyDescent="0.35">
      <c r="I36715" s="63"/>
      <c r="J36715" s="63"/>
    </row>
    <row r="36716" spans="9:10" x14ac:dyDescent="0.35">
      <c r="I36716" s="63"/>
      <c r="J36716" s="63"/>
    </row>
    <row r="36717" spans="9:10" x14ac:dyDescent="0.35">
      <c r="I36717" s="63"/>
      <c r="J36717" s="63"/>
    </row>
    <row r="36718" spans="9:10" x14ac:dyDescent="0.35">
      <c r="I36718" s="63"/>
      <c r="J36718" s="63"/>
    </row>
    <row r="36719" spans="9:10" x14ac:dyDescent="0.35">
      <c r="I36719" s="63"/>
      <c r="J36719" s="63"/>
    </row>
    <row r="36720" spans="9:10" x14ac:dyDescent="0.35">
      <c r="I36720" s="63"/>
      <c r="J36720" s="63"/>
    </row>
    <row r="36721" spans="9:10" x14ac:dyDescent="0.35">
      <c r="I36721" s="63"/>
      <c r="J36721" s="63"/>
    </row>
    <row r="36722" spans="9:10" x14ac:dyDescent="0.35">
      <c r="I36722" s="63"/>
      <c r="J36722" s="63"/>
    </row>
    <row r="36723" spans="9:10" x14ac:dyDescent="0.35">
      <c r="I36723" s="63"/>
      <c r="J36723" s="63"/>
    </row>
    <row r="36724" spans="9:10" x14ac:dyDescent="0.35">
      <c r="I36724" s="63"/>
      <c r="J36724" s="63"/>
    </row>
    <row r="36725" spans="9:10" x14ac:dyDescent="0.35">
      <c r="I36725" s="63"/>
      <c r="J36725" s="63"/>
    </row>
    <row r="36726" spans="9:10" x14ac:dyDescent="0.35">
      <c r="I36726" s="63"/>
      <c r="J36726" s="63"/>
    </row>
    <row r="36727" spans="9:10" x14ac:dyDescent="0.35">
      <c r="I36727" s="63"/>
      <c r="J36727" s="63"/>
    </row>
    <row r="36728" spans="9:10" x14ac:dyDescent="0.35">
      <c r="I36728" s="63"/>
      <c r="J36728" s="63"/>
    </row>
    <row r="36729" spans="9:10" x14ac:dyDescent="0.35">
      <c r="I36729" s="63"/>
      <c r="J36729" s="63"/>
    </row>
    <row r="36730" spans="9:10" x14ac:dyDescent="0.35">
      <c r="I36730" s="63"/>
      <c r="J36730" s="63"/>
    </row>
    <row r="36731" spans="9:10" x14ac:dyDescent="0.35">
      <c r="I36731" s="63"/>
      <c r="J36731" s="63"/>
    </row>
    <row r="36732" spans="9:10" x14ac:dyDescent="0.35">
      <c r="I36732" s="63"/>
      <c r="J36732" s="63"/>
    </row>
    <row r="36733" spans="9:10" x14ac:dyDescent="0.35">
      <c r="I36733" s="63"/>
      <c r="J36733" s="63"/>
    </row>
    <row r="36734" spans="9:10" x14ac:dyDescent="0.35">
      <c r="I36734" s="63"/>
      <c r="J36734" s="63"/>
    </row>
    <row r="36735" spans="9:10" x14ac:dyDescent="0.35">
      <c r="I36735" s="63"/>
      <c r="J36735" s="63"/>
    </row>
    <row r="36736" spans="9:10" x14ac:dyDescent="0.35">
      <c r="I36736" s="63"/>
      <c r="J36736" s="63"/>
    </row>
    <row r="36737" spans="9:10" x14ac:dyDescent="0.35">
      <c r="I36737" s="63"/>
      <c r="J36737" s="63"/>
    </row>
    <row r="36738" spans="9:10" x14ac:dyDescent="0.35">
      <c r="I36738" s="63"/>
      <c r="J36738" s="63"/>
    </row>
    <row r="36739" spans="9:10" x14ac:dyDescent="0.35">
      <c r="I36739" s="63"/>
      <c r="J36739" s="63"/>
    </row>
    <row r="36740" spans="9:10" x14ac:dyDescent="0.35">
      <c r="I36740" s="63"/>
      <c r="J36740" s="63"/>
    </row>
    <row r="36741" spans="9:10" x14ac:dyDescent="0.35">
      <c r="I36741" s="63"/>
      <c r="J36741" s="63"/>
    </row>
    <row r="36742" spans="9:10" x14ac:dyDescent="0.35">
      <c r="I36742" s="63"/>
      <c r="J36742" s="63"/>
    </row>
    <row r="36743" spans="9:10" x14ac:dyDescent="0.35">
      <c r="I36743" s="63"/>
      <c r="J36743" s="63"/>
    </row>
    <row r="36744" spans="9:10" x14ac:dyDescent="0.35">
      <c r="I36744" s="63"/>
      <c r="J36744" s="63"/>
    </row>
    <row r="36745" spans="9:10" x14ac:dyDescent="0.35">
      <c r="I36745" s="63"/>
      <c r="J36745" s="63"/>
    </row>
    <row r="36746" spans="9:10" x14ac:dyDescent="0.35">
      <c r="I36746" s="63"/>
      <c r="J36746" s="63"/>
    </row>
    <row r="36747" spans="9:10" x14ac:dyDescent="0.35">
      <c r="I36747" s="63"/>
      <c r="J36747" s="63"/>
    </row>
    <row r="36748" spans="9:10" x14ac:dyDescent="0.35">
      <c r="I36748" s="63"/>
      <c r="J36748" s="63"/>
    </row>
    <row r="36749" spans="9:10" x14ac:dyDescent="0.35">
      <c r="I36749" s="63"/>
      <c r="J36749" s="63"/>
    </row>
    <row r="36750" spans="9:10" x14ac:dyDescent="0.35">
      <c r="I36750" s="63"/>
      <c r="J36750" s="63"/>
    </row>
    <row r="36751" spans="9:10" x14ac:dyDescent="0.35">
      <c r="I36751" s="63"/>
      <c r="J36751" s="63"/>
    </row>
    <row r="36752" spans="9:10" x14ac:dyDescent="0.35">
      <c r="I36752" s="63"/>
      <c r="J36752" s="63"/>
    </row>
    <row r="36753" spans="9:10" x14ac:dyDescent="0.35">
      <c r="I36753" s="63"/>
      <c r="J36753" s="63"/>
    </row>
    <row r="36754" spans="9:10" x14ac:dyDescent="0.35">
      <c r="I36754" s="63"/>
      <c r="J36754" s="63"/>
    </row>
    <row r="36755" spans="9:10" x14ac:dyDescent="0.35">
      <c r="I36755" s="63"/>
      <c r="J36755" s="63"/>
    </row>
    <row r="36756" spans="9:10" x14ac:dyDescent="0.35">
      <c r="I36756" s="63"/>
      <c r="J36756" s="63"/>
    </row>
    <row r="36757" spans="9:10" x14ac:dyDescent="0.35">
      <c r="I36757" s="63"/>
      <c r="J36757" s="63"/>
    </row>
    <row r="36758" spans="9:10" x14ac:dyDescent="0.35">
      <c r="I36758" s="63"/>
      <c r="J36758" s="63"/>
    </row>
    <row r="36759" spans="9:10" x14ac:dyDescent="0.35">
      <c r="I36759" s="63"/>
      <c r="J36759" s="63"/>
    </row>
    <row r="36760" spans="9:10" x14ac:dyDescent="0.35">
      <c r="I36760" s="63"/>
      <c r="J36760" s="63"/>
    </row>
    <row r="36761" spans="9:10" x14ac:dyDescent="0.35">
      <c r="I36761" s="63"/>
      <c r="J36761" s="63"/>
    </row>
    <row r="36762" spans="9:10" x14ac:dyDescent="0.35">
      <c r="I36762" s="63"/>
      <c r="J36762" s="63"/>
    </row>
    <row r="36763" spans="9:10" x14ac:dyDescent="0.35">
      <c r="I36763" s="63"/>
      <c r="J36763" s="63"/>
    </row>
    <row r="36764" spans="9:10" x14ac:dyDescent="0.35">
      <c r="I36764" s="63"/>
      <c r="J36764" s="63"/>
    </row>
    <row r="36765" spans="9:10" x14ac:dyDescent="0.35">
      <c r="I36765" s="63"/>
      <c r="J36765" s="63"/>
    </row>
    <row r="36766" spans="9:10" x14ac:dyDescent="0.35">
      <c r="I36766" s="63"/>
      <c r="J36766" s="63"/>
    </row>
    <row r="36767" spans="9:10" x14ac:dyDescent="0.35">
      <c r="I36767" s="63"/>
      <c r="J36767" s="63"/>
    </row>
    <row r="36768" spans="9:10" x14ac:dyDescent="0.35">
      <c r="I36768" s="63"/>
      <c r="J36768" s="63"/>
    </row>
    <row r="36769" spans="9:10" x14ac:dyDescent="0.35">
      <c r="I36769" s="63"/>
      <c r="J36769" s="63"/>
    </row>
    <row r="36770" spans="9:10" x14ac:dyDescent="0.35">
      <c r="I36770" s="63"/>
      <c r="J36770" s="63"/>
    </row>
    <row r="36771" spans="9:10" x14ac:dyDescent="0.35">
      <c r="I36771" s="63"/>
      <c r="J36771" s="63"/>
    </row>
    <row r="36772" spans="9:10" x14ac:dyDescent="0.35">
      <c r="I36772" s="63"/>
      <c r="J36772" s="63"/>
    </row>
    <row r="36773" spans="9:10" x14ac:dyDescent="0.35">
      <c r="I36773" s="63"/>
      <c r="J36773" s="63"/>
    </row>
    <row r="36774" spans="9:10" x14ac:dyDescent="0.35">
      <c r="I36774" s="63"/>
      <c r="J36774" s="63"/>
    </row>
    <row r="36775" spans="9:10" x14ac:dyDescent="0.35">
      <c r="I36775" s="63"/>
      <c r="J36775" s="63"/>
    </row>
    <row r="36776" spans="9:10" x14ac:dyDescent="0.35">
      <c r="I36776" s="63"/>
      <c r="J36776" s="63"/>
    </row>
    <row r="36777" spans="9:10" x14ac:dyDescent="0.35">
      <c r="I36777" s="63"/>
      <c r="J36777" s="63"/>
    </row>
    <row r="36778" spans="9:10" x14ac:dyDescent="0.35">
      <c r="I36778" s="63"/>
      <c r="J36778" s="63"/>
    </row>
    <row r="36779" spans="9:10" x14ac:dyDescent="0.35">
      <c r="I36779" s="63"/>
      <c r="J36779" s="63"/>
    </row>
    <row r="36780" spans="9:10" x14ac:dyDescent="0.35">
      <c r="I36780" s="63"/>
      <c r="J36780" s="63"/>
    </row>
    <row r="36781" spans="9:10" x14ac:dyDescent="0.35">
      <c r="I36781" s="63"/>
      <c r="J36781" s="63"/>
    </row>
    <row r="36782" spans="9:10" x14ac:dyDescent="0.35">
      <c r="I36782" s="63"/>
      <c r="J36782" s="63"/>
    </row>
    <row r="36783" spans="9:10" x14ac:dyDescent="0.35">
      <c r="I36783" s="63"/>
      <c r="J36783" s="63"/>
    </row>
    <row r="36784" spans="9:10" x14ac:dyDescent="0.35">
      <c r="I36784" s="63"/>
      <c r="J36784" s="63"/>
    </row>
    <row r="36785" spans="9:10" x14ac:dyDescent="0.35">
      <c r="I36785" s="63"/>
      <c r="J36785" s="63"/>
    </row>
    <row r="36786" spans="9:10" x14ac:dyDescent="0.35">
      <c r="I36786" s="63"/>
      <c r="J36786" s="63"/>
    </row>
    <row r="36787" spans="9:10" x14ac:dyDescent="0.35">
      <c r="I36787" s="63"/>
      <c r="J36787" s="63"/>
    </row>
    <row r="36788" spans="9:10" x14ac:dyDescent="0.35">
      <c r="I36788" s="63"/>
      <c r="J36788" s="63"/>
    </row>
    <row r="36789" spans="9:10" x14ac:dyDescent="0.35">
      <c r="I36789" s="63"/>
      <c r="J36789" s="63"/>
    </row>
    <row r="36790" spans="9:10" x14ac:dyDescent="0.35">
      <c r="I36790" s="63"/>
      <c r="J36790" s="63"/>
    </row>
    <row r="36791" spans="9:10" x14ac:dyDescent="0.35">
      <c r="I36791" s="63"/>
      <c r="J36791" s="63"/>
    </row>
    <row r="36792" spans="9:10" x14ac:dyDescent="0.35">
      <c r="I36792" s="63"/>
      <c r="J36792" s="63"/>
    </row>
    <row r="36793" spans="9:10" x14ac:dyDescent="0.35">
      <c r="I36793" s="63"/>
      <c r="J36793" s="63"/>
    </row>
    <row r="36794" spans="9:10" x14ac:dyDescent="0.35">
      <c r="I36794" s="63"/>
      <c r="J36794" s="63"/>
    </row>
    <row r="36795" spans="9:10" x14ac:dyDescent="0.35">
      <c r="I36795" s="63"/>
      <c r="J36795" s="63"/>
    </row>
    <row r="36796" spans="9:10" x14ac:dyDescent="0.35">
      <c r="I36796" s="63"/>
      <c r="J36796" s="63"/>
    </row>
    <row r="36797" spans="9:10" x14ac:dyDescent="0.35">
      <c r="I36797" s="63"/>
      <c r="J36797" s="63"/>
    </row>
    <row r="36798" spans="9:10" x14ac:dyDescent="0.35">
      <c r="I36798" s="63"/>
      <c r="J36798" s="63"/>
    </row>
    <row r="36799" spans="9:10" x14ac:dyDescent="0.35">
      <c r="I36799" s="63"/>
      <c r="J36799" s="63"/>
    </row>
    <row r="36800" spans="9:10" x14ac:dyDescent="0.35">
      <c r="I36800" s="63"/>
      <c r="J36800" s="63"/>
    </row>
    <row r="36801" spans="9:10" x14ac:dyDescent="0.35">
      <c r="I36801" s="63"/>
      <c r="J36801" s="63"/>
    </row>
    <row r="36802" spans="9:10" x14ac:dyDescent="0.35">
      <c r="I36802" s="63"/>
      <c r="J36802" s="63"/>
    </row>
    <row r="36803" spans="9:10" x14ac:dyDescent="0.35">
      <c r="I36803" s="63"/>
      <c r="J36803" s="63"/>
    </row>
    <row r="36804" spans="9:10" x14ac:dyDescent="0.35">
      <c r="I36804" s="63"/>
      <c r="J36804" s="63"/>
    </row>
    <row r="36805" spans="9:10" x14ac:dyDescent="0.35">
      <c r="I36805" s="63"/>
      <c r="J36805" s="63"/>
    </row>
    <row r="36806" spans="9:10" x14ac:dyDescent="0.35">
      <c r="I36806" s="63"/>
      <c r="J36806" s="63"/>
    </row>
    <row r="36807" spans="9:10" x14ac:dyDescent="0.35">
      <c r="I36807" s="63"/>
      <c r="J36807" s="63"/>
    </row>
    <row r="36808" spans="9:10" x14ac:dyDescent="0.35">
      <c r="I36808" s="63"/>
      <c r="J36808" s="63"/>
    </row>
    <row r="36809" spans="9:10" x14ac:dyDescent="0.35">
      <c r="I36809" s="63"/>
      <c r="J36809" s="63"/>
    </row>
    <row r="36810" spans="9:10" x14ac:dyDescent="0.35">
      <c r="I36810" s="63"/>
      <c r="J36810" s="63"/>
    </row>
    <row r="36811" spans="9:10" x14ac:dyDescent="0.35">
      <c r="I36811" s="63"/>
      <c r="J36811" s="63"/>
    </row>
    <row r="36812" spans="9:10" x14ac:dyDescent="0.35">
      <c r="I36812" s="63"/>
      <c r="J36812" s="63"/>
    </row>
    <row r="36813" spans="9:10" x14ac:dyDescent="0.35">
      <c r="I36813" s="63"/>
      <c r="J36813" s="63"/>
    </row>
    <row r="36814" spans="9:10" x14ac:dyDescent="0.35">
      <c r="I36814" s="63"/>
      <c r="J36814" s="63"/>
    </row>
    <row r="36815" spans="9:10" x14ac:dyDescent="0.35">
      <c r="I36815" s="63"/>
      <c r="J36815" s="63"/>
    </row>
    <row r="36816" spans="9:10" x14ac:dyDescent="0.35">
      <c r="I36816" s="63"/>
      <c r="J36816" s="63"/>
    </row>
    <row r="36817" spans="9:10" x14ac:dyDescent="0.35">
      <c r="I36817" s="63"/>
      <c r="J36817" s="63"/>
    </row>
    <row r="36818" spans="9:10" x14ac:dyDescent="0.35">
      <c r="I36818" s="63"/>
      <c r="J36818" s="63"/>
    </row>
    <row r="36819" spans="9:10" x14ac:dyDescent="0.35">
      <c r="I36819" s="63"/>
      <c r="J36819" s="63"/>
    </row>
    <row r="36820" spans="9:10" x14ac:dyDescent="0.35">
      <c r="I36820" s="63"/>
      <c r="J36820" s="63"/>
    </row>
    <row r="36821" spans="9:10" x14ac:dyDescent="0.35">
      <c r="I36821" s="63"/>
      <c r="J36821" s="63"/>
    </row>
    <row r="36822" spans="9:10" x14ac:dyDescent="0.35">
      <c r="I36822" s="63"/>
      <c r="J36822" s="63"/>
    </row>
    <row r="36823" spans="9:10" x14ac:dyDescent="0.35">
      <c r="I36823" s="63"/>
      <c r="J36823" s="63"/>
    </row>
    <row r="36824" spans="9:10" x14ac:dyDescent="0.35">
      <c r="I36824" s="63"/>
      <c r="J36824" s="63"/>
    </row>
    <row r="36825" spans="9:10" x14ac:dyDescent="0.35">
      <c r="I36825" s="63"/>
      <c r="J36825" s="63"/>
    </row>
    <row r="36826" spans="9:10" x14ac:dyDescent="0.35">
      <c r="I36826" s="63"/>
      <c r="J36826" s="63"/>
    </row>
    <row r="36827" spans="9:10" x14ac:dyDescent="0.35">
      <c r="I36827" s="63"/>
      <c r="J36827" s="63"/>
    </row>
    <row r="36828" spans="9:10" x14ac:dyDescent="0.35">
      <c r="I36828" s="63"/>
      <c r="J36828" s="63"/>
    </row>
    <row r="36829" spans="9:10" x14ac:dyDescent="0.35">
      <c r="I36829" s="63"/>
      <c r="J36829" s="63"/>
    </row>
    <row r="36830" spans="9:10" x14ac:dyDescent="0.35">
      <c r="I36830" s="63"/>
      <c r="J36830" s="63"/>
    </row>
    <row r="36831" spans="9:10" x14ac:dyDescent="0.35">
      <c r="I36831" s="63"/>
      <c r="J36831" s="63"/>
    </row>
    <row r="36832" spans="9:10" x14ac:dyDescent="0.35">
      <c r="I36832" s="63"/>
      <c r="J36832" s="63"/>
    </row>
    <row r="36833" spans="9:10" x14ac:dyDescent="0.35">
      <c r="I36833" s="63"/>
      <c r="J36833" s="63"/>
    </row>
    <row r="36834" spans="9:10" x14ac:dyDescent="0.35">
      <c r="I36834" s="63"/>
      <c r="J36834" s="63"/>
    </row>
    <row r="36835" spans="9:10" x14ac:dyDescent="0.35">
      <c r="I36835" s="63"/>
      <c r="J36835" s="63"/>
    </row>
    <row r="36836" spans="9:10" x14ac:dyDescent="0.35">
      <c r="I36836" s="63"/>
      <c r="J36836" s="63"/>
    </row>
    <row r="36837" spans="9:10" x14ac:dyDescent="0.35">
      <c r="I36837" s="63"/>
      <c r="J36837" s="63"/>
    </row>
    <row r="36838" spans="9:10" x14ac:dyDescent="0.35">
      <c r="I36838" s="63"/>
      <c r="J36838" s="63"/>
    </row>
    <row r="36839" spans="9:10" x14ac:dyDescent="0.35">
      <c r="I36839" s="63"/>
      <c r="J36839" s="63"/>
    </row>
    <row r="36840" spans="9:10" x14ac:dyDescent="0.35">
      <c r="I36840" s="63"/>
      <c r="J36840" s="63"/>
    </row>
    <row r="36841" spans="9:10" x14ac:dyDescent="0.35">
      <c r="I36841" s="63"/>
      <c r="J36841" s="63"/>
    </row>
    <row r="36842" spans="9:10" x14ac:dyDescent="0.35">
      <c r="I36842" s="63"/>
      <c r="J36842" s="63"/>
    </row>
    <row r="36843" spans="9:10" x14ac:dyDescent="0.35">
      <c r="I36843" s="63"/>
      <c r="J36843" s="63"/>
    </row>
    <row r="36844" spans="9:10" x14ac:dyDescent="0.35">
      <c r="I36844" s="63"/>
      <c r="J36844" s="63"/>
    </row>
    <row r="36845" spans="9:10" x14ac:dyDescent="0.35">
      <c r="I36845" s="63"/>
      <c r="J36845" s="63"/>
    </row>
    <row r="36846" spans="9:10" x14ac:dyDescent="0.35">
      <c r="I36846" s="63"/>
      <c r="J36846" s="63"/>
    </row>
    <row r="36847" spans="9:10" x14ac:dyDescent="0.35">
      <c r="I36847" s="63"/>
      <c r="J36847" s="63"/>
    </row>
    <row r="36848" spans="9:10" x14ac:dyDescent="0.35">
      <c r="I36848" s="63"/>
      <c r="J36848" s="63"/>
    </row>
    <row r="36849" spans="9:10" x14ac:dyDescent="0.35">
      <c r="I36849" s="63"/>
      <c r="J36849" s="63"/>
    </row>
    <row r="36850" spans="9:10" x14ac:dyDescent="0.35">
      <c r="I36850" s="63"/>
      <c r="J36850" s="63"/>
    </row>
    <row r="36851" spans="9:10" x14ac:dyDescent="0.35">
      <c r="I36851" s="63"/>
      <c r="J36851" s="63"/>
    </row>
    <row r="36852" spans="9:10" x14ac:dyDescent="0.35">
      <c r="I36852" s="63"/>
      <c r="J36852" s="63"/>
    </row>
    <row r="36853" spans="9:10" x14ac:dyDescent="0.35">
      <c r="I36853" s="63"/>
      <c r="J36853" s="63"/>
    </row>
    <row r="36854" spans="9:10" x14ac:dyDescent="0.35">
      <c r="I36854" s="63"/>
      <c r="J36854" s="63"/>
    </row>
    <row r="36855" spans="9:10" x14ac:dyDescent="0.35">
      <c r="I36855" s="63"/>
      <c r="J36855" s="63"/>
    </row>
    <row r="36856" spans="9:10" x14ac:dyDescent="0.35">
      <c r="I36856" s="63"/>
      <c r="J36856" s="63"/>
    </row>
    <row r="36857" spans="9:10" x14ac:dyDescent="0.35">
      <c r="I36857" s="63"/>
      <c r="J36857" s="63"/>
    </row>
    <row r="36858" spans="9:10" x14ac:dyDescent="0.35">
      <c r="I36858" s="63"/>
      <c r="J36858" s="63"/>
    </row>
    <row r="36859" spans="9:10" x14ac:dyDescent="0.35">
      <c r="I36859" s="63"/>
      <c r="J36859" s="63"/>
    </row>
    <row r="36860" spans="9:10" x14ac:dyDescent="0.35">
      <c r="I36860" s="63"/>
      <c r="J36860" s="63"/>
    </row>
    <row r="36861" spans="9:10" x14ac:dyDescent="0.35">
      <c r="I36861" s="63"/>
      <c r="J36861" s="63"/>
    </row>
    <row r="36862" spans="9:10" x14ac:dyDescent="0.35">
      <c r="I36862" s="63"/>
      <c r="J36862" s="63"/>
    </row>
    <row r="36863" spans="9:10" x14ac:dyDescent="0.35">
      <c r="I36863" s="63"/>
      <c r="J36863" s="63"/>
    </row>
    <row r="36864" spans="9:10" x14ac:dyDescent="0.35">
      <c r="I36864" s="63"/>
      <c r="J36864" s="63"/>
    </row>
    <row r="36865" spans="9:10" x14ac:dyDescent="0.35">
      <c r="I36865" s="63"/>
      <c r="J36865" s="63"/>
    </row>
    <row r="36866" spans="9:10" x14ac:dyDescent="0.35">
      <c r="I36866" s="63"/>
      <c r="J36866" s="63"/>
    </row>
    <row r="36867" spans="9:10" x14ac:dyDescent="0.35">
      <c r="I36867" s="63"/>
      <c r="J36867" s="63"/>
    </row>
    <row r="36868" spans="9:10" x14ac:dyDescent="0.35">
      <c r="I36868" s="63"/>
      <c r="J36868" s="63"/>
    </row>
    <row r="36869" spans="9:10" x14ac:dyDescent="0.35">
      <c r="I36869" s="63"/>
      <c r="J36869" s="63"/>
    </row>
    <row r="36870" spans="9:10" x14ac:dyDescent="0.35">
      <c r="I36870" s="63"/>
      <c r="J36870" s="63"/>
    </row>
    <row r="36871" spans="9:10" x14ac:dyDescent="0.35">
      <c r="I36871" s="63"/>
      <c r="J36871" s="63"/>
    </row>
    <row r="36872" spans="9:10" x14ac:dyDescent="0.35">
      <c r="I36872" s="63"/>
      <c r="J36872" s="63"/>
    </row>
    <row r="36873" spans="9:10" x14ac:dyDescent="0.35">
      <c r="I36873" s="63"/>
      <c r="J36873" s="63"/>
    </row>
    <row r="36874" spans="9:10" x14ac:dyDescent="0.35">
      <c r="I36874" s="63"/>
      <c r="J36874" s="63"/>
    </row>
    <row r="36875" spans="9:10" x14ac:dyDescent="0.35">
      <c r="I36875" s="63"/>
      <c r="J36875" s="63"/>
    </row>
    <row r="36876" spans="9:10" x14ac:dyDescent="0.35">
      <c r="I36876" s="63"/>
      <c r="J36876" s="63"/>
    </row>
    <row r="36877" spans="9:10" x14ac:dyDescent="0.35">
      <c r="I36877" s="63"/>
      <c r="J36877" s="63"/>
    </row>
    <row r="36878" spans="9:10" x14ac:dyDescent="0.35">
      <c r="I36878" s="63"/>
      <c r="J36878" s="63"/>
    </row>
    <row r="36879" spans="9:10" x14ac:dyDescent="0.35">
      <c r="I36879" s="63"/>
      <c r="J36879" s="63"/>
    </row>
    <row r="36880" spans="9:10" x14ac:dyDescent="0.35">
      <c r="I36880" s="63"/>
      <c r="J36880" s="63"/>
    </row>
    <row r="36881" spans="9:10" x14ac:dyDescent="0.35">
      <c r="I36881" s="63"/>
      <c r="J36881" s="63"/>
    </row>
    <row r="36882" spans="9:10" x14ac:dyDescent="0.35">
      <c r="I36882" s="63"/>
      <c r="J36882" s="63"/>
    </row>
    <row r="36883" spans="9:10" x14ac:dyDescent="0.35">
      <c r="I36883" s="63"/>
      <c r="J36883" s="63"/>
    </row>
    <row r="36884" spans="9:10" x14ac:dyDescent="0.35">
      <c r="I36884" s="63"/>
      <c r="J36884" s="63"/>
    </row>
    <row r="36885" spans="9:10" x14ac:dyDescent="0.35">
      <c r="I36885" s="63"/>
      <c r="J36885" s="63"/>
    </row>
    <row r="36886" spans="9:10" x14ac:dyDescent="0.35">
      <c r="I36886" s="63"/>
      <c r="J36886" s="63"/>
    </row>
    <row r="36887" spans="9:10" x14ac:dyDescent="0.35">
      <c r="I36887" s="63"/>
      <c r="J36887" s="63"/>
    </row>
    <row r="36888" spans="9:10" x14ac:dyDescent="0.35">
      <c r="I36888" s="63"/>
      <c r="J36888" s="63"/>
    </row>
    <row r="36889" spans="9:10" x14ac:dyDescent="0.35">
      <c r="I36889" s="63"/>
      <c r="J36889" s="63"/>
    </row>
    <row r="36890" spans="9:10" x14ac:dyDescent="0.35">
      <c r="I36890" s="63"/>
      <c r="J36890" s="63"/>
    </row>
    <row r="36891" spans="9:10" x14ac:dyDescent="0.35">
      <c r="I36891" s="63"/>
      <c r="J36891" s="63"/>
    </row>
    <row r="36892" spans="9:10" x14ac:dyDescent="0.35">
      <c r="I36892" s="63"/>
      <c r="J36892" s="63"/>
    </row>
    <row r="36893" spans="9:10" x14ac:dyDescent="0.35">
      <c r="I36893" s="63"/>
      <c r="J36893" s="63"/>
    </row>
    <row r="36894" spans="9:10" x14ac:dyDescent="0.35">
      <c r="I36894" s="63"/>
      <c r="J36894" s="63"/>
    </row>
    <row r="36895" spans="9:10" x14ac:dyDescent="0.35">
      <c r="I36895" s="63"/>
      <c r="J36895" s="63"/>
    </row>
    <row r="36896" spans="9:10" x14ac:dyDescent="0.35">
      <c r="I36896" s="63"/>
      <c r="J36896" s="63"/>
    </row>
    <row r="36897" spans="9:10" x14ac:dyDescent="0.35">
      <c r="I36897" s="63"/>
      <c r="J36897" s="63"/>
    </row>
    <row r="36898" spans="9:10" x14ac:dyDescent="0.35">
      <c r="I36898" s="63"/>
      <c r="J36898" s="63"/>
    </row>
    <row r="36899" spans="9:10" x14ac:dyDescent="0.35">
      <c r="I36899" s="63"/>
      <c r="J36899" s="63"/>
    </row>
    <row r="36900" spans="9:10" x14ac:dyDescent="0.35">
      <c r="I36900" s="63"/>
      <c r="J36900" s="63"/>
    </row>
    <row r="36901" spans="9:10" x14ac:dyDescent="0.35">
      <c r="I36901" s="63"/>
      <c r="J36901" s="63"/>
    </row>
    <row r="36902" spans="9:10" x14ac:dyDescent="0.35">
      <c r="I36902" s="63"/>
      <c r="J36902" s="63"/>
    </row>
    <row r="36903" spans="9:10" x14ac:dyDescent="0.35">
      <c r="I36903" s="63"/>
      <c r="J36903" s="63"/>
    </row>
    <row r="36904" spans="9:10" x14ac:dyDescent="0.35">
      <c r="I36904" s="63"/>
      <c r="J36904" s="63"/>
    </row>
    <row r="36905" spans="9:10" x14ac:dyDescent="0.35">
      <c r="I36905" s="63"/>
      <c r="J36905" s="63"/>
    </row>
    <row r="36906" spans="9:10" x14ac:dyDescent="0.35">
      <c r="I36906" s="63"/>
      <c r="J36906" s="63"/>
    </row>
    <row r="36907" spans="9:10" x14ac:dyDescent="0.35">
      <c r="I36907" s="63"/>
      <c r="J36907" s="63"/>
    </row>
    <row r="36908" spans="9:10" x14ac:dyDescent="0.35">
      <c r="I36908" s="63"/>
      <c r="J36908" s="63"/>
    </row>
    <row r="36909" spans="9:10" x14ac:dyDescent="0.35">
      <c r="I36909" s="63"/>
      <c r="J36909" s="63"/>
    </row>
    <row r="36910" spans="9:10" x14ac:dyDescent="0.35">
      <c r="I36910" s="63"/>
      <c r="J36910" s="63"/>
    </row>
    <row r="36911" spans="9:10" x14ac:dyDescent="0.35">
      <c r="I36911" s="63"/>
      <c r="J36911" s="63"/>
    </row>
    <row r="36912" spans="9:10" x14ac:dyDescent="0.35">
      <c r="I36912" s="63"/>
      <c r="J36912" s="63"/>
    </row>
    <row r="36913" spans="9:10" x14ac:dyDescent="0.35">
      <c r="I36913" s="63"/>
      <c r="J36913" s="63"/>
    </row>
    <row r="36914" spans="9:10" x14ac:dyDescent="0.35">
      <c r="I36914" s="63"/>
      <c r="J36914" s="63"/>
    </row>
    <row r="36915" spans="9:10" x14ac:dyDescent="0.35">
      <c r="I36915" s="63"/>
      <c r="J36915" s="63"/>
    </row>
    <row r="36916" spans="9:10" x14ac:dyDescent="0.35">
      <c r="I36916" s="63"/>
      <c r="J36916" s="63"/>
    </row>
    <row r="36917" spans="9:10" x14ac:dyDescent="0.35">
      <c r="I36917" s="63"/>
      <c r="J36917" s="63"/>
    </row>
    <row r="36918" spans="9:10" x14ac:dyDescent="0.35">
      <c r="I36918" s="63"/>
      <c r="J36918" s="63"/>
    </row>
    <row r="36919" spans="9:10" x14ac:dyDescent="0.35">
      <c r="I36919" s="63"/>
      <c r="J36919" s="63"/>
    </row>
    <row r="36920" spans="9:10" x14ac:dyDescent="0.35">
      <c r="I36920" s="63"/>
      <c r="J36920" s="63"/>
    </row>
    <row r="36921" spans="9:10" x14ac:dyDescent="0.35">
      <c r="I36921" s="63"/>
      <c r="J36921" s="63"/>
    </row>
    <row r="36922" spans="9:10" x14ac:dyDescent="0.35">
      <c r="I36922" s="63"/>
      <c r="J36922" s="63"/>
    </row>
    <row r="36923" spans="9:10" x14ac:dyDescent="0.35">
      <c r="I36923" s="63"/>
      <c r="J36923" s="63"/>
    </row>
    <row r="36924" spans="9:10" x14ac:dyDescent="0.35">
      <c r="I36924" s="63"/>
      <c r="J36924" s="63"/>
    </row>
    <row r="36925" spans="9:10" x14ac:dyDescent="0.35">
      <c r="I36925" s="63"/>
      <c r="J36925" s="63"/>
    </row>
    <row r="36926" spans="9:10" x14ac:dyDescent="0.35">
      <c r="I36926" s="63"/>
      <c r="J36926" s="63"/>
    </row>
    <row r="36927" spans="9:10" x14ac:dyDescent="0.35">
      <c r="I36927" s="63"/>
      <c r="J36927" s="63"/>
    </row>
    <row r="36928" spans="9:10" x14ac:dyDescent="0.35">
      <c r="I36928" s="63"/>
      <c r="J36928" s="63"/>
    </row>
    <row r="36929" spans="9:10" x14ac:dyDescent="0.35">
      <c r="I36929" s="63"/>
      <c r="J36929" s="63"/>
    </row>
    <row r="36930" spans="9:10" x14ac:dyDescent="0.35">
      <c r="I36930" s="63"/>
      <c r="J36930" s="63"/>
    </row>
    <row r="36931" spans="9:10" x14ac:dyDescent="0.35">
      <c r="I36931" s="63"/>
      <c r="J36931" s="63"/>
    </row>
    <row r="36932" spans="9:10" x14ac:dyDescent="0.35">
      <c r="I36932" s="63"/>
      <c r="J36932" s="63"/>
    </row>
    <row r="36933" spans="9:10" x14ac:dyDescent="0.35">
      <c r="I36933" s="63"/>
      <c r="J36933" s="63"/>
    </row>
    <row r="36934" spans="9:10" x14ac:dyDescent="0.35">
      <c r="I36934" s="63"/>
      <c r="J36934" s="63"/>
    </row>
    <row r="36935" spans="9:10" x14ac:dyDescent="0.35">
      <c r="I36935" s="63"/>
      <c r="J36935" s="63"/>
    </row>
    <row r="36936" spans="9:10" x14ac:dyDescent="0.35">
      <c r="I36936" s="63"/>
      <c r="J36936" s="63"/>
    </row>
    <row r="36937" spans="9:10" x14ac:dyDescent="0.35">
      <c r="I36937" s="63"/>
      <c r="J36937" s="63"/>
    </row>
    <row r="36938" spans="9:10" x14ac:dyDescent="0.35">
      <c r="I36938" s="63"/>
      <c r="J36938" s="63"/>
    </row>
    <row r="36939" spans="9:10" x14ac:dyDescent="0.35">
      <c r="I36939" s="63"/>
      <c r="J36939" s="63"/>
    </row>
    <row r="36940" spans="9:10" x14ac:dyDescent="0.35">
      <c r="I36940" s="63"/>
      <c r="J36940" s="63"/>
    </row>
    <row r="36941" spans="9:10" x14ac:dyDescent="0.35">
      <c r="I36941" s="63"/>
      <c r="J36941" s="63"/>
    </row>
    <row r="36942" spans="9:10" x14ac:dyDescent="0.35">
      <c r="I36942" s="63"/>
      <c r="J36942" s="63"/>
    </row>
    <row r="36943" spans="9:10" x14ac:dyDescent="0.35">
      <c r="I36943" s="63"/>
      <c r="J36943" s="63"/>
    </row>
    <row r="36944" spans="9:10" x14ac:dyDescent="0.35">
      <c r="I36944" s="63"/>
      <c r="J36944" s="63"/>
    </row>
    <row r="36945" spans="9:10" x14ac:dyDescent="0.35">
      <c r="I36945" s="63"/>
      <c r="J36945" s="63"/>
    </row>
    <row r="36946" spans="9:10" x14ac:dyDescent="0.35">
      <c r="I36946" s="63"/>
      <c r="J36946" s="63"/>
    </row>
    <row r="36947" spans="9:10" x14ac:dyDescent="0.35">
      <c r="I36947" s="63"/>
      <c r="J36947" s="63"/>
    </row>
    <row r="36948" spans="9:10" x14ac:dyDescent="0.35">
      <c r="I36948" s="63"/>
      <c r="J36948" s="63"/>
    </row>
    <row r="36949" spans="9:10" x14ac:dyDescent="0.35">
      <c r="I36949" s="63"/>
      <c r="J36949" s="63"/>
    </row>
    <row r="36950" spans="9:10" x14ac:dyDescent="0.35">
      <c r="I36950" s="63"/>
      <c r="J36950" s="63"/>
    </row>
    <row r="36951" spans="9:10" x14ac:dyDescent="0.35">
      <c r="I36951" s="63"/>
      <c r="J36951" s="63"/>
    </row>
    <row r="36952" spans="9:10" x14ac:dyDescent="0.35">
      <c r="I36952" s="63"/>
      <c r="J36952" s="63"/>
    </row>
    <row r="36953" spans="9:10" x14ac:dyDescent="0.35">
      <c r="I36953" s="63"/>
      <c r="J36953" s="63"/>
    </row>
    <row r="36954" spans="9:10" x14ac:dyDescent="0.35">
      <c r="I36954" s="63"/>
      <c r="J36954" s="63"/>
    </row>
    <row r="36955" spans="9:10" x14ac:dyDescent="0.35">
      <c r="I36955" s="63"/>
      <c r="J36955" s="63"/>
    </row>
    <row r="36956" spans="9:10" x14ac:dyDescent="0.35">
      <c r="I36956" s="63"/>
      <c r="J36956" s="63"/>
    </row>
    <row r="36957" spans="9:10" x14ac:dyDescent="0.35">
      <c r="I36957" s="63"/>
      <c r="J36957" s="63"/>
    </row>
    <row r="36958" spans="9:10" x14ac:dyDescent="0.35">
      <c r="I36958" s="63"/>
      <c r="J36958" s="63"/>
    </row>
    <row r="36959" spans="9:10" x14ac:dyDescent="0.35">
      <c r="I36959" s="63"/>
      <c r="J36959" s="63"/>
    </row>
    <row r="36960" spans="9:10" x14ac:dyDescent="0.35">
      <c r="I36960" s="63"/>
      <c r="J36960" s="63"/>
    </row>
    <row r="36961" spans="9:10" x14ac:dyDescent="0.35">
      <c r="I36961" s="63"/>
      <c r="J36961" s="63"/>
    </row>
    <row r="36962" spans="9:10" x14ac:dyDescent="0.35">
      <c r="I36962" s="63"/>
      <c r="J36962" s="63"/>
    </row>
    <row r="36963" spans="9:10" x14ac:dyDescent="0.35">
      <c r="I36963" s="63"/>
      <c r="J36963" s="63"/>
    </row>
    <row r="36964" spans="9:10" x14ac:dyDescent="0.35">
      <c r="I36964" s="63"/>
      <c r="J36964" s="63"/>
    </row>
    <row r="36965" spans="9:10" x14ac:dyDescent="0.35">
      <c r="I36965" s="63"/>
      <c r="J36965" s="63"/>
    </row>
    <row r="36966" spans="9:10" x14ac:dyDescent="0.35">
      <c r="I36966" s="63"/>
      <c r="J36966" s="63"/>
    </row>
    <row r="36967" spans="9:10" x14ac:dyDescent="0.35">
      <c r="I36967" s="63"/>
      <c r="J36967" s="63"/>
    </row>
    <row r="36968" spans="9:10" x14ac:dyDescent="0.35">
      <c r="I36968" s="63"/>
      <c r="J36968" s="63"/>
    </row>
    <row r="36969" spans="9:10" x14ac:dyDescent="0.35">
      <c r="I36969" s="63"/>
      <c r="J36969" s="63"/>
    </row>
    <row r="36970" spans="9:10" x14ac:dyDescent="0.35">
      <c r="I36970" s="63"/>
      <c r="J36970" s="63"/>
    </row>
    <row r="36971" spans="9:10" x14ac:dyDescent="0.35">
      <c r="I36971" s="63"/>
      <c r="J36971" s="63"/>
    </row>
    <row r="36972" spans="9:10" x14ac:dyDescent="0.35">
      <c r="I36972" s="63"/>
      <c r="J36972" s="63"/>
    </row>
    <row r="36973" spans="9:10" x14ac:dyDescent="0.35">
      <c r="I36973" s="63"/>
      <c r="J36973" s="63"/>
    </row>
    <row r="36974" spans="9:10" x14ac:dyDescent="0.35">
      <c r="I36974" s="63"/>
      <c r="J36974" s="63"/>
    </row>
    <row r="36975" spans="9:10" x14ac:dyDescent="0.35">
      <c r="I36975" s="63"/>
      <c r="J36975" s="63"/>
    </row>
    <row r="36976" spans="9:10" x14ac:dyDescent="0.35">
      <c r="I36976" s="63"/>
      <c r="J36976" s="63"/>
    </row>
    <row r="36977" spans="9:10" x14ac:dyDescent="0.35">
      <c r="I36977" s="63"/>
      <c r="J36977" s="63"/>
    </row>
    <row r="36978" spans="9:10" x14ac:dyDescent="0.35">
      <c r="I36978" s="63"/>
      <c r="J36978" s="63"/>
    </row>
    <row r="36979" spans="9:10" x14ac:dyDescent="0.35">
      <c r="I36979" s="63"/>
      <c r="J36979" s="63"/>
    </row>
    <row r="36980" spans="9:10" x14ac:dyDescent="0.35">
      <c r="I36980" s="63"/>
      <c r="J36980" s="63"/>
    </row>
    <row r="36981" spans="9:10" x14ac:dyDescent="0.35">
      <c r="I36981" s="63"/>
      <c r="J36981" s="63"/>
    </row>
    <row r="36982" spans="9:10" x14ac:dyDescent="0.35">
      <c r="I36982" s="63"/>
      <c r="J36982" s="63"/>
    </row>
    <row r="36983" spans="9:10" x14ac:dyDescent="0.35">
      <c r="I36983" s="63"/>
      <c r="J36983" s="63"/>
    </row>
    <row r="36984" spans="9:10" x14ac:dyDescent="0.35">
      <c r="I36984" s="63"/>
      <c r="J36984" s="63"/>
    </row>
    <row r="36985" spans="9:10" x14ac:dyDescent="0.35">
      <c r="I36985" s="63"/>
      <c r="J36985" s="63"/>
    </row>
    <row r="36986" spans="9:10" x14ac:dyDescent="0.35">
      <c r="I36986" s="63"/>
      <c r="J36986" s="63"/>
    </row>
    <row r="36987" spans="9:10" x14ac:dyDescent="0.35">
      <c r="I36987" s="63"/>
      <c r="J36987" s="63"/>
    </row>
    <row r="36988" spans="9:10" x14ac:dyDescent="0.35">
      <c r="I36988" s="63"/>
      <c r="J36988" s="63"/>
    </row>
    <row r="36989" spans="9:10" x14ac:dyDescent="0.35">
      <c r="I36989" s="63"/>
      <c r="J36989" s="63"/>
    </row>
    <row r="36990" spans="9:10" x14ac:dyDescent="0.35">
      <c r="I36990" s="63"/>
      <c r="J36990" s="63"/>
    </row>
    <row r="36991" spans="9:10" x14ac:dyDescent="0.35">
      <c r="I36991" s="63"/>
      <c r="J36991" s="63"/>
    </row>
    <row r="36992" spans="9:10" x14ac:dyDescent="0.35">
      <c r="I36992" s="63"/>
      <c r="J36992" s="63"/>
    </row>
    <row r="36993" spans="9:10" x14ac:dyDescent="0.35">
      <c r="I36993" s="63"/>
      <c r="J36993" s="63"/>
    </row>
    <row r="36994" spans="9:10" x14ac:dyDescent="0.35">
      <c r="I36994" s="63"/>
      <c r="J36994" s="63"/>
    </row>
    <row r="36995" spans="9:10" x14ac:dyDescent="0.35">
      <c r="I36995" s="63"/>
      <c r="J36995" s="63"/>
    </row>
    <row r="36996" spans="9:10" x14ac:dyDescent="0.35">
      <c r="I36996" s="63"/>
      <c r="J36996" s="63"/>
    </row>
    <row r="36997" spans="9:10" x14ac:dyDescent="0.35">
      <c r="I36997" s="63"/>
      <c r="J36997" s="63"/>
    </row>
    <row r="36998" spans="9:10" x14ac:dyDescent="0.35">
      <c r="I36998" s="63"/>
      <c r="J36998" s="63"/>
    </row>
    <row r="36999" spans="9:10" x14ac:dyDescent="0.35">
      <c r="I36999" s="63"/>
      <c r="J36999" s="63"/>
    </row>
    <row r="37000" spans="9:10" x14ac:dyDescent="0.35">
      <c r="I37000" s="63"/>
      <c r="J37000" s="63"/>
    </row>
    <row r="37001" spans="9:10" x14ac:dyDescent="0.35">
      <c r="I37001" s="63"/>
      <c r="J37001" s="63"/>
    </row>
    <row r="37002" spans="9:10" x14ac:dyDescent="0.35">
      <c r="I37002" s="63"/>
      <c r="J37002" s="63"/>
    </row>
    <row r="37003" spans="9:10" x14ac:dyDescent="0.35">
      <c r="I37003" s="63"/>
      <c r="J37003" s="63"/>
    </row>
    <row r="37004" spans="9:10" x14ac:dyDescent="0.35">
      <c r="I37004" s="63"/>
      <c r="J37004" s="63"/>
    </row>
    <row r="37005" spans="9:10" x14ac:dyDescent="0.35">
      <c r="I37005" s="63"/>
      <c r="J37005" s="63"/>
    </row>
    <row r="37006" spans="9:10" x14ac:dyDescent="0.35">
      <c r="I37006" s="63"/>
      <c r="J37006" s="63"/>
    </row>
    <row r="37007" spans="9:10" x14ac:dyDescent="0.35">
      <c r="I37007" s="63"/>
      <c r="J37007" s="63"/>
    </row>
    <row r="37008" spans="9:10" x14ac:dyDescent="0.35">
      <c r="I37008" s="63"/>
      <c r="J37008" s="63"/>
    </row>
    <row r="37009" spans="9:10" x14ac:dyDescent="0.35">
      <c r="I37009" s="63"/>
      <c r="J37009" s="63"/>
    </row>
    <row r="37010" spans="9:10" x14ac:dyDescent="0.35">
      <c r="I37010" s="63"/>
      <c r="J37010" s="63"/>
    </row>
    <row r="37011" spans="9:10" x14ac:dyDescent="0.35">
      <c r="I37011" s="63"/>
      <c r="J37011" s="63"/>
    </row>
    <row r="37012" spans="9:10" x14ac:dyDescent="0.35">
      <c r="I37012" s="63"/>
      <c r="J37012" s="63"/>
    </row>
    <row r="37013" spans="9:10" x14ac:dyDescent="0.35">
      <c r="I37013" s="63"/>
      <c r="J37013" s="63"/>
    </row>
    <row r="37014" spans="9:10" x14ac:dyDescent="0.35">
      <c r="I37014" s="63"/>
      <c r="J37014" s="63"/>
    </row>
    <row r="37015" spans="9:10" x14ac:dyDescent="0.35">
      <c r="I37015" s="63"/>
      <c r="J37015" s="63"/>
    </row>
    <row r="37016" spans="9:10" x14ac:dyDescent="0.35">
      <c r="I37016" s="63"/>
      <c r="J37016" s="63"/>
    </row>
    <row r="37017" spans="9:10" x14ac:dyDescent="0.35">
      <c r="I37017" s="63"/>
      <c r="J37017" s="63"/>
    </row>
    <row r="37018" spans="9:10" x14ac:dyDescent="0.35">
      <c r="I37018" s="63"/>
      <c r="J37018" s="63"/>
    </row>
    <row r="37019" spans="9:10" x14ac:dyDescent="0.35">
      <c r="I37019" s="63"/>
      <c r="J37019" s="63"/>
    </row>
    <row r="37020" spans="9:10" x14ac:dyDescent="0.35">
      <c r="I37020" s="63"/>
      <c r="J37020" s="63"/>
    </row>
    <row r="37021" spans="9:10" x14ac:dyDescent="0.35">
      <c r="I37021" s="63"/>
      <c r="J37021" s="63"/>
    </row>
    <row r="37022" spans="9:10" x14ac:dyDescent="0.35">
      <c r="I37022" s="63"/>
      <c r="J37022" s="63"/>
    </row>
    <row r="37023" spans="9:10" x14ac:dyDescent="0.35">
      <c r="I37023" s="63"/>
      <c r="J37023" s="63"/>
    </row>
    <row r="37024" spans="9:10" x14ac:dyDescent="0.35">
      <c r="I37024" s="63"/>
      <c r="J37024" s="63"/>
    </row>
    <row r="37025" spans="9:10" x14ac:dyDescent="0.35">
      <c r="I37025" s="63"/>
      <c r="J37025" s="63"/>
    </row>
    <row r="37026" spans="9:10" x14ac:dyDescent="0.35">
      <c r="I37026" s="63"/>
      <c r="J37026" s="63"/>
    </row>
    <row r="37027" spans="9:10" x14ac:dyDescent="0.35">
      <c r="I37027" s="63"/>
      <c r="J37027" s="63"/>
    </row>
    <row r="37028" spans="9:10" x14ac:dyDescent="0.35">
      <c r="I37028" s="63"/>
      <c r="J37028" s="63"/>
    </row>
    <row r="37029" spans="9:10" x14ac:dyDescent="0.35">
      <c r="I37029" s="63"/>
      <c r="J37029" s="63"/>
    </row>
    <row r="37030" spans="9:10" x14ac:dyDescent="0.35">
      <c r="I37030" s="63"/>
      <c r="J37030" s="63"/>
    </row>
    <row r="37031" spans="9:10" x14ac:dyDescent="0.35">
      <c r="I37031" s="63"/>
      <c r="J37031" s="63"/>
    </row>
    <row r="37032" spans="9:10" x14ac:dyDescent="0.35">
      <c r="I37032" s="63"/>
      <c r="J37032" s="63"/>
    </row>
    <row r="37033" spans="9:10" x14ac:dyDescent="0.35">
      <c r="I37033" s="63"/>
      <c r="J37033" s="63"/>
    </row>
    <row r="37034" spans="9:10" x14ac:dyDescent="0.35">
      <c r="I37034" s="63"/>
      <c r="J37034" s="63"/>
    </row>
    <row r="37035" spans="9:10" x14ac:dyDescent="0.35">
      <c r="I37035" s="63"/>
      <c r="J37035" s="63"/>
    </row>
    <row r="37036" spans="9:10" x14ac:dyDescent="0.35">
      <c r="I37036" s="63"/>
      <c r="J37036" s="63"/>
    </row>
    <row r="37037" spans="9:10" x14ac:dyDescent="0.35">
      <c r="I37037" s="63"/>
      <c r="J37037" s="63"/>
    </row>
    <row r="37038" spans="9:10" x14ac:dyDescent="0.35">
      <c r="I37038" s="63"/>
      <c r="J37038" s="63"/>
    </row>
    <row r="37039" spans="9:10" x14ac:dyDescent="0.35">
      <c r="I37039" s="63"/>
      <c r="J37039" s="63"/>
    </row>
    <row r="37040" spans="9:10" x14ac:dyDescent="0.35">
      <c r="I37040" s="63"/>
      <c r="J37040" s="63"/>
    </row>
    <row r="37041" spans="9:10" x14ac:dyDescent="0.35">
      <c r="I37041" s="63"/>
      <c r="J37041" s="63"/>
    </row>
    <row r="37042" spans="9:10" x14ac:dyDescent="0.35">
      <c r="I37042" s="63"/>
      <c r="J37042" s="63"/>
    </row>
    <row r="37043" spans="9:10" x14ac:dyDescent="0.35">
      <c r="I37043" s="63"/>
      <c r="J37043" s="63"/>
    </row>
    <row r="37044" spans="9:10" x14ac:dyDescent="0.35">
      <c r="I37044" s="63"/>
      <c r="J37044" s="63"/>
    </row>
    <row r="37045" spans="9:10" x14ac:dyDescent="0.35">
      <c r="I37045" s="63"/>
      <c r="J37045" s="63"/>
    </row>
    <row r="37046" spans="9:10" x14ac:dyDescent="0.35">
      <c r="I37046" s="63"/>
      <c r="J37046" s="63"/>
    </row>
    <row r="37047" spans="9:10" x14ac:dyDescent="0.35">
      <c r="I37047" s="63"/>
      <c r="J37047" s="63"/>
    </row>
    <row r="37048" spans="9:10" x14ac:dyDescent="0.35">
      <c r="I37048" s="63"/>
      <c r="J37048" s="63"/>
    </row>
    <row r="37049" spans="9:10" x14ac:dyDescent="0.35">
      <c r="I37049" s="63"/>
      <c r="J37049" s="63"/>
    </row>
    <row r="37050" spans="9:10" x14ac:dyDescent="0.35">
      <c r="I37050" s="63"/>
      <c r="J37050" s="63"/>
    </row>
    <row r="37051" spans="9:10" x14ac:dyDescent="0.35">
      <c r="I37051" s="63"/>
      <c r="J37051" s="63"/>
    </row>
    <row r="37052" spans="9:10" x14ac:dyDescent="0.35">
      <c r="I37052" s="63"/>
      <c r="J37052" s="63"/>
    </row>
    <row r="37053" spans="9:10" x14ac:dyDescent="0.35">
      <c r="I37053" s="63"/>
      <c r="J37053" s="63"/>
    </row>
    <row r="37054" spans="9:10" x14ac:dyDescent="0.35">
      <c r="I37054" s="63"/>
      <c r="J37054" s="63"/>
    </row>
    <row r="37055" spans="9:10" x14ac:dyDescent="0.35">
      <c r="I37055" s="63"/>
      <c r="J37055" s="63"/>
    </row>
    <row r="37056" spans="9:10" x14ac:dyDescent="0.35">
      <c r="I37056" s="63"/>
      <c r="J37056" s="63"/>
    </row>
    <row r="37057" spans="9:10" x14ac:dyDescent="0.35">
      <c r="I37057" s="63"/>
      <c r="J37057" s="63"/>
    </row>
    <row r="37058" spans="9:10" x14ac:dyDescent="0.35">
      <c r="I37058" s="63"/>
      <c r="J37058" s="63"/>
    </row>
    <row r="37059" spans="9:10" x14ac:dyDescent="0.35">
      <c r="I37059" s="63"/>
      <c r="J37059" s="63"/>
    </row>
    <row r="37060" spans="9:10" x14ac:dyDescent="0.35">
      <c r="I37060" s="63"/>
      <c r="J37060" s="63"/>
    </row>
    <row r="37061" spans="9:10" x14ac:dyDescent="0.35">
      <c r="I37061" s="63"/>
      <c r="J37061" s="63"/>
    </row>
    <row r="37062" spans="9:10" x14ac:dyDescent="0.35">
      <c r="I37062" s="63"/>
      <c r="J37062" s="63"/>
    </row>
    <row r="37063" spans="9:10" x14ac:dyDescent="0.35">
      <c r="I37063" s="63"/>
      <c r="J37063" s="63"/>
    </row>
    <row r="37064" spans="9:10" x14ac:dyDescent="0.35">
      <c r="I37064" s="63"/>
      <c r="J37064" s="63"/>
    </row>
    <row r="37065" spans="9:10" x14ac:dyDescent="0.35">
      <c r="I37065" s="63"/>
      <c r="J37065" s="63"/>
    </row>
    <row r="37066" spans="9:10" x14ac:dyDescent="0.35">
      <c r="I37066" s="63"/>
      <c r="J37066" s="63"/>
    </row>
    <row r="37067" spans="9:10" x14ac:dyDescent="0.35">
      <c r="I37067" s="63"/>
      <c r="J37067" s="63"/>
    </row>
    <row r="37068" spans="9:10" x14ac:dyDescent="0.35">
      <c r="I37068" s="63"/>
      <c r="J37068" s="63"/>
    </row>
    <row r="37069" spans="9:10" x14ac:dyDescent="0.35">
      <c r="I37069" s="63"/>
      <c r="J37069" s="63"/>
    </row>
    <row r="37070" spans="9:10" x14ac:dyDescent="0.35">
      <c r="I37070" s="63"/>
      <c r="J37070" s="63"/>
    </row>
    <row r="37071" spans="9:10" x14ac:dyDescent="0.35">
      <c r="I37071" s="63"/>
      <c r="J37071" s="63"/>
    </row>
    <row r="37072" spans="9:10" x14ac:dyDescent="0.35">
      <c r="I37072" s="63"/>
      <c r="J37072" s="63"/>
    </row>
    <row r="37073" spans="9:10" x14ac:dyDescent="0.35">
      <c r="I37073" s="63"/>
      <c r="J37073" s="63"/>
    </row>
    <row r="37074" spans="9:10" x14ac:dyDescent="0.35">
      <c r="I37074" s="63"/>
      <c r="J37074" s="63"/>
    </row>
    <row r="37075" spans="9:10" x14ac:dyDescent="0.35">
      <c r="I37075" s="63"/>
      <c r="J37075" s="63"/>
    </row>
    <row r="37076" spans="9:10" x14ac:dyDescent="0.35">
      <c r="I37076" s="63"/>
      <c r="J37076" s="63"/>
    </row>
    <row r="37077" spans="9:10" x14ac:dyDescent="0.35">
      <c r="I37077" s="63"/>
      <c r="J37077" s="63"/>
    </row>
    <row r="37078" spans="9:10" x14ac:dyDescent="0.35">
      <c r="I37078" s="63"/>
      <c r="J37078" s="63"/>
    </row>
    <row r="37079" spans="9:10" x14ac:dyDescent="0.35">
      <c r="I37079" s="63"/>
      <c r="J37079" s="63"/>
    </row>
    <row r="37080" spans="9:10" x14ac:dyDescent="0.35">
      <c r="I37080" s="63"/>
      <c r="J37080" s="63"/>
    </row>
    <row r="37081" spans="9:10" x14ac:dyDescent="0.35">
      <c r="I37081" s="63"/>
      <c r="J37081" s="63"/>
    </row>
    <row r="37082" spans="9:10" x14ac:dyDescent="0.35">
      <c r="I37082" s="63"/>
      <c r="J37082" s="63"/>
    </row>
    <row r="37083" spans="9:10" x14ac:dyDescent="0.35">
      <c r="I37083" s="63"/>
      <c r="J37083" s="63"/>
    </row>
    <row r="37084" spans="9:10" x14ac:dyDescent="0.35">
      <c r="I37084" s="63"/>
      <c r="J37084" s="63"/>
    </row>
    <row r="37085" spans="9:10" x14ac:dyDescent="0.35">
      <c r="I37085" s="63"/>
      <c r="J37085" s="63"/>
    </row>
    <row r="37086" spans="9:10" x14ac:dyDescent="0.35">
      <c r="I37086" s="63"/>
      <c r="J37086" s="63"/>
    </row>
    <row r="37087" spans="9:10" x14ac:dyDescent="0.35">
      <c r="I37087" s="63"/>
      <c r="J37087" s="63"/>
    </row>
    <row r="37088" spans="9:10" x14ac:dyDescent="0.35">
      <c r="I37088" s="63"/>
      <c r="J37088" s="63"/>
    </row>
    <row r="37089" spans="9:10" x14ac:dyDescent="0.35">
      <c r="I37089" s="63"/>
      <c r="J37089" s="63"/>
    </row>
    <row r="37090" spans="9:10" x14ac:dyDescent="0.35">
      <c r="I37090" s="63"/>
      <c r="J37090" s="63"/>
    </row>
    <row r="37091" spans="9:10" x14ac:dyDescent="0.35">
      <c r="I37091" s="63"/>
      <c r="J37091" s="63"/>
    </row>
    <row r="37092" spans="9:10" x14ac:dyDescent="0.35">
      <c r="I37092" s="63"/>
      <c r="J37092" s="63"/>
    </row>
    <row r="37093" spans="9:10" x14ac:dyDescent="0.35">
      <c r="I37093" s="63"/>
      <c r="J37093" s="63"/>
    </row>
    <row r="37094" spans="9:10" x14ac:dyDescent="0.35">
      <c r="I37094" s="63"/>
      <c r="J37094" s="63"/>
    </row>
    <row r="37095" spans="9:10" x14ac:dyDescent="0.35">
      <c r="I37095" s="63"/>
      <c r="J37095" s="63"/>
    </row>
    <row r="37096" spans="9:10" x14ac:dyDescent="0.35">
      <c r="I37096" s="63"/>
      <c r="J37096" s="63"/>
    </row>
    <row r="37097" spans="9:10" x14ac:dyDescent="0.35">
      <c r="I37097" s="63"/>
      <c r="J37097" s="63"/>
    </row>
    <row r="37098" spans="9:10" x14ac:dyDescent="0.35">
      <c r="I37098" s="63"/>
      <c r="J37098" s="63"/>
    </row>
    <row r="37099" spans="9:10" x14ac:dyDescent="0.35">
      <c r="I37099" s="63"/>
      <c r="J37099" s="63"/>
    </row>
    <row r="37100" spans="9:10" x14ac:dyDescent="0.35">
      <c r="I37100" s="63"/>
      <c r="J37100" s="63"/>
    </row>
    <row r="37101" spans="9:10" x14ac:dyDescent="0.35">
      <c r="I37101" s="63"/>
      <c r="J37101" s="63"/>
    </row>
    <row r="37102" spans="9:10" x14ac:dyDescent="0.35">
      <c r="I37102" s="63"/>
      <c r="J37102" s="63"/>
    </row>
    <row r="37103" spans="9:10" x14ac:dyDescent="0.35">
      <c r="I37103" s="63"/>
      <c r="J37103" s="63"/>
    </row>
    <row r="37104" spans="9:10" x14ac:dyDescent="0.35">
      <c r="I37104" s="63"/>
      <c r="J37104" s="63"/>
    </row>
    <row r="37105" spans="9:10" x14ac:dyDescent="0.35">
      <c r="I37105" s="63"/>
      <c r="J37105" s="63"/>
    </row>
    <row r="37106" spans="9:10" x14ac:dyDescent="0.35">
      <c r="I37106" s="63"/>
      <c r="J37106" s="63"/>
    </row>
    <row r="37107" spans="9:10" x14ac:dyDescent="0.35">
      <c r="I37107" s="63"/>
      <c r="J37107" s="63"/>
    </row>
    <row r="37108" spans="9:10" x14ac:dyDescent="0.35">
      <c r="I37108" s="63"/>
      <c r="J37108" s="63"/>
    </row>
    <row r="37109" spans="9:10" x14ac:dyDescent="0.35">
      <c r="I37109" s="63"/>
      <c r="J37109" s="63"/>
    </row>
    <row r="37110" spans="9:10" x14ac:dyDescent="0.35">
      <c r="I37110" s="63"/>
      <c r="J37110" s="63"/>
    </row>
    <row r="37111" spans="9:10" x14ac:dyDescent="0.35">
      <c r="I37111" s="63"/>
      <c r="J37111" s="63"/>
    </row>
    <row r="37112" spans="9:10" x14ac:dyDescent="0.35">
      <c r="I37112" s="63"/>
      <c r="J37112" s="63"/>
    </row>
    <row r="37113" spans="9:10" x14ac:dyDescent="0.35">
      <c r="I37113" s="63"/>
      <c r="J37113" s="63"/>
    </row>
    <row r="37114" spans="9:10" x14ac:dyDescent="0.35">
      <c r="I37114" s="63"/>
      <c r="J37114" s="63"/>
    </row>
    <row r="37115" spans="9:10" x14ac:dyDescent="0.35">
      <c r="I37115" s="63"/>
      <c r="J37115" s="63"/>
    </row>
    <row r="37116" spans="9:10" x14ac:dyDescent="0.35">
      <c r="I37116" s="63"/>
      <c r="J37116" s="63"/>
    </row>
    <row r="37117" spans="9:10" x14ac:dyDescent="0.35">
      <c r="I37117" s="63"/>
      <c r="J37117" s="63"/>
    </row>
    <row r="37118" spans="9:10" x14ac:dyDescent="0.35">
      <c r="I37118" s="63"/>
      <c r="J37118" s="63"/>
    </row>
    <row r="37119" spans="9:10" x14ac:dyDescent="0.35">
      <c r="I37119" s="63"/>
      <c r="J37119" s="63"/>
    </row>
    <row r="37120" spans="9:10" x14ac:dyDescent="0.35">
      <c r="I37120" s="63"/>
      <c r="J37120" s="63"/>
    </row>
    <row r="37121" spans="9:10" x14ac:dyDescent="0.35">
      <c r="I37121" s="63"/>
      <c r="J37121" s="63"/>
    </row>
    <row r="37122" spans="9:10" x14ac:dyDescent="0.35">
      <c r="I37122" s="63"/>
      <c r="J37122" s="63"/>
    </row>
    <row r="37123" spans="9:10" x14ac:dyDescent="0.35">
      <c r="I37123" s="63"/>
      <c r="J37123" s="63"/>
    </row>
    <row r="37124" spans="9:10" x14ac:dyDescent="0.35">
      <c r="I37124" s="63"/>
      <c r="J37124" s="63"/>
    </row>
    <row r="37125" spans="9:10" x14ac:dyDescent="0.35">
      <c r="I37125" s="63"/>
      <c r="J37125" s="63"/>
    </row>
    <row r="37126" spans="9:10" x14ac:dyDescent="0.35">
      <c r="I37126" s="63"/>
      <c r="J37126" s="63"/>
    </row>
    <row r="37127" spans="9:10" x14ac:dyDescent="0.35">
      <c r="I37127" s="63"/>
      <c r="J37127" s="63"/>
    </row>
    <row r="37128" spans="9:10" x14ac:dyDescent="0.35">
      <c r="I37128" s="63"/>
      <c r="J37128" s="63"/>
    </row>
    <row r="37129" spans="9:10" x14ac:dyDescent="0.35">
      <c r="I37129" s="63"/>
      <c r="J37129" s="63"/>
    </row>
    <row r="37130" spans="9:10" x14ac:dyDescent="0.35">
      <c r="I37130" s="63"/>
      <c r="J37130" s="63"/>
    </row>
    <row r="37131" spans="9:10" x14ac:dyDescent="0.35">
      <c r="I37131" s="63"/>
      <c r="J37131" s="63"/>
    </row>
    <row r="37132" spans="9:10" x14ac:dyDescent="0.35">
      <c r="I37132" s="63"/>
      <c r="J37132" s="63"/>
    </row>
    <row r="37133" spans="9:10" x14ac:dyDescent="0.35">
      <c r="I37133" s="63"/>
      <c r="J37133" s="63"/>
    </row>
    <row r="37134" spans="9:10" x14ac:dyDescent="0.35">
      <c r="I37134" s="63"/>
      <c r="J37134" s="63"/>
    </row>
    <row r="37135" spans="9:10" x14ac:dyDescent="0.35">
      <c r="I37135" s="63"/>
      <c r="J37135" s="63"/>
    </row>
    <row r="37136" spans="9:10" x14ac:dyDescent="0.35">
      <c r="I37136" s="63"/>
      <c r="J37136" s="63"/>
    </row>
    <row r="37137" spans="9:10" x14ac:dyDescent="0.35">
      <c r="I37137" s="63"/>
      <c r="J37137" s="63"/>
    </row>
    <row r="37138" spans="9:10" x14ac:dyDescent="0.35">
      <c r="I37138" s="63"/>
      <c r="J37138" s="63"/>
    </row>
    <row r="37139" spans="9:10" x14ac:dyDescent="0.35">
      <c r="I37139" s="63"/>
      <c r="J37139" s="63"/>
    </row>
    <row r="37140" spans="9:10" x14ac:dyDescent="0.35">
      <c r="I37140" s="63"/>
      <c r="J37140" s="63"/>
    </row>
    <row r="37141" spans="9:10" x14ac:dyDescent="0.35">
      <c r="I37141" s="63"/>
      <c r="J37141" s="63"/>
    </row>
    <row r="37142" spans="9:10" x14ac:dyDescent="0.35">
      <c r="I37142" s="63"/>
      <c r="J37142" s="63"/>
    </row>
    <row r="37143" spans="9:10" x14ac:dyDescent="0.35">
      <c r="I37143" s="63"/>
      <c r="J37143" s="63"/>
    </row>
    <row r="37144" spans="9:10" x14ac:dyDescent="0.35">
      <c r="I37144" s="63"/>
      <c r="J37144" s="63"/>
    </row>
    <row r="37145" spans="9:10" x14ac:dyDescent="0.35">
      <c r="I37145" s="63"/>
      <c r="J37145" s="63"/>
    </row>
    <row r="37146" spans="9:10" x14ac:dyDescent="0.35">
      <c r="I37146" s="63"/>
      <c r="J37146" s="63"/>
    </row>
    <row r="37147" spans="9:10" x14ac:dyDescent="0.35">
      <c r="I37147" s="63"/>
      <c r="J37147" s="63"/>
    </row>
    <row r="37148" spans="9:10" x14ac:dyDescent="0.35">
      <c r="I37148" s="63"/>
      <c r="J37148" s="63"/>
    </row>
    <row r="37149" spans="9:10" x14ac:dyDescent="0.35">
      <c r="I37149" s="63"/>
      <c r="J37149" s="63"/>
    </row>
    <row r="37150" spans="9:10" x14ac:dyDescent="0.35">
      <c r="I37150" s="63"/>
      <c r="J37150" s="63"/>
    </row>
    <row r="37151" spans="9:10" x14ac:dyDescent="0.35">
      <c r="I37151" s="63"/>
      <c r="J37151" s="63"/>
    </row>
    <row r="37152" spans="9:10" x14ac:dyDescent="0.35">
      <c r="I37152" s="63"/>
      <c r="J37152" s="63"/>
    </row>
    <row r="37153" spans="9:10" x14ac:dyDescent="0.35">
      <c r="I37153" s="63"/>
      <c r="J37153" s="63"/>
    </row>
    <row r="37154" spans="9:10" x14ac:dyDescent="0.35">
      <c r="I37154" s="63"/>
      <c r="J37154" s="63"/>
    </row>
    <row r="37155" spans="9:10" x14ac:dyDescent="0.35">
      <c r="I37155" s="63"/>
      <c r="J37155" s="63"/>
    </row>
    <row r="37156" spans="9:10" x14ac:dyDescent="0.35">
      <c r="I37156" s="63"/>
      <c r="J37156" s="63"/>
    </row>
    <row r="37157" spans="9:10" x14ac:dyDescent="0.35">
      <c r="I37157" s="63"/>
      <c r="J37157" s="63"/>
    </row>
    <row r="37158" spans="9:10" x14ac:dyDescent="0.35">
      <c r="I37158" s="63"/>
      <c r="J37158" s="63"/>
    </row>
    <row r="37159" spans="9:10" x14ac:dyDescent="0.35">
      <c r="I37159" s="63"/>
      <c r="J37159" s="63"/>
    </row>
    <row r="37160" spans="9:10" x14ac:dyDescent="0.35">
      <c r="I37160" s="63"/>
      <c r="J37160" s="63"/>
    </row>
    <row r="37161" spans="9:10" x14ac:dyDescent="0.35">
      <c r="I37161" s="63"/>
      <c r="J37161" s="63"/>
    </row>
    <row r="37162" spans="9:10" x14ac:dyDescent="0.35">
      <c r="I37162" s="63"/>
      <c r="J37162" s="63"/>
    </row>
    <row r="37163" spans="9:10" x14ac:dyDescent="0.35">
      <c r="I37163" s="63"/>
      <c r="J37163" s="63"/>
    </row>
    <row r="37164" spans="9:10" x14ac:dyDescent="0.35">
      <c r="I37164" s="63"/>
      <c r="J37164" s="63"/>
    </row>
    <row r="37165" spans="9:10" x14ac:dyDescent="0.35">
      <c r="I37165" s="63"/>
      <c r="J37165" s="63"/>
    </row>
    <row r="37166" spans="9:10" x14ac:dyDescent="0.35">
      <c r="I37166" s="63"/>
      <c r="J37166" s="63"/>
    </row>
    <row r="37167" spans="9:10" x14ac:dyDescent="0.35">
      <c r="I37167" s="63"/>
      <c r="J37167" s="63"/>
    </row>
    <row r="37168" spans="9:10" x14ac:dyDescent="0.35">
      <c r="I37168" s="63"/>
      <c r="J37168" s="63"/>
    </row>
    <row r="37169" spans="9:10" x14ac:dyDescent="0.35">
      <c r="I37169" s="63"/>
      <c r="J37169" s="63"/>
    </row>
    <row r="37170" spans="9:10" x14ac:dyDescent="0.35">
      <c r="I37170" s="63"/>
      <c r="J37170" s="63"/>
    </row>
    <row r="37171" spans="9:10" x14ac:dyDescent="0.35">
      <c r="I37171" s="63"/>
      <c r="J37171" s="63"/>
    </row>
    <row r="37172" spans="9:10" x14ac:dyDescent="0.35">
      <c r="I37172" s="63"/>
      <c r="J37172" s="63"/>
    </row>
    <row r="37173" spans="9:10" x14ac:dyDescent="0.35">
      <c r="I37173" s="63"/>
      <c r="J37173" s="63"/>
    </row>
    <row r="37174" spans="9:10" x14ac:dyDescent="0.35">
      <c r="I37174" s="63"/>
      <c r="J37174" s="63"/>
    </row>
    <row r="37175" spans="9:10" x14ac:dyDescent="0.35">
      <c r="I37175" s="63"/>
      <c r="J37175" s="63"/>
    </row>
    <row r="37176" spans="9:10" x14ac:dyDescent="0.35">
      <c r="I37176" s="63"/>
      <c r="J37176" s="63"/>
    </row>
    <row r="37177" spans="9:10" x14ac:dyDescent="0.35">
      <c r="I37177" s="63"/>
      <c r="J37177" s="63"/>
    </row>
    <row r="37178" spans="9:10" x14ac:dyDescent="0.35">
      <c r="I37178" s="63"/>
      <c r="J37178" s="63"/>
    </row>
    <row r="37179" spans="9:10" x14ac:dyDescent="0.35">
      <c r="I37179" s="63"/>
      <c r="J37179" s="63"/>
    </row>
    <row r="37180" spans="9:10" x14ac:dyDescent="0.35">
      <c r="I37180" s="63"/>
      <c r="J37180" s="63"/>
    </row>
    <row r="37181" spans="9:10" x14ac:dyDescent="0.35">
      <c r="I37181" s="63"/>
      <c r="J37181" s="63"/>
    </row>
    <row r="37182" spans="9:10" x14ac:dyDescent="0.35">
      <c r="I37182" s="63"/>
      <c r="J37182" s="63"/>
    </row>
    <row r="37183" spans="9:10" x14ac:dyDescent="0.35">
      <c r="I37183" s="63"/>
      <c r="J37183" s="63"/>
    </row>
    <row r="37184" spans="9:10" x14ac:dyDescent="0.35">
      <c r="I37184" s="63"/>
      <c r="J37184" s="63"/>
    </row>
    <row r="37185" spans="9:10" x14ac:dyDescent="0.35">
      <c r="I37185" s="63"/>
      <c r="J37185" s="63"/>
    </row>
    <row r="37186" spans="9:10" x14ac:dyDescent="0.35">
      <c r="I37186" s="63"/>
      <c r="J37186" s="63"/>
    </row>
    <row r="37187" spans="9:10" x14ac:dyDescent="0.35">
      <c r="I37187" s="63"/>
      <c r="J37187" s="63"/>
    </row>
    <row r="37188" spans="9:10" x14ac:dyDescent="0.35">
      <c r="I37188" s="63"/>
      <c r="J37188" s="63"/>
    </row>
    <row r="37189" spans="9:10" x14ac:dyDescent="0.35">
      <c r="I37189" s="63"/>
      <c r="J37189" s="63"/>
    </row>
    <row r="37190" spans="9:10" x14ac:dyDescent="0.35">
      <c r="I37190" s="63"/>
      <c r="J37190" s="63"/>
    </row>
    <row r="37191" spans="9:10" x14ac:dyDescent="0.35">
      <c r="I37191" s="63"/>
      <c r="J37191" s="63"/>
    </row>
    <row r="37192" spans="9:10" x14ac:dyDescent="0.35">
      <c r="I37192" s="63"/>
      <c r="J37192" s="63"/>
    </row>
    <row r="37193" spans="9:10" x14ac:dyDescent="0.35">
      <c r="I37193" s="63"/>
      <c r="J37193" s="63"/>
    </row>
    <row r="37194" spans="9:10" x14ac:dyDescent="0.35">
      <c r="I37194" s="63"/>
      <c r="J37194" s="63"/>
    </row>
    <row r="37195" spans="9:10" x14ac:dyDescent="0.35">
      <c r="I37195" s="63"/>
      <c r="J37195" s="63"/>
    </row>
    <row r="37196" spans="9:10" x14ac:dyDescent="0.35">
      <c r="I37196" s="63"/>
      <c r="J37196" s="63"/>
    </row>
    <row r="37197" spans="9:10" x14ac:dyDescent="0.35">
      <c r="I37197" s="63"/>
      <c r="J37197" s="63"/>
    </row>
    <row r="37198" spans="9:10" x14ac:dyDescent="0.35">
      <c r="I37198" s="63"/>
      <c r="J37198" s="63"/>
    </row>
    <row r="37199" spans="9:10" x14ac:dyDescent="0.35">
      <c r="I37199" s="63"/>
      <c r="J37199" s="63"/>
    </row>
    <row r="37200" spans="9:10" x14ac:dyDescent="0.35">
      <c r="I37200" s="63"/>
      <c r="J37200" s="63"/>
    </row>
    <row r="37201" spans="9:10" x14ac:dyDescent="0.35">
      <c r="I37201" s="63"/>
      <c r="J37201" s="63"/>
    </row>
    <row r="37202" spans="9:10" x14ac:dyDescent="0.35">
      <c r="I37202" s="63"/>
      <c r="J37202" s="63"/>
    </row>
    <row r="37203" spans="9:10" x14ac:dyDescent="0.35">
      <c r="I37203" s="63"/>
      <c r="J37203" s="63"/>
    </row>
    <row r="37204" spans="9:10" x14ac:dyDescent="0.35">
      <c r="I37204" s="63"/>
      <c r="J37204" s="63"/>
    </row>
    <row r="37205" spans="9:10" x14ac:dyDescent="0.35">
      <c r="I37205" s="63"/>
      <c r="J37205" s="63"/>
    </row>
    <row r="37206" spans="9:10" x14ac:dyDescent="0.35">
      <c r="I37206" s="63"/>
      <c r="J37206" s="63"/>
    </row>
    <row r="37207" spans="9:10" x14ac:dyDescent="0.35">
      <c r="I37207" s="63"/>
      <c r="J37207" s="63"/>
    </row>
    <row r="37208" spans="9:10" x14ac:dyDescent="0.35">
      <c r="I37208" s="63"/>
      <c r="J37208" s="63"/>
    </row>
    <row r="37209" spans="9:10" x14ac:dyDescent="0.35">
      <c r="I37209" s="63"/>
      <c r="J37209" s="63"/>
    </row>
    <row r="37210" spans="9:10" x14ac:dyDescent="0.35">
      <c r="I37210" s="63"/>
      <c r="J37210" s="63"/>
    </row>
    <row r="37211" spans="9:10" x14ac:dyDescent="0.35">
      <c r="I37211" s="63"/>
      <c r="J37211" s="63"/>
    </row>
    <row r="37212" spans="9:10" x14ac:dyDescent="0.35">
      <c r="I37212" s="63"/>
      <c r="J37212" s="63"/>
    </row>
    <row r="37213" spans="9:10" x14ac:dyDescent="0.35">
      <c r="I37213" s="63"/>
      <c r="J37213" s="63"/>
    </row>
    <row r="37214" spans="9:10" x14ac:dyDescent="0.35">
      <c r="I37214" s="63"/>
      <c r="J37214" s="63"/>
    </row>
    <row r="37215" spans="9:10" x14ac:dyDescent="0.35">
      <c r="I37215" s="63"/>
      <c r="J37215" s="63"/>
    </row>
    <row r="37216" spans="9:10" x14ac:dyDescent="0.35">
      <c r="I37216" s="63"/>
      <c r="J37216" s="63"/>
    </row>
    <row r="37217" spans="9:10" x14ac:dyDescent="0.35">
      <c r="I37217" s="63"/>
      <c r="J37217" s="63"/>
    </row>
    <row r="37218" spans="9:10" x14ac:dyDescent="0.35">
      <c r="I37218" s="63"/>
      <c r="J37218" s="63"/>
    </row>
    <row r="37219" spans="9:10" x14ac:dyDescent="0.35">
      <c r="I37219" s="63"/>
      <c r="J37219" s="63"/>
    </row>
    <row r="37220" spans="9:10" x14ac:dyDescent="0.35">
      <c r="I37220" s="63"/>
      <c r="J37220" s="63"/>
    </row>
    <row r="37221" spans="9:10" x14ac:dyDescent="0.35">
      <c r="I37221" s="63"/>
      <c r="J37221" s="63"/>
    </row>
    <row r="37222" spans="9:10" x14ac:dyDescent="0.35">
      <c r="I37222" s="63"/>
      <c r="J37222" s="63"/>
    </row>
    <row r="37223" spans="9:10" x14ac:dyDescent="0.35">
      <c r="I37223" s="63"/>
      <c r="J37223" s="63"/>
    </row>
    <row r="37224" spans="9:10" x14ac:dyDescent="0.35">
      <c r="I37224" s="63"/>
      <c r="J37224" s="63"/>
    </row>
    <row r="37225" spans="9:10" x14ac:dyDescent="0.35">
      <c r="I37225" s="63"/>
      <c r="J37225" s="63"/>
    </row>
    <row r="37226" spans="9:10" x14ac:dyDescent="0.35">
      <c r="I37226" s="63"/>
      <c r="J37226" s="63"/>
    </row>
    <row r="37227" spans="9:10" x14ac:dyDescent="0.35">
      <c r="I37227" s="63"/>
      <c r="J37227" s="63"/>
    </row>
    <row r="37228" spans="9:10" x14ac:dyDescent="0.35">
      <c r="I37228" s="63"/>
      <c r="J37228" s="63"/>
    </row>
    <row r="37229" spans="9:10" x14ac:dyDescent="0.35">
      <c r="I37229" s="63"/>
      <c r="J37229" s="63"/>
    </row>
    <row r="37230" spans="9:10" x14ac:dyDescent="0.35">
      <c r="I37230" s="63"/>
      <c r="J37230" s="63"/>
    </row>
    <row r="37231" spans="9:10" x14ac:dyDescent="0.35">
      <c r="I37231" s="63"/>
      <c r="J37231" s="63"/>
    </row>
    <row r="37232" spans="9:10" x14ac:dyDescent="0.35">
      <c r="I37232" s="63"/>
      <c r="J37232" s="63"/>
    </row>
    <row r="37233" spans="9:10" x14ac:dyDescent="0.35">
      <c r="I37233" s="63"/>
      <c r="J37233" s="63"/>
    </row>
    <row r="37234" spans="9:10" x14ac:dyDescent="0.35">
      <c r="I37234" s="63"/>
      <c r="J37234" s="63"/>
    </row>
    <row r="37235" spans="9:10" x14ac:dyDescent="0.35">
      <c r="I37235" s="63"/>
      <c r="J37235" s="63"/>
    </row>
    <row r="37236" spans="9:10" x14ac:dyDescent="0.35">
      <c r="I37236" s="63"/>
      <c r="J37236" s="63"/>
    </row>
    <row r="37237" spans="9:10" x14ac:dyDescent="0.35">
      <c r="I37237" s="63"/>
      <c r="J37237" s="63"/>
    </row>
    <row r="37238" spans="9:10" x14ac:dyDescent="0.35">
      <c r="I37238" s="63"/>
      <c r="J37238" s="63"/>
    </row>
    <row r="37239" spans="9:10" x14ac:dyDescent="0.35">
      <c r="I37239" s="63"/>
      <c r="J37239" s="63"/>
    </row>
    <row r="37240" spans="9:10" x14ac:dyDescent="0.35">
      <c r="I37240" s="63"/>
      <c r="J37240" s="63"/>
    </row>
    <row r="37241" spans="9:10" x14ac:dyDescent="0.35">
      <c r="I37241" s="63"/>
      <c r="J37241" s="63"/>
    </row>
    <row r="37242" spans="9:10" x14ac:dyDescent="0.35">
      <c r="I37242" s="63"/>
      <c r="J37242" s="63"/>
    </row>
    <row r="37243" spans="9:10" x14ac:dyDescent="0.35">
      <c r="I37243" s="63"/>
      <c r="J37243" s="63"/>
    </row>
    <row r="37244" spans="9:10" x14ac:dyDescent="0.35">
      <c r="I37244" s="63"/>
      <c r="J37244" s="63"/>
    </row>
    <row r="37245" spans="9:10" x14ac:dyDescent="0.35">
      <c r="I37245" s="63"/>
      <c r="J37245" s="63"/>
    </row>
    <row r="37246" spans="9:10" x14ac:dyDescent="0.35">
      <c r="I37246" s="63"/>
      <c r="J37246" s="63"/>
    </row>
    <row r="37247" spans="9:10" x14ac:dyDescent="0.35">
      <c r="I37247" s="63"/>
      <c r="J37247" s="63"/>
    </row>
    <row r="37248" spans="9:10" x14ac:dyDescent="0.35">
      <c r="I37248" s="63"/>
      <c r="J37248" s="63"/>
    </row>
    <row r="37249" spans="9:10" x14ac:dyDescent="0.35">
      <c r="I37249" s="63"/>
      <c r="J37249" s="63"/>
    </row>
    <row r="37250" spans="9:10" x14ac:dyDescent="0.35">
      <c r="I37250" s="63"/>
      <c r="J37250" s="63"/>
    </row>
    <row r="37251" spans="9:10" x14ac:dyDescent="0.35">
      <c r="I37251" s="63"/>
      <c r="J37251" s="63"/>
    </row>
    <row r="37252" spans="9:10" x14ac:dyDescent="0.35">
      <c r="I37252" s="63"/>
      <c r="J37252" s="63"/>
    </row>
    <row r="37253" spans="9:10" x14ac:dyDescent="0.35">
      <c r="I37253" s="63"/>
      <c r="J37253" s="63"/>
    </row>
    <row r="37254" spans="9:10" x14ac:dyDescent="0.35">
      <c r="I37254" s="63"/>
      <c r="J37254" s="63"/>
    </row>
    <row r="37255" spans="9:10" x14ac:dyDescent="0.35">
      <c r="I37255" s="63"/>
      <c r="J37255" s="63"/>
    </row>
    <row r="37256" spans="9:10" x14ac:dyDescent="0.35">
      <c r="I37256" s="63"/>
      <c r="J37256" s="63"/>
    </row>
    <row r="37257" spans="9:10" x14ac:dyDescent="0.35">
      <c r="I37257" s="63"/>
      <c r="J37257" s="63"/>
    </row>
    <row r="37258" spans="9:10" x14ac:dyDescent="0.35">
      <c r="I37258" s="63"/>
      <c r="J37258" s="63"/>
    </row>
    <row r="37259" spans="9:10" x14ac:dyDescent="0.35">
      <c r="I37259" s="63"/>
      <c r="J37259" s="63"/>
    </row>
    <row r="37260" spans="9:10" x14ac:dyDescent="0.35">
      <c r="I37260" s="63"/>
      <c r="J37260" s="63"/>
    </row>
    <row r="37261" spans="9:10" x14ac:dyDescent="0.35">
      <c r="I37261" s="63"/>
      <c r="J37261" s="63"/>
    </row>
    <row r="37262" spans="9:10" x14ac:dyDescent="0.35">
      <c r="I37262" s="63"/>
      <c r="J37262" s="63"/>
    </row>
    <row r="37263" spans="9:10" x14ac:dyDescent="0.35">
      <c r="I37263" s="63"/>
      <c r="J37263" s="63"/>
    </row>
    <row r="37264" spans="9:10" x14ac:dyDescent="0.35">
      <c r="I37264" s="63"/>
      <c r="J37264" s="63"/>
    </row>
    <row r="37265" spans="9:10" x14ac:dyDescent="0.35">
      <c r="I37265" s="63"/>
      <c r="J37265" s="63"/>
    </row>
    <row r="37266" spans="9:10" x14ac:dyDescent="0.35">
      <c r="I37266" s="63"/>
      <c r="J37266" s="63"/>
    </row>
    <row r="37267" spans="9:10" x14ac:dyDescent="0.35">
      <c r="I37267" s="63"/>
      <c r="J37267" s="63"/>
    </row>
    <row r="37268" spans="9:10" x14ac:dyDescent="0.35">
      <c r="I37268" s="63"/>
      <c r="J37268" s="63"/>
    </row>
    <row r="37269" spans="9:10" x14ac:dyDescent="0.35">
      <c r="I37269" s="63"/>
      <c r="J37269" s="63"/>
    </row>
    <row r="37270" spans="9:10" x14ac:dyDescent="0.35">
      <c r="I37270" s="63"/>
      <c r="J37270" s="63"/>
    </row>
    <row r="37271" spans="9:10" x14ac:dyDescent="0.35">
      <c r="I37271" s="63"/>
      <c r="J37271" s="63"/>
    </row>
    <row r="37272" spans="9:10" x14ac:dyDescent="0.35">
      <c r="I37272" s="63"/>
      <c r="J37272" s="63"/>
    </row>
    <row r="37273" spans="9:10" x14ac:dyDescent="0.35">
      <c r="I37273" s="63"/>
      <c r="J37273" s="63"/>
    </row>
    <row r="37274" spans="9:10" x14ac:dyDescent="0.35">
      <c r="I37274" s="63"/>
      <c r="J37274" s="63"/>
    </row>
    <row r="37275" spans="9:10" x14ac:dyDescent="0.35">
      <c r="I37275" s="63"/>
      <c r="J37275" s="63"/>
    </row>
    <row r="37276" spans="9:10" x14ac:dyDescent="0.35">
      <c r="I37276" s="63"/>
      <c r="J37276" s="63"/>
    </row>
    <row r="37277" spans="9:10" x14ac:dyDescent="0.35">
      <c r="I37277" s="63"/>
      <c r="J37277" s="63"/>
    </row>
    <row r="37278" spans="9:10" x14ac:dyDescent="0.35">
      <c r="I37278" s="63"/>
      <c r="J37278" s="63"/>
    </row>
    <row r="37279" spans="9:10" x14ac:dyDescent="0.35">
      <c r="I37279" s="63"/>
      <c r="J37279" s="63"/>
    </row>
    <row r="37280" spans="9:10" x14ac:dyDescent="0.35">
      <c r="I37280" s="63"/>
      <c r="J37280" s="63"/>
    </row>
    <row r="37281" spans="9:10" x14ac:dyDescent="0.35">
      <c r="I37281" s="63"/>
      <c r="J37281" s="63"/>
    </row>
    <row r="37282" spans="9:10" x14ac:dyDescent="0.35">
      <c r="I37282" s="63"/>
      <c r="J37282" s="63"/>
    </row>
    <row r="37283" spans="9:10" x14ac:dyDescent="0.35">
      <c r="I37283" s="63"/>
      <c r="J37283" s="63"/>
    </row>
    <row r="37284" spans="9:10" x14ac:dyDescent="0.35">
      <c r="I37284" s="63"/>
      <c r="J37284" s="63"/>
    </row>
    <row r="37285" spans="9:10" x14ac:dyDescent="0.35">
      <c r="I37285" s="63"/>
      <c r="J37285" s="63"/>
    </row>
    <row r="37286" spans="9:10" x14ac:dyDescent="0.35">
      <c r="I37286" s="63"/>
      <c r="J37286" s="63"/>
    </row>
    <row r="37287" spans="9:10" x14ac:dyDescent="0.35">
      <c r="I37287" s="63"/>
      <c r="J37287" s="63"/>
    </row>
    <row r="37288" spans="9:10" x14ac:dyDescent="0.35">
      <c r="I37288" s="63"/>
      <c r="J37288" s="63"/>
    </row>
    <row r="37289" spans="9:10" x14ac:dyDescent="0.35">
      <c r="I37289" s="63"/>
      <c r="J37289" s="63"/>
    </row>
    <row r="37290" spans="9:10" x14ac:dyDescent="0.35">
      <c r="I37290" s="63"/>
      <c r="J37290" s="63"/>
    </row>
    <row r="37291" spans="9:10" x14ac:dyDescent="0.35">
      <c r="I37291" s="63"/>
      <c r="J37291" s="63"/>
    </row>
    <row r="37292" spans="9:10" x14ac:dyDescent="0.35">
      <c r="I37292" s="63"/>
      <c r="J37292" s="63"/>
    </row>
    <row r="37293" spans="9:10" x14ac:dyDescent="0.35">
      <c r="I37293" s="63"/>
      <c r="J37293" s="63"/>
    </row>
    <row r="37294" spans="9:10" x14ac:dyDescent="0.35">
      <c r="I37294" s="63"/>
      <c r="J37294" s="63"/>
    </row>
    <row r="37295" spans="9:10" x14ac:dyDescent="0.35">
      <c r="I37295" s="63"/>
      <c r="J37295" s="63"/>
    </row>
    <row r="37296" spans="9:10" x14ac:dyDescent="0.35">
      <c r="I37296" s="63"/>
      <c r="J37296" s="63"/>
    </row>
    <row r="37297" spans="9:10" x14ac:dyDescent="0.35">
      <c r="I37297" s="63"/>
      <c r="J37297" s="63"/>
    </row>
    <row r="37298" spans="9:10" x14ac:dyDescent="0.35">
      <c r="I37298" s="63"/>
      <c r="J37298" s="63"/>
    </row>
    <row r="37299" spans="9:10" x14ac:dyDescent="0.35">
      <c r="I37299" s="63"/>
      <c r="J37299" s="63"/>
    </row>
    <row r="37300" spans="9:10" x14ac:dyDescent="0.35">
      <c r="I37300" s="63"/>
      <c r="J37300" s="63"/>
    </row>
    <row r="37301" spans="9:10" x14ac:dyDescent="0.35">
      <c r="I37301" s="63"/>
      <c r="J37301" s="63"/>
    </row>
    <row r="37302" spans="9:10" x14ac:dyDescent="0.35">
      <c r="I37302" s="63"/>
      <c r="J37302" s="63"/>
    </row>
    <row r="37303" spans="9:10" x14ac:dyDescent="0.35">
      <c r="I37303" s="63"/>
      <c r="J37303" s="63"/>
    </row>
    <row r="37304" spans="9:10" x14ac:dyDescent="0.35">
      <c r="I37304" s="63"/>
      <c r="J37304" s="63"/>
    </row>
    <row r="37305" spans="9:10" x14ac:dyDescent="0.35">
      <c r="I37305" s="63"/>
      <c r="J37305" s="63"/>
    </row>
    <row r="37306" spans="9:10" x14ac:dyDescent="0.35">
      <c r="I37306" s="63"/>
      <c r="J37306" s="63"/>
    </row>
    <row r="37307" spans="9:10" x14ac:dyDescent="0.35">
      <c r="I37307" s="63"/>
      <c r="J37307" s="63"/>
    </row>
    <row r="37308" spans="9:10" x14ac:dyDescent="0.35">
      <c r="I37308" s="63"/>
      <c r="J37308" s="63"/>
    </row>
    <row r="37309" spans="9:10" x14ac:dyDescent="0.35">
      <c r="I37309" s="63"/>
      <c r="J37309" s="63"/>
    </row>
    <row r="37310" spans="9:10" x14ac:dyDescent="0.35">
      <c r="I37310" s="63"/>
      <c r="J37310" s="63"/>
    </row>
    <row r="37311" spans="9:10" x14ac:dyDescent="0.35">
      <c r="I37311" s="63"/>
      <c r="J37311" s="63"/>
    </row>
    <row r="37312" spans="9:10" x14ac:dyDescent="0.35">
      <c r="I37312" s="63"/>
      <c r="J37312" s="63"/>
    </row>
    <row r="37313" spans="9:10" x14ac:dyDescent="0.35">
      <c r="I37313" s="63"/>
      <c r="J37313" s="63"/>
    </row>
    <row r="37314" spans="9:10" x14ac:dyDescent="0.35">
      <c r="I37314" s="63"/>
      <c r="J37314" s="63"/>
    </row>
    <row r="37315" spans="9:10" x14ac:dyDescent="0.35">
      <c r="I37315" s="63"/>
      <c r="J37315" s="63"/>
    </row>
    <row r="37316" spans="9:10" x14ac:dyDescent="0.35">
      <c r="I37316" s="63"/>
      <c r="J37316" s="63"/>
    </row>
    <row r="37317" spans="9:10" x14ac:dyDescent="0.35">
      <c r="I37317" s="63"/>
      <c r="J37317" s="63"/>
    </row>
    <row r="37318" spans="9:10" x14ac:dyDescent="0.35">
      <c r="I37318" s="63"/>
      <c r="J37318" s="63"/>
    </row>
    <row r="37319" spans="9:10" x14ac:dyDescent="0.35">
      <c r="I37319" s="63"/>
      <c r="J37319" s="63"/>
    </row>
    <row r="37320" spans="9:10" x14ac:dyDescent="0.35">
      <c r="I37320" s="63"/>
      <c r="J37320" s="63"/>
    </row>
    <row r="37321" spans="9:10" x14ac:dyDescent="0.35">
      <c r="I37321" s="63"/>
      <c r="J37321" s="63"/>
    </row>
    <row r="37322" spans="9:10" x14ac:dyDescent="0.35">
      <c r="I37322" s="63"/>
      <c r="J37322" s="63"/>
    </row>
    <row r="37323" spans="9:10" x14ac:dyDescent="0.35">
      <c r="I37323" s="63"/>
      <c r="J37323" s="63"/>
    </row>
    <row r="37324" spans="9:10" x14ac:dyDescent="0.35">
      <c r="I37324" s="63"/>
      <c r="J37324" s="63"/>
    </row>
    <row r="37325" spans="9:10" x14ac:dyDescent="0.35">
      <c r="I37325" s="63"/>
      <c r="J37325" s="63"/>
    </row>
    <row r="37326" spans="9:10" x14ac:dyDescent="0.35">
      <c r="I37326" s="63"/>
      <c r="J37326" s="63"/>
    </row>
    <row r="37327" spans="9:10" x14ac:dyDescent="0.35">
      <c r="I37327" s="63"/>
      <c r="J37327" s="63"/>
    </row>
    <row r="37328" spans="9:10" x14ac:dyDescent="0.35">
      <c r="I37328" s="63"/>
      <c r="J37328" s="63"/>
    </row>
    <row r="37329" spans="9:10" x14ac:dyDescent="0.35">
      <c r="I37329" s="63"/>
      <c r="J37329" s="63"/>
    </row>
    <row r="37330" spans="9:10" x14ac:dyDescent="0.35">
      <c r="I37330" s="63"/>
      <c r="J37330" s="63"/>
    </row>
    <row r="37331" spans="9:10" x14ac:dyDescent="0.35">
      <c r="I37331" s="63"/>
      <c r="J37331" s="63"/>
    </row>
    <row r="37332" spans="9:10" x14ac:dyDescent="0.35">
      <c r="I37332" s="63"/>
      <c r="J37332" s="63"/>
    </row>
    <row r="37333" spans="9:10" x14ac:dyDescent="0.35">
      <c r="I37333" s="63"/>
      <c r="J37333" s="63"/>
    </row>
    <row r="37334" spans="9:10" x14ac:dyDescent="0.35">
      <c r="I37334" s="63"/>
      <c r="J37334" s="63"/>
    </row>
    <row r="37335" spans="9:10" x14ac:dyDescent="0.35">
      <c r="I37335" s="63"/>
      <c r="J37335" s="63"/>
    </row>
    <row r="37336" spans="9:10" x14ac:dyDescent="0.35">
      <c r="I37336" s="63"/>
      <c r="J37336" s="63"/>
    </row>
    <row r="37337" spans="9:10" x14ac:dyDescent="0.35">
      <c r="I37337" s="63"/>
      <c r="J37337" s="63"/>
    </row>
    <row r="37338" spans="9:10" x14ac:dyDescent="0.35">
      <c r="I37338" s="63"/>
      <c r="J37338" s="63"/>
    </row>
    <row r="37339" spans="9:10" x14ac:dyDescent="0.35">
      <c r="I37339" s="63"/>
      <c r="J37339" s="63"/>
    </row>
    <row r="37340" spans="9:10" x14ac:dyDescent="0.35">
      <c r="I37340" s="63"/>
      <c r="J37340" s="63"/>
    </row>
    <row r="37341" spans="9:10" x14ac:dyDescent="0.35">
      <c r="I37341" s="63"/>
      <c r="J37341" s="63"/>
    </row>
    <row r="37342" spans="9:10" x14ac:dyDescent="0.35">
      <c r="I37342" s="63"/>
      <c r="J37342" s="63"/>
    </row>
    <row r="37343" spans="9:10" x14ac:dyDescent="0.35">
      <c r="I37343" s="63"/>
      <c r="J37343" s="63"/>
    </row>
    <row r="37344" spans="9:10" x14ac:dyDescent="0.35">
      <c r="I37344" s="63"/>
      <c r="J37344" s="63"/>
    </row>
    <row r="37345" spans="9:10" x14ac:dyDescent="0.35">
      <c r="I37345" s="63"/>
      <c r="J37345" s="63"/>
    </row>
    <row r="37346" spans="9:10" x14ac:dyDescent="0.35">
      <c r="I37346" s="63"/>
      <c r="J37346" s="63"/>
    </row>
    <row r="37347" spans="9:10" x14ac:dyDescent="0.35">
      <c r="I37347" s="63"/>
      <c r="J37347" s="63"/>
    </row>
    <row r="37348" spans="9:10" x14ac:dyDescent="0.35">
      <c r="I37348" s="63"/>
      <c r="J37348" s="63"/>
    </row>
    <row r="37349" spans="9:10" x14ac:dyDescent="0.35">
      <c r="I37349" s="63"/>
      <c r="J37349" s="63"/>
    </row>
    <row r="37350" spans="9:10" x14ac:dyDescent="0.35">
      <c r="I37350" s="63"/>
      <c r="J37350" s="63"/>
    </row>
    <row r="37351" spans="9:10" x14ac:dyDescent="0.35">
      <c r="I37351" s="63"/>
      <c r="J37351" s="63"/>
    </row>
    <row r="37352" spans="9:10" x14ac:dyDescent="0.35">
      <c r="I37352" s="63"/>
      <c r="J37352" s="63"/>
    </row>
    <row r="37353" spans="9:10" x14ac:dyDescent="0.35">
      <c r="I37353" s="63"/>
      <c r="J37353" s="63"/>
    </row>
    <row r="37354" spans="9:10" x14ac:dyDescent="0.35">
      <c r="I37354" s="63"/>
      <c r="J37354" s="63"/>
    </row>
    <row r="37355" spans="9:10" x14ac:dyDescent="0.35">
      <c r="I37355" s="63"/>
      <c r="J37355" s="63"/>
    </row>
    <row r="37356" spans="9:10" x14ac:dyDescent="0.35">
      <c r="I37356" s="63"/>
      <c r="J37356" s="63"/>
    </row>
    <row r="37357" spans="9:10" x14ac:dyDescent="0.35">
      <c r="I37357" s="63"/>
      <c r="J37357" s="63"/>
    </row>
    <row r="37358" spans="9:10" x14ac:dyDescent="0.35">
      <c r="I37358" s="63"/>
      <c r="J37358" s="63"/>
    </row>
    <row r="37359" spans="9:10" x14ac:dyDescent="0.35">
      <c r="I37359" s="63"/>
      <c r="J37359" s="63"/>
    </row>
    <row r="37360" spans="9:10" x14ac:dyDescent="0.35">
      <c r="I37360" s="63"/>
      <c r="J37360" s="63"/>
    </row>
    <row r="37361" spans="9:10" x14ac:dyDescent="0.35">
      <c r="I37361" s="63"/>
      <c r="J37361" s="63"/>
    </row>
    <row r="37362" spans="9:10" x14ac:dyDescent="0.35">
      <c r="I37362" s="63"/>
      <c r="J37362" s="63"/>
    </row>
    <row r="37363" spans="9:10" x14ac:dyDescent="0.35">
      <c r="I37363" s="63"/>
      <c r="J37363" s="63"/>
    </row>
    <row r="37364" spans="9:10" x14ac:dyDescent="0.35">
      <c r="I37364" s="63"/>
      <c r="J37364" s="63"/>
    </row>
    <row r="37365" spans="9:10" x14ac:dyDescent="0.35">
      <c r="I37365" s="63"/>
      <c r="J37365" s="63"/>
    </row>
    <row r="37366" spans="9:10" x14ac:dyDescent="0.35">
      <c r="I37366" s="63"/>
      <c r="J37366" s="63"/>
    </row>
    <row r="37367" spans="9:10" x14ac:dyDescent="0.35">
      <c r="I37367" s="63"/>
      <c r="J37367" s="63"/>
    </row>
    <row r="37368" spans="9:10" x14ac:dyDescent="0.35">
      <c r="I37368" s="63"/>
      <c r="J37368" s="63"/>
    </row>
    <row r="37369" spans="9:10" x14ac:dyDescent="0.35">
      <c r="I37369" s="63"/>
      <c r="J37369" s="63"/>
    </row>
    <row r="37370" spans="9:10" x14ac:dyDescent="0.35">
      <c r="I37370" s="63"/>
      <c r="J37370" s="63"/>
    </row>
    <row r="37371" spans="9:10" x14ac:dyDescent="0.35">
      <c r="I37371" s="63"/>
      <c r="J37371" s="63"/>
    </row>
    <row r="37372" spans="9:10" x14ac:dyDescent="0.35">
      <c r="I37372" s="63"/>
      <c r="J37372" s="63"/>
    </row>
    <row r="37373" spans="9:10" x14ac:dyDescent="0.35">
      <c r="I37373" s="63"/>
      <c r="J37373" s="63"/>
    </row>
    <row r="37374" spans="9:10" x14ac:dyDescent="0.35">
      <c r="I37374" s="63"/>
      <c r="J37374" s="63"/>
    </row>
    <row r="37375" spans="9:10" x14ac:dyDescent="0.35">
      <c r="I37375" s="63"/>
      <c r="J37375" s="63"/>
    </row>
    <row r="37376" spans="9:10" x14ac:dyDescent="0.35">
      <c r="I37376" s="63"/>
      <c r="J37376" s="63"/>
    </row>
    <row r="37377" spans="9:10" x14ac:dyDescent="0.35">
      <c r="I37377" s="63"/>
      <c r="J37377" s="63"/>
    </row>
    <row r="37378" spans="9:10" x14ac:dyDescent="0.35">
      <c r="I37378" s="63"/>
      <c r="J37378" s="63"/>
    </row>
    <row r="37379" spans="9:10" x14ac:dyDescent="0.35">
      <c r="I37379" s="63"/>
      <c r="J37379" s="63"/>
    </row>
    <row r="37380" spans="9:10" x14ac:dyDescent="0.35">
      <c r="I37380" s="63"/>
      <c r="J37380" s="63"/>
    </row>
    <row r="37381" spans="9:10" x14ac:dyDescent="0.35">
      <c r="I37381" s="63"/>
      <c r="J37381" s="63"/>
    </row>
    <row r="37382" spans="9:10" x14ac:dyDescent="0.35">
      <c r="I37382" s="63"/>
      <c r="J37382" s="63"/>
    </row>
    <row r="37383" spans="9:10" x14ac:dyDescent="0.35">
      <c r="I37383" s="63"/>
      <c r="J37383" s="63"/>
    </row>
    <row r="37384" spans="9:10" x14ac:dyDescent="0.35">
      <c r="I37384" s="63"/>
      <c r="J37384" s="63"/>
    </row>
    <row r="37385" spans="9:10" x14ac:dyDescent="0.35">
      <c r="I37385" s="63"/>
      <c r="J37385" s="63"/>
    </row>
    <row r="37386" spans="9:10" x14ac:dyDescent="0.35">
      <c r="I37386" s="63"/>
      <c r="J37386" s="63"/>
    </row>
    <row r="37387" spans="9:10" x14ac:dyDescent="0.35">
      <c r="I37387" s="63"/>
      <c r="J37387" s="63"/>
    </row>
    <row r="37388" spans="9:10" x14ac:dyDescent="0.35">
      <c r="I37388" s="63"/>
      <c r="J37388" s="63"/>
    </row>
    <row r="37389" spans="9:10" x14ac:dyDescent="0.35">
      <c r="I37389" s="63"/>
      <c r="J37389" s="63"/>
    </row>
    <row r="37390" spans="9:10" x14ac:dyDescent="0.35">
      <c r="I37390" s="63"/>
      <c r="J37390" s="63"/>
    </row>
    <row r="37391" spans="9:10" x14ac:dyDescent="0.35">
      <c r="I37391" s="63"/>
      <c r="J37391" s="63"/>
    </row>
    <row r="37392" spans="9:10" x14ac:dyDescent="0.35">
      <c r="I37392" s="63"/>
      <c r="J37392" s="63"/>
    </row>
    <row r="37393" spans="9:10" x14ac:dyDescent="0.35">
      <c r="I37393" s="63"/>
      <c r="J37393" s="63"/>
    </row>
    <row r="37394" spans="9:10" x14ac:dyDescent="0.35">
      <c r="I37394" s="63"/>
      <c r="J37394" s="63"/>
    </row>
    <row r="37395" spans="9:10" x14ac:dyDescent="0.35">
      <c r="I37395" s="63"/>
      <c r="J37395" s="63"/>
    </row>
    <row r="37396" spans="9:10" x14ac:dyDescent="0.35">
      <c r="I37396" s="63"/>
      <c r="J37396" s="63"/>
    </row>
    <row r="37397" spans="9:10" x14ac:dyDescent="0.35">
      <c r="I37397" s="63"/>
      <c r="J37397" s="63"/>
    </row>
    <row r="37398" spans="9:10" x14ac:dyDescent="0.35">
      <c r="I37398" s="63"/>
      <c r="J37398" s="63"/>
    </row>
    <row r="37399" spans="9:10" x14ac:dyDescent="0.35">
      <c r="I37399" s="63"/>
      <c r="J37399" s="63"/>
    </row>
    <row r="37400" spans="9:10" x14ac:dyDescent="0.35">
      <c r="I37400" s="63"/>
      <c r="J37400" s="63"/>
    </row>
    <row r="37401" spans="9:10" x14ac:dyDescent="0.35">
      <c r="I37401" s="63"/>
      <c r="J37401" s="63"/>
    </row>
    <row r="37402" spans="9:10" x14ac:dyDescent="0.35">
      <c r="I37402" s="63"/>
      <c r="J37402" s="63"/>
    </row>
    <row r="37403" spans="9:10" x14ac:dyDescent="0.35">
      <c r="I37403" s="63"/>
      <c r="J37403" s="63"/>
    </row>
    <row r="37404" spans="9:10" x14ac:dyDescent="0.35">
      <c r="I37404" s="63"/>
      <c r="J37404" s="63"/>
    </row>
    <row r="37405" spans="9:10" x14ac:dyDescent="0.35">
      <c r="I37405" s="63"/>
      <c r="J37405" s="63"/>
    </row>
    <row r="37406" spans="9:10" x14ac:dyDescent="0.35">
      <c r="I37406" s="63"/>
      <c r="J37406" s="63"/>
    </row>
    <row r="37407" spans="9:10" x14ac:dyDescent="0.35">
      <c r="I37407" s="63"/>
      <c r="J37407" s="63"/>
    </row>
    <row r="37408" spans="9:10" x14ac:dyDescent="0.35">
      <c r="I37408" s="63"/>
      <c r="J37408" s="63"/>
    </row>
    <row r="37409" spans="9:10" x14ac:dyDescent="0.35">
      <c r="I37409" s="63"/>
      <c r="J37409" s="63"/>
    </row>
    <row r="37410" spans="9:10" x14ac:dyDescent="0.35">
      <c r="I37410" s="63"/>
      <c r="J37410" s="63"/>
    </row>
    <row r="37411" spans="9:10" x14ac:dyDescent="0.35">
      <c r="I37411" s="63"/>
      <c r="J37411" s="63"/>
    </row>
    <row r="37412" spans="9:10" x14ac:dyDescent="0.35">
      <c r="I37412" s="63"/>
      <c r="J37412" s="63"/>
    </row>
    <row r="37413" spans="9:10" x14ac:dyDescent="0.35">
      <c r="I37413" s="63"/>
      <c r="J37413" s="63"/>
    </row>
    <row r="37414" spans="9:10" x14ac:dyDescent="0.35">
      <c r="I37414" s="63"/>
      <c r="J37414" s="63"/>
    </row>
    <row r="37415" spans="9:10" x14ac:dyDescent="0.35">
      <c r="I37415" s="63"/>
      <c r="J37415" s="63"/>
    </row>
    <row r="37416" spans="9:10" x14ac:dyDescent="0.35">
      <c r="I37416" s="63"/>
      <c r="J37416" s="63"/>
    </row>
    <row r="37417" spans="9:10" x14ac:dyDescent="0.35">
      <c r="I37417" s="63"/>
      <c r="J37417" s="63"/>
    </row>
    <row r="37418" spans="9:10" x14ac:dyDescent="0.35">
      <c r="I37418" s="63"/>
      <c r="J37418" s="63"/>
    </row>
    <row r="37419" spans="9:10" x14ac:dyDescent="0.35">
      <c r="I37419" s="63"/>
      <c r="J37419" s="63"/>
    </row>
    <row r="37420" spans="9:10" x14ac:dyDescent="0.35">
      <c r="I37420" s="63"/>
      <c r="J37420" s="63"/>
    </row>
    <row r="37421" spans="9:10" x14ac:dyDescent="0.35">
      <c r="I37421" s="63"/>
      <c r="J37421" s="63"/>
    </row>
    <row r="37422" spans="9:10" x14ac:dyDescent="0.35">
      <c r="I37422" s="63"/>
      <c r="J37422" s="63"/>
    </row>
    <row r="37423" spans="9:10" x14ac:dyDescent="0.35">
      <c r="I37423" s="63"/>
      <c r="J37423" s="63"/>
    </row>
    <row r="37424" spans="9:10" x14ac:dyDescent="0.35">
      <c r="I37424" s="63"/>
      <c r="J37424" s="63"/>
    </row>
    <row r="37425" spans="9:10" x14ac:dyDescent="0.35">
      <c r="I37425" s="63"/>
      <c r="J37425" s="63"/>
    </row>
    <row r="37426" spans="9:10" x14ac:dyDescent="0.35">
      <c r="I37426" s="63"/>
      <c r="J37426" s="63"/>
    </row>
    <row r="37427" spans="9:10" x14ac:dyDescent="0.35">
      <c r="I37427" s="63"/>
      <c r="J37427" s="63"/>
    </row>
    <row r="37428" spans="9:10" x14ac:dyDescent="0.35">
      <c r="I37428" s="63"/>
      <c r="J37428" s="63"/>
    </row>
    <row r="37429" spans="9:10" x14ac:dyDescent="0.35">
      <c r="I37429" s="63"/>
      <c r="J37429" s="63"/>
    </row>
    <row r="37430" spans="9:10" x14ac:dyDescent="0.35">
      <c r="I37430" s="63"/>
      <c r="J37430" s="63"/>
    </row>
    <row r="37431" spans="9:10" x14ac:dyDescent="0.35">
      <c r="I37431" s="63"/>
      <c r="J37431" s="63"/>
    </row>
    <row r="37432" spans="9:10" x14ac:dyDescent="0.35">
      <c r="I37432" s="63"/>
      <c r="J37432" s="63"/>
    </row>
    <row r="37433" spans="9:10" x14ac:dyDescent="0.35">
      <c r="I37433" s="63"/>
      <c r="J37433" s="63"/>
    </row>
    <row r="37434" spans="9:10" x14ac:dyDescent="0.35">
      <c r="I37434" s="63"/>
      <c r="J37434" s="63"/>
    </row>
    <row r="37435" spans="9:10" x14ac:dyDescent="0.35">
      <c r="I37435" s="63"/>
      <c r="J37435" s="63"/>
    </row>
    <row r="37436" spans="9:10" x14ac:dyDescent="0.35">
      <c r="I37436" s="63"/>
      <c r="J37436" s="63"/>
    </row>
    <row r="37437" spans="9:10" x14ac:dyDescent="0.35">
      <c r="I37437" s="63"/>
      <c r="J37437" s="63"/>
    </row>
    <row r="37438" spans="9:10" x14ac:dyDescent="0.35">
      <c r="I37438" s="63"/>
      <c r="J37438" s="63"/>
    </row>
    <row r="37439" spans="9:10" x14ac:dyDescent="0.35">
      <c r="I37439" s="63"/>
      <c r="J37439" s="63"/>
    </row>
    <row r="37440" spans="9:10" x14ac:dyDescent="0.35">
      <c r="I37440" s="63"/>
      <c r="J37440" s="63"/>
    </row>
    <row r="37441" spans="9:10" x14ac:dyDescent="0.35">
      <c r="I37441" s="63"/>
      <c r="J37441" s="63"/>
    </row>
    <row r="37442" spans="9:10" x14ac:dyDescent="0.35">
      <c r="I37442" s="63"/>
      <c r="J37442" s="63"/>
    </row>
    <row r="37443" spans="9:10" x14ac:dyDescent="0.35">
      <c r="I37443" s="63"/>
      <c r="J37443" s="63"/>
    </row>
    <row r="37444" spans="9:10" x14ac:dyDescent="0.35">
      <c r="I37444" s="63"/>
      <c r="J37444" s="63"/>
    </row>
    <row r="37445" spans="9:10" x14ac:dyDescent="0.35">
      <c r="I37445" s="63"/>
      <c r="J37445" s="63"/>
    </row>
    <row r="37446" spans="9:10" x14ac:dyDescent="0.35">
      <c r="I37446" s="63"/>
      <c r="J37446" s="63"/>
    </row>
    <row r="37447" spans="9:10" x14ac:dyDescent="0.35">
      <c r="I37447" s="63"/>
      <c r="J37447" s="63"/>
    </row>
    <row r="37448" spans="9:10" x14ac:dyDescent="0.35">
      <c r="I37448" s="63"/>
      <c r="J37448" s="63"/>
    </row>
    <row r="37449" spans="9:10" x14ac:dyDescent="0.35">
      <c r="I37449" s="63"/>
      <c r="J37449" s="63"/>
    </row>
    <row r="37450" spans="9:10" x14ac:dyDescent="0.35">
      <c r="I37450" s="63"/>
      <c r="J37450" s="63"/>
    </row>
    <row r="37451" spans="9:10" x14ac:dyDescent="0.35">
      <c r="I37451" s="63"/>
      <c r="J37451" s="63"/>
    </row>
    <row r="37452" spans="9:10" x14ac:dyDescent="0.35">
      <c r="I37452" s="63"/>
      <c r="J37452" s="63"/>
    </row>
    <row r="37453" spans="9:10" x14ac:dyDescent="0.35">
      <c r="I37453" s="63"/>
      <c r="J37453" s="63"/>
    </row>
    <row r="37454" spans="9:10" x14ac:dyDescent="0.35">
      <c r="I37454" s="63"/>
      <c r="J37454" s="63"/>
    </row>
    <row r="37455" spans="9:10" x14ac:dyDescent="0.35">
      <c r="I37455" s="63"/>
      <c r="J37455" s="63"/>
    </row>
    <row r="37456" spans="9:10" x14ac:dyDescent="0.35">
      <c r="I37456" s="63"/>
      <c r="J37456" s="63"/>
    </row>
    <row r="37457" spans="9:10" x14ac:dyDescent="0.35">
      <c r="I37457" s="63"/>
      <c r="J37457" s="63"/>
    </row>
    <row r="37458" spans="9:10" x14ac:dyDescent="0.35">
      <c r="I37458" s="63"/>
      <c r="J37458" s="63"/>
    </row>
    <row r="37459" spans="9:10" x14ac:dyDescent="0.35">
      <c r="I37459" s="63"/>
      <c r="J37459" s="63"/>
    </row>
    <row r="37460" spans="9:10" x14ac:dyDescent="0.35">
      <c r="I37460" s="63"/>
      <c r="J37460" s="63"/>
    </row>
    <row r="37461" spans="9:10" x14ac:dyDescent="0.35">
      <c r="I37461" s="63"/>
      <c r="J37461" s="63"/>
    </row>
    <row r="37462" spans="9:10" x14ac:dyDescent="0.35">
      <c r="I37462" s="63"/>
      <c r="J37462" s="63"/>
    </row>
    <row r="37463" spans="9:10" x14ac:dyDescent="0.35">
      <c r="I37463" s="63"/>
      <c r="J37463" s="63"/>
    </row>
    <row r="37464" spans="9:10" x14ac:dyDescent="0.35">
      <c r="I37464" s="63"/>
      <c r="J37464" s="63"/>
    </row>
    <row r="37465" spans="9:10" x14ac:dyDescent="0.35">
      <c r="I37465" s="63"/>
      <c r="J37465" s="63"/>
    </row>
    <row r="37466" spans="9:10" x14ac:dyDescent="0.35">
      <c r="I37466" s="63"/>
      <c r="J37466" s="63"/>
    </row>
    <row r="37467" spans="9:10" x14ac:dyDescent="0.35">
      <c r="I37467" s="63"/>
      <c r="J37467" s="63"/>
    </row>
    <row r="37468" spans="9:10" x14ac:dyDescent="0.35">
      <c r="I37468" s="63"/>
      <c r="J37468" s="63"/>
    </row>
    <row r="37469" spans="9:10" x14ac:dyDescent="0.35">
      <c r="I37469" s="63"/>
      <c r="J37469" s="63"/>
    </row>
    <row r="37470" spans="9:10" x14ac:dyDescent="0.35">
      <c r="I37470" s="63"/>
      <c r="J37470" s="63"/>
    </row>
    <row r="37471" spans="9:10" x14ac:dyDescent="0.35">
      <c r="I37471" s="63"/>
      <c r="J37471" s="63"/>
    </row>
    <row r="37472" spans="9:10" x14ac:dyDescent="0.35">
      <c r="I37472" s="63"/>
      <c r="J37472" s="63"/>
    </row>
    <row r="37473" spans="9:10" x14ac:dyDescent="0.35">
      <c r="I37473" s="63"/>
      <c r="J37473" s="63"/>
    </row>
    <row r="37474" spans="9:10" x14ac:dyDescent="0.35">
      <c r="I37474" s="63"/>
      <c r="J37474" s="63"/>
    </row>
    <row r="37475" spans="9:10" x14ac:dyDescent="0.35">
      <c r="I37475" s="63"/>
      <c r="J37475" s="63"/>
    </row>
    <row r="37476" spans="9:10" x14ac:dyDescent="0.35">
      <c r="I37476" s="63"/>
      <c r="J37476" s="63"/>
    </row>
    <row r="37477" spans="9:10" x14ac:dyDescent="0.35">
      <c r="I37477" s="63"/>
      <c r="J37477" s="63"/>
    </row>
    <row r="37478" spans="9:10" x14ac:dyDescent="0.35">
      <c r="I37478" s="63"/>
      <c r="J37478" s="63"/>
    </row>
    <row r="37479" spans="9:10" x14ac:dyDescent="0.35">
      <c r="I37479" s="63"/>
      <c r="J37479" s="63"/>
    </row>
    <row r="37480" spans="9:10" x14ac:dyDescent="0.35">
      <c r="I37480" s="63"/>
      <c r="J37480" s="63"/>
    </row>
    <row r="37481" spans="9:10" x14ac:dyDescent="0.35">
      <c r="I37481" s="63"/>
      <c r="J37481" s="63"/>
    </row>
    <row r="37482" spans="9:10" x14ac:dyDescent="0.35">
      <c r="I37482" s="63"/>
      <c r="J37482" s="63"/>
    </row>
    <row r="37483" spans="9:10" x14ac:dyDescent="0.35">
      <c r="I37483" s="63"/>
      <c r="J37483" s="63"/>
    </row>
    <row r="37484" spans="9:10" x14ac:dyDescent="0.35">
      <c r="I37484" s="63"/>
      <c r="J37484" s="63"/>
    </row>
    <row r="37485" spans="9:10" x14ac:dyDescent="0.35">
      <c r="I37485" s="63"/>
      <c r="J37485" s="63"/>
    </row>
    <row r="37486" spans="9:10" x14ac:dyDescent="0.35">
      <c r="I37486" s="63"/>
      <c r="J37486" s="63"/>
    </row>
    <row r="37487" spans="9:10" x14ac:dyDescent="0.35">
      <c r="I37487" s="63"/>
      <c r="J37487" s="63"/>
    </row>
    <row r="37488" spans="9:10" x14ac:dyDescent="0.35">
      <c r="I37488" s="63"/>
      <c r="J37488" s="63"/>
    </row>
    <row r="37489" spans="9:10" x14ac:dyDescent="0.35">
      <c r="I37489" s="63"/>
      <c r="J37489" s="63"/>
    </row>
    <row r="37490" spans="9:10" x14ac:dyDescent="0.35">
      <c r="I37490" s="63"/>
      <c r="J37490" s="63"/>
    </row>
    <row r="37491" spans="9:10" x14ac:dyDescent="0.35">
      <c r="I37491" s="63"/>
      <c r="J37491" s="63"/>
    </row>
    <row r="37492" spans="9:10" x14ac:dyDescent="0.35">
      <c r="I37492" s="63"/>
      <c r="J37492" s="63"/>
    </row>
    <row r="37493" spans="9:10" x14ac:dyDescent="0.35">
      <c r="I37493" s="63"/>
      <c r="J37493" s="63"/>
    </row>
    <row r="37494" spans="9:10" x14ac:dyDescent="0.35">
      <c r="I37494" s="63"/>
      <c r="J37494" s="63"/>
    </row>
    <row r="37495" spans="9:10" x14ac:dyDescent="0.35">
      <c r="I37495" s="63"/>
      <c r="J37495" s="63"/>
    </row>
    <row r="37496" spans="9:10" x14ac:dyDescent="0.35">
      <c r="I37496" s="63"/>
      <c r="J37496" s="63"/>
    </row>
    <row r="37497" spans="9:10" x14ac:dyDescent="0.35">
      <c r="I37497" s="63"/>
      <c r="J37497" s="63"/>
    </row>
    <row r="37498" spans="9:10" x14ac:dyDescent="0.35">
      <c r="I37498" s="63"/>
      <c r="J37498" s="63"/>
    </row>
    <row r="37499" spans="9:10" x14ac:dyDescent="0.35">
      <c r="I37499" s="63"/>
      <c r="J37499" s="63"/>
    </row>
    <row r="37500" spans="9:10" x14ac:dyDescent="0.35">
      <c r="I37500" s="63"/>
      <c r="J37500" s="63"/>
    </row>
    <row r="37501" spans="9:10" x14ac:dyDescent="0.35">
      <c r="I37501" s="63"/>
      <c r="J37501" s="63"/>
    </row>
    <row r="37502" spans="9:10" x14ac:dyDescent="0.35">
      <c r="I37502" s="63"/>
      <c r="J37502" s="63"/>
    </row>
    <row r="37503" spans="9:10" x14ac:dyDescent="0.35">
      <c r="I37503" s="63"/>
      <c r="J37503" s="63"/>
    </row>
    <row r="37504" spans="9:10" x14ac:dyDescent="0.35">
      <c r="I37504" s="63"/>
      <c r="J37504" s="63"/>
    </row>
    <row r="37505" spans="9:10" x14ac:dyDescent="0.35">
      <c r="I37505" s="63"/>
      <c r="J37505" s="63"/>
    </row>
    <row r="37506" spans="9:10" x14ac:dyDescent="0.35">
      <c r="I37506" s="63"/>
      <c r="J37506" s="63"/>
    </row>
    <row r="37507" spans="9:10" x14ac:dyDescent="0.35">
      <c r="I37507" s="63"/>
      <c r="J37507" s="63"/>
    </row>
    <row r="37508" spans="9:10" x14ac:dyDescent="0.35">
      <c r="I37508" s="63"/>
      <c r="J37508" s="63"/>
    </row>
    <row r="37509" spans="9:10" x14ac:dyDescent="0.35">
      <c r="I37509" s="63"/>
      <c r="J37509" s="63"/>
    </row>
    <row r="37510" spans="9:10" x14ac:dyDescent="0.35">
      <c r="I37510" s="63"/>
      <c r="J37510" s="63"/>
    </row>
    <row r="37511" spans="9:10" x14ac:dyDescent="0.35">
      <c r="I37511" s="63"/>
      <c r="J37511" s="63"/>
    </row>
    <row r="37512" spans="9:10" x14ac:dyDescent="0.35">
      <c r="I37512" s="63"/>
      <c r="J37512" s="63"/>
    </row>
    <row r="37513" spans="9:10" x14ac:dyDescent="0.35">
      <c r="I37513" s="63"/>
      <c r="J37513" s="63"/>
    </row>
    <row r="37514" spans="9:10" x14ac:dyDescent="0.35">
      <c r="I37514" s="63"/>
      <c r="J37514" s="63"/>
    </row>
    <row r="37515" spans="9:10" x14ac:dyDescent="0.35">
      <c r="I37515" s="63"/>
      <c r="J37515" s="63"/>
    </row>
    <row r="37516" spans="9:10" x14ac:dyDescent="0.35">
      <c r="I37516" s="63"/>
      <c r="J37516" s="63"/>
    </row>
    <row r="37517" spans="9:10" x14ac:dyDescent="0.35">
      <c r="I37517" s="63"/>
      <c r="J37517" s="63"/>
    </row>
    <row r="37518" spans="9:10" x14ac:dyDescent="0.35">
      <c r="I37518" s="63"/>
      <c r="J37518" s="63"/>
    </row>
    <row r="37519" spans="9:10" x14ac:dyDescent="0.35">
      <c r="I37519" s="63"/>
      <c r="J37519" s="63"/>
    </row>
    <row r="37520" spans="9:10" x14ac:dyDescent="0.35">
      <c r="I37520" s="63"/>
      <c r="J37520" s="63"/>
    </row>
    <row r="37521" spans="9:10" x14ac:dyDescent="0.35">
      <c r="I37521" s="63"/>
      <c r="J37521" s="63"/>
    </row>
    <row r="37522" spans="9:10" x14ac:dyDescent="0.35">
      <c r="I37522" s="63"/>
      <c r="J37522" s="63"/>
    </row>
    <row r="37523" spans="9:10" x14ac:dyDescent="0.35">
      <c r="I37523" s="63"/>
      <c r="J37523" s="63"/>
    </row>
    <row r="37524" spans="9:10" x14ac:dyDescent="0.35">
      <c r="I37524" s="63"/>
      <c r="J37524" s="63"/>
    </row>
    <row r="37525" spans="9:10" x14ac:dyDescent="0.35">
      <c r="I37525" s="63"/>
      <c r="J37525" s="63"/>
    </row>
    <row r="37526" spans="9:10" x14ac:dyDescent="0.35">
      <c r="I37526" s="63"/>
      <c r="J37526" s="63"/>
    </row>
    <row r="37527" spans="9:10" x14ac:dyDescent="0.35">
      <c r="I37527" s="63"/>
      <c r="J37527" s="63"/>
    </row>
    <row r="37528" spans="9:10" x14ac:dyDescent="0.35">
      <c r="I37528" s="63"/>
      <c r="J37528" s="63"/>
    </row>
    <row r="37529" spans="9:10" x14ac:dyDescent="0.35">
      <c r="I37529" s="63"/>
      <c r="J37529" s="63"/>
    </row>
    <row r="37530" spans="9:10" x14ac:dyDescent="0.35">
      <c r="I37530" s="63"/>
      <c r="J37530" s="63"/>
    </row>
    <row r="37531" spans="9:10" x14ac:dyDescent="0.35">
      <c r="I37531" s="63"/>
      <c r="J37531" s="63"/>
    </row>
    <row r="37532" spans="9:10" x14ac:dyDescent="0.35">
      <c r="I37532" s="63"/>
      <c r="J37532" s="63"/>
    </row>
    <row r="37533" spans="9:10" x14ac:dyDescent="0.35">
      <c r="I37533" s="63"/>
      <c r="J37533" s="63"/>
    </row>
    <row r="37534" spans="9:10" x14ac:dyDescent="0.35">
      <c r="I37534" s="63"/>
      <c r="J37534" s="63"/>
    </row>
    <row r="37535" spans="9:10" x14ac:dyDescent="0.35">
      <c r="I37535" s="63"/>
      <c r="J37535" s="63"/>
    </row>
    <row r="37536" spans="9:10" x14ac:dyDescent="0.35">
      <c r="I37536" s="63"/>
      <c r="J37536" s="63"/>
    </row>
    <row r="37537" spans="9:10" x14ac:dyDescent="0.35">
      <c r="I37537" s="63"/>
      <c r="J37537" s="63"/>
    </row>
    <row r="37538" spans="9:10" x14ac:dyDescent="0.35">
      <c r="I37538" s="63"/>
      <c r="J37538" s="63"/>
    </row>
    <row r="37539" spans="9:10" x14ac:dyDescent="0.35">
      <c r="I37539" s="63"/>
      <c r="J37539" s="63"/>
    </row>
    <row r="37540" spans="9:10" x14ac:dyDescent="0.35">
      <c r="I37540" s="63"/>
      <c r="J37540" s="63"/>
    </row>
    <row r="37541" spans="9:10" x14ac:dyDescent="0.35">
      <c r="I37541" s="63"/>
      <c r="J37541" s="63"/>
    </row>
    <row r="37542" spans="9:10" x14ac:dyDescent="0.35">
      <c r="I37542" s="63"/>
      <c r="J37542" s="63"/>
    </row>
    <row r="37543" spans="9:10" x14ac:dyDescent="0.35">
      <c r="I37543" s="63"/>
      <c r="J37543" s="63"/>
    </row>
    <row r="37544" spans="9:10" x14ac:dyDescent="0.35">
      <c r="I37544" s="63"/>
      <c r="J37544" s="63"/>
    </row>
    <row r="37545" spans="9:10" x14ac:dyDescent="0.35">
      <c r="I37545" s="63"/>
      <c r="J37545" s="63"/>
    </row>
    <row r="37546" spans="9:10" x14ac:dyDescent="0.35">
      <c r="I37546" s="63"/>
      <c r="J37546" s="63"/>
    </row>
    <row r="37547" spans="9:10" x14ac:dyDescent="0.35">
      <c r="I37547" s="63"/>
      <c r="J37547" s="63"/>
    </row>
    <row r="37548" spans="9:10" x14ac:dyDescent="0.35">
      <c r="I37548" s="63"/>
      <c r="J37548" s="63"/>
    </row>
    <row r="37549" spans="9:10" x14ac:dyDescent="0.35">
      <c r="I37549" s="63"/>
      <c r="J37549" s="63"/>
    </row>
    <row r="37550" spans="9:10" x14ac:dyDescent="0.35">
      <c r="I37550" s="63"/>
      <c r="J37550" s="63"/>
    </row>
    <row r="37551" spans="9:10" x14ac:dyDescent="0.35">
      <c r="I37551" s="63"/>
      <c r="J37551" s="63"/>
    </row>
    <row r="37552" spans="9:10" x14ac:dyDescent="0.35">
      <c r="I37552" s="63"/>
      <c r="J37552" s="63"/>
    </row>
    <row r="37553" spans="9:10" x14ac:dyDescent="0.35">
      <c r="I37553" s="63"/>
      <c r="J37553" s="63"/>
    </row>
    <row r="37554" spans="9:10" x14ac:dyDescent="0.35">
      <c r="I37554" s="63"/>
      <c r="J37554" s="63"/>
    </row>
    <row r="37555" spans="9:10" x14ac:dyDescent="0.35">
      <c r="I37555" s="63"/>
      <c r="J37555" s="63"/>
    </row>
    <row r="37556" spans="9:10" x14ac:dyDescent="0.35">
      <c r="I37556" s="63"/>
      <c r="J37556" s="63"/>
    </row>
    <row r="37557" spans="9:10" x14ac:dyDescent="0.35">
      <c r="I37557" s="63"/>
      <c r="J37557" s="63"/>
    </row>
    <row r="37558" spans="9:10" x14ac:dyDescent="0.35">
      <c r="I37558" s="63"/>
      <c r="J37558" s="63"/>
    </row>
    <row r="37559" spans="9:10" x14ac:dyDescent="0.35">
      <c r="I37559" s="63"/>
      <c r="J37559" s="63"/>
    </row>
    <row r="37560" spans="9:10" x14ac:dyDescent="0.35">
      <c r="I37560" s="63"/>
      <c r="J37560" s="63"/>
    </row>
    <row r="37561" spans="9:10" x14ac:dyDescent="0.35">
      <c r="I37561" s="63"/>
      <c r="J37561" s="63"/>
    </row>
    <row r="37562" spans="9:10" x14ac:dyDescent="0.35">
      <c r="I37562" s="63"/>
      <c r="J37562" s="63"/>
    </row>
    <row r="37563" spans="9:10" x14ac:dyDescent="0.35">
      <c r="I37563" s="63"/>
      <c r="J37563" s="63"/>
    </row>
    <row r="37564" spans="9:10" x14ac:dyDescent="0.35">
      <c r="I37564" s="63"/>
      <c r="J37564" s="63"/>
    </row>
    <row r="37565" spans="9:10" x14ac:dyDescent="0.35">
      <c r="I37565" s="63"/>
      <c r="J37565" s="63"/>
    </row>
    <row r="37566" spans="9:10" x14ac:dyDescent="0.35">
      <c r="I37566" s="63"/>
      <c r="J37566" s="63"/>
    </row>
    <row r="37567" spans="9:10" x14ac:dyDescent="0.35">
      <c r="I37567" s="63"/>
      <c r="J37567" s="63"/>
    </row>
    <row r="37568" spans="9:10" x14ac:dyDescent="0.35">
      <c r="I37568" s="63"/>
      <c r="J37568" s="63"/>
    </row>
    <row r="37569" spans="9:10" x14ac:dyDescent="0.35">
      <c r="I37569" s="63"/>
      <c r="J37569" s="63"/>
    </row>
    <row r="37570" spans="9:10" x14ac:dyDescent="0.35">
      <c r="I37570" s="63"/>
      <c r="J37570" s="63"/>
    </row>
    <row r="37571" spans="9:10" x14ac:dyDescent="0.35">
      <c r="I37571" s="63"/>
      <c r="J37571" s="63"/>
    </row>
    <row r="37572" spans="9:10" x14ac:dyDescent="0.35">
      <c r="I37572" s="63"/>
      <c r="J37572" s="63"/>
    </row>
    <row r="37573" spans="9:10" x14ac:dyDescent="0.35">
      <c r="I37573" s="63"/>
      <c r="J37573" s="63"/>
    </row>
    <row r="37574" spans="9:10" x14ac:dyDescent="0.35">
      <c r="I37574" s="63"/>
      <c r="J37574" s="63"/>
    </row>
    <row r="37575" spans="9:10" x14ac:dyDescent="0.35">
      <c r="I37575" s="63"/>
      <c r="J37575" s="63"/>
    </row>
    <row r="37576" spans="9:10" x14ac:dyDescent="0.35">
      <c r="I37576" s="63"/>
      <c r="J37576" s="63"/>
    </row>
    <row r="37577" spans="9:10" x14ac:dyDescent="0.35">
      <c r="I37577" s="63"/>
      <c r="J37577" s="63"/>
    </row>
    <row r="37578" spans="9:10" x14ac:dyDescent="0.35">
      <c r="I37578" s="63"/>
      <c r="J37578" s="63"/>
    </row>
    <row r="37579" spans="9:10" x14ac:dyDescent="0.35">
      <c r="I37579" s="63"/>
      <c r="J37579" s="63"/>
    </row>
    <row r="37580" spans="9:10" x14ac:dyDescent="0.35">
      <c r="I37580" s="63"/>
      <c r="J37580" s="63"/>
    </row>
    <row r="37581" spans="9:10" x14ac:dyDescent="0.35">
      <c r="I37581" s="63"/>
      <c r="J37581" s="63"/>
    </row>
    <row r="37582" spans="9:10" x14ac:dyDescent="0.35">
      <c r="I37582" s="63"/>
      <c r="J37582" s="63"/>
    </row>
    <row r="37583" spans="9:10" x14ac:dyDescent="0.35">
      <c r="I37583" s="63"/>
      <c r="J37583" s="63"/>
    </row>
    <row r="37584" spans="9:10" x14ac:dyDescent="0.35">
      <c r="I37584" s="63"/>
      <c r="J37584" s="63"/>
    </row>
    <row r="37585" spans="9:10" x14ac:dyDescent="0.35">
      <c r="I37585" s="63"/>
      <c r="J37585" s="63"/>
    </row>
    <row r="37586" spans="9:10" x14ac:dyDescent="0.35">
      <c r="I37586" s="63"/>
      <c r="J37586" s="63"/>
    </row>
    <row r="37587" spans="9:10" x14ac:dyDescent="0.35">
      <c r="I37587" s="63"/>
      <c r="J37587" s="63"/>
    </row>
    <row r="37588" spans="9:10" x14ac:dyDescent="0.35">
      <c r="I37588" s="63"/>
      <c r="J37588" s="63"/>
    </row>
    <row r="37589" spans="9:10" x14ac:dyDescent="0.35">
      <c r="I37589" s="63"/>
      <c r="J37589" s="63"/>
    </row>
    <row r="37590" spans="9:10" x14ac:dyDescent="0.35">
      <c r="I37590" s="63"/>
      <c r="J37590" s="63"/>
    </row>
    <row r="37591" spans="9:10" x14ac:dyDescent="0.35">
      <c r="I37591" s="63"/>
      <c r="J37591" s="63"/>
    </row>
    <row r="37592" spans="9:10" x14ac:dyDescent="0.35">
      <c r="I37592" s="63"/>
      <c r="J37592" s="63"/>
    </row>
    <row r="37593" spans="9:10" x14ac:dyDescent="0.35">
      <c r="I37593" s="63"/>
      <c r="J37593" s="63"/>
    </row>
    <row r="37594" spans="9:10" x14ac:dyDescent="0.35">
      <c r="I37594" s="63"/>
      <c r="J37594" s="63"/>
    </row>
    <row r="37595" spans="9:10" x14ac:dyDescent="0.35">
      <c r="I37595" s="63"/>
      <c r="J37595" s="63"/>
    </row>
    <row r="37596" spans="9:10" x14ac:dyDescent="0.35">
      <c r="I37596" s="63"/>
      <c r="J37596" s="63"/>
    </row>
    <row r="37597" spans="9:10" x14ac:dyDescent="0.35">
      <c r="I37597" s="63"/>
      <c r="J37597" s="63"/>
    </row>
    <row r="37598" spans="9:10" x14ac:dyDescent="0.35">
      <c r="I37598" s="63"/>
      <c r="J37598" s="63"/>
    </row>
    <row r="37599" spans="9:10" x14ac:dyDescent="0.35">
      <c r="I37599" s="63"/>
      <c r="J37599" s="63"/>
    </row>
    <row r="37600" spans="9:10" x14ac:dyDescent="0.35">
      <c r="I37600" s="63"/>
      <c r="J37600" s="63"/>
    </row>
    <row r="37601" spans="9:10" x14ac:dyDescent="0.35">
      <c r="I37601" s="63"/>
      <c r="J37601" s="63"/>
    </row>
    <row r="37602" spans="9:10" x14ac:dyDescent="0.35">
      <c r="I37602" s="63"/>
      <c r="J37602" s="63"/>
    </row>
    <row r="37603" spans="9:10" x14ac:dyDescent="0.35">
      <c r="I37603" s="63"/>
      <c r="J37603" s="63"/>
    </row>
    <row r="37604" spans="9:10" x14ac:dyDescent="0.35">
      <c r="I37604" s="63"/>
      <c r="J37604" s="63"/>
    </row>
    <row r="37605" spans="9:10" x14ac:dyDescent="0.35">
      <c r="I37605" s="63"/>
      <c r="J37605" s="63"/>
    </row>
    <row r="37606" spans="9:10" x14ac:dyDescent="0.35">
      <c r="I37606" s="63"/>
      <c r="J37606" s="63"/>
    </row>
    <row r="37607" spans="9:10" x14ac:dyDescent="0.35">
      <c r="I37607" s="63"/>
      <c r="J37607" s="63"/>
    </row>
    <row r="37608" spans="9:10" x14ac:dyDescent="0.35">
      <c r="I37608" s="63"/>
      <c r="J37608" s="63"/>
    </row>
    <row r="37609" spans="9:10" x14ac:dyDescent="0.35">
      <c r="I37609" s="63"/>
      <c r="J37609" s="63"/>
    </row>
    <row r="37610" spans="9:10" x14ac:dyDescent="0.35">
      <c r="I37610" s="63"/>
      <c r="J37610" s="63"/>
    </row>
    <row r="37611" spans="9:10" x14ac:dyDescent="0.35">
      <c r="I37611" s="63"/>
      <c r="J37611" s="63"/>
    </row>
    <row r="37612" spans="9:10" x14ac:dyDescent="0.35">
      <c r="I37612" s="63"/>
      <c r="J37612" s="63"/>
    </row>
    <row r="37613" spans="9:10" x14ac:dyDescent="0.35">
      <c r="I37613" s="63"/>
      <c r="J37613" s="63"/>
    </row>
    <row r="37614" spans="9:10" x14ac:dyDescent="0.35">
      <c r="I37614" s="63"/>
      <c r="J37614" s="63"/>
    </row>
    <row r="37615" spans="9:10" x14ac:dyDescent="0.35">
      <c r="I37615" s="63"/>
      <c r="J37615" s="63"/>
    </row>
    <row r="37616" spans="9:10" x14ac:dyDescent="0.35">
      <c r="I37616" s="63"/>
      <c r="J37616" s="63"/>
    </row>
    <row r="37617" spans="9:10" x14ac:dyDescent="0.35">
      <c r="I37617" s="63"/>
      <c r="J37617" s="63"/>
    </row>
    <row r="37618" spans="9:10" x14ac:dyDescent="0.35">
      <c r="I37618" s="63"/>
      <c r="J37618" s="63"/>
    </row>
    <row r="37619" spans="9:10" x14ac:dyDescent="0.35">
      <c r="I37619" s="63"/>
      <c r="J37619" s="63"/>
    </row>
    <row r="37620" spans="9:10" x14ac:dyDescent="0.35">
      <c r="I37620" s="63"/>
      <c r="J37620" s="63"/>
    </row>
    <row r="37621" spans="9:10" x14ac:dyDescent="0.35">
      <c r="I37621" s="63"/>
      <c r="J37621" s="63"/>
    </row>
    <row r="37622" spans="9:10" x14ac:dyDescent="0.35">
      <c r="I37622" s="63"/>
      <c r="J37622" s="63"/>
    </row>
    <row r="37623" spans="9:10" x14ac:dyDescent="0.35">
      <c r="I37623" s="63"/>
      <c r="J37623" s="63"/>
    </row>
    <row r="37624" spans="9:10" x14ac:dyDescent="0.35">
      <c r="I37624" s="63"/>
      <c r="J37624" s="63"/>
    </row>
    <row r="37625" spans="9:10" x14ac:dyDescent="0.35">
      <c r="I37625" s="63"/>
      <c r="J37625" s="63"/>
    </row>
    <row r="37626" spans="9:10" x14ac:dyDescent="0.35">
      <c r="I37626" s="63"/>
      <c r="J37626" s="63"/>
    </row>
    <row r="37627" spans="9:10" x14ac:dyDescent="0.35">
      <c r="I37627" s="63"/>
      <c r="J37627" s="63"/>
    </row>
    <row r="37628" spans="9:10" x14ac:dyDescent="0.35">
      <c r="I37628" s="63"/>
      <c r="J37628" s="63"/>
    </row>
    <row r="37629" spans="9:10" x14ac:dyDescent="0.35">
      <c r="I37629" s="63"/>
      <c r="J37629" s="63"/>
    </row>
    <row r="37630" spans="9:10" x14ac:dyDescent="0.35">
      <c r="I37630" s="63"/>
      <c r="J37630" s="63"/>
    </row>
    <row r="37631" spans="9:10" x14ac:dyDescent="0.35">
      <c r="I37631" s="63"/>
      <c r="J37631" s="63"/>
    </row>
    <row r="37632" spans="9:10" x14ac:dyDescent="0.35">
      <c r="I37632" s="63"/>
      <c r="J37632" s="63"/>
    </row>
    <row r="37633" spans="9:10" x14ac:dyDescent="0.35">
      <c r="I37633" s="63"/>
      <c r="J37633" s="63"/>
    </row>
    <row r="37634" spans="9:10" x14ac:dyDescent="0.35">
      <c r="I37634" s="63"/>
      <c r="J37634" s="63"/>
    </row>
    <row r="37635" spans="9:10" x14ac:dyDescent="0.35">
      <c r="I37635" s="63"/>
      <c r="J37635" s="63"/>
    </row>
    <row r="37636" spans="9:10" x14ac:dyDescent="0.35">
      <c r="I37636" s="63"/>
      <c r="J37636" s="63"/>
    </row>
    <row r="37637" spans="9:10" x14ac:dyDescent="0.35">
      <c r="I37637" s="63"/>
      <c r="J37637" s="63"/>
    </row>
    <row r="37638" spans="9:10" x14ac:dyDescent="0.35">
      <c r="I37638" s="63"/>
      <c r="J37638" s="63"/>
    </row>
    <row r="37639" spans="9:10" x14ac:dyDescent="0.35">
      <c r="I37639" s="63"/>
      <c r="J37639" s="63"/>
    </row>
    <row r="37640" spans="9:10" x14ac:dyDescent="0.35">
      <c r="I37640" s="63"/>
      <c r="J37640" s="63"/>
    </row>
    <row r="37641" spans="9:10" x14ac:dyDescent="0.35">
      <c r="I37641" s="63"/>
      <c r="J37641" s="63"/>
    </row>
    <row r="37642" spans="9:10" x14ac:dyDescent="0.35">
      <c r="I37642" s="63"/>
      <c r="J37642" s="63"/>
    </row>
    <row r="37643" spans="9:10" x14ac:dyDescent="0.35">
      <c r="I37643" s="63"/>
      <c r="J37643" s="63"/>
    </row>
    <row r="37644" spans="9:10" x14ac:dyDescent="0.35">
      <c r="I37644" s="63"/>
      <c r="J37644" s="63"/>
    </row>
    <row r="37645" spans="9:10" x14ac:dyDescent="0.35">
      <c r="I37645" s="63"/>
      <c r="J37645" s="63"/>
    </row>
    <row r="37646" spans="9:10" x14ac:dyDescent="0.35">
      <c r="I37646" s="63"/>
      <c r="J37646" s="63"/>
    </row>
    <row r="37647" spans="9:10" x14ac:dyDescent="0.35">
      <c r="I37647" s="63"/>
      <c r="J37647" s="63"/>
    </row>
    <row r="37648" spans="9:10" x14ac:dyDescent="0.35">
      <c r="I37648" s="63"/>
      <c r="J37648" s="63"/>
    </row>
    <row r="37649" spans="9:10" x14ac:dyDescent="0.35">
      <c r="I37649" s="63"/>
      <c r="J37649" s="63"/>
    </row>
    <row r="37650" spans="9:10" x14ac:dyDescent="0.35">
      <c r="I37650" s="63"/>
      <c r="J37650" s="63"/>
    </row>
    <row r="37651" spans="9:10" x14ac:dyDescent="0.35">
      <c r="I37651" s="63"/>
      <c r="J37651" s="63"/>
    </row>
    <row r="37652" spans="9:10" x14ac:dyDescent="0.35">
      <c r="I37652" s="63"/>
      <c r="J37652" s="63"/>
    </row>
    <row r="37653" spans="9:10" x14ac:dyDescent="0.35">
      <c r="I37653" s="63"/>
      <c r="J37653" s="63"/>
    </row>
    <row r="37654" spans="9:10" x14ac:dyDescent="0.35">
      <c r="I37654" s="63"/>
      <c r="J37654" s="63"/>
    </row>
    <row r="37655" spans="9:10" x14ac:dyDescent="0.35">
      <c r="I37655" s="63"/>
      <c r="J37655" s="63"/>
    </row>
    <row r="37656" spans="9:10" x14ac:dyDescent="0.35">
      <c r="I37656" s="63"/>
      <c r="J37656" s="63"/>
    </row>
    <row r="37657" spans="9:10" x14ac:dyDescent="0.35">
      <c r="I37657" s="63"/>
      <c r="J37657" s="63"/>
    </row>
    <row r="37658" spans="9:10" x14ac:dyDescent="0.35">
      <c r="I37658" s="63"/>
      <c r="J37658" s="63"/>
    </row>
    <row r="37659" spans="9:10" x14ac:dyDescent="0.35">
      <c r="I37659" s="63"/>
      <c r="J37659" s="63"/>
    </row>
    <row r="37660" spans="9:10" x14ac:dyDescent="0.35">
      <c r="I37660" s="63"/>
      <c r="J37660" s="63"/>
    </row>
    <row r="37661" spans="9:10" x14ac:dyDescent="0.35">
      <c r="I37661" s="63"/>
      <c r="J37661" s="63"/>
    </row>
    <row r="37662" spans="9:10" x14ac:dyDescent="0.35">
      <c r="I37662" s="63"/>
      <c r="J37662" s="63"/>
    </row>
    <row r="37663" spans="9:10" x14ac:dyDescent="0.35">
      <c r="I37663" s="63"/>
      <c r="J37663" s="63"/>
    </row>
    <row r="37664" spans="9:10" x14ac:dyDescent="0.35">
      <c r="I37664" s="63"/>
      <c r="J37664" s="63"/>
    </row>
    <row r="37665" spans="9:10" x14ac:dyDescent="0.35">
      <c r="I37665" s="63"/>
      <c r="J37665" s="63"/>
    </row>
    <row r="37666" spans="9:10" x14ac:dyDescent="0.35">
      <c r="I37666" s="63"/>
      <c r="J37666" s="63"/>
    </row>
    <row r="37667" spans="9:10" x14ac:dyDescent="0.35">
      <c r="I37667" s="63"/>
      <c r="J37667" s="63"/>
    </row>
    <row r="37668" spans="9:10" x14ac:dyDescent="0.35">
      <c r="I37668" s="63"/>
      <c r="J37668" s="63"/>
    </row>
    <row r="37669" spans="9:10" x14ac:dyDescent="0.35">
      <c r="I37669" s="63"/>
      <c r="J37669" s="63"/>
    </row>
    <row r="37670" spans="9:10" x14ac:dyDescent="0.35">
      <c r="I37670" s="63"/>
      <c r="J37670" s="63"/>
    </row>
    <row r="37671" spans="9:10" x14ac:dyDescent="0.35">
      <c r="I37671" s="63"/>
      <c r="J37671" s="63"/>
    </row>
    <row r="37672" spans="9:10" x14ac:dyDescent="0.35">
      <c r="I37672" s="63"/>
      <c r="J37672" s="63"/>
    </row>
    <row r="37673" spans="9:10" x14ac:dyDescent="0.35">
      <c r="I37673" s="63"/>
      <c r="J37673" s="63"/>
    </row>
    <row r="37674" spans="9:10" x14ac:dyDescent="0.35">
      <c r="I37674" s="63"/>
      <c r="J37674" s="63"/>
    </row>
    <row r="37675" spans="9:10" x14ac:dyDescent="0.35">
      <c r="I37675" s="63"/>
      <c r="J37675" s="63"/>
    </row>
    <row r="37676" spans="9:10" x14ac:dyDescent="0.35">
      <c r="I37676" s="63"/>
      <c r="J37676" s="63"/>
    </row>
    <row r="37677" spans="9:10" x14ac:dyDescent="0.35">
      <c r="I37677" s="63"/>
      <c r="J37677" s="63"/>
    </row>
    <row r="37678" spans="9:10" x14ac:dyDescent="0.35">
      <c r="I37678" s="63"/>
      <c r="J37678" s="63"/>
    </row>
    <row r="37679" spans="9:10" x14ac:dyDescent="0.35">
      <c r="I37679" s="63"/>
      <c r="J37679" s="63"/>
    </row>
    <row r="37680" spans="9:10" x14ac:dyDescent="0.35">
      <c r="I37680" s="63"/>
      <c r="J37680" s="63"/>
    </row>
    <row r="37681" spans="9:10" x14ac:dyDescent="0.35">
      <c r="I37681" s="63"/>
      <c r="J37681" s="63"/>
    </row>
    <row r="37682" spans="9:10" x14ac:dyDescent="0.35">
      <c r="I37682" s="63"/>
      <c r="J37682" s="63"/>
    </row>
    <row r="37683" spans="9:10" x14ac:dyDescent="0.35">
      <c r="I37683" s="63"/>
      <c r="J37683" s="63"/>
    </row>
    <row r="37684" spans="9:10" x14ac:dyDescent="0.35">
      <c r="I37684" s="63"/>
      <c r="J37684" s="63"/>
    </row>
    <row r="37685" spans="9:10" x14ac:dyDescent="0.35">
      <c r="I37685" s="63"/>
      <c r="J37685" s="63"/>
    </row>
    <row r="37686" spans="9:10" x14ac:dyDescent="0.35">
      <c r="I37686" s="63"/>
      <c r="J37686" s="63"/>
    </row>
    <row r="37687" spans="9:10" x14ac:dyDescent="0.35">
      <c r="I37687" s="63"/>
      <c r="J37687" s="63"/>
    </row>
    <row r="37688" spans="9:10" x14ac:dyDescent="0.35">
      <c r="I37688" s="63"/>
      <c r="J37688" s="63"/>
    </row>
    <row r="37689" spans="9:10" x14ac:dyDescent="0.35">
      <c r="I37689" s="63"/>
      <c r="J37689" s="63"/>
    </row>
    <row r="37690" spans="9:10" x14ac:dyDescent="0.35">
      <c r="I37690" s="63"/>
      <c r="J37690" s="63"/>
    </row>
    <row r="37691" spans="9:10" x14ac:dyDescent="0.35">
      <c r="I37691" s="63"/>
      <c r="J37691" s="63"/>
    </row>
    <row r="37692" spans="9:10" x14ac:dyDescent="0.35">
      <c r="I37692" s="63"/>
      <c r="J37692" s="63"/>
    </row>
    <row r="37693" spans="9:10" x14ac:dyDescent="0.35">
      <c r="I37693" s="63"/>
      <c r="J37693" s="63"/>
    </row>
    <row r="37694" spans="9:10" x14ac:dyDescent="0.35">
      <c r="I37694" s="63"/>
      <c r="J37694" s="63"/>
    </row>
    <row r="37695" spans="9:10" x14ac:dyDescent="0.35">
      <c r="I37695" s="63"/>
      <c r="J37695" s="63"/>
    </row>
    <row r="37696" spans="9:10" x14ac:dyDescent="0.35">
      <c r="I37696" s="63"/>
      <c r="J37696" s="63"/>
    </row>
    <row r="37697" spans="9:10" x14ac:dyDescent="0.35">
      <c r="I37697" s="63"/>
      <c r="J37697" s="63"/>
    </row>
    <row r="37698" spans="9:10" x14ac:dyDescent="0.35">
      <c r="I37698" s="63"/>
      <c r="J37698" s="63"/>
    </row>
    <row r="37699" spans="9:10" x14ac:dyDescent="0.35">
      <c r="I37699" s="63"/>
      <c r="J37699" s="63"/>
    </row>
    <row r="37700" spans="9:10" x14ac:dyDescent="0.35">
      <c r="I37700" s="63"/>
      <c r="J37700" s="63"/>
    </row>
    <row r="37701" spans="9:10" x14ac:dyDescent="0.35">
      <c r="I37701" s="63"/>
      <c r="J37701" s="63"/>
    </row>
    <row r="37702" spans="9:10" x14ac:dyDescent="0.35">
      <c r="I37702" s="63"/>
      <c r="J37702" s="63"/>
    </row>
    <row r="37703" spans="9:10" x14ac:dyDescent="0.35">
      <c r="I37703" s="63"/>
      <c r="J37703" s="63"/>
    </row>
    <row r="37704" spans="9:10" x14ac:dyDescent="0.35">
      <c r="I37704" s="63"/>
      <c r="J37704" s="63"/>
    </row>
    <row r="37705" spans="9:10" x14ac:dyDescent="0.35">
      <c r="I37705" s="63"/>
      <c r="J37705" s="63"/>
    </row>
    <row r="37706" spans="9:10" x14ac:dyDescent="0.35">
      <c r="I37706" s="63"/>
      <c r="J37706" s="63"/>
    </row>
    <row r="37707" spans="9:10" x14ac:dyDescent="0.35">
      <c r="I37707" s="63"/>
      <c r="J37707" s="63"/>
    </row>
    <row r="37708" spans="9:10" x14ac:dyDescent="0.35">
      <c r="I37708" s="63"/>
      <c r="J37708" s="63"/>
    </row>
    <row r="37709" spans="9:10" x14ac:dyDescent="0.35">
      <c r="I37709" s="63"/>
      <c r="J37709" s="63"/>
    </row>
    <row r="37710" spans="9:10" x14ac:dyDescent="0.35">
      <c r="I37710" s="63"/>
      <c r="J37710" s="63"/>
    </row>
    <row r="37711" spans="9:10" x14ac:dyDescent="0.35">
      <c r="I37711" s="63"/>
      <c r="J37711" s="63"/>
    </row>
    <row r="37712" spans="9:10" x14ac:dyDescent="0.35">
      <c r="I37712" s="63"/>
      <c r="J37712" s="63"/>
    </row>
    <row r="37713" spans="9:10" x14ac:dyDescent="0.35">
      <c r="I37713" s="63"/>
      <c r="J37713" s="63"/>
    </row>
    <row r="37714" spans="9:10" x14ac:dyDescent="0.35">
      <c r="I37714" s="63"/>
      <c r="J37714" s="63"/>
    </row>
    <row r="37715" spans="9:10" x14ac:dyDescent="0.35">
      <c r="I37715" s="63"/>
      <c r="J37715" s="63"/>
    </row>
    <row r="37716" spans="9:10" x14ac:dyDescent="0.35">
      <c r="I37716" s="63"/>
      <c r="J37716" s="63"/>
    </row>
    <row r="37717" spans="9:10" x14ac:dyDescent="0.35">
      <c r="I37717" s="63"/>
      <c r="J37717" s="63"/>
    </row>
    <row r="37718" spans="9:10" x14ac:dyDescent="0.35">
      <c r="I37718" s="63"/>
      <c r="J37718" s="63"/>
    </row>
    <row r="37719" spans="9:10" x14ac:dyDescent="0.35">
      <c r="I37719" s="63"/>
      <c r="J37719" s="63"/>
    </row>
    <row r="37720" spans="9:10" x14ac:dyDescent="0.35">
      <c r="I37720" s="63"/>
      <c r="J37720" s="63"/>
    </row>
    <row r="37721" spans="9:10" x14ac:dyDescent="0.35">
      <c r="I37721" s="63"/>
      <c r="J37721" s="63"/>
    </row>
    <row r="37722" spans="9:10" x14ac:dyDescent="0.35">
      <c r="I37722" s="63"/>
      <c r="J37722" s="63"/>
    </row>
    <row r="37723" spans="9:10" x14ac:dyDescent="0.35">
      <c r="I37723" s="63"/>
      <c r="J37723" s="63"/>
    </row>
    <row r="37724" spans="9:10" x14ac:dyDescent="0.35">
      <c r="I37724" s="63"/>
      <c r="J37724" s="63"/>
    </row>
    <row r="37725" spans="9:10" x14ac:dyDescent="0.35">
      <c r="I37725" s="63"/>
      <c r="J37725" s="63"/>
    </row>
    <row r="37726" spans="9:10" x14ac:dyDescent="0.35">
      <c r="I37726" s="63"/>
      <c r="J37726" s="63"/>
    </row>
    <row r="37727" spans="9:10" x14ac:dyDescent="0.35">
      <c r="I37727" s="63"/>
      <c r="J37727" s="63"/>
    </row>
    <row r="37728" spans="9:10" x14ac:dyDescent="0.35">
      <c r="I37728" s="63"/>
      <c r="J37728" s="63"/>
    </row>
    <row r="37729" spans="9:10" x14ac:dyDescent="0.35">
      <c r="I37729" s="63"/>
      <c r="J37729" s="63"/>
    </row>
    <row r="37730" spans="9:10" x14ac:dyDescent="0.35">
      <c r="I37730" s="63"/>
      <c r="J37730" s="63"/>
    </row>
    <row r="37731" spans="9:10" x14ac:dyDescent="0.35">
      <c r="I37731" s="63"/>
      <c r="J37731" s="63"/>
    </row>
    <row r="37732" spans="9:10" x14ac:dyDescent="0.35">
      <c r="I37732" s="63"/>
      <c r="J37732" s="63"/>
    </row>
    <row r="37733" spans="9:10" x14ac:dyDescent="0.35">
      <c r="I37733" s="63"/>
      <c r="J37733" s="63"/>
    </row>
    <row r="37734" spans="9:10" x14ac:dyDescent="0.35">
      <c r="I37734" s="63"/>
      <c r="J37734" s="63"/>
    </row>
    <row r="37735" spans="9:10" x14ac:dyDescent="0.35">
      <c r="I37735" s="63"/>
      <c r="J37735" s="63"/>
    </row>
    <row r="37736" spans="9:10" x14ac:dyDescent="0.35">
      <c r="I37736" s="63"/>
      <c r="J37736" s="63"/>
    </row>
    <row r="37737" spans="9:10" x14ac:dyDescent="0.35">
      <c r="I37737" s="63"/>
      <c r="J37737" s="63"/>
    </row>
    <row r="37738" spans="9:10" x14ac:dyDescent="0.35">
      <c r="I37738" s="63"/>
      <c r="J37738" s="63"/>
    </row>
    <row r="37739" spans="9:10" x14ac:dyDescent="0.35">
      <c r="I37739" s="63"/>
      <c r="J37739" s="63"/>
    </row>
    <row r="37740" spans="9:10" x14ac:dyDescent="0.35">
      <c r="I37740" s="63"/>
      <c r="J37740" s="63"/>
    </row>
    <row r="37741" spans="9:10" x14ac:dyDescent="0.35">
      <c r="I37741" s="63"/>
      <c r="J37741" s="63"/>
    </row>
    <row r="37742" spans="9:10" x14ac:dyDescent="0.35">
      <c r="I37742" s="63"/>
      <c r="J37742" s="63"/>
    </row>
    <row r="37743" spans="9:10" x14ac:dyDescent="0.35">
      <c r="I37743" s="63"/>
      <c r="J37743" s="63"/>
    </row>
    <row r="37744" spans="9:10" x14ac:dyDescent="0.35">
      <c r="I37744" s="63"/>
      <c r="J37744" s="63"/>
    </row>
    <row r="37745" spans="9:10" x14ac:dyDescent="0.35">
      <c r="I37745" s="63"/>
      <c r="J37745" s="63"/>
    </row>
    <row r="37746" spans="9:10" x14ac:dyDescent="0.35">
      <c r="I37746" s="63"/>
      <c r="J37746" s="63"/>
    </row>
    <row r="37747" spans="9:10" x14ac:dyDescent="0.35">
      <c r="I37747" s="63"/>
      <c r="J37747" s="63"/>
    </row>
    <row r="37748" spans="9:10" x14ac:dyDescent="0.35">
      <c r="I37748" s="63"/>
      <c r="J37748" s="63"/>
    </row>
    <row r="37749" spans="9:10" x14ac:dyDescent="0.35">
      <c r="I37749" s="63"/>
      <c r="J37749" s="63"/>
    </row>
    <row r="37750" spans="9:10" x14ac:dyDescent="0.35">
      <c r="I37750" s="63"/>
      <c r="J37750" s="63"/>
    </row>
    <row r="37751" spans="9:10" x14ac:dyDescent="0.35">
      <c r="I37751" s="63"/>
      <c r="J37751" s="63"/>
    </row>
    <row r="37752" spans="9:10" x14ac:dyDescent="0.35">
      <c r="I37752" s="63"/>
      <c r="J37752" s="63"/>
    </row>
    <row r="37753" spans="9:10" x14ac:dyDescent="0.35">
      <c r="I37753" s="63"/>
      <c r="J37753" s="63"/>
    </row>
    <row r="37754" spans="9:10" x14ac:dyDescent="0.35">
      <c r="I37754" s="63"/>
      <c r="J37754" s="63"/>
    </row>
    <row r="37755" spans="9:10" x14ac:dyDescent="0.35">
      <c r="I37755" s="63"/>
      <c r="J37755" s="63"/>
    </row>
    <row r="37756" spans="9:10" x14ac:dyDescent="0.35">
      <c r="I37756" s="63"/>
      <c r="J37756" s="63"/>
    </row>
    <row r="37757" spans="9:10" x14ac:dyDescent="0.35">
      <c r="I37757" s="63"/>
      <c r="J37757" s="63"/>
    </row>
    <row r="37758" spans="9:10" x14ac:dyDescent="0.35">
      <c r="I37758" s="63"/>
      <c r="J37758" s="63"/>
    </row>
    <row r="37759" spans="9:10" x14ac:dyDescent="0.35">
      <c r="I37759" s="63"/>
      <c r="J37759" s="63"/>
    </row>
    <row r="37760" spans="9:10" x14ac:dyDescent="0.35">
      <c r="I37760" s="63"/>
      <c r="J37760" s="63"/>
    </row>
    <row r="37761" spans="9:10" x14ac:dyDescent="0.35">
      <c r="I37761" s="63"/>
      <c r="J37761" s="63"/>
    </row>
    <row r="37762" spans="9:10" x14ac:dyDescent="0.35">
      <c r="I37762" s="63"/>
      <c r="J37762" s="63"/>
    </row>
    <row r="37763" spans="9:10" x14ac:dyDescent="0.35">
      <c r="I37763" s="63"/>
      <c r="J37763" s="63"/>
    </row>
    <row r="37764" spans="9:10" x14ac:dyDescent="0.35">
      <c r="I37764" s="63"/>
      <c r="J37764" s="63"/>
    </row>
    <row r="37765" spans="9:10" x14ac:dyDescent="0.35">
      <c r="I37765" s="63"/>
      <c r="J37765" s="63"/>
    </row>
    <row r="37766" spans="9:10" x14ac:dyDescent="0.35">
      <c r="I37766" s="63"/>
      <c r="J37766" s="63"/>
    </row>
    <row r="37767" spans="9:10" x14ac:dyDescent="0.35">
      <c r="I37767" s="63"/>
      <c r="J37767" s="63"/>
    </row>
    <row r="37768" spans="9:10" x14ac:dyDescent="0.35">
      <c r="I37768" s="63"/>
      <c r="J37768" s="63"/>
    </row>
    <row r="37769" spans="9:10" x14ac:dyDescent="0.35">
      <c r="I37769" s="63"/>
      <c r="J37769" s="63"/>
    </row>
    <row r="37770" spans="9:10" x14ac:dyDescent="0.35">
      <c r="I37770" s="63"/>
      <c r="J37770" s="63"/>
    </row>
    <row r="37771" spans="9:10" x14ac:dyDescent="0.35">
      <c r="I37771" s="63"/>
      <c r="J37771" s="63"/>
    </row>
    <row r="37772" spans="9:10" x14ac:dyDescent="0.35">
      <c r="I37772" s="63"/>
      <c r="J37772" s="63"/>
    </row>
    <row r="37773" spans="9:10" x14ac:dyDescent="0.35">
      <c r="I37773" s="63"/>
      <c r="J37773" s="63"/>
    </row>
    <row r="37774" spans="9:10" x14ac:dyDescent="0.35">
      <c r="I37774" s="63"/>
      <c r="J37774" s="63"/>
    </row>
    <row r="37775" spans="9:10" x14ac:dyDescent="0.35">
      <c r="I37775" s="63"/>
      <c r="J37775" s="63"/>
    </row>
    <row r="37776" spans="9:10" x14ac:dyDescent="0.35">
      <c r="I37776" s="63"/>
      <c r="J37776" s="63"/>
    </row>
    <row r="37777" spans="9:10" x14ac:dyDescent="0.35">
      <c r="I37777" s="63"/>
      <c r="J37777" s="63"/>
    </row>
    <row r="37778" spans="9:10" x14ac:dyDescent="0.35">
      <c r="I37778" s="63"/>
      <c r="J37778" s="63"/>
    </row>
    <row r="37779" spans="9:10" x14ac:dyDescent="0.35">
      <c r="I37779" s="63"/>
      <c r="J37779" s="63"/>
    </row>
    <row r="37780" spans="9:10" x14ac:dyDescent="0.35">
      <c r="I37780" s="63"/>
      <c r="J37780" s="63"/>
    </row>
    <row r="37781" spans="9:10" x14ac:dyDescent="0.35">
      <c r="I37781" s="63"/>
      <c r="J37781" s="63"/>
    </row>
    <row r="37782" spans="9:10" x14ac:dyDescent="0.35">
      <c r="I37782" s="63"/>
      <c r="J37782" s="63"/>
    </row>
    <row r="37783" spans="9:10" x14ac:dyDescent="0.35">
      <c r="I37783" s="63"/>
      <c r="J37783" s="63"/>
    </row>
    <row r="37784" spans="9:10" x14ac:dyDescent="0.35">
      <c r="I37784" s="63"/>
      <c r="J37784" s="63"/>
    </row>
    <row r="37785" spans="9:10" x14ac:dyDescent="0.35">
      <c r="I37785" s="63"/>
      <c r="J37785" s="63"/>
    </row>
    <row r="37786" spans="9:10" x14ac:dyDescent="0.35">
      <c r="I37786" s="63"/>
      <c r="J37786" s="63"/>
    </row>
    <row r="37787" spans="9:10" x14ac:dyDescent="0.35">
      <c r="I37787" s="63"/>
      <c r="J37787" s="63"/>
    </row>
    <row r="37788" spans="9:10" x14ac:dyDescent="0.35">
      <c r="I37788" s="63"/>
      <c r="J37788" s="63"/>
    </row>
    <row r="37789" spans="9:10" x14ac:dyDescent="0.35">
      <c r="I37789" s="63"/>
      <c r="J37789" s="63"/>
    </row>
    <row r="37790" spans="9:10" x14ac:dyDescent="0.35">
      <c r="I37790" s="63"/>
      <c r="J37790" s="63"/>
    </row>
    <row r="37791" spans="9:10" x14ac:dyDescent="0.35">
      <c r="I37791" s="63"/>
      <c r="J37791" s="63"/>
    </row>
    <row r="37792" spans="9:10" x14ac:dyDescent="0.35">
      <c r="I37792" s="63"/>
      <c r="J37792" s="63"/>
    </row>
    <row r="37793" spans="9:10" x14ac:dyDescent="0.35">
      <c r="I37793" s="63"/>
      <c r="J37793" s="63"/>
    </row>
    <row r="37794" spans="9:10" x14ac:dyDescent="0.35">
      <c r="I37794" s="63"/>
      <c r="J37794" s="63"/>
    </row>
    <row r="37795" spans="9:10" x14ac:dyDescent="0.35">
      <c r="I37795" s="63"/>
      <c r="J37795" s="63"/>
    </row>
    <row r="37796" spans="9:10" x14ac:dyDescent="0.35">
      <c r="I37796" s="63"/>
      <c r="J37796" s="63"/>
    </row>
    <row r="37797" spans="9:10" x14ac:dyDescent="0.35">
      <c r="I37797" s="63"/>
      <c r="J37797" s="63"/>
    </row>
    <row r="37798" spans="9:10" x14ac:dyDescent="0.35">
      <c r="I37798" s="63"/>
      <c r="J37798" s="63"/>
    </row>
    <row r="37799" spans="9:10" x14ac:dyDescent="0.35">
      <c r="I37799" s="63"/>
      <c r="J37799" s="63"/>
    </row>
    <row r="37800" spans="9:10" x14ac:dyDescent="0.35">
      <c r="I37800" s="63"/>
      <c r="J37800" s="63"/>
    </row>
    <row r="37801" spans="9:10" x14ac:dyDescent="0.35">
      <c r="I37801" s="63"/>
      <c r="J37801" s="63"/>
    </row>
    <row r="37802" spans="9:10" x14ac:dyDescent="0.35">
      <c r="I37802" s="63"/>
      <c r="J37802" s="63"/>
    </row>
    <row r="37803" spans="9:10" x14ac:dyDescent="0.35">
      <c r="I37803" s="63"/>
      <c r="J37803" s="63"/>
    </row>
    <row r="37804" spans="9:10" x14ac:dyDescent="0.35">
      <c r="I37804" s="63"/>
      <c r="J37804" s="63"/>
    </row>
    <row r="37805" spans="9:10" x14ac:dyDescent="0.35">
      <c r="I37805" s="63"/>
      <c r="J37805" s="63"/>
    </row>
    <row r="37806" spans="9:10" x14ac:dyDescent="0.35">
      <c r="I37806" s="63"/>
      <c r="J37806" s="63"/>
    </row>
    <row r="37807" spans="9:10" x14ac:dyDescent="0.35">
      <c r="I37807" s="63"/>
      <c r="J37807" s="63"/>
    </row>
    <row r="37808" spans="9:10" x14ac:dyDescent="0.35">
      <c r="I37808" s="63"/>
      <c r="J37808" s="63"/>
    </row>
    <row r="37809" spans="9:10" x14ac:dyDescent="0.35">
      <c r="I37809" s="63"/>
      <c r="J37809" s="63"/>
    </row>
    <row r="37810" spans="9:10" x14ac:dyDescent="0.35">
      <c r="I37810" s="63"/>
      <c r="J37810" s="63"/>
    </row>
    <row r="37811" spans="9:10" x14ac:dyDescent="0.35">
      <c r="I37811" s="63"/>
      <c r="J37811" s="63"/>
    </row>
    <row r="37812" spans="9:10" x14ac:dyDescent="0.35">
      <c r="I37812" s="63"/>
      <c r="J37812" s="63"/>
    </row>
    <row r="37813" spans="9:10" x14ac:dyDescent="0.35">
      <c r="I37813" s="63"/>
      <c r="J37813" s="63"/>
    </row>
    <row r="37814" spans="9:10" x14ac:dyDescent="0.35">
      <c r="I37814" s="63"/>
      <c r="J37814" s="63"/>
    </row>
    <row r="37815" spans="9:10" x14ac:dyDescent="0.35">
      <c r="I37815" s="63"/>
      <c r="J37815" s="63"/>
    </row>
    <row r="37816" spans="9:10" x14ac:dyDescent="0.35">
      <c r="I37816" s="63"/>
      <c r="J37816" s="63"/>
    </row>
    <row r="37817" spans="9:10" x14ac:dyDescent="0.35">
      <c r="I37817" s="63"/>
      <c r="J37817" s="63"/>
    </row>
    <row r="37818" spans="9:10" x14ac:dyDescent="0.35">
      <c r="I37818" s="63"/>
      <c r="J37818" s="63"/>
    </row>
    <row r="37819" spans="9:10" x14ac:dyDescent="0.35">
      <c r="I37819" s="63"/>
      <c r="J37819" s="63"/>
    </row>
    <row r="37820" spans="9:10" x14ac:dyDescent="0.35">
      <c r="I37820" s="63"/>
      <c r="J37820" s="63"/>
    </row>
    <row r="37821" spans="9:10" x14ac:dyDescent="0.35">
      <c r="I37821" s="63"/>
      <c r="J37821" s="63"/>
    </row>
    <row r="37822" spans="9:10" x14ac:dyDescent="0.35">
      <c r="I37822" s="63"/>
      <c r="J37822" s="63"/>
    </row>
    <row r="37823" spans="9:10" x14ac:dyDescent="0.35">
      <c r="I37823" s="63"/>
      <c r="J37823" s="63"/>
    </row>
    <row r="37824" spans="9:10" x14ac:dyDescent="0.35">
      <c r="I37824" s="63"/>
      <c r="J37824" s="63"/>
    </row>
    <row r="37825" spans="9:10" x14ac:dyDescent="0.35">
      <c r="I37825" s="63"/>
      <c r="J37825" s="63"/>
    </row>
    <row r="37826" spans="9:10" x14ac:dyDescent="0.35">
      <c r="I37826" s="63"/>
      <c r="J37826" s="63"/>
    </row>
    <row r="37827" spans="9:10" x14ac:dyDescent="0.35">
      <c r="I37827" s="63"/>
      <c r="J37827" s="63"/>
    </row>
    <row r="37828" spans="9:10" x14ac:dyDescent="0.35">
      <c r="I37828" s="63"/>
      <c r="J37828" s="63"/>
    </row>
    <row r="37829" spans="9:10" x14ac:dyDescent="0.35">
      <c r="I37829" s="63"/>
      <c r="J37829" s="63"/>
    </row>
    <row r="37830" spans="9:10" x14ac:dyDescent="0.35">
      <c r="I37830" s="63"/>
      <c r="J37830" s="63"/>
    </row>
    <row r="37831" spans="9:10" x14ac:dyDescent="0.35">
      <c r="I37831" s="63"/>
      <c r="J37831" s="63"/>
    </row>
    <row r="37832" spans="9:10" x14ac:dyDescent="0.35">
      <c r="I37832" s="63"/>
      <c r="J37832" s="63"/>
    </row>
    <row r="37833" spans="9:10" x14ac:dyDescent="0.35">
      <c r="I37833" s="63"/>
      <c r="J37833" s="63"/>
    </row>
    <row r="37834" spans="9:10" x14ac:dyDescent="0.35">
      <c r="I37834" s="63"/>
      <c r="J37834" s="63"/>
    </row>
    <row r="37835" spans="9:10" x14ac:dyDescent="0.35">
      <c r="I37835" s="63"/>
      <c r="J37835" s="63"/>
    </row>
    <row r="37836" spans="9:10" x14ac:dyDescent="0.35">
      <c r="I37836" s="63"/>
      <c r="J37836" s="63"/>
    </row>
    <row r="37837" spans="9:10" x14ac:dyDescent="0.35">
      <c r="I37837" s="63"/>
      <c r="J37837" s="63"/>
    </row>
    <row r="37838" spans="9:10" x14ac:dyDescent="0.35">
      <c r="I37838" s="63"/>
      <c r="J37838" s="63"/>
    </row>
    <row r="37839" spans="9:10" x14ac:dyDescent="0.35">
      <c r="I37839" s="63"/>
      <c r="J37839" s="63"/>
    </row>
    <row r="37840" spans="9:10" x14ac:dyDescent="0.35">
      <c r="I37840" s="63"/>
      <c r="J37840" s="63"/>
    </row>
    <row r="37841" spans="9:10" x14ac:dyDescent="0.35">
      <c r="I37841" s="63"/>
      <c r="J37841" s="63"/>
    </row>
    <row r="37842" spans="9:10" x14ac:dyDescent="0.35">
      <c r="I37842" s="63"/>
      <c r="J37842" s="63"/>
    </row>
    <row r="37843" spans="9:10" x14ac:dyDescent="0.35">
      <c r="I37843" s="63"/>
      <c r="J37843" s="63"/>
    </row>
    <row r="37844" spans="9:10" x14ac:dyDescent="0.35">
      <c r="I37844" s="63"/>
      <c r="J37844" s="63"/>
    </row>
    <row r="37845" spans="9:10" x14ac:dyDescent="0.35">
      <c r="I37845" s="63"/>
      <c r="J37845" s="63"/>
    </row>
    <row r="37846" spans="9:10" x14ac:dyDescent="0.35">
      <c r="I37846" s="63"/>
      <c r="J37846" s="63"/>
    </row>
    <row r="37847" spans="9:10" x14ac:dyDescent="0.35">
      <c r="I37847" s="63"/>
      <c r="J37847" s="63"/>
    </row>
    <row r="37848" spans="9:10" x14ac:dyDescent="0.35">
      <c r="I37848" s="63"/>
      <c r="J37848" s="63"/>
    </row>
    <row r="37849" spans="9:10" x14ac:dyDescent="0.35">
      <c r="I37849" s="63"/>
      <c r="J37849" s="63"/>
    </row>
    <row r="37850" spans="9:10" x14ac:dyDescent="0.35">
      <c r="I37850" s="63"/>
      <c r="J37850" s="63"/>
    </row>
    <row r="37851" spans="9:10" x14ac:dyDescent="0.35">
      <c r="I37851" s="63"/>
      <c r="J37851" s="63"/>
    </row>
    <row r="37852" spans="9:10" x14ac:dyDescent="0.35">
      <c r="I37852" s="63"/>
      <c r="J37852" s="63"/>
    </row>
    <row r="37853" spans="9:10" x14ac:dyDescent="0.35">
      <c r="I37853" s="63"/>
      <c r="J37853" s="63"/>
    </row>
    <row r="37854" spans="9:10" x14ac:dyDescent="0.35">
      <c r="I37854" s="63"/>
      <c r="J37854" s="63"/>
    </row>
    <row r="37855" spans="9:10" x14ac:dyDescent="0.35">
      <c r="I37855" s="63"/>
      <c r="J37855" s="63"/>
    </row>
    <row r="37856" spans="9:10" x14ac:dyDescent="0.35">
      <c r="I37856" s="63"/>
      <c r="J37856" s="63"/>
    </row>
    <row r="37857" spans="9:10" x14ac:dyDescent="0.35">
      <c r="I37857" s="63"/>
      <c r="J37857" s="63"/>
    </row>
    <row r="37858" spans="9:10" x14ac:dyDescent="0.35">
      <c r="I37858" s="63"/>
      <c r="J37858" s="63"/>
    </row>
    <row r="37859" spans="9:10" x14ac:dyDescent="0.35">
      <c r="I37859" s="63"/>
      <c r="J37859" s="63"/>
    </row>
    <row r="37860" spans="9:10" x14ac:dyDescent="0.35">
      <c r="I37860" s="63"/>
      <c r="J37860" s="63"/>
    </row>
    <row r="37861" spans="9:10" x14ac:dyDescent="0.35">
      <c r="I37861" s="63"/>
      <c r="J37861" s="63"/>
    </row>
    <row r="37862" spans="9:10" x14ac:dyDescent="0.35">
      <c r="I37862" s="63"/>
      <c r="J37862" s="63"/>
    </row>
    <row r="37863" spans="9:10" x14ac:dyDescent="0.35">
      <c r="I37863" s="63"/>
      <c r="J37863" s="63"/>
    </row>
    <row r="37864" spans="9:10" x14ac:dyDescent="0.35">
      <c r="I37864" s="63"/>
      <c r="J37864" s="63"/>
    </row>
    <row r="37865" spans="9:10" x14ac:dyDescent="0.35">
      <c r="I37865" s="63"/>
      <c r="J37865" s="63"/>
    </row>
    <row r="37866" spans="9:10" x14ac:dyDescent="0.35">
      <c r="I37866" s="63"/>
      <c r="J37866" s="63"/>
    </row>
    <row r="37867" spans="9:10" x14ac:dyDescent="0.35">
      <c r="I37867" s="63"/>
      <c r="J37867" s="63"/>
    </row>
    <row r="37868" spans="9:10" x14ac:dyDescent="0.35">
      <c r="I37868" s="63"/>
      <c r="J37868" s="63"/>
    </row>
    <row r="37869" spans="9:10" x14ac:dyDescent="0.35">
      <c r="I37869" s="63"/>
      <c r="J37869" s="63"/>
    </row>
    <row r="37870" spans="9:10" x14ac:dyDescent="0.35">
      <c r="I37870" s="63"/>
      <c r="J37870" s="63"/>
    </row>
    <row r="37871" spans="9:10" x14ac:dyDescent="0.35">
      <c r="I37871" s="63"/>
      <c r="J37871" s="63"/>
    </row>
    <row r="37872" spans="9:10" x14ac:dyDescent="0.35">
      <c r="I37872" s="63"/>
      <c r="J37872" s="63"/>
    </row>
    <row r="37873" spans="9:10" x14ac:dyDescent="0.35">
      <c r="I37873" s="63"/>
      <c r="J37873" s="63"/>
    </row>
    <row r="37874" spans="9:10" x14ac:dyDescent="0.35">
      <c r="I37874" s="63"/>
      <c r="J37874" s="63"/>
    </row>
    <row r="37875" spans="9:10" x14ac:dyDescent="0.35">
      <c r="I37875" s="63"/>
      <c r="J37875" s="63"/>
    </row>
    <row r="37876" spans="9:10" x14ac:dyDescent="0.35">
      <c r="I37876" s="63"/>
      <c r="J37876" s="63"/>
    </row>
    <row r="37877" spans="9:10" x14ac:dyDescent="0.35">
      <c r="I37877" s="63"/>
      <c r="J37877" s="63"/>
    </row>
    <row r="37878" spans="9:10" x14ac:dyDescent="0.35">
      <c r="I37878" s="63"/>
      <c r="J37878" s="63"/>
    </row>
    <row r="37879" spans="9:10" x14ac:dyDescent="0.35">
      <c r="I37879" s="63"/>
      <c r="J37879" s="63"/>
    </row>
    <row r="37880" spans="9:10" x14ac:dyDescent="0.35">
      <c r="I37880" s="63"/>
      <c r="J37880" s="63"/>
    </row>
    <row r="37881" spans="9:10" x14ac:dyDescent="0.35">
      <c r="I37881" s="63"/>
      <c r="J37881" s="63"/>
    </row>
    <row r="37882" spans="9:10" x14ac:dyDescent="0.35">
      <c r="I37882" s="63"/>
      <c r="J37882" s="63"/>
    </row>
    <row r="37883" spans="9:10" x14ac:dyDescent="0.35">
      <c r="I37883" s="63"/>
      <c r="J37883" s="63"/>
    </row>
    <row r="37884" spans="9:10" x14ac:dyDescent="0.35">
      <c r="I37884" s="63"/>
      <c r="J37884" s="63"/>
    </row>
    <row r="37885" spans="9:10" x14ac:dyDescent="0.35">
      <c r="I37885" s="63"/>
      <c r="J37885" s="63"/>
    </row>
    <row r="37886" spans="9:10" x14ac:dyDescent="0.35">
      <c r="I37886" s="63"/>
      <c r="J37886" s="63"/>
    </row>
    <row r="37887" spans="9:10" x14ac:dyDescent="0.35">
      <c r="I37887" s="63"/>
      <c r="J37887" s="63"/>
    </row>
    <row r="37888" spans="9:10" x14ac:dyDescent="0.35">
      <c r="I37888" s="63"/>
      <c r="J37888" s="63"/>
    </row>
    <row r="37889" spans="9:10" x14ac:dyDescent="0.35">
      <c r="I37889" s="63"/>
      <c r="J37889" s="63"/>
    </row>
    <row r="37890" spans="9:10" x14ac:dyDescent="0.35">
      <c r="I37890" s="63"/>
      <c r="J37890" s="63"/>
    </row>
    <row r="37891" spans="9:10" x14ac:dyDescent="0.35">
      <c r="I37891" s="63"/>
      <c r="J37891" s="63"/>
    </row>
    <row r="37892" spans="9:10" x14ac:dyDescent="0.35">
      <c r="I37892" s="63"/>
      <c r="J37892" s="63"/>
    </row>
    <row r="37893" spans="9:10" x14ac:dyDescent="0.35">
      <c r="I37893" s="63"/>
      <c r="J37893" s="63"/>
    </row>
    <row r="37894" spans="9:10" x14ac:dyDescent="0.35">
      <c r="I37894" s="63"/>
      <c r="J37894" s="63"/>
    </row>
    <row r="37895" spans="9:10" x14ac:dyDescent="0.35">
      <c r="I37895" s="63"/>
      <c r="J37895" s="63"/>
    </row>
    <row r="37896" spans="9:10" x14ac:dyDescent="0.35">
      <c r="I37896" s="63"/>
      <c r="J37896" s="63"/>
    </row>
    <row r="37897" spans="9:10" x14ac:dyDescent="0.35">
      <c r="I37897" s="63"/>
      <c r="J37897" s="63"/>
    </row>
    <row r="37898" spans="9:10" x14ac:dyDescent="0.35">
      <c r="I37898" s="63"/>
      <c r="J37898" s="63"/>
    </row>
    <row r="37899" spans="9:10" x14ac:dyDescent="0.35">
      <c r="I37899" s="63"/>
      <c r="J37899" s="63"/>
    </row>
    <row r="37900" spans="9:10" x14ac:dyDescent="0.35">
      <c r="I37900" s="63"/>
      <c r="J37900" s="63"/>
    </row>
    <row r="37901" spans="9:10" x14ac:dyDescent="0.35">
      <c r="I37901" s="63"/>
      <c r="J37901" s="63"/>
    </row>
    <row r="37902" spans="9:10" x14ac:dyDescent="0.35">
      <c r="I37902" s="63"/>
      <c r="J37902" s="63"/>
    </row>
    <row r="37903" spans="9:10" x14ac:dyDescent="0.35">
      <c r="I37903" s="63"/>
      <c r="J37903" s="63"/>
    </row>
    <row r="37904" spans="9:10" x14ac:dyDescent="0.35">
      <c r="I37904" s="63"/>
      <c r="J37904" s="63"/>
    </row>
    <row r="37905" spans="9:10" x14ac:dyDescent="0.35">
      <c r="I37905" s="63"/>
      <c r="J37905" s="63"/>
    </row>
    <row r="37906" spans="9:10" x14ac:dyDescent="0.35">
      <c r="I37906" s="63"/>
      <c r="J37906" s="63"/>
    </row>
    <row r="37907" spans="9:10" x14ac:dyDescent="0.35">
      <c r="I37907" s="63"/>
      <c r="J37907" s="63"/>
    </row>
    <row r="37908" spans="9:10" x14ac:dyDescent="0.35">
      <c r="I37908" s="63"/>
      <c r="J37908" s="63"/>
    </row>
    <row r="37909" spans="9:10" x14ac:dyDescent="0.35">
      <c r="I37909" s="63"/>
      <c r="J37909" s="63"/>
    </row>
    <row r="37910" spans="9:10" x14ac:dyDescent="0.35">
      <c r="I37910" s="63"/>
      <c r="J37910" s="63"/>
    </row>
    <row r="37911" spans="9:10" x14ac:dyDescent="0.35">
      <c r="I37911" s="63"/>
      <c r="J37911" s="63"/>
    </row>
    <row r="37912" spans="9:10" x14ac:dyDescent="0.35">
      <c r="I37912" s="63"/>
      <c r="J37912" s="63"/>
    </row>
    <row r="37913" spans="9:10" x14ac:dyDescent="0.35">
      <c r="I37913" s="63"/>
      <c r="J37913" s="63"/>
    </row>
    <row r="37914" spans="9:10" x14ac:dyDescent="0.35">
      <c r="I37914" s="63"/>
      <c r="J37914" s="63"/>
    </row>
    <row r="37915" spans="9:10" x14ac:dyDescent="0.35">
      <c r="I37915" s="63"/>
      <c r="J37915" s="63"/>
    </row>
    <row r="37916" spans="9:10" x14ac:dyDescent="0.35">
      <c r="I37916" s="63"/>
      <c r="J37916" s="63"/>
    </row>
    <row r="37917" spans="9:10" x14ac:dyDescent="0.35">
      <c r="I37917" s="63"/>
      <c r="J37917" s="63"/>
    </row>
    <row r="37918" spans="9:10" x14ac:dyDescent="0.35">
      <c r="I37918" s="63"/>
      <c r="J37918" s="63"/>
    </row>
    <row r="37919" spans="9:10" x14ac:dyDescent="0.35">
      <c r="I37919" s="63"/>
      <c r="J37919" s="63"/>
    </row>
    <row r="37920" spans="9:10" x14ac:dyDescent="0.35">
      <c r="I37920" s="63"/>
      <c r="J37920" s="63"/>
    </row>
    <row r="37921" spans="9:10" x14ac:dyDescent="0.35">
      <c r="I37921" s="63"/>
      <c r="J37921" s="63"/>
    </row>
    <row r="37922" spans="9:10" x14ac:dyDescent="0.35">
      <c r="I37922" s="63"/>
      <c r="J37922" s="63"/>
    </row>
    <row r="37923" spans="9:10" x14ac:dyDescent="0.35">
      <c r="I37923" s="63"/>
      <c r="J37923" s="63"/>
    </row>
    <row r="37924" spans="9:10" x14ac:dyDescent="0.35">
      <c r="I37924" s="63"/>
      <c r="J37924" s="63"/>
    </row>
    <row r="37925" spans="9:10" x14ac:dyDescent="0.35">
      <c r="I37925" s="63"/>
      <c r="J37925" s="63"/>
    </row>
    <row r="37926" spans="9:10" x14ac:dyDescent="0.35">
      <c r="I37926" s="63"/>
      <c r="J37926" s="63"/>
    </row>
    <row r="37927" spans="9:10" x14ac:dyDescent="0.35">
      <c r="I37927" s="63"/>
      <c r="J37927" s="63"/>
    </row>
    <row r="37928" spans="9:10" x14ac:dyDescent="0.35">
      <c r="I37928" s="63"/>
      <c r="J37928" s="63"/>
    </row>
    <row r="37929" spans="9:10" x14ac:dyDescent="0.35">
      <c r="I37929" s="63"/>
      <c r="J37929" s="63"/>
    </row>
    <row r="37930" spans="9:10" x14ac:dyDescent="0.35">
      <c r="I37930" s="63"/>
      <c r="J37930" s="63"/>
    </row>
    <row r="37931" spans="9:10" x14ac:dyDescent="0.35">
      <c r="I37931" s="63"/>
      <c r="J37931" s="63"/>
    </row>
    <row r="37932" spans="9:10" x14ac:dyDescent="0.35">
      <c r="I37932" s="63"/>
      <c r="J37932" s="63"/>
    </row>
    <row r="37933" spans="9:10" x14ac:dyDescent="0.35">
      <c r="I37933" s="63"/>
      <c r="J37933" s="63"/>
    </row>
    <row r="37934" spans="9:10" x14ac:dyDescent="0.35">
      <c r="I37934" s="63"/>
      <c r="J37934" s="63"/>
    </row>
    <row r="37935" spans="9:10" x14ac:dyDescent="0.35">
      <c r="I37935" s="63"/>
      <c r="J37935" s="63"/>
    </row>
    <row r="37936" spans="9:10" x14ac:dyDescent="0.35">
      <c r="I37936" s="63"/>
      <c r="J37936" s="63"/>
    </row>
    <row r="37937" spans="9:10" x14ac:dyDescent="0.35">
      <c r="I37937" s="63"/>
      <c r="J37937" s="63"/>
    </row>
    <row r="37938" spans="9:10" x14ac:dyDescent="0.35">
      <c r="I37938" s="63"/>
      <c r="J37938" s="63"/>
    </row>
    <row r="37939" spans="9:10" x14ac:dyDescent="0.35">
      <c r="I37939" s="63"/>
      <c r="J37939" s="63"/>
    </row>
    <row r="37940" spans="9:10" x14ac:dyDescent="0.35">
      <c r="I37940" s="63"/>
      <c r="J37940" s="63"/>
    </row>
    <row r="37941" spans="9:10" x14ac:dyDescent="0.35">
      <c r="I37941" s="63"/>
      <c r="J37941" s="63"/>
    </row>
    <row r="37942" spans="9:10" x14ac:dyDescent="0.35">
      <c r="I37942" s="63"/>
      <c r="J37942" s="63"/>
    </row>
    <row r="37943" spans="9:10" x14ac:dyDescent="0.35">
      <c r="I37943" s="63"/>
      <c r="J37943" s="63"/>
    </row>
    <row r="37944" spans="9:10" x14ac:dyDescent="0.35">
      <c r="I37944" s="63"/>
      <c r="J37944" s="63"/>
    </row>
    <row r="37945" spans="9:10" x14ac:dyDescent="0.35">
      <c r="I37945" s="63"/>
      <c r="J37945" s="63"/>
    </row>
    <row r="37946" spans="9:10" x14ac:dyDescent="0.35">
      <c r="I37946" s="63"/>
      <c r="J37946" s="63"/>
    </row>
    <row r="37947" spans="9:10" x14ac:dyDescent="0.35">
      <c r="I37947" s="63"/>
      <c r="J37947" s="63"/>
    </row>
    <row r="37948" spans="9:10" x14ac:dyDescent="0.35">
      <c r="I37948" s="63"/>
      <c r="J37948" s="63"/>
    </row>
    <row r="37949" spans="9:10" x14ac:dyDescent="0.35">
      <c r="I37949" s="63"/>
      <c r="J37949" s="63"/>
    </row>
    <row r="37950" spans="9:10" x14ac:dyDescent="0.35">
      <c r="I37950" s="63"/>
      <c r="J37950" s="63"/>
    </row>
    <row r="37951" spans="9:10" x14ac:dyDescent="0.35">
      <c r="I37951" s="63"/>
      <c r="J37951" s="63"/>
    </row>
    <row r="37952" spans="9:10" x14ac:dyDescent="0.35">
      <c r="I37952" s="63"/>
      <c r="J37952" s="63"/>
    </row>
    <row r="37953" spans="9:10" x14ac:dyDescent="0.35">
      <c r="I37953" s="63"/>
      <c r="J37953" s="63"/>
    </row>
    <row r="37954" spans="9:10" x14ac:dyDescent="0.35">
      <c r="I37954" s="63"/>
      <c r="J37954" s="63"/>
    </row>
    <row r="37955" spans="9:10" x14ac:dyDescent="0.35">
      <c r="I37955" s="63"/>
      <c r="J37955" s="63"/>
    </row>
    <row r="37956" spans="9:10" x14ac:dyDescent="0.35">
      <c r="I37956" s="63"/>
      <c r="J37956" s="63"/>
    </row>
    <row r="37957" spans="9:10" x14ac:dyDescent="0.35">
      <c r="I37957" s="63"/>
      <c r="J37957" s="63"/>
    </row>
    <row r="37958" spans="9:10" x14ac:dyDescent="0.35">
      <c r="I37958" s="63"/>
      <c r="J37958" s="63"/>
    </row>
    <row r="37959" spans="9:10" x14ac:dyDescent="0.35">
      <c r="I37959" s="63"/>
      <c r="J37959" s="63"/>
    </row>
    <row r="37960" spans="9:10" x14ac:dyDescent="0.35">
      <c r="I37960" s="63"/>
      <c r="J37960" s="63"/>
    </row>
    <row r="37961" spans="9:10" x14ac:dyDescent="0.35">
      <c r="I37961" s="63"/>
      <c r="J37961" s="63"/>
    </row>
    <row r="37962" spans="9:10" x14ac:dyDescent="0.35">
      <c r="I37962" s="63"/>
      <c r="J37962" s="63"/>
    </row>
    <row r="37963" spans="9:10" x14ac:dyDescent="0.35">
      <c r="I37963" s="63"/>
      <c r="J37963" s="63"/>
    </row>
    <row r="37964" spans="9:10" x14ac:dyDescent="0.35">
      <c r="I37964" s="63"/>
      <c r="J37964" s="63"/>
    </row>
    <row r="37965" spans="9:10" x14ac:dyDescent="0.35">
      <c r="I37965" s="63"/>
      <c r="J37965" s="63"/>
    </row>
    <row r="37966" spans="9:10" x14ac:dyDescent="0.35">
      <c r="I37966" s="63"/>
      <c r="J37966" s="63"/>
    </row>
    <row r="37967" spans="9:10" x14ac:dyDescent="0.35">
      <c r="I37967" s="63"/>
      <c r="J37967" s="63"/>
    </row>
    <row r="37968" spans="9:10" x14ac:dyDescent="0.35">
      <c r="I37968" s="63"/>
      <c r="J37968" s="63"/>
    </row>
    <row r="37969" spans="9:10" x14ac:dyDescent="0.35">
      <c r="I37969" s="63"/>
      <c r="J37969" s="63"/>
    </row>
    <row r="37970" spans="9:10" x14ac:dyDescent="0.35">
      <c r="I37970" s="63"/>
      <c r="J37970" s="63"/>
    </row>
    <row r="37971" spans="9:10" x14ac:dyDescent="0.35">
      <c r="I37971" s="63"/>
      <c r="J37971" s="63"/>
    </row>
    <row r="37972" spans="9:10" x14ac:dyDescent="0.35">
      <c r="I37972" s="63"/>
      <c r="J37972" s="63"/>
    </row>
    <row r="37973" spans="9:10" x14ac:dyDescent="0.35">
      <c r="I37973" s="63"/>
      <c r="J37973" s="63"/>
    </row>
    <row r="37974" spans="9:10" x14ac:dyDescent="0.35">
      <c r="I37974" s="63"/>
      <c r="J37974" s="63"/>
    </row>
    <row r="37975" spans="9:10" x14ac:dyDescent="0.35">
      <c r="I37975" s="63"/>
      <c r="J37975" s="63"/>
    </row>
    <row r="37976" spans="9:10" x14ac:dyDescent="0.35">
      <c r="I37976" s="63"/>
      <c r="J37976" s="63"/>
    </row>
    <row r="37977" spans="9:10" x14ac:dyDescent="0.35">
      <c r="I37977" s="63"/>
      <c r="J37977" s="63"/>
    </row>
    <row r="37978" spans="9:10" x14ac:dyDescent="0.35">
      <c r="I37978" s="63"/>
      <c r="J37978" s="63"/>
    </row>
    <row r="37979" spans="9:10" x14ac:dyDescent="0.35">
      <c r="I37979" s="63"/>
      <c r="J37979" s="63"/>
    </row>
    <row r="37980" spans="9:10" x14ac:dyDescent="0.35">
      <c r="I37980" s="63"/>
      <c r="J37980" s="63"/>
    </row>
    <row r="37981" spans="9:10" x14ac:dyDescent="0.35">
      <c r="I37981" s="63"/>
      <c r="J37981" s="63"/>
    </row>
    <row r="37982" spans="9:10" x14ac:dyDescent="0.35">
      <c r="I37982" s="63"/>
      <c r="J37982" s="63"/>
    </row>
    <row r="37983" spans="9:10" x14ac:dyDescent="0.35">
      <c r="I37983" s="63"/>
      <c r="J37983" s="63"/>
    </row>
    <row r="37984" spans="9:10" x14ac:dyDescent="0.35">
      <c r="I37984" s="63"/>
      <c r="J37984" s="63"/>
    </row>
    <row r="37985" spans="9:10" x14ac:dyDescent="0.35">
      <c r="I37985" s="63"/>
      <c r="J37985" s="63"/>
    </row>
    <row r="37986" spans="9:10" x14ac:dyDescent="0.35">
      <c r="I37986" s="63"/>
      <c r="J37986" s="63"/>
    </row>
    <row r="37987" spans="9:10" x14ac:dyDescent="0.35">
      <c r="I37987" s="63"/>
      <c r="J37987" s="63"/>
    </row>
    <row r="37988" spans="9:10" x14ac:dyDescent="0.35">
      <c r="I37988" s="63"/>
      <c r="J37988" s="63"/>
    </row>
    <row r="37989" spans="9:10" x14ac:dyDescent="0.35">
      <c r="I37989" s="63"/>
      <c r="J37989" s="63"/>
    </row>
    <row r="37990" spans="9:10" x14ac:dyDescent="0.35">
      <c r="I37990" s="63"/>
      <c r="J37990" s="63"/>
    </row>
    <row r="37991" spans="9:10" x14ac:dyDescent="0.35">
      <c r="I37991" s="63"/>
      <c r="J37991" s="63"/>
    </row>
    <row r="37992" spans="9:10" x14ac:dyDescent="0.35">
      <c r="I37992" s="63"/>
      <c r="J37992" s="63"/>
    </row>
    <row r="37993" spans="9:10" x14ac:dyDescent="0.35">
      <c r="I37993" s="63"/>
      <c r="J37993" s="63"/>
    </row>
    <row r="37994" spans="9:10" x14ac:dyDescent="0.35">
      <c r="I37994" s="63"/>
      <c r="J37994" s="63"/>
    </row>
    <row r="37995" spans="9:10" x14ac:dyDescent="0.35">
      <c r="I37995" s="63"/>
      <c r="J37995" s="63"/>
    </row>
    <row r="37996" spans="9:10" x14ac:dyDescent="0.35">
      <c r="I37996" s="63"/>
      <c r="J37996" s="63"/>
    </row>
    <row r="37997" spans="9:10" x14ac:dyDescent="0.35">
      <c r="I37997" s="63"/>
      <c r="J37997" s="63"/>
    </row>
    <row r="37998" spans="9:10" x14ac:dyDescent="0.35">
      <c r="I37998" s="63"/>
      <c r="J37998" s="63"/>
    </row>
    <row r="37999" spans="9:10" x14ac:dyDescent="0.35">
      <c r="I37999" s="63"/>
      <c r="J37999" s="63"/>
    </row>
    <row r="38000" spans="9:10" x14ac:dyDescent="0.35">
      <c r="I38000" s="63"/>
      <c r="J38000" s="63"/>
    </row>
    <row r="38001" spans="9:10" x14ac:dyDescent="0.35">
      <c r="I38001" s="63"/>
      <c r="J38001" s="63"/>
    </row>
    <row r="38002" spans="9:10" x14ac:dyDescent="0.35">
      <c r="I38002" s="63"/>
      <c r="J38002" s="63"/>
    </row>
    <row r="38003" spans="9:10" x14ac:dyDescent="0.35">
      <c r="I38003" s="63"/>
      <c r="J38003" s="63"/>
    </row>
    <row r="38004" spans="9:10" x14ac:dyDescent="0.35">
      <c r="I38004" s="63"/>
      <c r="J38004" s="63"/>
    </row>
    <row r="38005" spans="9:10" x14ac:dyDescent="0.35">
      <c r="I38005" s="63"/>
      <c r="J38005" s="63"/>
    </row>
    <row r="38006" spans="9:10" x14ac:dyDescent="0.35">
      <c r="I38006" s="63"/>
      <c r="J38006" s="63"/>
    </row>
    <row r="38007" spans="9:10" x14ac:dyDescent="0.35">
      <c r="I38007" s="63"/>
      <c r="J38007" s="63"/>
    </row>
    <row r="38008" spans="9:10" x14ac:dyDescent="0.35">
      <c r="I38008" s="63"/>
      <c r="J38008" s="63"/>
    </row>
    <row r="38009" spans="9:10" x14ac:dyDescent="0.35">
      <c r="I38009" s="63"/>
      <c r="J38009" s="63"/>
    </row>
    <row r="38010" spans="9:10" x14ac:dyDescent="0.35">
      <c r="I38010" s="63"/>
      <c r="J38010" s="63"/>
    </row>
    <row r="38011" spans="9:10" x14ac:dyDescent="0.35">
      <c r="I38011" s="63"/>
      <c r="J38011" s="63"/>
    </row>
    <row r="38012" spans="9:10" x14ac:dyDescent="0.35">
      <c r="I38012" s="63"/>
      <c r="J38012" s="63"/>
    </row>
    <row r="38013" spans="9:10" x14ac:dyDescent="0.35">
      <c r="I38013" s="63"/>
      <c r="J38013" s="63"/>
    </row>
    <row r="38014" spans="9:10" x14ac:dyDescent="0.35">
      <c r="I38014" s="63"/>
      <c r="J38014" s="63"/>
    </row>
    <row r="38015" spans="9:10" x14ac:dyDescent="0.35">
      <c r="I38015" s="63"/>
      <c r="J38015" s="63"/>
    </row>
    <row r="38016" spans="9:10" x14ac:dyDescent="0.35">
      <c r="I38016" s="63"/>
      <c r="J38016" s="63"/>
    </row>
    <row r="38017" spans="9:10" x14ac:dyDescent="0.35">
      <c r="I38017" s="63"/>
      <c r="J38017" s="63"/>
    </row>
    <row r="38018" spans="9:10" x14ac:dyDescent="0.35">
      <c r="I38018" s="63"/>
      <c r="J38018" s="63"/>
    </row>
    <row r="38019" spans="9:10" x14ac:dyDescent="0.35">
      <c r="I38019" s="63"/>
      <c r="J38019" s="63"/>
    </row>
    <row r="38020" spans="9:10" x14ac:dyDescent="0.35">
      <c r="I38020" s="63"/>
      <c r="J38020" s="63"/>
    </row>
    <row r="38021" spans="9:10" x14ac:dyDescent="0.35">
      <c r="I38021" s="63"/>
      <c r="J38021" s="63"/>
    </row>
    <row r="38022" spans="9:10" x14ac:dyDescent="0.35">
      <c r="I38022" s="63"/>
      <c r="J38022" s="63"/>
    </row>
    <row r="38023" spans="9:10" x14ac:dyDescent="0.35">
      <c r="I38023" s="63"/>
      <c r="J38023" s="63"/>
    </row>
    <row r="38024" spans="9:10" x14ac:dyDescent="0.35">
      <c r="I38024" s="63"/>
      <c r="J38024" s="63"/>
    </row>
    <row r="38025" spans="9:10" x14ac:dyDescent="0.35">
      <c r="I38025" s="63"/>
      <c r="J38025" s="63"/>
    </row>
    <row r="38026" spans="9:10" x14ac:dyDescent="0.35">
      <c r="I38026" s="63"/>
      <c r="J38026" s="63"/>
    </row>
    <row r="38027" spans="9:10" x14ac:dyDescent="0.35">
      <c r="I38027" s="63"/>
      <c r="J38027" s="63"/>
    </row>
    <row r="38028" spans="9:10" x14ac:dyDescent="0.35">
      <c r="I38028" s="63"/>
      <c r="J38028" s="63"/>
    </row>
    <row r="38029" spans="9:10" x14ac:dyDescent="0.35">
      <c r="I38029" s="63"/>
      <c r="J38029" s="63"/>
    </row>
    <row r="38030" spans="9:10" x14ac:dyDescent="0.35">
      <c r="I38030" s="63"/>
      <c r="J38030" s="63"/>
    </row>
    <row r="38031" spans="9:10" x14ac:dyDescent="0.35">
      <c r="I38031" s="63"/>
      <c r="J38031" s="63"/>
    </row>
    <row r="38032" spans="9:10" x14ac:dyDescent="0.35">
      <c r="I38032" s="63"/>
      <c r="J38032" s="63"/>
    </row>
    <row r="38033" spans="9:10" x14ac:dyDescent="0.35">
      <c r="I38033" s="63"/>
      <c r="J38033" s="63"/>
    </row>
    <row r="38034" spans="9:10" x14ac:dyDescent="0.35">
      <c r="I38034" s="63"/>
      <c r="J38034" s="63"/>
    </row>
    <row r="38035" spans="9:10" x14ac:dyDescent="0.35">
      <c r="I38035" s="63"/>
      <c r="J38035" s="63"/>
    </row>
    <row r="38036" spans="9:10" x14ac:dyDescent="0.35">
      <c r="I38036" s="63"/>
      <c r="J38036" s="63"/>
    </row>
    <row r="38037" spans="9:10" x14ac:dyDescent="0.35">
      <c r="I38037" s="63"/>
      <c r="J38037" s="63"/>
    </row>
    <row r="38038" spans="9:10" x14ac:dyDescent="0.35">
      <c r="I38038" s="63"/>
      <c r="J38038" s="63"/>
    </row>
    <row r="38039" spans="9:10" x14ac:dyDescent="0.35">
      <c r="I38039" s="63"/>
      <c r="J38039" s="63"/>
    </row>
    <row r="38040" spans="9:10" x14ac:dyDescent="0.35">
      <c r="I38040" s="63"/>
      <c r="J38040" s="63"/>
    </row>
    <row r="38041" spans="9:10" x14ac:dyDescent="0.35">
      <c r="I38041" s="63"/>
      <c r="J38041" s="63"/>
    </row>
    <row r="38042" spans="9:10" x14ac:dyDescent="0.35">
      <c r="I38042" s="63"/>
      <c r="J38042" s="63"/>
    </row>
    <row r="38043" spans="9:10" x14ac:dyDescent="0.35">
      <c r="I38043" s="63"/>
      <c r="J38043" s="63"/>
    </row>
    <row r="38044" spans="9:10" x14ac:dyDescent="0.35">
      <c r="I38044" s="63"/>
      <c r="J38044" s="63"/>
    </row>
    <row r="38045" spans="9:10" x14ac:dyDescent="0.35">
      <c r="I38045" s="63"/>
      <c r="J38045" s="63"/>
    </row>
    <row r="38046" spans="9:10" x14ac:dyDescent="0.35">
      <c r="I38046" s="63"/>
      <c r="J38046" s="63"/>
    </row>
    <row r="38047" spans="9:10" x14ac:dyDescent="0.35">
      <c r="I38047" s="63"/>
      <c r="J38047" s="63"/>
    </row>
    <row r="38048" spans="9:10" x14ac:dyDescent="0.35">
      <c r="I38048" s="63"/>
      <c r="J38048" s="63"/>
    </row>
    <row r="38049" spans="9:10" x14ac:dyDescent="0.35">
      <c r="I38049" s="63"/>
      <c r="J38049" s="63"/>
    </row>
    <row r="38050" spans="9:10" x14ac:dyDescent="0.35">
      <c r="I38050" s="63"/>
      <c r="J38050" s="63"/>
    </row>
    <row r="38051" spans="9:10" x14ac:dyDescent="0.35">
      <c r="I38051" s="63"/>
      <c r="J38051" s="63"/>
    </row>
    <row r="38052" spans="9:10" x14ac:dyDescent="0.35">
      <c r="I38052" s="63"/>
      <c r="J38052" s="63"/>
    </row>
    <row r="38053" spans="9:10" x14ac:dyDescent="0.35">
      <c r="I38053" s="63"/>
      <c r="J38053" s="63"/>
    </row>
    <row r="38054" spans="9:10" x14ac:dyDescent="0.35">
      <c r="I38054" s="63"/>
      <c r="J38054" s="63"/>
    </row>
    <row r="38055" spans="9:10" x14ac:dyDescent="0.35">
      <c r="I38055" s="63"/>
      <c r="J38055" s="63"/>
    </row>
    <row r="38056" spans="9:10" x14ac:dyDescent="0.35">
      <c r="I38056" s="63"/>
      <c r="J38056" s="63"/>
    </row>
    <row r="38057" spans="9:10" x14ac:dyDescent="0.35">
      <c r="I38057" s="63"/>
      <c r="J38057" s="63"/>
    </row>
    <row r="38058" spans="9:10" x14ac:dyDescent="0.35">
      <c r="I38058" s="63"/>
      <c r="J38058" s="63"/>
    </row>
    <row r="38059" spans="9:10" x14ac:dyDescent="0.35">
      <c r="I38059" s="63"/>
      <c r="J38059" s="63"/>
    </row>
    <row r="38060" spans="9:10" x14ac:dyDescent="0.35">
      <c r="I38060" s="63"/>
      <c r="J38060" s="63"/>
    </row>
    <row r="38061" spans="9:10" x14ac:dyDescent="0.35">
      <c r="I38061" s="63"/>
      <c r="J38061" s="63"/>
    </row>
    <row r="38062" spans="9:10" x14ac:dyDescent="0.35">
      <c r="I38062" s="63"/>
      <c r="J38062" s="63"/>
    </row>
    <row r="38063" spans="9:10" x14ac:dyDescent="0.35">
      <c r="I38063" s="63"/>
      <c r="J38063" s="63"/>
    </row>
    <row r="38064" spans="9:10" x14ac:dyDescent="0.35">
      <c r="I38064" s="63"/>
      <c r="J38064" s="63"/>
    </row>
    <row r="38065" spans="9:10" x14ac:dyDescent="0.35">
      <c r="I38065" s="63"/>
      <c r="J38065" s="63"/>
    </row>
    <row r="38066" spans="9:10" x14ac:dyDescent="0.35">
      <c r="I38066" s="63"/>
      <c r="J38066" s="63"/>
    </row>
    <row r="38067" spans="9:10" x14ac:dyDescent="0.35">
      <c r="I38067" s="63"/>
      <c r="J38067" s="63"/>
    </row>
    <row r="38068" spans="9:10" x14ac:dyDescent="0.35">
      <c r="I38068" s="63"/>
      <c r="J38068" s="63"/>
    </row>
    <row r="38069" spans="9:10" x14ac:dyDescent="0.35">
      <c r="I38069" s="63"/>
      <c r="J38069" s="63"/>
    </row>
    <row r="38070" spans="9:10" x14ac:dyDescent="0.35">
      <c r="I38070" s="63"/>
      <c r="J38070" s="63"/>
    </row>
    <row r="38071" spans="9:10" x14ac:dyDescent="0.35">
      <c r="I38071" s="63"/>
      <c r="J38071" s="63"/>
    </row>
    <row r="38072" spans="9:10" x14ac:dyDescent="0.35">
      <c r="I38072" s="63"/>
      <c r="J38072" s="63"/>
    </row>
    <row r="38073" spans="9:10" x14ac:dyDescent="0.35">
      <c r="I38073" s="63"/>
      <c r="J38073" s="63"/>
    </row>
    <row r="38074" spans="9:10" x14ac:dyDescent="0.35">
      <c r="I38074" s="63"/>
      <c r="J38074" s="63"/>
    </row>
    <row r="38075" spans="9:10" x14ac:dyDescent="0.35">
      <c r="I38075" s="63"/>
      <c r="J38075" s="63"/>
    </row>
    <row r="38076" spans="9:10" x14ac:dyDescent="0.35">
      <c r="I38076" s="63"/>
      <c r="J38076" s="63"/>
    </row>
    <row r="38077" spans="9:10" x14ac:dyDescent="0.35">
      <c r="I38077" s="63"/>
      <c r="J38077" s="63"/>
    </row>
    <row r="38078" spans="9:10" x14ac:dyDescent="0.35">
      <c r="I38078" s="63"/>
      <c r="J38078" s="63"/>
    </row>
    <row r="38079" spans="9:10" x14ac:dyDescent="0.35">
      <c r="I38079" s="63"/>
      <c r="J38079" s="63"/>
    </row>
    <row r="38080" spans="9:10" x14ac:dyDescent="0.35">
      <c r="I38080" s="63"/>
      <c r="J38080" s="63"/>
    </row>
    <row r="38081" spans="9:10" x14ac:dyDescent="0.35">
      <c r="I38081" s="63"/>
      <c r="J38081" s="63"/>
    </row>
    <row r="38082" spans="9:10" x14ac:dyDescent="0.35">
      <c r="I38082" s="63"/>
      <c r="J38082" s="63"/>
    </row>
    <row r="38083" spans="9:10" x14ac:dyDescent="0.35">
      <c r="I38083" s="63"/>
      <c r="J38083" s="63"/>
    </row>
    <row r="38084" spans="9:10" x14ac:dyDescent="0.35">
      <c r="I38084" s="63"/>
      <c r="J38084" s="63"/>
    </row>
    <row r="38085" spans="9:10" x14ac:dyDescent="0.35">
      <c r="I38085" s="63"/>
      <c r="J38085" s="63"/>
    </row>
    <row r="38086" spans="9:10" x14ac:dyDescent="0.35">
      <c r="I38086" s="63"/>
      <c r="J38086" s="63"/>
    </row>
    <row r="38087" spans="9:10" x14ac:dyDescent="0.35">
      <c r="I38087" s="63"/>
      <c r="J38087" s="63"/>
    </row>
    <row r="38088" spans="9:10" x14ac:dyDescent="0.35">
      <c r="I38088" s="63"/>
      <c r="J38088" s="63"/>
    </row>
    <row r="38089" spans="9:10" x14ac:dyDescent="0.35">
      <c r="I38089" s="63"/>
      <c r="J38089" s="63"/>
    </row>
    <row r="38090" spans="9:10" x14ac:dyDescent="0.35">
      <c r="I38090" s="63"/>
      <c r="J38090" s="63"/>
    </row>
    <row r="38091" spans="9:10" x14ac:dyDescent="0.35">
      <c r="I38091" s="63"/>
      <c r="J38091" s="63"/>
    </row>
    <row r="38092" spans="9:10" x14ac:dyDescent="0.35">
      <c r="I38092" s="63"/>
      <c r="J38092" s="63"/>
    </row>
    <row r="38093" spans="9:10" x14ac:dyDescent="0.35">
      <c r="I38093" s="63"/>
      <c r="J38093" s="63"/>
    </row>
    <row r="38094" spans="9:10" x14ac:dyDescent="0.35">
      <c r="I38094" s="63"/>
      <c r="J38094" s="63"/>
    </row>
    <row r="38095" spans="9:10" x14ac:dyDescent="0.35">
      <c r="I38095" s="63"/>
      <c r="J38095" s="63"/>
    </row>
    <row r="38096" spans="9:10" x14ac:dyDescent="0.35">
      <c r="I38096" s="63"/>
      <c r="J38096" s="63"/>
    </row>
    <row r="38097" spans="9:10" x14ac:dyDescent="0.35">
      <c r="I38097" s="63"/>
      <c r="J38097" s="63"/>
    </row>
    <row r="38098" spans="9:10" x14ac:dyDescent="0.35">
      <c r="I38098" s="63"/>
      <c r="J38098" s="63"/>
    </row>
    <row r="38099" spans="9:10" x14ac:dyDescent="0.35">
      <c r="I38099" s="63"/>
      <c r="J38099" s="63"/>
    </row>
    <row r="38100" spans="9:10" x14ac:dyDescent="0.35">
      <c r="I38100" s="63"/>
      <c r="J38100" s="63"/>
    </row>
    <row r="38101" spans="9:10" x14ac:dyDescent="0.35">
      <c r="I38101" s="63"/>
      <c r="J38101" s="63"/>
    </row>
    <row r="38102" spans="9:10" x14ac:dyDescent="0.35">
      <c r="I38102" s="63"/>
      <c r="J38102" s="63"/>
    </row>
    <row r="38103" spans="9:10" x14ac:dyDescent="0.35">
      <c r="I38103" s="63"/>
      <c r="J38103" s="63"/>
    </row>
    <row r="38104" spans="9:10" x14ac:dyDescent="0.35">
      <c r="I38104" s="63"/>
      <c r="J38104" s="63"/>
    </row>
    <row r="38105" spans="9:10" x14ac:dyDescent="0.35">
      <c r="I38105" s="63"/>
      <c r="J38105" s="63"/>
    </row>
    <row r="38106" spans="9:10" x14ac:dyDescent="0.35">
      <c r="I38106" s="63"/>
      <c r="J38106" s="63"/>
    </row>
    <row r="38107" spans="9:10" x14ac:dyDescent="0.35">
      <c r="I38107" s="63"/>
      <c r="J38107" s="63"/>
    </row>
    <row r="38108" spans="9:10" x14ac:dyDescent="0.35">
      <c r="I38108" s="63"/>
      <c r="J38108" s="63"/>
    </row>
    <row r="38109" spans="9:10" x14ac:dyDescent="0.35">
      <c r="I38109" s="63"/>
      <c r="J38109" s="63"/>
    </row>
    <row r="38110" spans="9:10" x14ac:dyDescent="0.35">
      <c r="I38110" s="63"/>
      <c r="J38110" s="63"/>
    </row>
    <row r="38111" spans="9:10" x14ac:dyDescent="0.35">
      <c r="I38111" s="63"/>
      <c r="J38111" s="63"/>
    </row>
    <row r="38112" spans="9:10" x14ac:dyDescent="0.35">
      <c r="I38112" s="63"/>
      <c r="J38112" s="63"/>
    </row>
    <row r="38113" spans="9:10" x14ac:dyDescent="0.35">
      <c r="I38113" s="63"/>
      <c r="J38113" s="63"/>
    </row>
    <row r="38114" spans="9:10" x14ac:dyDescent="0.35">
      <c r="I38114" s="63"/>
      <c r="J38114" s="63"/>
    </row>
    <row r="38115" spans="9:10" x14ac:dyDescent="0.35">
      <c r="I38115" s="63"/>
      <c r="J38115" s="63"/>
    </row>
    <row r="38116" spans="9:10" x14ac:dyDescent="0.35">
      <c r="I38116" s="63"/>
      <c r="J38116" s="63"/>
    </row>
    <row r="38117" spans="9:10" x14ac:dyDescent="0.35">
      <c r="I38117" s="63"/>
      <c r="J38117" s="63"/>
    </row>
    <row r="38118" spans="9:10" x14ac:dyDescent="0.35">
      <c r="I38118" s="63"/>
      <c r="J38118" s="63"/>
    </row>
    <row r="38119" spans="9:10" x14ac:dyDescent="0.35">
      <c r="I38119" s="63"/>
      <c r="J38119" s="63"/>
    </row>
    <row r="38120" spans="9:10" x14ac:dyDescent="0.35">
      <c r="I38120" s="63"/>
      <c r="J38120" s="63"/>
    </row>
    <row r="38121" spans="9:10" x14ac:dyDescent="0.35">
      <c r="I38121" s="63"/>
      <c r="J38121" s="63"/>
    </row>
    <row r="38122" spans="9:10" x14ac:dyDescent="0.35">
      <c r="I38122" s="63"/>
      <c r="J38122" s="63"/>
    </row>
    <row r="38123" spans="9:10" x14ac:dyDescent="0.35">
      <c r="I38123" s="63"/>
      <c r="J38123" s="63"/>
    </row>
    <row r="38124" spans="9:10" x14ac:dyDescent="0.35">
      <c r="I38124" s="63"/>
      <c r="J38124" s="63"/>
    </row>
    <row r="38125" spans="9:10" x14ac:dyDescent="0.35">
      <c r="I38125" s="63"/>
      <c r="J38125" s="63"/>
    </row>
    <row r="38126" spans="9:10" x14ac:dyDescent="0.35">
      <c r="I38126" s="63"/>
      <c r="J38126" s="63"/>
    </row>
    <row r="38127" spans="9:10" x14ac:dyDescent="0.35">
      <c r="I38127" s="63"/>
      <c r="J38127" s="63"/>
    </row>
    <row r="38128" spans="9:10" x14ac:dyDescent="0.35">
      <c r="I38128" s="63"/>
      <c r="J38128" s="63"/>
    </row>
    <row r="38129" spans="9:10" x14ac:dyDescent="0.35">
      <c r="I38129" s="63"/>
      <c r="J38129" s="63"/>
    </row>
    <row r="38130" spans="9:10" x14ac:dyDescent="0.35">
      <c r="I38130" s="63"/>
      <c r="J38130" s="63"/>
    </row>
    <row r="38131" spans="9:10" x14ac:dyDescent="0.35">
      <c r="I38131" s="63"/>
      <c r="J38131" s="63"/>
    </row>
    <row r="38132" spans="9:10" x14ac:dyDescent="0.35">
      <c r="I38132" s="63"/>
      <c r="J38132" s="63"/>
    </row>
    <row r="38133" spans="9:10" x14ac:dyDescent="0.35">
      <c r="I38133" s="63"/>
      <c r="J38133" s="63"/>
    </row>
    <row r="38134" spans="9:10" x14ac:dyDescent="0.35">
      <c r="I38134" s="63"/>
      <c r="J38134" s="63"/>
    </row>
    <row r="38135" spans="9:10" x14ac:dyDescent="0.35">
      <c r="I38135" s="63"/>
      <c r="J38135" s="63"/>
    </row>
    <row r="38136" spans="9:10" x14ac:dyDescent="0.35">
      <c r="I38136" s="63"/>
      <c r="J38136" s="63"/>
    </row>
    <row r="38137" spans="9:10" x14ac:dyDescent="0.35">
      <c r="I38137" s="63"/>
      <c r="J38137" s="63"/>
    </row>
    <row r="38138" spans="9:10" x14ac:dyDescent="0.35">
      <c r="I38138" s="63"/>
      <c r="J38138" s="63"/>
    </row>
    <row r="38139" spans="9:10" x14ac:dyDescent="0.35">
      <c r="I38139" s="63"/>
      <c r="J38139" s="63"/>
    </row>
    <row r="38140" spans="9:10" x14ac:dyDescent="0.35">
      <c r="I38140" s="63"/>
      <c r="J38140" s="63"/>
    </row>
    <row r="38141" spans="9:10" x14ac:dyDescent="0.35">
      <c r="I38141" s="63"/>
      <c r="J38141" s="63"/>
    </row>
    <row r="38142" spans="9:10" x14ac:dyDescent="0.35">
      <c r="I38142" s="63"/>
      <c r="J38142" s="63"/>
    </row>
    <row r="38143" spans="9:10" x14ac:dyDescent="0.35">
      <c r="I38143" s="63"/>
      <c r="J38143" s="63"/>
    </row>
    <row r="38144" spans="9:10" x14ac:dyDescent="0.35">
      <c r="I38144" s="63"/>
      <c r="J38144" s="63"/>
    </row>
    <row r="38145" spans="9:10" x14ac:dyDescent="0.35">
      <c r="I38145" s="63"/>
      <c r="J38145" s="63"/>
    </row>
    <row r="38146" spans="9:10" x14ac:dyDescent="0.35">
      <c r="I38146" s="63"/>
      <c r="J38146" s="63"/>
    </row>
    <row r="38147" spans="9:10" x14ac:dyDescent="0.35">
      <c r="I38147" s="63"/>
      <c r="J38147" s="63"/>
    </row>
    <row r="38148" spans="9:10" x14ac:dyDescent="0.35">
      <c r="I38148" s="63"/>
      <c r="J38148" s="63"/>
    </row>
    <row r="38149" spans="9:10" x14ac:dyDescent="0.35">
      <c r="I38149" s="63"/>
      <c r="J38149" s="63"/>
    </row>
    <row r="38150" spans="9:10" x14ac:dyDescent="0.35">
      <c r="I38150" s="63"/>
      <c r="J38150" s="63"/>
    </row>
    <row r="38151" spans="9:10" x14ac:dyDescent="0.35">
      <c r="I38151" s="63"/>
      <c r="J38151" s="63"/>
    </row>
    <row r="38152" spans="9:10" x14ac:dyDescent="0.35">
      <c r="I38152" s="63"/>
      <c r="J38152" s="63"/>
    </row>
    <row r="38153" spans="9:10" x14ac:dyDescent="0.35">
      <c r="I38153" s="63"/>
      <c r="J38153" s="63"/>
    </row>
    <row r="38154" spans="9:10" x14ac:dyDescent="0.35">
      <c r="I38154" s="63"/>
      <c r="J38154" s="63"/>
    </row>
    <row r="38155" spans="9:10" x14ac:dyDescent="0.35">
      <c r="I38155" s="63"/>
      <c r="J38155" s="63"/>
    </row>
    <row r="38156" spans="9:10" x14ac:dyDescent="0.35">
      <c r="I38156" s="63"/>
      <c r="J38156" s="63"/>
    </row>
    <row r="38157" spans="9:10" x14ac:dyDescent="0.35">
      <c r="I38157" s="63"/>
      <c r="J38157" s="63"/>
    </row>
    <row r="38158" spans="9:10" x14ac:dyDescent="0.35">
      <c r="I38158" s="63"/>
      <c r="J38158" s="63"/>
    </row>
    <row r="38159" spans="9:10" x14ac:dyDescent="0.35">
      <c r="I38159" s="63"/>
      <c r="J38159" s="63"/>
    </row>
    <row r="38160" spans="9:10" x14ac:dyDescent="0.35">
      <c r="I38160" s="63"/>
      <c r="J38160" s="63"/>
    </row>
    <row r="38161" spans="9:10" x14ac:dyDescent="0.35">
      <c r="I38161" s="63"/>
      <c r="J38161" s="63"/>
    </row>
    <row r="38162" spans="9:10" x14ac:dyDescent="0.35">
      <c r="I38162" s="63"/>
      <c r="J38162" s="63"/>
    </row>
    <row r="38163" spans="9:10" x14ac:dyDescent="0.35">
      <c r="I38163" s="63"/>
      <c r="J38163" s="63"/>
    </row>
    <row r="38164" spans="9:10" x14ac:dyDescent="0.35">
      <c r="I38164" s="63"/>
      <c r="J38164" s="63"/>
    </row>
    <row r="38165" spans="9:10" x14ac:dyDescent="0.35">
      <c r="I38165" s="63"/>
      <c r="J38165" s="63"/>
    </row>
    <row r="38166" spans="9:10" x14ac:dyDescent="0.35">
      <c r="I38166" s="63"/>
      <c r="J38166" s="63"/>
    </row>
    <row r="38167" spans="9:10" x14ac:dyDescent="0.35">
      <c r="I38167" s="63"/>
      <c r="J38167" s="63"/>
    </row>
    <row r="38168" spans="9:10" x14ac:dyDescent="0.35">
      <c r="I38168" s="63"/>
      <c r="J38168" s="63"/>
    </row>
    <row r="38169" spans="9:10" x14ac:dyDescent="0.35">
      <c r="I38169" s="63"/>
      <c r="J38169" s="63"/>
    </row>
    <row r="38170" spans="9:10" x14ac:dyDescent="0.35">
      <c r="I38170" s="63"/>
      <c r="J38170" s="63"/>
    </row>
    <row r="38171" spans="9:10" x14ac:dyDescent="0.35">
      <c r="I38171" s="63"/>
      <c r="J38171" s="63"/>
    </row>
    <row r="38172" spans="9:10" x14ac:dyDescent="0.35">
      <c r="I38172" s="63"/>
      <c r="J38172" s="63"/>
    </row>
    <row r="38173" spans="9:10" x14ac:dyDescent="0.35">
      <c r="I38173" s="63"/>
      <c r="J38173" s="63"/>
    </row>
    <row r="38174" spans="9:10" x14ac:dyDescent="0.35">
      <c r="I38174" s="63"/>
      <c r="J38174" s="63"/>
    </row>
    <row r="38175" spans="9:10" x14ac:dyDescent="0.35">
      <c r="I38175" s="63"/>
      <c r="J38175" s="63"/>
    </row>
    <row r="38176" spans="9:10" x14ac:dyDescent="0.35">
      <c r="I38176" s="63"/>
      <c r="J38176" s="63"/>
    </row>
    <row r="38177" spans="9:10" x14ac:dyDescent="0.35">
      <c r="I38177" s="63"/>
      <c r="J38177" s="63"/>
    </row>
    <row r="38178" spans="9:10" x14ac:dyDescent="0.35">
      <c r="I38178" s="63"/>
      <c r="J38178" s="63"/>
    </row>
    <row r="38179" spans="9:10" x14ac:dyDescent="0.35">
      <c r="I38179" s="63"/>
      <c r="J38179" s="63"/>
    </row>
    <row r="38180" spans="9:10" x14ac:dyDescent="0.35">
      <c r="I38180" s="63"/>
      <c r="J38180" s="63"/>
    </row>
    <row r="38181" spans="9:10" x14ac:dyDescent="0.35">
      <c r="I38181" s="63"/>
      <c r="J38181" s="63"/>
    </row>
    <row r="38182" spans="9:10" x14ac:dyDescent="0.35">
      <c r="I38182" s="63"/>
      <c r="J38182" s="63"/>
    </row>
    <row r="38183" spans="9:10" x14ac:dyDescent="0.35">
      <c r="I38183" s="63"/>
      <c r="J38183" s="63"/>
    </row>
    <row r="38184" spans="9:10" x14ac:dyDescent="0.35">
      <c r="I38184" s="63"/>
      <c r="J38184" s="63"/>
    </row>
    <row r="38185" spans="9:10" x14ac:dyDescent="0.35">
      <c r="I38185" s="63"/>
      <c r="J38185" s="63"/>
    </row>
    <row r="38186" spans="9:10" x14ac:dyDescent="0.35">
      <c r="I38186" s="63"/>
      <c r="J38186" s="63"/>
    </row>
    <row r="38187" spans="9:10" x14ac:dyDescent="0.35">
      <c r="I38187" s="63"/>
      <c r="J38187" s="63"/>
    </row>
    <row r="38188" spans="9:10" x14ac:dyDescent="0.35">
      <c r="I38188" s="63"/>
      <c r="J38188" s="63"/>
    </row>
    <row r="38189" spans="9:10" x14ac:dyDescent="0.35">
      <c r="I38189" s="63"/>
      <c r="J38189" s="63"/>
    </row>
    <row r="38190" spans="9:10" x14ac:dyDescent="0.35">
      <c r="I38190" s="63"/>
      <c r="J38190" s="63"/>
    </row>
    <row r="38191" spans="9:10" x14ac:dyDescent="0.35">
      <c r="I38191" s="63"/>
      <c r="J38191" s="63"/>
    </row>
    <row r="38192" spans="9:10" x14ac:dyDescent="0.35">
      <c r="I38192" s="63"/>
      <c r="J38192" s="63"/>
    </row>
    <row r="38193" spans="9:10" x14ac:dyDescent="0.35">
      <c r="I38193" s="63"/>
      <c r="J38193" s="63"/>
    </row>
    <row r="38194" spans="9:10" x14ac:dyDescent="0.35">
      <c r="I38194" s="63"/>
      <c r="J38194" s="63"/>
    </row>
    <row r="38195" spans="9:10" x14ac:dyDescent="0.35">
      <c r="I38195" s="63"/>
      <c r="J38195" s="63"/>
    </row>
    <row r="38196" spans="9:10" x14ac:dyDescent="0.35">
      <c r="I38196" s="63"/>
      <c r="J38196" s="63"/>
    </row>
    <row r="38197" spans="9:10" x14ac:dyDescent="0.35">
      <c r="I38197" s="63"/>
      <c r="J38197" s="63"/>
    </row>
    <row r="38198" spans="9:10" x14ac:dyDescent="0.35">
      <c r="I38198" s="63"/>
      <c r="J38198" s="63"/>
    </row>
    <row r="38199" spans="9:10" x14ac:dyDescent="0.35">
      <c r="I38199" s="63"/>
      <c r="J38199" s="63"/>
    </row>
    <row r="38200" spans="9:10" x14ac:dyDescent="0.35">
      <c r="I38200" s="63"/>
      <c r="J38200" s="63"/>
    </row>
    <row r="38201" spans="9:10" x14ac:dyDescent="0.35">
      <c r="I38201" s="63"/>
      <c r="J38201" s="63"/>
    </row>
    <row r="38202" spans="9:10" x14ac:dyDescent="0.35">
      <c r="I38202" s="63"/>
      <c r="J38202" s="63"/>
    </row>
    <row r="38203" spans="9:10" x14ac:dyDescent="0.35">
      <c r="I38203" s="63"/>
      <c r="J38203" s="63"/>
    </row>
    <row r="38204" spans="9:10" x14ac:dyDescent="0.35">
      <c r="I38204" s="63"/>
      <c r="J38204" s="63"/>
    </row>
    <row r="38205" spans="9:10" x14ac:dyDescent="0.35">
      <c r="I38205" s="63"/>
      <c r="J38205" s="63"/>
    </row>
    <row r="38206" spans="9:10" x14ac:dyDescent="0.35">
      <c r="I38206" s="63"/>
      <c r="J38206" s="63"/>
    </row>
    <row r="38207" spans="9:10" x14ac:dyDescent="0.35">
      <c r="I38207" s="63"/>
      <c r="J38207" s="63"/>
    </row>
    <row r="38208" spans="9:10" x14ac:dyDescent="0.35">
      <c r="I38208" s="63"/>
      <c r="J38208" s="63"/>
    </row>
    <row r="38209" spans="9:10" x14ac:dyDescent="0.35">
      <c r="I38209" s="63"/>
      <c r="J38209" s="63"/>
    </row>
    <row r="38210" spans="9:10" x14ac:dyDescent="0.35">
      <c r="I38210" s="63"/>
      <c r="J38210" s="63"/>
    </row>
    <row r="38211" spans="9:10" x14ac:dyDescent="0.35">
      <c r="I38211" s="63"/>
      <c r="J38211" s="63"/>
    </row>
    <row r="38212" spans="9:10" x14ac:dyDescent="0.35">
      <c r="I38212" s="63"/>
      <c r="J38212" s="63"/>
    </row>
    <row r="38213" spans="9:10" x14ac:dyDescent="0.35">
      <c r="I38213" s="63"/>
      <c r="J38213" s="63"/>
    </row>
    <row r="38214" spans="9:10" x14ac:dyDescent="0.35">
      <c r="I38214" s="63"/>
      <c r="J38214" s="63"/>
    </row>
    <row r="38215" spans="9:10" x14ac:dyDescent="0.35">
      <c r="I38215" s="63"/>
      <c r="J38215" s="63"/>
    </row>
    <row r="38216" spans="9:10" x14ac:dyDescent="0.35">
      <c r="I38216" s="63"/>
      <c r="J38216" s="63"/>
    </row>
    <row r="38217" spans="9:10" x14ac:dyDescent="0.35">
      <c r="I38217" s="63"/>
      <c r="J38217" s="63"/>
    </row>
    <row r="38218" spans="9:10" x14ac:dyDescent="0.35">
      <c r="I38218" s="63"/>
      <c r="J38218" s="63"/>
    </row>
    <row r="38219" spans="9:10" x14ac:dyDescent="0.35">
      <c r="I38219" s="63"/>
      <c r="J38219" s="63"/>
    </row>
    <row r="38220" spans="9:10" x14ac:dyDescent="0.35">
      <c r="I38220" s="63"/>
      <c r="J38220" s="63"/>
    </row>
    <row r="38221" spans="9:10" x14ac:dyDescent="0.35">
      <c r="I38221" s="63"/>
      <c r="J38221" s="63"/>
    </row>
    <row r="38222" spans="9:10" x14ac:dyDescent="0.35">
      <c r="I38222" s="63"/>
      <c r="J38222" s="63"/>
    </row>
    <row r="38223" spans="9:10" x14ac:dyDescent="0.35">
      <c r="I38223" s="63"/>
      <c r="J38223" s="63"/>
    </row>
    <row r="38224" spans="9:10" x14ac:dyDescent="0.35">
      <c r="I38224" s="63"/>
      <c r="J38224" s="63"/>
    </row>
    <row r="38225" spans="9:10" x14ac:dyDescent="0.35">
      <c r="I38225" s="63"/>
      <c r="J38225" s="63"/>
    </row>
    <row r="38226" spans="9:10" x14ac:dyDescent="0.35">
      <c r="I38226" s="63"/>
      <c r="J38226" s="63"/>
    </row>
    <row r="38227" spans="9:10" x14ac:dyDescent="0.35">
      <c r="I38227" s="63"/>
      <c r="J38227" s="63"/>
    </row>
    <row r="38228" spans="9:10" x14ac:dyDescent="0.35">
      <c r="I38228" s="63"/>
      <c r="J38228" s="63"/>
    </row>
    <row r="38229" spans="9:10" x14ac:dyDescent="0.35">
      <c r="I38229" s="63"/>
      <c r="J38229" s="63"/>
    </row>
    <row r="38230" spans="9:10" x14ac:dyDescent="0.35">
      <c r="I38230" s="63"/>
      <c r="J38230" s="63"/>
    </row>
    <row r="38231" spans="9:10" x14ac:dyDescent="0.35">
      <c r="I38231" s="63"/>
      <c r="J38231" s="63"/>
    </row>
    <row r="38232" spans="9:10" x14ac:dyDescent="0.35">
      <c r="I38232" s="63"/>
      <c r="J38232" s="63"/>
    </row>
    <row r="38233" spans="9:10" x14ac:dyDescent="0.35">
      <c r="I38233" s="63"/>
      <c r="J38233" s="63"/>
    </row>
    <row r="38234" spans="9:10" x14ac:dyDescent="0.35">
      <c r="I38234" s="63"/>
      <c r="J38234" s="63"/>
    </row>
    <row r="38235" spans="9:10" x14ac:dyDescent="0.35">
      <c r="I38235" s="63"/>
      <c r="J38235" s="63"/>
    </row>
    <row r="38236" spans="9:10" x14ac:dyDescent="0.35">
      <c r="I38236" s="63"/>
      <c r="J38236" s="63"/>
    </row>
    <row r="38237" spans="9:10" x14ac:dyDescent="0.35">
      <c r="I38237" s="63"/>
      <c r="J38237" s="63"/>
    </row>
    <row r="38238" spans="9:10" x14ac:dyDescent="0.35">
      <c r="I38238" s="63"/>
      <c r="J38238" s="63"/>
    </row>
    <row r="38239" spans="9:10" x14ac:dyDescent="0.35">
      <c r="I38239" s="63"/>
      <c r="J38239" s="63"/>
    </row>
    <row r="38240" spans="9:10" x14ac:dyDescent="0.35">
      <c r="I38240" s="63"/>
      <c r="J38240" s="63"/>
    </row>
    <row r="38241" spans="9:10" x14ac:dyDescent="0.35">
      <c r="I38241" s="63"/>
      <c r="J38241" s="63"/>
    </row>
    <row r="38242" spans="9:10" x14ac:dyDescent="0.35">
      <c r="I38242" s="63"/>
      <c r="J38242" s="63"/>
    </row>
    <row r="38243" spans="9:10" x14ac:dyDescent="0.35">
      <c r="I38243" s="63"/>
      <c r="J38243" s="63"/>
    </row>
    <row r="38244" spans="9:10" x14ac:dyDescent="0.35">
      <c r="I38244" s="63"/>
      <c r="J38244" s="63"/>
    </row>
    <row r="38245" spans="9:10" x14ac:dyDescent="0.35">
      <c r="I38245" s="63"/>
      <c r="J38245" s="63"/>
    </row>
    <row r="38246" spans="9:10" x14ac:dyDescent="0.35">
      <c r="I38246" s="63"/>
      <c r="J38246" s="63"/>
    </row>
    <row r="38247" spans="9:10" x14ac:dyDescent="0.35">
      <c r="I38247" s="63"/>
      <c r="J38247" s="63"/>
    </row>
    <row r="38248" spans="9:10" x14ac:dyDescent="0.35">
      <c r="I38248" s="63"/>
      <c r="J38248" s="63"/>
    </row>
    <row r="38249" spans="9:10" x14ac:dyDescent="0.35">
      <c r="I38249" s="63"/>
      <c r="J38249" s="63"/>
    </row>
    <row r="38250" spans="9:10" x14ac:dyDescent="0.35">
      <c r="I38250" s="63"/>
      <c r="J38250" s="63"/>
    </row>
    <row r="38251" spans="9:10" x14ac:dyDescent="0.35">
      <c r="I38251" s="63"/>
      <c r="J38251" s="63"/>
    </row>
    <row r="38252" spans="9:10" x14ac:dyDescent="0.35">
      <c r="I38252" s="63"/>
      <c r="J38252" s="63"/>
    </row>
    <row r="38253" spans="9:10" x14ac:dyDescent="0.35">
      <c r="I38253" s="63"/>
      <c r="J38253" s="63"/>
    </row>
    <row r="38254" spans="9:10" x14ac:dyDescent="0.35">
      <c r="I38254" s="63"/>
      <c r="J38254" s="63"/>
    </row>
    <row r="38255" spans="9:10" x14ac:dyDescent="0.35">
      <c r="I38255" s="63"/>
      <c r="J38255" s="63"/>
    </row>
    <row r="38256" spans="9:10" x14ac:dyDescent="0.35">
      <c r="I38256" s="63"/>
      <c r="J38256" s="63"/>
    </row>
    <row r="38257" spans="9:10" x14ac:dyDescent="0.35">
      <c r="I38257" s="63"/>
      <c r="J38257" s="63"/>
    </row>
    <row r="38258" spans="9:10" x14ac:dyDescent="0.35">
      <c r="I38258" s="63"/>
      <c r="J38258" s="63"/>
    </row>
    <row r="38259" spans="9:10" x14ac:dyDescent="0.35">
      <c r="I38259" s="63"/>
      <c r="J38259" s="63"/>
    </row>
    <row r="38260" spans="9:10" x14ac:dyDescent="0.35">
      <c r="I38260" s="63"/>
      <c r="J38260" s="63"/>
    </row>
    <row r="38261" spans="9:10" x14ac:dyDescent="0.35">
      <c r="I38261" s="63"/>
      <c r="J38261" s="63"/>
    </row>
    <row r="38262" spans="9:10" x14ac:dyDescent="0.35">
      <c r="I38262" s="63"/>
      <c r="J38262" s="63"/>
    </row>
    <row r="38263" spans="9:10" x14ac:dyDescent="0.35">
      <c r="I38263" s="63"/>
      <c r="J38263" s="63"/>
    </row>
    <row r="38264" spans="9:10" x14ac:dyDescent="0.35">
      <c r="I38264" s="63"/>
      <c r="J38264" s="63"/>
    </row>
    <row r="38265" spans="9:10" x14ac:dyDescent="0.35">
      <c r="I38265" s="63"/>
      <c r="J38265" s="63"/>
    </row>
    <row r="38266" spans="9:10" x14ac:dyDescent="0.35">
      <c r="I38266" s="63"/>
      <c r="J38266" s="63"/>
    </row>
    <row r="38267" spans="9:10" x14ac:dyDescent="0.35">
      <c r="I38267" s="63"/>
      <c r="J38267" s="63"/>
    </row>
    <row r="38268" spans="9:10" x14ac:dyDescent="0.35">
      <c r="I38268" s="63"/>
      <c r="J38268" s="63"/>
    </row>
    <row r="38269" spans="9:10" x14ac:dyDescent="0.35">
      <c r="I38269" s="63"/>
      <c r="J38269" s="63"/>
    </row>
    <row r="38270" spans="9:10" x14ac:dyDescent="0.35">
      <c r="I38270" s="63"/>
      <c r="J38270" s="63"/>
    </row>
    <row r="38271" spans="9:10" x14ac:dyDescent="0.35">
      <c r="I38271" s="63"/>
      <c r="J38271" s="63"/>
    </row>
    <row r="38272" spans="9:10" x14ac:dyDescent="0.35">
      <c r="I38272" s="63"/>
      <c r="J38272" s="63"/>
    </row>
    <row r="38273" spans="9:10" x14ac:dyDescent="0.35">
      <c r="I38273" s="63"/>
      <c r="J38273" s="63"/>
    </row>
    <row r="38274" spans="9:10" x14ac:dyDescent="0.35">
      <c r="I38274" s="63"/>
      <c r="J38274" s="63"/>
    </row>
    <row r="38275" spans="9:10" x14ac:dyDescent="0.35">
      <c r="I38275" s="63"/>
      <c r="J38275" s="63"/>
    </row>
    <row r="38276" spans="9:10" x14ac:dyDescent="0.35">
      <c r="I38276" s="63"/>
      <c r="J38276" s="63"/>
    </row>
    <row r="38277" spans="9:10" x14ac:dyDescent="0.35">
      <c r="I38277" s="63"/>
      <c r="J38277" s="63"/>
    </row>
    <row r="38278" spans="9:10" x14ac:dyDescent="0.35">
      <c r="I38278" s="63"/>
      <c r="J38278" s="63"/>
    </row>
    <row r="38279" spans="9:10" x14ac:dyDescent="0.35">
      <c r="I38279" s="63"/>
      <c r="J38279" s="63"/>
    </row>
    <row r="38280" spans="9:10" x14ac:dyDescent="0.35">
      <c r="I38280" s="63"/>
      <c r="J38280" s="63"/>
    </row>
    <row r="38281" spans="9:10" x14ac:dyDescent="0.35">
      <c r="I38281" s="63"/>
      <c r="J38281" s="63"/>
    </row>
    <row r="38282" spans="9:10" x14ac:dyDescent="0.35">
      <c r="I38282" s="63"/>
      <c r="J38282" s="63"/>
    </row>
    <row r="38283" spans="9:10" x14ac:dyDescent="0.35">
      <c r="I38283" s="63"/>
      <c r="J38283" s="63"/>
    </row>
    <row r="38284" spans="9:10" x14ac:dyDescent="0.35">
      <c r="I38284" s="63"/>
      <c r="J38284" s="63"/>
    </row>
    <row r="38285" spans="9:10" x14ac:dyDescent="0.35">
      <c r="I38285" s="63"/>
      <c r="J38285" s="63"/>
    </row>
    <row r="38286" spans="9:10" x14ac:dyDescent="0.35">
      <c r="I38286" s="63"/>
      <c r="J38286" s="63"/>
    </row>
    <row r="38287" spans="9:10" x14ac:dyDescent="0.35">
      <c r="I38287" s="63"/>
      <c r="J38287" s="63"/>
    </row>
    <row r="38288" spans="9:10" x14ac:dyDescent="0.35">
      <c r="I38288" s="63"/>
      <c r="J38288" s="63"/>
    </row>
    <row r="38289" spans="9:10" x14ac:dyDescent="0.35">
      <c r="I38289" s="63"/>
      <c r="J38289" s="63"/>
    </row>
    <row r="38290" spans="9:10" x14ac:dyDescent="0.35">
      <c r="I38290" s="63"/>
      <c r="J38290" s="63"/>
    </row>
    <row r="38291" spans="9:10" x14ac:dyDescent="0.35">
      <c r="I38291" s="63"/>
      <c r="J38291" s="63"/>
    </row>
    <row r="38292" spans="9:10" x14ac:dyDescent="0.35">
      <c r="I38292" s="63"/>
      <c r="J38292" s="63"/>
    </row>
    <row r="38293" spans="9:10" x14ac:dyDescent="0.35">
      <c r="I38293" s="63"/>
      <c r="J38293" s="63"/>
    </row>
    <row r="38294" spans="9:10" x14ac:dyDescent="0.35">
      <c r="I38294" s="63"/>
      <c r="J38294" s="63"/>
    </row>
    <row r="38295" spans="9:10" x14ac:dyDescent="0.35">
      <c r="I38295" s="63"/>
      <c r="J38295" s="63"/>
    </row>
    <row r="38296" spans="9:10" x14ac:dyDescent="0.35">
      <c r="I38296" s="63"/>
      <c r="J38296" s="63"/>
    </row>
    <row r="38297" spans="9:10" x14ac:dyDescent="0.35">
      <c r="I38297" s="63"/>
      <c r="J38297" s="63"/>
    </row>
    <row r="38298" spans="9:10" x14ac:dyDescent="0.35">
      <c r="I38298" s="63"/>
      <c r="J38298" s="63"/>
    </row>
    <row r="38299" spans="9:10" x14ac:dyDescent="0.35">
      <c r="I38299" s="63"/>
      <c r="J38299" s="63"/>
    </row>
    <row r="38300" spans="9:10" x14ac:dyDescent="0.35">
      <c r="I38300" s="63"/>
      <c r="J38300" s="63"/>
    </row>
    <row r="38301" spans="9:10" x14ac:dyDescent="0.35">
      <c r="I38301" s="63"/>
      <c r="J38301" s="63"/>
    </row>
    <row r="38302" spans="9:10" x14ac:dyDescent="0.35">
      <c r="I38302" s="63"/>
      <c r="J38302" s="63"/>
    </row>
    <row r="38303" spans="9:10" x14ac:dyDescent="0.35">
      <c r="I38303" s="63"/>
      <c r="J38303" s="63"/>
    </row>
    <row r="38304" spans="9:10" x14ac:dyDescent="0.35">
      <c r="I38304" s="63"/>
      <c r="J38304" s="63"/>
    </row>
    <row r="38305" spans="9:10" x14ac:dyDescent="0.35">
      <c r="I38305" s="63"/>
      <c r="J38305" s="63"/>
    </row>
    <row r="38306" spans="9:10" x14ac:dyDescent="0.35">
      <c r="I38306" s="63"/>
      <c r="J38306" s="63"/>
    </row>
    <row r="38307" spans="9:10" x14ac:dyDescent="0.35">
      <c r="I38307" s="63"/>
      <c r="J38307" s="63"/>
    </row>
    <row r="38308" spans="9:10" x14ac:dyDescent="0.35">
      <c r="I38308" s="63"/>
      <c r="J38308" s="63"/>
    </row>
    <row r="38309" spans="9:10" x14ac:dyDescent="0.35">
      <c r="I38309" s="63"/>
      <c r="J38309" s="63"/>
    </row>
    <row r="38310" spans="9:10" x14ac:dyDescent="0.35">
      <c r="I38310" s="63"/>
      <c r="J38310" s="63"/>
    </row>
    <row r="38311" spans="9:10" x14ac:dyDescent="0.35">
      <c r="I38311" s="63"/>
      <c r="J38311" s="63"/>
    </row>
    <row r="38312" spans="9:10" x14ac:dyDescent="0.35">
      <c r="I38312" s="63"/>
      <c r="J38312" s="63"/>
    </row>
    <row r="38313" spans="9:10" x14ac:dyDescent="0.35">
      <c r="I38313" s="63"/>
      <c r="J38313" s="63"/>
    </row>
    <row r="38314" spans="9:10" x14ac:dyDescent="0.35">
      <c r="I38314" s="63"/>
      <c r="J38314" s="63"/>
    </row>
    <row r="38315" spans="9:10" x14ac:dyDescent="0.35">
      <c r="I38315" s="63"/>
      <c r="J38315" s="63"/>
    </row>
    <row r="38316" spans="9:10" x14ac:dyDescent="0.35">
      <c r="I38316" s="63"/>
      <c r="J38316" s="63"/>
    </row>
    <row r="38317" spans="9:10" x14ac:dyDescent="0.35">
      <c r="I38317" s="63"/>
      <c r="J38317" s="63"/>
    </row>
    <row r="38318" spans="9:10" x14ac:dyDescent="0.35">
      <c r="I38318" s="63"/>
      <c r="J38318" s="63"/>
    </row>
    <row r="38319" spans="9:10" x14ac:dyDescent="0.35">
      <c r="I38319" s="63"/>
      <c r="J38319" s="63"/>
    </row>
    <row r="38320" spans="9:10" x14ac:dyDescent="0.35">
      <c r="I38320" s="63"/>
      <c r="J38320" s="63"/>
    </row>
    <row r="38321" spans="9:10" x14ac:dyDescent="0.35">
      <c r="I38321" s="63"/>
      <c r="J38321" s="63"/>
    </row>
    <row r="38322" spans="9:10" x14ac:dyDescent="0.35">
      <c r="I38322" s="63"/>
      <c r="J38322" s="63"/>
    </row>
    <row r="38323" spans="9:10" x14ac:dyDescent="0.35">
      <c r="I38323" s="63"/>
      <c r="J38323" s="63"/>
    </row>
    <row r="38324" spans="9:10" x14ac:dyDescent="0.35">
      <c r="I38324" s="63"/>
      <c r="J38324" s="63"/>
    </row>
    <row r="38325" spans="9:10" x14ac:dyDescent="0.35">
      <c r="I38325" s="63"/>
      <c r="J38325" s="63"/>
    </row>
    <row r="38326" spans="9:10" x14ac:dyDescent="0.35">
      <c r="I38326" s="63"/>
      <c r="J38326" s="63"/>
    </row>
    <row r="38327" spans="9:10" x14ac:dyDescent="0.35">
      <c r="I38327" s="63"/>
      <c r="J38327" s="63"/>
    </row>
    <row r="38328" spans="9:10" x14ac:dyDescent="0.35">
      <c r="I38328" s="63"/>
      <c r="J38328" s="63"/>
    </row>
    <row r="38329" spans="9:10" x14ac:dyDescent="0.35">
      <c r="I38329" s="63"/>
      <c r="J38329" s="63"/>
    </row>
    <row r="38330" spans="9:10" x14ac:dyDescent="0.35">
      <c r="I38330" s="63"/>
      <c r="J38330" s="63"/>
    </row>
    <row r="38331" spans="9:10" x14ac:dyDescent="0.35">
      <c r="I38331" s="63"/>
      <c r="J38331" s="63"/>
    </row>
    <row r="38332" spans="9:10" x14ac:dyDescent="0.35">
      <c r="I38332" s="63"/>
      <c r="J38332" s="63"/>
    </row>
    <row r="38333" spans="9:10" x14ac:dyDescent="0.35">
      <c r="I38333" s="63"/>
      <c r="J38333" s="63"/>
    </row>
    <row r="38334" spans="9:10" x14ac:dyDescent="0.35">
      <c r="I38334" s="63"/>
      <c r="J38334" s="63"/>
    </row>
    <row r="38335" spans="9:10" x14ac:dyDescent="0.35">
      <c r="I38335" s="63"/>
      <c r="J38335" s="63"/>
    </row>
    <row r="38336" spans="9:10" x14ac:dyDescent="0.35">
      <c r="I38336" s="63"/>
      <c r="J38336" s="63"/>
    </row>
    <row r="38337" spans="9:10" x14ac:dyDescent="0.35">
      <c r="I38337" s="63"/>
      <c r="J38337" s="63"/>
    </row>
    <row r="38338" spans="9:10" x14ac:dyDescent="0.35">
      <c r="I38338" s="63"/>
      <c r="J38338" s="63"/>
    </row>
    <row r="38339" spans="9:10" x14ac:dyDescent="0.35">
      <c r="I38339" s="63"/>
      <c r="J38339" s="63"/>
    </row>
    <row r="38340" spans="9:10" x14ac:dyDescent="0.35">
      <c r="I38340" s="63"/>
      <c r="J38340" s="63"/>
    </row>
    <row r="38341" spans="9:10" x14ac:dyDescent="0.35">
      <c r="I38341" s="63"/>
      <c r="J38341" s="63"/>
    </row>
    <row r="38342" spans="9:10" x14ac:dyDescent="0.35">
      <c r="I38342" s="63"/>
      <c r="J38342" s="63"/>
    </row>
    <row r="38343" spans="9:10" x14ac:dyDescent="0.35">
      <c r="I38343" s="63"/>
      <c r="J38343" s="63"/>
    </row>
    <row r="38344" spans="9:10" x14ac:dyDescent="0.35">
      <c r="I38344" s="63"/>
      <c r="J38344" s="63"/>
    </row>
    <row r="38345" spans="9:10" x14ac:dyDescent="0.35">
      <c r="I38345" s="63"/>
      <c r="J38345" s="63"/>
    </row>
    <row r="38346" spans="9:10" x14ac:dyDescent="0.35">
      <c r="I38346" s="63"/>
      <c r="J38346" s="63"/>
    </row>
    <row r="38347" spans="9:10" x14ac:dyDescent="0.35">
      <c r="I38347" s="63"/>
      <c r="J38347" s="63"/>
    </row>
    <row r="38348" spans="9:10" x14ac:dyDescent="0.35">
      <c r="I38348" s="63"/>
      <c r="J38348" s="63"/>
    </row>
    <row r="38349" spans="9:10" x14ac:dyDescent="0.35">
      <c r="I38349" s="63"/>
      <c r="J38349" s="63"/>
    </row>
    <row r="38350" spans="9:10" x14ac:dyDescent="0.35">
      <c r="I38350" s="63"/>
      <c r="J38350" s="63"/>
    </row>
    <row r="38351" spans="9:10" x14ac:dyDescent="0.35">
      <c r="I38351" s="63"/>
      <c r="J38351" s="63"/>
    </row>
    <row r="38352" spans="9:10" x14ac:dyDescent="0.35">
      <c r="I38352" s="63"/>
      <c r="J38352" s="63"/>
    </row>
    <row r="38353" spans="9:10" x14ac:dyDescent="0.35">
      <c r="I38353" s="63"/>
      <c r="J38353" s="63"/>
    </row>
    <row r="38354" spans="9:10" x14ac:dyDescent="0.35">
      <c r="I38354" s="63"/>
      <c r="J38354" s="63"/>
    </row>
    <row r="38355" spans="9:10" x14ac:dyDescent="0.35">
      <c r="I38355" s="63"/>
      <c r="J38355" s="63"/>
    </row>
    <row r="38356" spans="9:10" x14ac:dyDescent="0.35">
      <c r="I38356" s="63"/>
      <c r="J38356" s="63"/>
    </row>
    <row r="38357" spans="9:10" x14ac:dyDescent="0.35">
      <c r="I38357" s="63"/>
      <c r="J38357" s="63"/>
    </row>
    <row r="38358" spans="9:10" x14ac:dyDescent="0.35">
      <c r="I38358" s="63"/>
      <c r="J38358" s="63"/>
    </row>
    <row r="38359" spans="9:10" x14ac:dyDescent="0.35">
      <c r="I38359" s="63"/>
      <c r="J38359" s="63"/>
    </row>
    <row r="38360" spans="9:10" x14ac:dyDescent="0.35">
      <c r="I38360" s="63"/>
      <c r="J38360" s="63"/>
    </row>
    <row r="38361" spans="9:10" x14ac:dyDescent="0.35">
      <c r="I38361" s="63"/>
      <c r="J38361" s="63"/>
    </row>
    <row r="38362" spans="9:10" x14ac:dyDescent="0.35">
      <c r="I38362" s="63"/>
      <c r="J38362" s="63"/>
    </row>
    <row r="38363" spans="9:10" x14ac:dyDescent="0.35">
      <c r="I38363" s="63"/>
      <c r="J38363" s="63"/>
    </row>
    <row r="38364" spans="9:10" x14ac:dyDescent="0.35">
      <c r="I38364" s="63"/>
      <c r="J38364" s="63"/>
    </row>
    <row r="38365" spans="9:10" x14ac:dyDescent="0.35">
      <c r="I38365" s="63"/>
      <c r="J38365" s="63"/>
    </row>
    <row r="38366" spans="9:10" x14ac:dyDescent="0.35">
      <c r="I38366" s="63"/>
      <c r="J38366" s="63"/>
    </row>
    <row r="38367" spans="9:10" x14ac:dyDescent="0.35">
      <c r="I38367" s="63"/>
      <c r="J38367" s="63"/>
    </row>
    <row r="38368" spans="9:10" x14ac:dyDescent="0.35">
      <c r="I38368" s="63"/>
      <c r="J38368" s="63"/>
    </row>
    <row r="38369" spans="9:10" x14ac:dyDescent="0.35">
      <c r="I38369" s="63"/>
      <c r="J38369" s="63"/>
    </row>
    <row r="38370" spans="9:10" x14ac:dyDescent="0.35">
      <c r="I38370" s="63"/>
      <c r="J38370" s="63"/>
    </row>
    <row r="38371" spans="9:10" x14ac:dyDescent="0.35">
      <c r="I38371" s="63"/>
      <c r="J38371" s="63"/>
    </row>
    <row r="38372" spans="9:10" x14ac:dyDescent="0.35">
      <c r="I38372" s="63"/>
      <c r="J38372" s="63"/>
    </row>
    <row r="38373" spans="9:10" x14ac:dyDescent="0.35">
      <c r="I38373" s="63"/>
      <c r="J38373" s="63"/>
    </row>
    <row r="38374" spans="9:10" x14ac:dyDescent="0.35">
      <c r="I38374" s="63"/>
      <c r="J38374" s="63"/>
    </row>
    <row r="38375" spans="9:10" x14ac:dyDescent="0.35">
      <c r="I38375" s="63"/>
      <c r="J38375" s="63"/>
    </row>
    <row r="38376" spans="9:10" x14ac:dyDescent="0.35">
      <c r="I38376" s="63"/>
      <c r="J38376" s="63"/>
    </row>
    <row r="38377" spans="9:10" x14ac:dyDescent="0.35">
      <c r="I38377" s="63"/>
      <c r="J38377" s="63"/>
    </row>
    <row r="38378" spans="9:10" x14ac:dyDescent="0.35">
      <c r="I38378" s="63"/>
      <c r="J38378" s="63"/>
    </row>
    <row r="38379" spans="9:10" x14ac:dyDescent="0.35">
      <c r="I38379" s="63"/>
      <c r="J38379" s="63"/>
    </row>
    <row r="38380" spans="9:10" x14ac:dyDescent="0.35">
      <c r="I38380" s="63"/>
      <c r="J38380" s="63"/>
    </row>
    <row r="38381" spans="9:10" x14ac:dyDescent="0.35">
      <c r="I38381" s="63"/>
      <c r="J38381" s="63"/>
    </row>
    <row r="38382" spans="9:10" x14ac:dyDescent="0.35">
      <c r="I38382" s="63"/>
      <c r="J38382" s="63"/>
    </row>
    <row r="38383" spans="9:10" x14ac:dyDescent="0.35">
      <c r="I38383" s="63"/>
      <c r="J38383" s="63"/>
    </row>
    <row r="38384" spans="9:10" x14ac:dyDescent="0.35">
      <c r="I38384" s="63"/>
      <c r="J38384" s="63"/>
    </row>
    <row r="38385" spans="9:10" x14ac:dyDescent="0.35">
      <c r="I38385" s="63"/>
      <c r="J38385" s="63"/>
    </row>
    <row r="38386" spans="9:10" x14ac:dyDescent="0.35">
      <c r="I38386" s="63"/>
      <c r="J38386" s="63"/>
    </row>
    <row r="38387" spans="9:10" x14ac:dyDescent="0.35">
      <c r="I38387" s="63"/>
      <c r="J38387" s="63"/>
    </row>
    <row r="38388" spans="9:10" x14ac:dyDescent="0.35">
      <c r="I38388" s="63"/>
      <c r="J38388" s="63"/>
    </row>
    <row r="38389" spans="9:10" x14ac:dyDescent="0.35">
      <c r="I38389" s="63"/>
      <c r="J38389" s="63"/>
    </row>
    <row r="38390" spans="9:10" x14ac:dyDescent="0.35">
      <c r="I38390" s="63"/>
      <c r="J38390" s="63"/>
    </row>
    <row r="38391" spans="9:10" x14ac:dyDescent="0.35">
      <c r="I38391" s="63"/>
      <c r="J38391" s="63"/>
    </row>
    <row r="38392" spans="9:10" x14ac:dyDescent="0.35">
      <c r="I38392" s="63"/>
      <c r="J38392" s="63"/>
    </row>
    <row r="38393" spans="9:10" x14ac:dyDescent="0.35">
      <c r="I38393" s="63"/>
      <c r="J38393" s="63"/>
    </row>
    <row r="38394" spans="9:10" x14ac:dyDescent="0.35">
      <c r="I38394" s="63"/>
      <c r="J38394" s="63"/>
    </row>
    <row r="38395" spans="9:10" x14ac:dyDescent="0.35">
      <c r="I38395" s="63"/>
      <c r="J38395" s="63"/>
    </row>
    <row r="38396" spans="9:10" x14ac:dyDescent="0.35">
      <c r="I38396" s="63"/>
      <c r="J38396" s="63"/>
    </row>
    <row r="38397" spans="9:10" x14ac:dyDescent="0.35">
      <c r="I38397" s="63"/>
      <c r="J38397" s="63"/>
    </row>
    <row r="38398" spans="9:10" x14ac:dyDescent="0.35">
      <c r="I38398" s="63"/>
      <c r="J38398" s="63"/>
    </row>
    <row r="38399" spans="9:10" x14ac:dyDescent="0.35">
      <c r="I38399" s="63"/>
      <c r="J38399" s="63"/>
    </row>
    <row r="38400" spans="9:10" x14ac:dyDescent="0.35">
      <c r="I38400" s="63"/>
      <c r="J38400" s="63"/>
    </row>
    <row r="38401" spans="9:10" x14ac:dyDescent="0.35">
      <c r="I38401" s="63"/>
      <c r="J38401" s="63"/>
    </row>
    <row r="38402" spans="9:10" x14ac:dyDescent="0.35">
      <c r="I38402" s="63"/>
      <c r="J38402" s="63"/>
    </row>
    <row r="38403" spans="9:10" x14ac:dyDescent="0.35">
      <c r="I38403" s="63"/>
      <c r="J38403" s="63"/>
    </row>
    <row r="38404" spans="9:10" x14ac:dyDescent="0.35">
      <c r="I38404" s="63"/>
      <c r="J38404" s="63"/>
    </row>
    <row r="38405" spans="9:10" x14ac:dyDescent="0.35">
      <c r="I38405" s="63"/>
      <c r="J38405" s="63"/>
    </row>
    <row r="38406" spans="9:10" x14ac:dyDescent="0.35">
      <c r="I38406" s="63"/>
      <c r="J38406" s="63"/>
    </row>
    <row r="38407" spans="9:10" x14ac:dyDescent="0.35">
      <c r="I38407" s="63"/>
      <c r="J38407" s="63"/>
    </row>
    <row r="38408" spans="9:10" x14ac:dyDescent="0.35">
      <c r="I38408" s="63"/>
      <c r="J38408" s="63"/>
    </row>
    <row r="38409" spans="9:10" x14ac:dyDescent="0.35">
      <c r="I38409" s="63"/>
      <c r="J38409" s="63"/>
    </row>
    <row r="38410" spans="9:10" x14ac:dyDescent="0.35">
      <c r="I38410" s="63"/>
      <c r="J38410" s="63"/>
    </row>
    <row r="38411" spans="9:10" x14ac:dyDescent="0.35">
      <c r="I38411" s="63"/>
      <c r="J38411" s="63"/>
    </row>
    <row r="38412" spans="9:10" x14ac:dyDescent="0.35">
      <c r="I38412" s="63"/>
      <c r="J38412" s="63"/>
    </row>
    <row r="38413" spans="9:10" x14ac:dyDescent="0.35">
      <c r="I38413" s="63"/>
      <c r="J38413" s="63"/>
    </row>
    <row r="38414" spans="9:10" x14ac:dyDescent="0.35">
      <c r="I38414" s="63"/>
      <c r="J38414" s="63"/>
    </row>
    <row r="38415" spans="9:10" x14ac:dyDescent="0.35">
      <c r="I38415" s="63"/>
      <c r="J38415" s="63"/>
    </row>
    <row r="38416" spans="9:10" x14ac:dyDescent="0.35">
      <c r="I38416" s="63"/>
      <c r="J38416" s="63"/>
    </row>
    <row r="38417" spans="9:10" x14ac:dyDescent="0.35">
      <c r="I38417" s="63"/>
      <c r="J38417" s="63"/>
    </row>
    <row r="38418" spans="9:10" x14ac:dyDescent="0.35">
      <c r="I38418" s="63"/>
      <c r="J38418" s="63"/>
    </row>
    <row r="38419" spans="9:10" x14ac:dyDescent="0.35">
      <c r="I38419" s="63"/>
      <c r="J38419" s="63"/>
    </row>
    <row r="38420" spans="9:10" x14ac:dyDescent="0.35">
      <c r="I38420" s="63"/>
      <c r="J38420" s="63"/>
    </row>
    <row r="38421" spans="9:10" x14ac:dyDescent="0.35">
      <c r="I38421" s="63"/>
      <c r="J38421" s="63"/>
    </row>
    <row r="38422" spans="9:10" x14ac:dyDescent="0.35">
      <c r="I38422" s="63"/>
      <c r="J38422" s="63"/>
    </row>
    <row r="38423" spans="9:10" x14ac:dyDescent="0.35">
      <c r="I38423" s="63"/>
      <c r="J38423" s="63"/>
    </row>
    <row r="38424" spans="9:10" x14ac:dyDescent="0.35">
      <c r="I38424" s="63"/>
      <c r="J38424" s="63"/>
    </row>
    <row r="38425" spans="9:10" x14ac:dyDescent="0.35">
      <c r="I38425" s="63"/>
      <c r="J38425" s="63"/>
    </row>
    <row r="38426" spans="9:10" x14ac:dyDescent="0.35">
      <c r="I38426" s="63"/>
      <c r="J38426" s="63"/>
    </row>
    <row r="38427" spans="9:10" x14ac:dyDescent="0.35">
      <c r="I38427" s="63"/>
      <c r="J38427" s="63"/>
    </row>
    <row r="38428" spans="9:10" x14ac:dyDescent="0.35">
      <c r="I38428" s="63"/>
      <c r="J38428" s="63"/>
    </row>
    <row r="38429" spans="9:10" x14ac:dyDescent="0.35">
      <c r="I38429" s="63"/>
      <c r="J38429" s="63"/>
    </row>
    <row r="38430" spans="9:10" x14ac:dyDescent="0.35">
      <c r="I38430" s="63"/>
      <c r="J38430" s="63"/>
    </row>
    <row r="38431" spans="9:10" x14ac:dyDescent="0.35">
      <c r="I38431" s="63"/>
      <c r="J38431" s="63"/>
    </row>
    <row r="38432" spans="9:10" x14ac:dyDescent="0.35">
      <c r="I38432" s="63"/>
      <c r="J38432" s="63"/>
    </row>
    <row r="38433" spans="9:10" x14ac:dyDescent="0.35">
      <c r="I38433" s="63"/>
      <c r="J38433" s="63"/>
    </row>
    <row r="38434" spans="9:10" x14ac:dyDescent="0.35">
      <c r="I38434" s="63"/>
      <c r="J38434" s="63"/>
    </row>
    <row r="38435" spans="9:10" x14ac:dyDescent="0.35">
      <c r="I38435" s="63"/>
      <c r="J38435" s="63"/>
    </row>
    <row r="38436" spans="9:10" x14ac:dyDescent="0.35">
      <c r="I38436" s="63"/>
      <c r="J38436" s="63"/>
    </row>
    <row r="38437" spans="9:10" x14ac:dyDescent="0.35">
      <c r="I38437" s="63"/>
      <c r="J38437" s="63"/>
    </row>
    <row r="38438" spans="9:10" x14ac:dyDescent="0.35">
      <c r="I38438" s="63"/>
      <c r="J38438" s="63"/>
    </row>
    <row r="38439" spans="9:10" x14ac:dyDescent="0.35">
      <c r="I38439" s="63"/>
      <c r="J38439" s="63"/>
    </row>
    <row r="38440" spans="9:10" x14ac:dyDescent="0.35">
      <c r="I38440" s="63"/>
      <c r="J38440" s="63"/>
    </row>
    <row r="38441" spans="9:10" x14ac:dyDescent="0.35">
      <c r="I38441" s="63"/>
      <c r="J38441" s="63"/>
    </row>
    <row r="38442" spans="9:10" x14ac:dyDescent="0.35">
      <c r="I38442" s="63"/>
      <c r="J38442" s="63"/>
    </row>
    <row r="38443" spans="9:10" x14ac:dyDescent="0.35">
      <c r="I38443" s="63"/>
      <c r="J38443" s="63"/>
    </row>
    <row r="38444" spans="9:10" x14ac:dyDescent="0.35">
      <c r="I38444" s="63"/>
      <c r="J38444" s="63"/>
    </row>
    <row r="38445" spans="9:10" x14ac:dyDescent="0.35">
      <c r="I38445" s="63"/>
      <c r="J38445" s="63"/>
    </row>
    <row r="38446" spans="9:10" x14ac:dyDescent="0.35">
      <c r="I38446" s="63"/>
      <c r="J38446" s="63"/>
    </row>
    <row r="38447" spans="9:10" x14ac:dyDescent="0.35">
      <c r="I38447" s="63"/>
      <c r="J38447" s="63"/>
    </row>
    <row r="38448" spans="9:10" x14ac:dyDescent="0.35">
      <c r="I38448" s="63"/>
      <c r="J38448" s="63"/>
    </row>
    <row r="38449" spans="9:10" x14ac:dyDescent="0.35">
      <c r="I38449" s="63"/>
      <c r="J38449" s="63"/>
    </row>
    <row r="38450" spans="9:10" x14ac:dyDescent="0.35">
      <c r="I38450" s="63"/>
      <c r="J38450" s="63"/>
    </row>
    <row r="38451" spans="9:10" x14ac:dyDescent="0.35">
      <c r="I38451" s="63"/>
      <c r="J38451" s="63"/>
    </row>
    <row r="38452" spans="9:10" x14ac:dyDescent="0.35">
      <c r="I38452" s="63"/>
      <c r="J38452" s="63"/>
    </row>
    <row r="38453" spans="9:10" x14ac:dyDescent="0.35">
      <c r="I38453" s="63"/>
      <c r="J38453" s="63"/>
    </row>
    <row r="38454" spans="9:10" x14ac:dyDescent="0.35">
      <c r="I38454" s="63"/>
      <c r="J38454" s="63"/>
    </row>
    <row r="38455" spans="9:10" x14ac:dyDescent="0.35">
      <c r="I38455" s="63"/>
      <c r="J38455" s="63"/>
    </row>
    <row r="38456" spans="9:10" x14ac:dyDescent="0.35">
      <c r="I38456" s="63"/>
      <c r="J38456" s="63"/>
    </row>
    <row r="38457" spans="9:10" x14ac:dyDescent="0.35">
      <c r="I38457" s="63"/>
      <c r="J38457" s="63"/>
    </row>
    <row r="38458" spans="9:10" x14ac:dyDescent="0.35">
      <c r="I38458" s="63"/>
      <c r="J38458" s="63"/>
    </row>
    <row r="38459" spans="9:10" x14ac:dyDescent="0.35">
      <c r="I38459" s="63"/>
      <c r="J38459" s="63"/>
    </row>
    <row r="38460" spans="9:10" x14ac:dyDescent="0.35">
      <c r="I38460" s="63"/>
      <c r="J38460" s="63"/>
    </row>
    <row r="38461" spans="9:10" x14ac:dyDescent="0.35">
      <c r="I38461" s="63"/>
      <c r="J38461" s="63"/>
    </row>
    <row r="38462" spans="9:10" x14ac:dyDescent="0.35">
      <c r="I38462" s="63"/>
      <c r="J38462" s="63"/>
    </row>
    <row r="38463" spans="9:10" x14ac:dyDescent="0.35">
      <c r="I38463" s="63"/>
      <c r="J38463" s="63"/>
    </row>
    <row r="38464" spans="9:10" x14ac:dyDescent="0.35">
      <c r="I38464" s="63"/>
      <c r="J38464" s="63"/>
    </row>
    <row r="38465" spans="9:10" x14ac:dyDescent="0.35">
      <c r="I38465" s="63"/>
      <c r="J38465" s="63"/>
    </row>
    <row r="38466" spans="9:10" x14ac:dyDescent="0.35">
      <c r="I38466" s="63"/>
      <c r="J38466" s="63"/>
    </row>
    <row r="38467" spans="9:10" x14ac:dyDescent="0.35">
      <c r="I38467" s="63"/>
      <c r="J38467" s="63"/>
    </row>
    <row r="38468" spans="9:10" x14ac:dyDescent="0.35">
      <c r="I38468" s="63"/>
      <c r="J38468" s="63"/>
    </row>
    <row r="38469" spans="9:10" x14ac:dyDescent="0.35">
      <c r="I38469" s="63"/>
      <c r="J38469" s="63"/>
    </row>
    <row r="38470" spans="9:10" x14ac:dyDescent="0.35">
      <c r="I38470" s="63"/>
      <c r="J38470" s="63"/>
    </row>
    <row r="38471" spans="9:10" x14ac:dyDescent="0.35">
      <c r="I38471" s="63"/>
      <c r="J38471" s="63"/>
    </row>
    <row r="38472" spans="9:10" x14ac:dyDescent="0.35">
      <c r="I38472" s="63"/>
      <c r="J38472" s="63"/>
    </row>
    <row r="38473" spans="9:10" x14ac:dyDescent="0.35">
      <c r="I38473" s="63"/>
      <c r="J38473" s="63"/>
    </row>
    <row r="38474" spans="9:10" x14ac:dyDescent="0.35">
      <c r="I38474" s="63"/>
      <c r="J38474" s="63"/>
    </row>
    <row r="38475" spans="9:10" x14ac:dyDescent="0.35">
      <c r="I38475" s="63"/>
      <c r="J38475" s="63"/>
    </row>
    <row r="38476" spans="9:10" x14ac:dyDescent="0.35">
      <c r="I38476" s="63"/>
      <c r="J38476" s="63"/>
    </row>
    <row r="38477" spans="9:10" x14ac:dyDescent="0.35">
      <c r="I38477" s="63"/>
      <c r="J38477" s="63"/>
    </row>
    <row r="38478" spans="9:10" x14ac:dyDescent="0.35">
      <c r="I38478" s="63"/>
      <c r="J38478" s="63"/>
    </row>
    <row r="38479" spans="9:10" x14ac:dyDescent="0.35">
      <c r="I38479" s="63"/>
      <c r="J38479" s="63"/>
    </row>
    <row r="38480" spans="9:10" x14ac:dyDescent="0.35">
      <c r="I38480" s="63"/>
      <c r="J38480" s="63"/>
    </row>
    <row r="38481" spans="9:10" x14ac:dyDescent="0.35">
      <c r="I38481" s="63"/>
      <c r="J38481" s="63"/>
    </row>
    <row r="38482" spans="9:10" x14ac:dyDescent="0.35">
      <c r="I38482" s="63"/>
      <c r="J38482" s="63"/>
    </row>
    <row r="38483" spans="9:10" x14ac:dyDescent="0.35">
      <c r="I38483" s="63"/>
      <c r="J38483" s="63"/>
    </row>
    <row r="38484" spans="9:10" x14ac:dyDescent="0.35">
      <c r="I38484" s="63"/>
      <c r="J38484" s="63"/>
    </row>
    <row r="38485" spans="9:10" x14ac:dyDescent="0.35">
      <c r="I38485" s="63"/>
      <c r="J38485" s="63"/>
    </row>
    <row r="38486" spans="9:10" x14ac:dyDescent="0.35">
      <c r="I38486" s="63"/>
      <c r="J38486" s="63"/>
    </row>
    <row r="38487" spans="9:10" x14ac:dyDescent="0.35">
      <c r="I38487" s="63"/>
      <c r="J38487" s="63"/>
    </row>
    <row r="38488" spans="9:10" x14ac:dyDescent="0.35">
      <c r="I38488" s="63"/>
      <c r="J38488" s="63"/>
    </row>
    <row r="38489" spans="9:10" x14ac:dyDescent="0.35">
      <c r="I38489" s="63"/>
      <c r="J38489" s="63"/>
    </row>
    <row r="38490" spans="9:10" x14ac:dyDescent="0.35">
      <c r="I38490" s="63"/>
      <c r="J38490" s="63"/>
    </row>
    <row r="38491" spans="9:10" x14ac:dyDescent="0.35">
      <c r="I38491" s="63"/>
      <c r="J38491" s="63"/>
    </row>
    <row r="38492" spans="9:10" x14ac:dyDescent="0.35">
      <c r="I38492" s="63"/>
      <c r="J38492" s="63"/>
    </row>
    <row r="38493" spans="9:10" x14ac:dyDescent="0.35">
      <c r="I38493" s="63"/>
      <c r="J38493" s="63"/>
    </row>
    <row r="38494" spans="9:10" x14ac:dyDescent="0.35">
      <c r="I38494" s="63"/>
      <c r="J38494" s="63"/>
    </row>
    <row r="38495" spans="9:10" x14ac:dyDescent="0.35">
      <c r="I38495" s="63"/>
      <c r="J38495" s="63"/>
    </row>
    <row r="38496" spans="9:10" x14ac:dyDescent="0.35">
      <c r="I38496" s="63"/>
      <c r="J38496" s="63"/>
    </row>
    <row r="38497" spans="9:10" x14ac:dyDescent="0.35">
      <c r="I38497" s="63"/>
      <c r="J38497" s="63"/>
    </row>
    <row r="38498" spans="9:10" x14ac:dyDescent="0.35">
      <c r="I38498" s="63"/>
      <c r="J38498" s="63"/>
    </row>
    <row r="38499" spans="9:10" x14ac:dyDescent="0.35">
      <c r="I38499" s="63"/>
      <c r="J38499" s="63"/>
    </row>
    <row r="38500" spans="9:10" x14ac:dyDescent="0.35">
      <c r="I38500" s="63"/>
      <c r="J38500" s="63"/>
    </row>
    <row r="38501" spans="9:10" x14ac:dyDescent="0.35">
      <c r="I38501" s="63"/>
      <c r="J38501" s="63"/>
    </row>
    <row r="38502" spans="9:10" x14ac:dyDescent="0.35">
      <c r="I38502" s="63"/>
      <c r="J38502" s="63"/>
    </row>
    <row r="38503" spans="9:10" x14ac:dyDescent="0.35">
      <c r="I38503" s="63"/>
      <c r="J38503" s="63"/>
    </row>
    <row r="38504" spans="9:10" x14ac:dyDescent="0.35">
      <c r="I38504" s="63"/>
      <c r="J38504" s="63"/>
    </row>
    <row r="38505" spans="9:10" x14ac:dyDescent="0.35">
      <c r="I38505" s="63"/>
      <c r="J38505" s="63"/>
    </row>
    <row r="38506" spans="9:10" x14ac:dyDescent="0.35">
      <c r="I38506" s="63"/>
      <c r="J38506" s="63"/>
    </row>
    <row r="38507" spans="9:10" x14ac:dyDescent="0.35">
      <c r="I38507" s="63"/>
      <c r="J38507" s="63"/>
    </row>
    <row r="38508" spans="9:10" x14ac:dyDescent="0.35">
      <c r="I38508" s="63"/>
      <c r="J38508" s="63"/>
    </row>
    <row r="38509" spans="9:10" x14ac:dyDescent="0.35">
      <c r="I38509" s="63"/>
      <c r="J38509" s="63"/>
    </row>
    <row r="38510" spans="9:10" x14ac:dyDescent="0.35">
      <c r="I38510" s="63"/>
      <c r="J38510" s="63"/>
    </row>
    <row r="38511" spans="9:10" x14ac:dyDescent="0.35">
      <c r="I38511" s="63"/>
      <c r="J38511" s="63"/>
    </row>
    <row r="38512" spans="9:10" x14ac:dyDescent="0.35">
      <c r="I38512" s="63"/>
      <c r="J38512" s="63"/>
    </row>
    <row r="38513" spans="9:10" x14ac:dyDescent="0.35">
      <c r="I38513" s="63"/>
      <c r="J38513" s="63"/>
    </row>
    <row r="38514" spans="9:10" x14ac:dyDescent="0.35">
      <c r="I38514" s="63"/>
      <c r="J38514" s="63"/>
    </row>
    <row r="38515" spans="9:10" x14ac:dyDescent="0.35">
      <c r="I38515" s="63"/>
      <c r="J38515" s="63"/>
    </row>
    <row r="38516" spans="9:10" x14ac:dyDescent="0.35">
      <c r="I38516" s="63"/>
      <c r="J38516" s="63"/>
    </row>
    <row r="38517" spans="9:10" x14ac:dyDescent="0.35">
      <c r="I38517" s="63"/>
      <c r="J38517" s="63"/>
    </row>
    <row r="38518" spans="9:10" x14ac:dyDescent="0.35">
      <c r="I38518" s="63"/>
      <c r="J38518" s="63"/>
    </row>
    <row r="38519" spans="9:10" x14ac:dyDescent="0.35">
      <c r="I38519" s="63"/>
      <c r="J38519" s="63"/>
    </row>
    <row r="38520" spans="9:10" x14ac:dyDescent="0.35">
      <c r="I38520" s="63"/>
      <c r="J38520" s="63"/>
    </row>
    <row r="38521" spans="9:10" x14ac:dyDescent="0.35">
      <c r="I38521" s="63"/>
      <c r="J38521" s="63"/>
    </row>
    <row r="38522" spans="9:10" x14ac:dyDescent="0.35">
      <c r="I38522" s="63"/>
      <c r="J38522" s="63"/>
    </row>
    <row r="38523" spans="9:10" x14ac:dyDescent="0.35">
      <c r="I38523" s="63"/>
      <c r="J38523" s="63"/>
    </row>
    <row r="38524" spans="9:10" x14ac:dyDescent="0.35">
      <c r="I38524" s="63"/>
      <c r="J38524" s="63"/>
    </row>
    <row r="38525" spans="9:10" x14ac:dyDescent="0.35">
      <c r="I38525" s="63"/>
      <c r="J38525" s="63"/>
    </row>
    <row r="38526" spans="9:10" x14ac:dyDescent="0.35">
      <c r="I38526" s="63"/>
      <c r="J38526" s="63"/>
    </row>
    <row r="38527" spans="9:10" x14ac:dyDescent="0.35">
      <c r="I38527" s="63"/>
      <c r="J38527" s="63"/>
    </row>
    <row r="38528" spans="9:10" x14ac:dyDescent="0.35">
      <c r="I38528" s="63"/>
      <c r="J38528" s="63"/>
    </row>
    <row r="38529" spans="9:10" x14ac:dyDescent="0.35">
      <c r="I38529" s="63"/>
      <c r="J38529" s="63"/>
    </row>
    <row r="38530" spans="9:10" x14ac:dyDescent="0.35">
      <c r="I38530" s="63"/>
      <c r="J38530" s="63"/>
    </row>
    <row r="38531" spans="9:10" x14ac:dyDescent="0.35">
      <c r="I38531" s="63"/>
      <c r="J38531" s="63"/>
    </row>
    <row r="38532" spans="9:10" x14ac:dyDescent="0.35">
      <c r="I38532" s="63"/>
      <c r="J38532" s="63"/>
    </row>
    <row r="38533" spans="9:10" x14ac:dyDescent="0.35">
      <c r="I38533" s="63"/>
      <c r="J38533" s="63"/>
    </row>
    <row r="38534" spans="9:10" x14ac:dyDescent="0.35">
      <c r="I38534" s="63"/>
      <c r="J38534" s="63"/>
    </row>
    <row r="38535" spans="9:10" x14ac:dyDescent="0.35">
      <c r="I38535" s="63"/>
      <c r="J38535" s="63"/>
    </row>
    <row r="38536" spans="9:10" x14ac:dyDescent="0.35">
      <c r="I38536" s="63"/>
      <c r="J38536" s="63"/>
    </row>
    <row r="38537" spans="9:10" x14ac:dyDescent="0.35">
      <c r="I38537" s="63"/>
      <c r="J38537" s="63"/>
    </row>
    <row r="38538" spans="9:10" x14ac:dyDescent="0.35">
      <c r="I38538" s="63"/>
      <c r="J38538" s="63"/>
    </row>
    <row r="38539" spans="9:10" x14ac:dyDescent="0.35">
      <c r="I38539" s="63"/>
      <c r="J38539" s="63"/>
    </row>
    <row r="38540" spans="9:10" x14ac:dyDescent="0.35">
      <c r="I38540" s="63"/>
      <c r="J38540" s="63"/>
    </row>
    <row r="38541" spans="9:10" x14ac:dyDescent="0.35">
      <c r="I38541" s="63"/>
      <c r="J38541" s="63"/>
    </row>
    <row r="38542" spans="9:10" x14ac:dyDescent="0.35">
      <c r="I38542" s="63"/>
      <c r="J38542" s="63"/>
    </row>
    <row r="38543" spans="9:10" x14ac:dyDescent="0.35">
      <c r="I38543" s="63"/>
      <c r="J38543" s="63"/>
    </row>
    <row r="38544" spans="9:10" x14ac:dyDescent="0.35">
      <c r="I38544" s="63"/>
      <c r="J38544" s="63"/>
    </row>
    <row r="38545" spans="9:10" x14ac:dyDescent="0.35">
      <c r="I38545" s="63"/>
      <c r="J38545" s="63"/>
    </row>
    <row r="38546" spans="9:10" x14ac:dyDescent="0.35">
      <c r="I38546" s="63"/>
      <c r="J38546" s="63"/>
    </row>
    <row r="38547" spans="9:10" x14ac:dyDescent="0.35">
      <c r="I38547" s="63"/>
      <c r="J38547" s="63"/>
    </row>
    <row r="38548" spans="9:10" x14ac:dyDescent="0.35">
      <c r="I38548" s="63"/>
      <c r="J38548" s="63"/>
    </row>
    <row r="38549" spans="9:10" x14ac:dyDescent="0.35">
      <c r="I38549" s="63"/>
      <c r="J38549" s="63"/>
    </row>
    <row r="38550" spans="9:10" x14ac:dyDescent="0.35">
      <c r="I38550" s="63"/>
      <c r="J38550" s="63"/>
    </row>
    <row r="38551" spans="9:10" x14ac:dyDescent="0.35">
      <c r="I38551" s="63"/>
      <c r="J38551" s="63"/>
    </row>
    <row r="38552" spans="9:10" x14ac:dyDescent="0.35">
      <c r="I38552" s="63"/>
      <c r="J38552" s="63"/>
    </row>
    <row r="38553" spans="9:10" x14ac:dyDescent="0.35">
      <c r="I38553" s="63"/>
      <c r="J38553" s="63"/>
    </row>
    <row r="38554" spans="9:10" x14ac:dyDescent="0.35">
      <c r="I38554" s="63"/>
      <c r="J38554" s="63"/>
    </row>
    <row r="38555" spans="9:10" x14ac:dyDescent="0.35">
      <c r="I38555" s="63"/>
      <c r="J38555" s="63"/>
    </row>
    <row r="38556" spans="9:10" x14ac:dyDescent="0.35">
      <c r="I38556" s="63"/>
      <c r="J38556" s="63"/>
    </row>
    <row r="38557" spans="9:10" x14ac:dyDescent="0.35">
      <c r="I38557" s="63"/>
      <c r="J38557" s="63"/>
    </row>
    <row r="38558" spans="9:10" x14ac:dyDescent="0.35">
      <c r="I38558" s="63"/>
      <c r="J38558" s="63"/>
    </row>
    <row r="38559" spans="9:10" x14ac:dyDescent="0.35">
      <c r="I38559" s="63"/>
      <c r="J38559" s="63"/>
    </row>
    <row r="38560" spans="9:10" x14ac:dyDescent="0.35">
      <c r="I38560" s="63"/>
      <c r="J38560" s="63"/>
    </row>
    <row r="38561" spans="9:10" x14ac:dyDescent="0.35">
      <c r="I38561" s="63"/>
      <c r="J38561" s="63"/>
    </row>
    <row r="38562" spans="9:10" x14ac:dyDescent="0.35">
      <c r="I38562" s="63"/>
      <c r="J38562" s="63"/>
    </row>
    <row r="38563" spans="9:10" x14ac:dyDescent="0.35">
      <c r="I38563" s="63"/>
      <c r="J38563" s="63"/>
    </row>
    <row r="38564" spans="9:10" x14ac:dyDescent="0.35">
      <c r="I38564" s="63"/>
      <c r="J38564" s="63"/>
    </row>
    <row r="38565" spans="9:10" x14ac:dyDescent="0.35">
      <c r="I38565" s="63"/>
      <c r="J38565" s="63"/>
    </row>
    <row r="38566" spans="9:10" x14ac:dyDescent="0.35">
      <c r="I38566" s="63"/>
      <c r="J38566" s="63"/>
    </row>
    <row r="38567" spans="9:10" x14ac:dyDescent="0.35">
      <c r="I38567" s="63"/>
      <c r="J38567" s="63"/>
    </row>
    <row r="38568" spans="9:10" x14ac:dyDescent="0.35">
      <c r="I38568" s="63"/>
      <c r="J38568" s="63"/>
    </row>
    <row r="38569" spans="9:10" x14ac:dyDescent="0.35">
      <c r="I38569" s="63"/>
      <c r="J38569" s="63"/>
    </row>
    <row r="38570" spans="9:10" x14ac:dyDescent="0.35">
      <c r="I38570" s="63"/>
      <c r="J38570" s="63"/>
    </row>
    <row r="38571" spans="9:10" x14ac:dyDescent="0.35">
      <c r="I38571" s="63"/>
      <c r="J38571" s="63"/>
    </row>
    <row r="38572" spans="9:10" x14ac:dyDescent="0.35">
      <c r="I38572" s="63"/>
      <c r="J38572" s="63"/>
    </row>
    <row r="38573" spans="9:10" x14ac:dyDescent="0.35">
      <c r="I38573" s="63"/>
      <c r="J38573" s="63"/>
    </row>
    <row r="38574" spans="9:10" x14ac:dyDescent="0.35">
      <c r="I38574" s="63"/>
      <c r="J38574" s="63"/>
    </row>
    <row r="38575" spans="9:10" x14ac:dyDescent="0.35">
      <c r="I38575" s="63"/>
      <c r="J38575" s="63"/>
    </row>
    <row r="38576" spans="9:10" x14ac:dyDescent="0.35">
      <c r="I38576" s="63"/>
      <c r="J38576" s="63"/>
    </row>
    <row r="38577" spans="9:10" x14ac:dyDescent="0.35">
      <c r="I38577" s="63"/>
      <c r="J38577" s="63"/>
    </row>
    <row r="38578" spans="9:10" x14ac:dyDescent="0.35">
      <c r="I38578" s="63"/>
      <c r="J38578" s="63"/>
    </row>
    <row r="38579" spans="9:10" x14ac:dyDescent="0.35">
      <c r="I38579" s="63"/>
      <c r="J38579" s="63"/>
    </row>
    <row r="38580" spans="9:10" x14ac:dyDescent="0.35">
      <c r="I38580" s="63"/>
      <c r="J38580" s="63"/>
    </row>
    <row r="38581" spans="9:10" x14ac:dyDescent="0.35">
      <c r="I38581" s="63"/>
      <c r="J38581" s="63"/>
    </row>
    <row r="38582" spans="9:10" x14ac:dyDescent="0.35">
      <c r="I38582" s="63"/>
      <c r="J38582" s="63"/>
    </row>
    <row r="38583" spans="9:10" x14ac:dyDescent="0.35">
      <c r="I38583" s="63"/>
      <c r="J38583" s="63"/>
    </row>
    <row r="38584" spans="9:10" x14ac:dyDescent="0.35">
      <c r="I38584" s="63"/>
      <c r="J38584" s="63"/>
    </row>
    <row r="38585" spans="9:10" x14ac:dyDescent="0.35">
      <c r="I38585" s="63"/>
      <c r="J38585" s="63"/>
    </row>
    <row r="38586" spans="9:10" x14ac:dyDescent="0.35">
      <c r="I38586" s="63"/>
      <c r="J38586" s="63"/>
    </row>
    <row r="38587" spans="9:10" x14ac:dyDescent="0.35">
      <c r="I38587" s="63"/>
      <c r="J38587" s="63"/>
    </row>
    <row r="38588" spans="9:10" x14ac:dyDescent="0.35">
      <c r="I38588" s="63"/>
      <c r="J38588" s="63"/>
    </row>
    <row r="38589" spans="9:10" x14ac:dyDescent="0.35">
      <c r="I38589" s="63"/>
      <c r="J38589" s="63"/>
    </row>
    <row r="38590" spans="9:10" x14ac:dyDescent="0.35">
      <c r="I38590" s="63"/>
      <c r="J38590" s="63"/>
    </row>
    <row r="38591" spans="9:10" x14ac:dyDescent="0.35">
      <c r="I38591" s="63"/>
      <c r="J38591" s="63"/>
    </row>
    <row r="38592" spans="9:10" x14ac:dyDescent="0.35">
      <c r="I38592" s="63"/>
      <c r="J38592" s="63"/>
    </row>
    <row r="38593" spans="9:10" x14ac:dyDescent="0.35">
      <c r="I38593" s="63"/>
      <c r="J38593" s="63"/>
    </row>
    <row r="38594" spans="9:10" x14ac:dyDescent="0.35">
      <c r="I38594" s="63"/>
      <c r="J38594" s="63"/>
    </row>
    <row r="38595" spans="9:10" x14ac:dyDescent="0.35">
      <c r="I38595" s="63"/>
      <c r="J38595" s="63"/>
    </row>
    <row r="38596" spans="9:10" x14ac:dyDescent="0.35">
      <c r="I38596" s="63"/>
      <c r="J38596" s="63"/>
    </row>
    <row r="38597" spans="9:10" x14ac:dyDescent="0.35">
      <c r="I38597" s="63"/>
      <c r="J38597" s="63"/>
    </row>
    <row r="38598" spans="9:10" x14ac:dyDescent="0.35">
      <c r="I38598" s="63"/>
      <c r="J38598" s="63"/>
    </row>
    <row r="38599" spans="9:10" x14ac:dyDescent="0.35">
      <c r="I38599" s="63"/>
      <c r="J38599" s="63"/>
    </row>
    <row r="38600" spans="9:10" x14ac:dyDescent="0.35">
      <c r="I38600" s="63"/>
      <c r="J38600" s="63"/>
    </row>
    <row r="38601" spans="9:10" x14ac:dyDescent="0.35">
      <c r="I38601" s="63"/>
      <c r="J38601" s="63"/>
    </row>
    <row r="38602" spans="9:10" x14ac:dyDescent="0.35">
      <c r="I38602" s="63"/>
      <c r="J38602" s="63"/>
    </row>
    <row r="38603" spans="9:10" x14ac:dyDescent="0.35">
      <c r="I38603" s="63"/>
      <c r="J38603" s="63"/>
    </row>
    <row r="38604" spans="9:10" x14ac:dyDescent="0.35">
      <c r="I38604" s="63"/>
      <c r="J38604" s="63"/>
    </row>
    <row r="38605" spans="9:10" x14ac:dyDescent="0.35">
      <c r="I38605" s="63"/>
      <c r="J38605" s="63"/>
    </row>
    <row r="38606" spans="9:10" x14ac:dyDescent="0.35">
      <c r="I38606" s="63"/>
      <c r="J38606" s="63"/>
    </row>
    <row r="38607" spans="9:10" x14ac:dyDescent="0.35">
      <c r="I38607" s="63"/>
      <c r="J38607" s="63"/>
    </row>
    <row r="38608" spans="9:10" x14ac:dyDescent="0.35">
      <c r="I38608" s="63"/>
      <c r="J38608" s="63"/>
    </row>
    <row r="38609" spans="9:10" x14ac:dyDescent="0.35">
      <c r="I38609" s="63"/>
      <c r="J38609" s="63"/>
    </row>
    <row r="38610" spans="9:10" x14ac:dyDescent="0.35">
      <c r="I38610" s="63"/>
      <c r="J38610" s="63"/>
    </row>
    <row r="38611" spans="9:10" x14ac:dyDescent="0.35">
      <c r="I38611" s="63"/>
      <c r="J38611" s="63"/>
    </row>
    <row r="38612" spans="9:10" x14ac:dyDescent="0.35">
      <c r="I38612" s="63"/>
      <c r="J38612" s="63"/>
    </row>
    <row r="38613" spans="9:10" x14ac:dyDescent="0.35">
      <c r="I38613" s="63"/>
      <c r="J38613" s="63"/>
    </row>
    <row r="38614" spans="9:10" x14ac:dyDescent="0.35">
      <c r="I38614" s="63"/>
      <c r="J38614" s="63"/>
    </row>
    <row r="38615" spans="9:10" x14ac:dyDescent="0.35">
      <c r="I38615" s="63"/>
      <c r="J38615" s="63"/>
    </row>
    <row r="38616" spans="9:10" x14ac:dyDescent="0.35">
      <c r="I38616" s="63"/>
      <c r="J38616" s="63"/>
    </row>
    <row r="38617" spans="9:10" x14ac:dyDescent="0.35">
      <c r="I38617" s="63"/>
      <c r="J38617" s="63"/>
    </row>
    <row r="38618" spans="9:10" x14ac:dyDescent="0.35">
      <c r="I38618" s="63"/>
      <c r="J38618" s="63"/>
    </row>
    <row r="38619" spans="9:10" x14ac:dyDescent="0.35">
      <c r="I38619" s="63"/>
      <c r="J38619" s="63"/>
    </row>
    <row r="38620" spans="9:10" x14ac:dyDescent="0.35">
      <c r="I38620" s="63"/>
      <c r="J38620" s="63"/>
    </row>
    <row r="38621" spans="9:10" x14ac:dyDescent="0.35">
      <c r="I38621" s="63"/>
      <c r="J38621" s="63"/>
    </row>
    <row r="38622" spans="9:10" x14ac:dyDescent="0.35">
      <c r="I38622" s="63"/>
      <c r="J38622" s="63"/>
    </row>
    <row r="38623" spans="9:10" x14ac:dyDescent="0.35">
      <c r="I38623" s="63"/>
      <c r="J38623" s="63"/>
    </row>
    <row r="38624" spans="9:10" x14ac:dyDescent="0.35">
      <c r="I38624" s="63"/>
      <c r="J38624" s="63"/>
    </row>
    <row r="38625" spans="9:10" x14ac:dyDescent="0.35">
      <c r="I38625" s="63"/>
      <c r="J38625" s="63"/>
    </row>
    <row r="38626" spans="9:10" x14ac:dyDescent="0.35">
      <c r="I38626" s="63"/>
      <c r="J38626" s="63"/>
    </row>
    <row r="38627" spans="9:10" x14ac:dyDescent="0.35">
      <c r="I38627" s="63"/>
      <c r="J38627" s="63"/>
    </row>
    <row r="38628" spans="9:10" x14ac:dyDescent="0.35">
      <c r="I38628" s="63"/>
      <c r="J38628" s="63"/>
    </row>
    <row r="38629" spans="9:10" x14ac:dyDescent="0.35">
      <c r="I38629" s="63"/>
      <c r="J38629" s="63"/>
    </row>
    <row r="38630" spans="9:10" x14ac:dyDescent="0.35">
      <c r="I38630" s="63"/>
      <c r="J38630" s="63"/>
    </row>
    <row r="38631" spans="9:10" x14ac:dyDescent="0.35">
      <c r="I38631" s="63"/>
      <c r="J38631" s="63"/>
    </row>
    <row r="38632" spans="9:10" x14ac:dyDescent="0.35">
      <c r="I38632" s="63"/>
      <c r="J38632" s="63"/>
    </row>
    <row r="38633" spans="9:10" x14ac:dyDescent="0.35">
      <c r="I38633" s="63"/>
      <c r="J38633" s="63"/>
    </row>
    <row r="38634" spans="9:10" x14ac:dyDescent="0.35">
      <c r="I38634" s="63"/>
      <c r="J38634" s="63"/>
    </row>
    <row r="38635" spans="9:10" x14ac:dyDescent="0.35">
      <c r="I38635" s="63"/>
      <c r="J38635" s="63"/>
    </row>
    <row r="38636" spans="9:10" x14ac:dyDescent="0.35">
      <c r="I38636" s="63"/>
      <c r="J38636" s="63"/>
    </row>
    <row r="38637" spans="9:10" x14ac:dyDescent="0.35">
      <c r="I38637" s="63"/>
      <c r="J38637" s="63"/>
    </row>
    <row r="38638" spans="9:10" x14ac:dyDescent="0.35">
      <c r="I38638" s="63"/>
      <c r="J38638" s="63"/>
    </row>
    <row r="38639" spans="9:10" x14ac:dyDescent="0.35">
      <c r="I38639" s="63"/>
      <c r="J38639" s="63"/>
    </row>
    <row r="38640" spans="9:10" x14ac:dyDescent="0.35">
      <c r="I38640" s="63"/>
      <c r="J38640" s="63"/>
    </row>
    <row r="38641" spans="9:10" x14ac:dyDescent="0.35">
      <c r="I38641" s="63"/>
      <c r="J38641" s="63"/>
    </row>
    <row r="38642" spans="9:10" x14ac:dyDescent="0.35">
      <c r="I38642" s="63"/>
      <c r="J38642" s="63"/>
    </row>
    <row r="38643" spans="9:10" x14ac:dyDescent="0.35">
      <c r="I38643" s="63"/>
      <c r="J38643" s="63"/>
    </row>
    <row r="38644" spans="9:10" x14ac:dyDescent="0.35">
      <c r="I38644" s="63"/>
      <c r="J38644" s="63"/>
    </row>
    <row r="38645" spans="9:10" x14ac:dyDescent="0.35">
      <c r="I38645" s="63"/>
      <c r="J38645" s="63"/>
    </row>
    <row r="38646" spans="9:10" x14ac:dyDescent="0.35">
      <c r="I38646" s="63"/>
      <c r="J38646" s="63"/>
    </row>
    <row r="38647" spans="9:10" x14ac:dyDescent="0.35">
      <c r="I38647" s="63"/>
      <c r="J38647" s="63"/>
    </row>
    <row r="38648" spans="9:10" x14ac:dyDescent="0.35">
      <c r="I38648" s="63"/>
      <c r="J38648" s="63"/>
    </row>
    <row r="38649" spans="9:10" x14ac:dyDescent="0.35">
      <c r="I38649" s="63"/>
      <c r="J38649" s="63"/>
    </row>
    <row r="38650" spans="9:10" x14ac:dyDescent="0.35">
      <c r="I38650" s="63"/>
      <c r="J38650" s="63"/>
    </row>
    <row r="38651" spans="9:10" x14ac:dyDescent="0.35">
      <c r="I38651" s="63"/>
      <c r="J38651" s="63"/>
    </row>
    <row r="38652" spans="9:10" x14ac:dyDescent="0.35">
      <c r="I38652" s="63"/>
      <c r="J38652" s="63"/>
    </row>
    <row r="38653" spans="9:10" x14ac:dyDescent="0.35">
      <c r="I38653" s="63"/>
      <c r="J38653" s="63"/>
    </row>
    <row r="38654" spans="9:10" x14ac:dyDescent="0.35">
      <c r="I38654" s="63"/>
      <c r="J38654" s="63"/>
    </row>
    <row r="38655" spans="9:10" x14ac:dyDescent="0.35">
      <c r="I38655" s="63"/>
      <c r="J38655" s="63"/>
    </row>
    <row r="38656" spans="9:10" x14ac:dyDescent="0.35">
      <c r="I38656" s="63"/>
      <c r="J38656" s="63"/>
    </row>
    <row r="38657" spans="9:10" x14ac:dyDescent="0.35">
      <c r="I38657" s="63"/>
      <c r="J38657" s="63"/>
    </row>
    <row r="38658" spans="9:10" x14ac:dyDescent="0.35">
      <c r="I38658" s="63"/>
      <c r="J38658" s="63"/>
    </row>
    <row r="38659" spans="9:10" x14ac:dyDescent="0.35">
      <c r="I38659" s="63"/>
      <c r="J38659" s="63"/>
    </row>
    <row r="38660" spans="9:10" x14ac:dyDescent="0.35">
      <c r="I38660" s="63"/>
      <c r="J38660" s="63"/>
    </row>
    <row r="38661" spans="9:10" x14ac:dyDescent="0.35">
      <c r="I38661" s="63"/>
      <c r="J38661" s="63"/>
    </row>
    <row r="38662" spans="9:10" x14ac:dyDescent="0.35">
      <c r="I38662" s="63"/>
      <c r="J38662" s="63"/>
    </row>
    <row r="38663" spans="9:10" x14ac:dyDescent="0.35">
      <c r="I38663" s="63"/>
      <c r="J38663" s="63"/>
    </row>
    <row r="38664" spans="9:10" x14ac:dyDescent="0.35">
      <c r="I38664" s="63"/>
      <c r="J38664" s="63"/>
    </row>
    <row r="38665" spans="9:10" x14ac:dyDescent="0.35">
      <c r="I38665" s="63"/>
      <c r="J38665" s="63"/>
    </row>
    <row r="38666" spans="9:10" x14ac:dyDescent="0.35">
      <c r="I38666" s="63"/>
      <c r="J38666" s="63"/>
    </row>
    <row r="38667" spans="9:10" x14ac:dyDescent="0.35">
      <c r="I38667" s="63"/>
      <c r="J38667" s="63"/>
    </row>
    <row r="38668" spans="9:10" x14ac:dyDescent="0.35">
      <c r="I38668" s="63"/>
      <c r="J38668" s="63"/>
    </row>
    <row r="38669" spans="9:10" x14ac:dyDescent="0.35">
      <c r="I38669" s="63"/>
      <c r="J38669" s="63"/>
    </row>
    <row r="38670" spans="9:10" x14ac:dyDescent="0.35">
      <c r="I38670" s="63"/>
      <c r="J38670" s="63"/>
    </row>
    <row r="38671" spans="9:10" x14ac:dyDescent="0.35">
      <c r="I38671" s="63"/>
      <c r="J38671" s="63"/>
    </row>
    <row r="38672" spans="9:10" x14ac:dyDescent="0.35">
      <c r="I38672" s="63"/>
      <c r="J38672" s="63"/>
    </row>
    <row r="38673" spans="9:10" x14ac:dyDescent="0.35">
      <c r="I38673" s="63"/>
      <c r="J38673" s="63"/>
    </row>
    <row r="38674" spans="9:10" x14ac:dyDescent="0.35">
      <c r="I38674" s="63"/>
      <c r="J38674" s="63"/>
    </row>
    <row r="38675" spans="9:10" x14ac:dyDescent="0.35">
      <c r="I38675" s="63"/>
      <c r="J38675" s="63"/>
    </row>
    <row r="38676" spans="9:10" x14ac:dyDescent="0.35">
      <c r="I38676" s="63"/>
      <c r="J38676" s="63"/>
    </row>
    <row r="38677" spans="9:10" x14ac:dyDescent="0.35">
      <c r="I38677" s="63"/>
      <c r="J38677" s="63"/>
    </row>
    <row r="38678" spans="9:10" x14ac:dyDescent="0.35">
      <c r="I38678" s="63"/>
      <c r="J38678" s="63"/>
    </row>
    <row r="38679" spans="9:10" x14ac:dyDescent="0.35">
      <c r="I38679" s="63"/>
      <c r="J38679" s="63"/>
    </row>
    <row r="38680" spans="9:10" x14ac:dyDescent="0.35">
      <c r="I38680" s="63"/>
      <c r="J38680" s="63"/>
    </row>
    <row r="38681" spans="9:10" x14ac:dyDescent="0.35">
      <c r="I38681" s="63"/>
      <c r="J38681" s="63"/>
    </row>
    <row r="38682" spans="9:10" x14ac:dyDescent="0.35">
      <c r="I38682" s="63"/>
      <c r="J38682" s="63"/>
    </row>
    <row r="38683" spans="9:10" x14ac:dyDescent="0.35">
      <c r="I38683" s="63"/>
      <c r="J38683" s="63"/>
    </row>
    <row r="38684" spans="9:10" x14ac:dyDescent="0.35">
      <c r="I38684" s="63"/>
      <c r="J38684" s="63"/>
    </row>
    <row r="38685" spans="9:10" x14ac:dyDescent="0.35">
      <c r="I38685" s="63"/>
      <c r="J38685" s="63"/>
    </row>
    <row r="38686" spans="9:10" x14ac:dyDescent="0.35">
      <c r="I38686" s="63"/>
      <c r="J38686" s="63"/>
    </row>
    <row r="38687" spans="9:10" x14ac:dyDescent="0.35">
      <c r="I38687" s="63"/>
      <c r="J38687" s="63"/>
    </row>
    <row r="38688" spans="9:10" x14ac:dyDescent="0.35">
      <c r="I38688" s="63"/>
      <c r="J38688" s="63"/>
    </row>
    <row r="38689" spans="9:10" x14ac:dyDescent="0.35">
      <c r="I38689" s="63"/>
      <c r="J38689" s="63"/>
    </row>
    <row r="38690" spans="9:10" x14ac:dyDescent="0.35">
      <c r="I38690" s="63"/>
      <c r="J38690" s="63"/>
    </row>
    <row r="38691" spans="9:10" x14ac:dyDescent="0.35">
      <c r="I38691" s="63"/>
      <c r="J38691" s="63"/>
    </row>
    <row r="38692" spans="9:10" x14ac:dyDescent="0.35">
      <c r="I38692" s="63"/>
      <c r="J38692" s="63"/>
    </row>
    <row r="38693" spans="9:10" x14ac:dyDescent="0.35">
      <c r="I38693" s="63"/>
      <c r="J38693" s="63"/>
    </row>
    <row r="38694" spans="9:10" x14ac:dyDescent="0.35">
      <c r="I38694" s="63"/>
      <c r="J38694" s="63"/>
    </row>
    <row r="38695" spans="9:10" x14ac:dyDescent="0.35">
      <c r="I38695" s="63"/>
      <c r="J38695" s="63"/>
    </row>
    <row r="38696" spans="9:10" x14ac:dyDescent="0.35">
      <c r="I38696" s="63"/>
      <c r="J38696" s="63"/>
    </row>
    <row r="38697" spans="9:10" x14ac:dyDescent="0.35">
      <c r="I38697" s="63"/>
      <c r="J38697" s="63"/>
    </row>
    <row r="38698" spans="9:10" x14ac:dyDescent="0.35">
      <c r="I38698" s="63"/>
      <c r="J38698" s="63"/>
    </row>
    <row r="38699" spans="9:10" x14ac:dyDescent="0.35">
      <c r="I38699" s="63"/>
      <c r="J38699" s="63"/>
    </row>
    <row r="38700" spans="9:10" x14ac:dyDescent="0.35">
      <c r="I38700" s="63"/>
      <c r="J38700" s="63"/>
    </row>
    <row r="38701" spans="9:10" x14ac:dyDescent="0.35">
      <c r="I38701" s="63"/>
      <c r="J38701" s="63"/>
    </row>
    <row r="38702" spans="9:10" x14ac:dyDescent="0.35">
      <c r="I38702" s="63"/>
      <c r="J38702" s="63"/>
    </row>
    <row r="38703" spans="9:10" x14ac:dyDescent="0.35">
      <c r="I38703" s="63"/>
      <c r="J38703" s="63"/>
    </row>
    <row r="38704" spans="9:10" x14ac:dyDescent="0.35">
      <c r="I38704" s="63"/>
      <c r="J38704" s="63"/>
    </row>
    <row r="38705" spans="9:10" x14ac:dyDescent="0.35">
      <c r="I38705" s="63"/>
      <c r="J38705" s="63"/>
    </row>
    <row r="38706" spans="9:10" x14ac:dyDescent="0.35">
      <c r="I38706" s="63"/>
      <c r="J38706" s="63"/>
    </row>
    <row r="38707" spans="9:10" x14ac:dyDescent="0.35">
      <c r="I38707" s="63"/>
      <c r="J38707" s="63"/>
    </row>
    <row r="38708" spans="9:10" x14ac:dyDescent="0.35">
      <c r="I38708" s="63"/>
      <c r="J38708" s="63"/>
    </row>
    <row r="38709" spans="9:10" x14ac:dyDescent="0.35">
      <c r="I38709" s="63"/>
      <c r="J38709" s="63"/>
    </row>
    <row r="38710" spans="9:10" x14ac:dyDescent="0.35">
      <c r="I38710" s="63"/>
      <c r="J38710" s="63"/>
    </row>
    <row r="38711" spans="9:10" x14ac:dyDescent="0.35">
      <c r="I38711" s="63"/>
      <c r="J38711" s="63"/>
    </row>
    <row r="38712" spans="9:10" x14ac:dyDescent="0.35">
      <c r="I38712" s="63"/>
      <c r="J38712" s="63"/>
    </row>
    <row r="38713" spans="9:10" x14ac:dyDescent="0.35">
      <c r="I38713" s="63"/>
      <c r="J38713" s="63"/>
    </row>
    <row r="38714" spans="9:10" x14ac:dyDescent="0.35">
      <c r="I38714" s="63"/>
      <c r="J38714" s="63"/>
    </row>
    <row r="38715" spans="9:10" x14ac:dyDescent="0.35">
      <c r="I38715" s="63"/>
      <c r="J38715" s="63"/>
    </row>
    <row r="38716" spans="9:10" x14ac:dyDescent="0.35">
      <c r="I38716" s="63"/>
      <c r="J38716" s="63"/>
    </row>
    <row r="38717" spans="9:10" x14ac:dyDescent="0.35">
      <c r="I38717" s="63"/>
      <c r="J38717" s="63"/>
    </row>
    <row r="38718" spans="9:10" x14ac:dyDescent="0.35">
      <c r="I38718" s="63"/>
      <c r="J38718" s="63"/>
    </row>
    <row r="38719" spans="9:10" x14ac:dyDescent="0.35">
      <c r="I38719" s="63"/>
      <c r="J38719" s="63"/>
    </row>
    <row r="38720" spans="9:10" x14ac:dyDescent="0.35">
      <c r="I38720" s="63"/>
      <c r="J38720" s="63"/>
    </row>
    <row r="38721" spans="9:10" x14ac:dyDescent="0.35">
      <c r="I38721" s="63"/>
      <c r="J38721" s="63"/>
    </row>
    <row r="38722" spans="9:10" x14ac:dyDescent="0.35">
      <c r="I38722" s="63"/>
      <c r="J38722" s="63"/>
    </row>
    <row r="38723" spans="9:10" x14ac:dyDescent="0.35">
      <c r="I38723" s="63"/>
      <c r="J38723" s="63"/>
    </row>
    <row r="38724" spans="9:10" x14ac:dyDescent="0.35">
      <c r="I38724" s="63"/>
      <c r="J38724" s="63"/>
    </row>
    <row r="38725" spans="9:10" x14ac:dyDescent="0.35">
      <c r="I38725" s="63"/>
      <c r="J38725" s="63"/>
    </row>
    <row r="38726" spans="9:10" x14ac:dyDescent="0.35">
      <c r="I38726" s="63"/>
      <c r="J38726" s="63"/>
    </row>
    <row r="38727" spans="9:10" x14ac:dyDescent="0.35">
      <c r="I38727" s="63"/>
      <c r="J38727" s="63"/>
    </row>
    <row r="38728" spans="9:10" x14ac:dyDescent="0.35">
      <c r="I38728" s="63"/>
      <c r="J38728" s="63"/>
    </row>
    <row r="38729" spans="9:10" x14ac:dyDescent="0.35">
      <c r="I38729" s="63"/>
      <c r="J38729" s="63"/>
    </row>
    <row r="38730" spans="9:10" x14ac:dyDescent="0.35">
      <c r="I38730" s="63"/>
      <c r="J38730" s="63"/>
    </row>
    <row r="38731" spans="9:10" x14ac:dyDescent="0.35">
      <c r="I38731" s="63"/>
      <c r="J38731" s="63"/>
    </row>
    <row r="38732" spans="9:10" x14ac:dyDescent="0.35">
      <c r="I38732" s="63"/>
      <c r="J38732" s="63"/>
    </row>
    <row r="38733" spans="9:10" x14ac:dyDescent="0.35">
      <c r="I38733" s="63"/>
      <c r="J38733" s="63"/>
    </row>
    <row r="38734" spans="9:10" x14ac:dyDescent="0.35">
      <c r="I38734" s="63"/>
      <c r="J38734" s="63"/>
    </row>
    <row r="38735" spans="9:10" x14ac:dyDescent="0.35">
      <c r="I38735" s="63"/>
      <c r="J38735" s="63"/>
    </row>
    <row r="38736" spans="9:10" x14ac:dyDescent="0.35">
      <c r="I38736" s="63"/>
      <c r="J38736" s="63"/>
    </row>
    <row r="38737" spans="9:10" x14ac:dyDescent="0.35">
      <c r="I38737" s="63"/>
      <c r="J38737" s="63"/>
    </row>
    <row r="38738" spans="9:10" x14ac:dyDescent="0.35">
      <c r="I38738" s="63"/>
      <c r="J38738" s="63"/>
    </row>
    <row r="38739" spans="9:10" x14ac:dyDescent="0.35">
      <c r="I38739" s="63"/>
      <c r="J38739" s="63"/>
    </row>
    <row r="38740" spans="9:10" x14ac:dyDescent="0.35">
      <c r="I38740" s="63"/>
      <c r="J38740" s="63"/>
    </row>
    <row r="38741" spans="9:10" x14ac:dyDescent="0.35">
      <c r="I38741" s="63"/>
      <c r="J38741" s="63"/>
    </row>
    <row r="38742" spans="9:10" x14ac:dyDescent="0.35">
      <c r="I38742" s="63"/>
      <c r="J38742" s="63"/>
    </row>
    <row r="38743" spans="9:10" x14ac:dyDescent="0.35">
      <c r="I38743" s="63"/>
      <c r="J38743" s="63"/>
    </row>
    <row r="38744" spans="9:10" x14ac:dyDescent="0.35">
      <c r="I38744" s="63"/>
      <c r="J38744" s="63"/>
    </row>
    <row r="38745" spans="9:10" x14ac:dyDescent="0.35">
      <c r="I38745" s="63"/>
      <c r="J38745" s="63"/>
    </row>
    <row r="38746" spans="9:10" x14ac:dyDescent="0.35">
      <c r="I38746" s="63"/>
      <c r="J38746" s="63"/>
    </row>
    <row r="38747" spans="9:10" x14ac:dyDescent="0.35">
      <c r="I38747" s="63"/>
      <c r="J38747" s="63"/>
    </row>
    <row r="38748" spans="9:10" x14ac:dyDescent="0.35">
      <c r="I38748" s="63"/>
      <c r="J38748" s="63"/>
    </row>
    <row r="38749" spans="9:10" x14ac:dyDescent="0.35">
      <c r="I38749" s="63"/>
      <c r="J38749" s="63"/>
    </row>
    <row r="38750" spans="9:10" x14ac:dyDescent="0.35">
      <c r="I38750" s="63"/>
      <c r="J38750" s="63"/>
    </row>
    <row r="38751" spans="9:10" x14ac:dyDescent="0.35">
      <c r="I38751" s="63"/>
      <c r="J38751" s="63"/>
    </row>
    <row r="38752" spans="9:10" x14ac:dyDescent="0.35">
      <c r="I38752" s="63"/>
      <c r="J38752" s="63"/>
    </row>
    <row r="38753" spans="9:10" x14ac:dyDescent="0.35">
      <c r="I38753" s="63"/>
      <c r="J38753" s="63"/>
    </row>
    <row r="38754" spans="9:10" x14ac:dyDescent="0.35">
      <c r="I38754" s="63"/>
      <c r="J38754" s="63"/>
    </row>
    <row r="38755" spans="9:10" x14ac:dyDescent="0.35">
      <c r="I38755" s="63"/>
      <c r="J38755" s="63"/>
    </row>
    <row r="38756" spans="9:10" x14ac:dyDescent="0.35">
      <c r="I38756" s="63"/>
      <c r="J38756" s="63"/>
    </row>
    <row r="38757" spans="9:10" x14ac:dyDescent="0.35">
      <c r="I38757" s="63"/>
      <c r="J38757" s="63"/>
    </row>
    <row r="38758" spans="9:10" x14ac:dyDescent="0.35">
      <c r="I38758" s="63"/>
      <c r="J38758" s="63"/>
    </row>
    <row r="38759" spans="9:10" x14ac:dyDescent="0.35">
      <c r="I38759" s="63"/>
      <c r="J38759" s="63"/>
    </row>
    <row r="38760" spans="9:10" x14ac:dyDescent="0.35">
      <c r="I38760" s="63"/>
      <c r="J38760" s="63"/>
    </row>
    <row r="38761" spans="9:10" x14ac:dyDescent="0.35">
      <c r="I38761" s="63"/>
      <c r="J38761" s="63"/>
    </row>
    <row r="38762" spans="9:10" x14ac:dyDescent="0.35">
      <c r="I38762" s="63"/>
      <c r="J38762" s="63"/>
    </row>
    <row r="38763" spans="9:10" x14ac:dyDescent="0.35">
      <c r="I38763" s="63"/>
      <c r="J38763" s="63"/>
    </row>
    <row r="38764" spans="9:10" x14ac:dyDescent="0.35">
      <c r="I38764" s="63"/>
      <c r="J38764" s="63"/>
    </row>
    <row r="38765" spans="9:10" x14ac:dyDescent="0.35">
      <c r="I38765" s="63"/>
      <c r="J38765" s="63"/>
    </row>
    <row r="38766" spans="9:10" x14ac:dyDescent="0.35">
      <c r="I38766" s="63"/>
      <c r="J38766" s="63"/>
    </row>
    <row r="38767" spans="9:10" x14ac:dyDescent="0.35">
      <c r="I38767" s="63"/>
      <c r="J38767" s="63"/>
    </row>
    <row r="38768" spans="9:10" x14ac:dyDescent="0.35">
      <c r="I38768" s="63"/>
      <c r="J38768" s="63"/>
    </row>
    <row r="38769" spans="9:10" x14ac:dyDescent="0.35">
      <c r="I38769" s="63"/>
      <c r="J38769" s="63"/>
    </row>
    <row r="38770" spans="9:10" x14ac:dyDescent="0.35">
      <c r="I38770" s="63"/>
      <c r="J38770" s="63"/>
    </row>
    <row r="38771" spans="9:10" x14ac:dyDescent="0.35">
      <c r="I38771" s="63"/>
      <c r="J38771" s="63"/>
    </row>
    <row r="38772" spans="9:10" x14ac:dyDescent="0.35">
      <c r="I38772" s="63"/>
      <c r="J38772" s="63"/>
    </row>
    <row r="38773" spans="9:10" x14ac:dyDescent="0.35">
      <c r="I38773" s="63"/>
      <c r="J38773" s="63"/>
    </row>
    <row r="38774" spans="9:10" x14ac:dyDescent="0.35">
      <c r="I38774" s="63"/>
      <c r="J38774" s="63"/>
    </row>
    <row r="38775" spans="9:10" x14ac:dyDescent="0.35">
      <c r="I38775" s="63"/>
      <c r="J38775" s="63"/>
    </row>
    <row r="38776" spans="9:10" x14ac:dyDescent="0.35">
      <c r="I38776" s="63"/>
      <c r="J38776" s="63"/>
    </row>
    <row r="38777" spans="9:10" x14ac:dyDescent="0.35">
      <c r="I38777" s="63"/>
      <c r="J38777" s="63"/>
    </row>
    <row r="38778" spans="9:10" x14ac:dyDescent="0.35">
      <c r="I38778" s="63"/>
      <c r="J38778" s="63"/>
    </row>
    <row r="38779" spans="9:10" x14ac:dyDescent="0.35">
      <c r="I38779" s="63"/>
      <c r="J38779" s="63"/>
    </row>
    <row r="38780" spans="9:10" x14ac:dyDescent="0.35">
      <c r="I38780" s="63"/>
      <c r="J38780" s="63"/>
    </row>
    <row r="38781" spans="9:10" x14ac:dyDescent="0.35">
      <c r="I38781" s="63"/>
      <c r="J38781" s="63"/>
    </row>
    <row r="38782" spans="9:10" x14ac:dyDescent="0.35">
      <c r="I38782" s="63"/>
      <c r="J38782" s="63"/>
    </row>
    <row r="38783" spans="9:10" x14ac:dyDescent="0.35">
      <c r="I38783" s="63"/>
      <c r="J38783" s="63"/>
    </row>
    <row r="38784" spans="9:10" x14ac:dyDescent="0.35">
      <c r="I38784" s="63"/>
      <c r="J38784" s="63"/>
    </row>
    <row r="38785" spans="9:10" x14ac:dyDescent="0.35">
      <c r="I38785" s="63"/>
      <c r="J38785" s="63"/>
    </row>
    <row r="38786" spans="9:10" x14ac:dyDescent="0.35">
      <c r="I38786" s="63"/>
      <c r="J38786" s="63"/>
    </row>
    <row r="38787" spans="9:10" x14ac:dyDescent="0.35">
      <c r="I38787" s="63"/>
      <c r="J38787" s="63"/>
    </row>
    <row r="38788" spans="9:10" x14ac:dyDescent="0.35">
      <c r="I38788" s="63"/>
      <c r="J38788" s="63"/>
    </row>
    <row r="38789" spans="9:10" x14ac:dyDescent="0.35">
      <c r="I38789" s="63"/>
      <c r="J38789" s="63"/>
    </row>
    <row r="38790" spans="9:10" x14ac:dyDescent="0.35">
      <c r="I38790" s="63"/>
      <c r="J38790" s="63"/>
    </row>
    <row r="38791" spans="9:10" x14ac:dyDescent="0.35">
      <c r="I38791" s="63"/>
      <c r="J38791" s="63"/>
    </row>
    <row r="38792" spans="9:10" x14ac:dyDescent="0.35">
      <c r="I38792" s="63"/>
      <c r="J38792" s="63"/>
    </row>
    <row r="38793" spans="9:10" x14ac:dyDescent="0.35">
      <c r="I38793" s="63"/>
      <c r="J38793" s="63"/>
    </row>
    <row r="38794" spans="9:10" x14ac:dyDescent="0.35">
      <c r="I38794" s="63"/>
      <c r="J38794" s="63"/>
    </row>
    <row r="38795" spans="9:10" x14ac:dyDescent="0.35">
      <c r="I38795" s="63"/>
      <c r="J38795" s="63"/>
    </row>
    <row r="38796" spans="9:10" x14ac:dyDescent="0.35">
      <c r="I38796" s="63"/>
      <c r="J38796" s="63"/>
    </row>
    <row r="38797" spans="9:10" x14ac:dyDescent="0.35">
      <c r="I38797" s="63"/>
      <c r="J38797" s="63"/>
    </row>
    <row r="38798" spans="9:10" x14ac:dyDescent="0.35">
      <c r="I38798" s="63"/>
      <c r="J38798" s="63"/>
    </row>
    <row r="38799" spans="9:10" x14ac:dyDescent="0.35">
      <c r="I38799" s="63"/>
      <c r="J38799" s="63"/>
    </row>
    <row r="38800" spans="9:10" x14ac:dyDescent="0.35">
      <c r="I38800" s="63"/>
      <c r="J38800" s="63"/>
    </row>
    <row r="38801" spans="9:10" x14ac:dyDescent="0.35">
      <c r="I38801" s="63"/>
      <c r="J38801" s="63"/>
    </row>
    <row r="38802" spans="9:10" x14ac:dyDescent="0.35">
      <c r="I38802" s="63"/>
      <c r="J38802" s="63"/>
    </row>
    <row r="38803" spans="9:10" x14ac:dyDescent="0.35">
      <c r="I38803" s="63"/>
      <c r="J38803" s="63"/>
    </row>
    <row r="38804" spans="9:10" x14ac:dyDescent="0.35">
      <c r="I38804" s="63"/>
      <c r="J38804" s="63"/>
    </row>
    <row r="38805" spans="9:10" x14ac:dyDescent="0.35">
      <c r="I38805" s="63"/>
      <c r="J38805" s="63"/>
    </row>
    <row r="38806" spans="9:10" x14ac:dyDescent="0.35">
      <c r="I38806" s="63"/>
      <c r="J38806" s="63"/>
    </row>
    <row r="38807" spans="9:10" x14ac:dyDescent="0.35">
      <c r="I38807" s="63"/>
      <c r="J38807" s="63"/>
    </row>
    <row r="38808" spans="9:10" x14ac:dyDescent="0.35">
      <c r="I38808" s="63"/>
      <c r="J38808" s="63"/>
    </row>
    <row r="38809" spans="9:10" x14ac:dyDescent="0.35">
      <c r="I38809" s="63"/>
      <c r="J38809" s="63"/>
    </row>
    <row r="38810" spans="9:10" x14ac:dyDescent="0.35">
      <c r="I38810" s="63"/>
      <c r="J38810" s="63"/>
    </row>
    <row r="38811" spans="9:10" x14ac:dyDescent="0.35">
      <c r="I38811" s="63"/>
      <c r="J38811" s="63"/>
    </row>
    <row r="38812" spans="9:10" x14ac:dyDescent="0.35">
      <c r="I38812" s="63"/>
      <c r="J38812" s="63"/>
    </row>
    <row r="38813" spans="9:10" x14ac:dyDescent="0.35">
      <c r="I38813" s="63"/>
      <c r="J38813" s="63"/>
    </row>
    <row r="38814" spans="9:10" x14ac:dyDescent="0.35">
      <c r="I38814" s="63"/>
      <c r="J38814" s="63"/>
    </row>
    <row r="38815" spans="9:10" x14ac:dyDescent="0.35">
      <c r="I38815" s="63"/>
      <c r="J38815" s="63"/>
    </row>
    <row r="38816" spans="9:10" x14ac:dyDescent="0.35">
      <c r="I38816" s="63"/>
      <c r="J38816" s="63"/>
    </row>
    <row r="38817" spans="9:10" x14ac:dyDescent="0.35">
      <c r="I38817" s="63"/>
      <c r="J38817" s="63"/>
    </row>
    <row r="38818" spans="9:10" x14ac:dyDescent="0.35">
      <c r="I38818" s="63"/>
      <c r="J38818" s="63"/>
    </row>
    <row r="38819" spans="9:10" x14ac:dyDescent="0.35">
      <c r="I38819" s="63"/>
      <c r="J38819" s="63"/>
    </row>
    <row r="38820" spans="9:10" x14ac:dyDescent="0.35">
      <c r="I38820" s="63"/>
      <c r="J38820" s="63"/>
    </row>
    <row r="38821" spans="9:10" x14ac:dyDescent="0.35">
      <c r="I38821" s="63"/>
      <c r="J38821" s="63"/>
    </row>
    <row r="38822" spans="9:10" x14ac:dyDescent="0.35">
      <c r="I38822" s="63"/>
      <c r="J38822" s="63"/>
    </row>
    <row r="38823" spans="9:10" x14ac:dyDescent="0.35">
      <c r="I38823" s="63"/>
      <c r="J38823" s="63"/>
    </row>
    <row r="38824" spans="9:10" x14ac:dyDescent="0.35">
      <c r="I38824" s="63"/>
      <c r="J38824" s="63"/>
    </row>
    <row r="38825" spans="9:10" x14ac:dyDescent="0.35">
      <c r="I38825" s="63"/>
      <c r="J38825" s="63"/>
    </row>
    <row r="38826" spans="9:10" x14ac:dyDescent="0.35">
      <c r="I38826" s="63"/>
      <c r="J38826" s="63"/>
    </row>
    <row r="38827" spans="9:10" x14ac:dyDescent="0.35">
      <c r="I38827" s="63"/>
      <c r="J38827" s="63"/>
    </row>
    <row r="38828" spans="9:10" x14ac:dyDescent="0.35">
      <c r="I38828" s="63"/>
      <c r="J38828" s="63"/>
    </row>
    <row r="38829" spans="9:10" x14ac:dyDescent="0.35">
      <c r="I38829" s="63"/>
      <c r="J38829" s="63"/>
    </row>
    <row r="38830" spans="9:10" x14ac:dyDescent="0.35">
      <c r="I38830" s="63"/>
      <c r="J38830" s="63"/>
    </row>
    <row r="38831" spans="9:10" x14ac:dyDescent="0.35">
      <c r="I38831" s="63"/>
      <c r="J38831" s="63"/>
    </row>
    <row r="38832" spans="9:10" x14ac:dyDescent="0.35">
      <c r="I38832" s="63"/>
      <c r="J38832" s="63"/>
    </row>
    <row r="38833" spans="9:10" x14ac:dyDescent="0.35">
      <c r="I38833" s="63"/>
      <c r="J38833" s="63"/>
    </row>
    <row r="38834" spans="9:10" x14ac:dyDescent="0.35">
      <c r="I38834" s="63"/>
      <c r="J38834" s="63"/>
    </row>
    <row r="38835" spans="9:10" x14ac:dyDescent="0.35">
      <c r="I38835" s="63"/>
      <c r="J38835" s="63"/>
    </row>
    <row r="38836" spans="9:10" x14ac:dyDescent="0.35">
      <c r="I38836" s="63"/>
      <c r="J38836" s="63"/>
    </row>
    <row r="38837" spans="9:10" x14ac:dyDescent="0.35">
      <c r="I38837" s="63"/>
      <c r="J38837" s="63"/>
    </row>
    <row r="38838" spans="9:10" x14ac:dyDescent="0.35">
      <c r="I38838" s="63"/>
      <c r="J38838" s="63"/>
    </row>
    <row r="38839" spans="9:10" x14ac:dyDescent="0.35">
      <c r="I38839" s="63"/>
      <c r="J38839" s="63"/>
    </row>
    <row r="38840" spans="9:10" x14ac:dyDescent="0.35">
      <c r="I38840" s="63"/>
      <c r="J38840" s="63"/>
    </row>
    <row r="38841" spans="9:10" x14ac:dyDescent="0.35">
      <c r="I38841" s="63"/>
      <c r="J38841" s="63"/>
    </row>
    <row r="38842" spans="9:10" x14ac:dyDescent="0.35">
      <c r="I38842" s="63"/>
      <c r="J38842" s="63"/>
    </row>
    <row r="38843" spans="9:10" x14ac:dyDescent="0.35">
      <c r="I38843" s="63"/>
      <c r="J38843" s="63"/>
    </row>
    <row r="38844" spans="9:10" x14ac:dyDescent="0.35">
      <c r="I38844" s="63"/>
      <c r="J38844" s="63"/>
    </row>
    <row r="38845" spans="9:10" x14ac:dyDescent="0.35">
      <c r="I38845" s="63"/>
      <c r="J38845" s="63"/>
    </row>
    <row r="38846" spans="9:10" x14ac:dyDescent="0.35">
      <c r="I38846" s="63"/>
      <c r="J38846" s="63"/>
    </row>
    <row r="38847" spans="9:10" x14ac:dyDescent="0.35">
      <c r="I38847" s="63"/>
      <c r="J38847" s="63"/>
    </row>
    <row r="38848" spans="9:10" x14ac:dyDescent="0.35">
      <c r="I38848" s="63"/>
      <c r="J38848" s="63"/>
    </row>
    <row r="38849" spans="9:10" x14ac:dyDescent="0.35">
      <c r="I38849" s="63"/>
      <c r="J38849" s="63"/>
    </row>
    <row r="38850" spans="9:10" x14ac:dyDescent="0.35">
      <c r="I38850" s="63"/>
      <c r="J38850" s="63"/>
    </row>
    <row r="38851" spans="9:10" x14ac:dyDescent="0.35">
      <c r="I38851" s="63"/>
      <c r="J38851" s="63"/>
    </row>
    <row r="38852" spans="9:10" x14ac:dyDescent="0.35">
      <c r="I38852" s="63"/>
      <c r="J38852" s="63"/>
    </row>
    <row r="38853" spans="9:10" x14ac:dyDescent="0.35">
      <c r="I38853" s="63"/>
      <c r="J38853" s="63"/>
    </row>
    <row r="38854" spans="9:10" x14ac:dyDescent="0.35">
      <c r="I38854" s="63"/>
      <c r="J38854" s="63"/>
    </row>
    <row r="38855" spans="9:10" x14ac:dyDescent="0.35">
      <c r="I38855" s="63"/>
      <c r="J38855" s="63"/>
    </row>
    <row r="38856" spans="9:10" x14ac:dyDescent="0.35">
      <c r="I38856" s="63"/>
      <c r="J38856" s="63"/>
    </row>
    <row r="38857" spans="9:10" x14ac:dyDescent="0.35">
      <c r="I38857" s="63"/>
      <c r="J38857" s="63"/>
    </row>
    <row r="38858" spans="9:10" x14ac:dyDescent="0.35">
      <c r="I38858" s="63"/>
      <c r="J38858" s="63"/>
    </row>
    <row r="38859" spans="9:10" x14ac:dyDescent="0.35">
      <c r="I38859" s="63"/>
      <c r="J38859" s="63"/>
    </row>
    <row r="38860" spans="9:10" x14ac:dyDescent="0.35">
      <c r="I38860" s="63"/>
      <c r="J38860" s="63"/>
    </row>
    <row r="38861" spans="9:10" x14ac:dyDescent="0.35">
      <c r="I38861" s="63"/>
      <c r="J38861" s="63"/>
    </row>
    <row r="38862" spans="9:10" x14ac:dyDescent="0.35">
      <c r="I38862" s="63"/>
      <c r="J38862" s="63"/>
    </row>
    <row r="38863" spans="9:10" x14ac:dyDescent="0.35">
      <c r="I38863" s="63"/>
      <c r="J38863" s="63"/>
    </row>
    <row r="38864" spans="9:10" x14ac:dyDescent="0.35">
      <c r="I38864" s="63"/>
      <c r="J38864" s="63"/>
    </row>
    <row r="38865" spans="9:10" x14ac:dyDescent="0.35">
      <c r="I38865" s="63"/>
      <c r="J38865" s="63"/>
    </row>
    <row r="38866" spans="9:10" x14ac:dyDescent="0.35">
      <c r="I38866" s="63"/>
      <c r="J38866" s="63"/>
    </row>
    <row r="38867" spans="9:10" x14ac:dyDescent="0.35">
      <c r="I38867" s="63"/>
      <c r="J38867" s="63"/>
    </row>
    <row r="38868" spans="9:10" x14ac:dyDescent="0.35">
      <c r="I38868" s="63"/>
      <c r="J38868" s="63"/>
    </row>
    <row r="38869" spans="9:10" x14ac:dyDescent="0.35">
      <c r="I38869" s="63"/>
      <c r="J38869" s="63"/>
    </row>
    <row r="38870" spans="9:10" x14ac:dyDescent="0.35">
      <c r="I38870" s="63"/>
      <c r="J38870" s="63"/>
    </row>
    <row r="38871" spans="9:10" x14ac:dyDescent="0.35">
      <c r="I38871" s="63"/>
      <c r="J38871" s="63"/>
    </row>
    <row r="38872" spans="9:10" x14ac:dyDescent="0.35">
      <c r="I38872" s="63"/>
      <c r="J38872" s="63"/>
    </row>
    <row r="38873" spans="9:10" x14ac:dyDescent="0.35">
      <c r="I38873" s="63"/>
      <c r="J38873" s="63"/>
    </row>
    <row r="38874" spans="9:10" x14ac:dyDescent="0.35">
      <c r="I38874" s="63"/>
      <c r="J38874" s="63"/>
    </row>
    <row r="38875" spans="9:10" x14ac:dyDescent="0.35">
      <c r="I38875" s="63"/>
      <c r="J38875" s="63"/>
    </row>
    <row r="38876" spans="9:10" x14ac:dyDescent="0.35">
      <c r="I38876" s="63"/>
      <c r="J38876" s="63"/>
    </row>
    <row r="38877" spans="9:10" x14ac:dyDescent="0.35">
      <c r="I38877" s="63"/>
      <c r="J38877" s="63"/>
    </row>
    <row r="38878" spans="9:10" x14ac:dyDescent="0.35">
      <c r="I38878" s="63"/>
      <c r="J38878" s="63"/>
    </row>
    <row r="38879" spans="9:10" x14ac:dyDescent="0.35">
      <c r="I38879" s="63"/>
      <c r="J38879" s="63"/>
    </row>
    <row r="38880" spans="9:10" x14ac:dyDescent="0.35">
      <c r="I38880" s="63"/>
      <c r="J38880" s="63"/>
    </row>
    <row r="38881" spans="9:10" x14ac:dyDescent="0.35">
      <c r="I38881" s="63"/>
      <c r="J38881" s="63"/>
    </row>
    <row r="38882" spans="9:10" x14ac:dyDescent="0.35">
      <c r="I38882" s="63"/>
      <c r="J38882" s="63"/>
    </row>
    <row r="38883" spans="9:10" x14ac:dyDescent="0.35">
      <c r="I38883" s="63"/>
      <c r="J38883" s="63"/>
    </row>
    <row r="38884" spans="9:10" x14ac:dyDescent="0.35">
      <c r="I38884" s="63"/>
      <c r="J38884" s="63"/>
    </row>
    <row r="38885" spans="9:10" x14ac:dyDescent="0.35">
      <c r="I38885" s="63"/>
      <c r="J38885" s="63"/>
    </row>
    <row r="38886" spans="9:10" x14ac:dyDescent="0.35">
      <c r="I38886" s="63"/>
      <c r="J38886" s="63"/>
    </row>
    <row r="38887" spans="9:10" x14ac:dyDescent="0.35">
      <c r="I38887" s="63"/>
      <c r="J38887" s="63"/>
    </row>
    <row r="38888" spans="9:10" x14ac:dyDescent="0.35">
      <c r="I38888" s="63"/>
      <c r="J38888" s="63"/>
    </row>
    <row r="38889" spans="9:10" x14ac:dyDescent="0.35">
      <c r="I38889" s="63"/>
      <c r="J38889" s="63"/>
    </row>
    <row r="38890" spans="9:10" x14ac:dyDescent="0.35">
      <c r="I38890" s="63"/>
      <c r="J38890" s="63"/>
    </row>
    <row r="38891" spans="9:10" x14ac:dyDescent="0.35">
      <c r="I38891" s="63"/>
      <c r="J38891" s="63"/>
    </row>
    <row r="38892" spans="9:10" x14ac:dyDescent="0.35">
      <c r="I38892" s="63"/>
      <c r="J38892" s="63"/>
    </row>
    <row r="38893" spans="9:10" x14ac:dyDescent="0.35">
      <c r="I38893" s="63"/>
      <c r="J38893" s="63"/>
    </row>
    <row r="38894" spans="9:10" x14ac:dyDescent="0.35">
      <c r="I38894" s="63"/>
      <c r="J38894" s="63"/>
    </row>
    <row r="38895" spans="9:10" x14ac:dyDescent="0.35">
      <c r="I38895" s="63"/>
      <c r="J38895" s="63"/>
    </row>
    <row r="38896" spans="9:10" x14ac:dyDescent="0.35">
      <c r="I38896" s="63"/>
      <c r="J38896" s="63"/>
    </row>
    <row r="38897" spans="9:10" x14ac:dyDescent="0.35">
      <c r="I38897" s="63"/>
      <c r="J38897" s="63"/>
    </row>
    <row r="38898" spans="9:10" x14ac:dyDescent="0.35">
      <c r="I38898" s="63"/>
      <c r="J38898" s="63"/>
    </row>
    <row r="38899" spans="9:10" x14ac:dyDescent="0.35">
      <c r="I38899" s="63"/>
      <c r="J38899" s="63"/>
    </row>
    <row r="38900" spans="9:10" x14ac:dyDescent="0.35">
      <c r="I38900" s="63"/>
      <c r="J38900" s="63"/>
    </row>
    <row r="38901" spans="9:10" x14ac:dyDescent="0.35">
      <c r="I38901" s="63"/>
      <c r="J38901" s="63"/>
    </row>
    <row r="38902" spans="9:10" x14ac:dyDescent="0.35">
      <c r="I38902" s="63"/>
      <c r="J38902" s="63"/>
    </row>
    <row r="38903" spans="9:10" x14ac:dyDescent="0.35">
      <c r="I38903" s="63"/>
      <c r="J38903" s="63"/>
    </row>
    <row r="38904" spans="9:10" x14ac:dyDescent="0.35">
      <c r="I38904" s="63"/>
      <c r="J38904" s="63"/>
    </row>
    <row r="38905" spans="9:10" x14ac:dyDescent="0.35">
      <c r="I38905" s="63"/>
      <c r="J38905" s="63"/>
    </row>
    <row r="38906" spans="9:10" x14ac:dyDescent="0.35">
      <c r="I38906" s="63"/>
      <c r="J38906" s="63"/>
    </row>
    <row r="38907" spans="9:10" x14ac:dyDescent="0.35">
      <c r="I38907" s="63"/>
      <c r="J38907" s="63"/>
    </row>
    <row r="38908" spans="9:10" x14ac:dyDescent="0.35">
      <c r="I38908" s="63"/>
      <c r="J38908" s="63"/>
    </row>
    <row r="38909" spans="9:10" x14ac:dyDescent="0.35">
      <c r="I38909" s="63"/>
      <c r="J38909" s="63"/>
    </row>
    <row r="38910" spans="9:10" x14ac:dyDescent="0.35">
      <c r="I38910" s="63"/>
      <c r="J38910" s="63"/>
    </row>
    <row r="38911" spans="9:10" x14ac:dyDescent="0.35">
      <c r="I38911" s="63"/>
      <c r="J38911" s="63"/>
    </row>
    <row r="38912" spans="9:10" x14ac:dyDescent="0.35">
      <c r="I38912" s="63"/>
      <c r="J38912" s="63"/>
    </row>
    <row r="38913" spans="9:10" x14ac:dyDescent="0.35">
      <c r="I38913" s="63"/>
      <c r="J38913" s="63"/>
    </row>
    <row r="38914" spans="9:10" x14ac:dyDescent="0.35">
      <c r="I38914" s="63"/>
      <c r="J38914" s="63"/>
    </row>
    <row r="38915" spans="9:10" x14ac:dyDescent="0.35">
      <c r="I38915" s="63"/>
      <c r="J38915" s="63"/>
    </row>
    <row r="38916" spans="9:10" x14ac:dyDescent="0.35">
      <c r="I38916" s="63"/>
      <c r="J38916" s="63"/>
    </row>
    <row r="38917" spans="9:10" x14ac:dyDescent="0.35">
      <c r="I38917" s="63"/>
      <c r="J38917" s="63"/>
    </row>
    <row r="38918" spans="9:10" x14ac:dyDescent="0.35">
      <c r="I38918" s="63"/>
      <c r="J38918" s="63"/>
    </row>
    <row r="38919" spans="9:10" x14ac:dyDescent="0.35">
      <c r="I38919" s="63"/>
      <c r="J38919" s="63"/>
    </row>
    <row r="38920" spans="9:10" x14ac:dyDescent="0.35">
      <c r="I38920" s="63"/>
      <c r="J38920" s="63"/>
    </row>
    <row r="38921" spans="9:10" x14ac:dyDescent="0.35">
      <c r="I38921" s="63"/>
      <c r="J38921" s="63"/>
    </row>
    <row r="38922" spans="9:10" x14ac:dyDescent="0.35">
      <c r="I38922" s="63"/>
      <c r="J38922" s="63"/>
    </row>
    <row r="38923" spans="9:10" x14ac:dyDescent="0.35">
      <c r="I38923" s="63"/>
      <c r="J38923" s="63"/>
    </row>
    <row r="38924" spans="9:10" x14ac:dyDescent="0.35">
      <c r="I38924" s="63"/>
      <c r="J38924" s="63"/>
    </row>
    <row r="38925" spans="9:10" x14ac:dyDescent="0.35">
      <c r="I38925" s="63"/>
      <c r="J38925" s="63"/>
    </row>
    <row r="38926" spans="9:10" x14ac:dyDescent="0.35">
      <c r="I38926" s="63"/>
      <c r="J38926" s="63"/>
    </row>
    <row r="38927" spans="9:10" x14ac:dyDescent="0.35">
      <c r="I38927" s="63"/>
      <c r="J38927" s="63"/>
    </row>
    <row r="38928" spans="9:10" x14ac:dyDescent="0.35">
      <c r="I38928" s="63"/>
      <c r="J38928" s="63"/>
    </row>
    <row r="38929" spans="9:10" x14ac:dyDescent="0.35">
      <c r="I38929" s="63"/>
      <c r="J38929" s="63"/>
    </row>
    <row r="38930" spans="9:10" x14ac:dyDescent="0.35">
      <c r="I38930" s="63"/>
      <c r="J38930" s="63"/>
    </row>
    <row r="38931" spans="9:10" x14ac:dyDescent="0.35">
      <c r="I38931" s="63"/>
      <c r="J38931" s="63"/>
    </row>
    <row r="38932" spans="9:10" x14ac:dyDescent="0.35">
      <c r="I38932" s="63"/>
      <c r="J38932" s="63"/>
    </row>
    <row r="38933" spans="9:10" x14ac:dyDescent="0.35">
      <c r="I38933" s="63"/>
      <c r="J38933" s="63"/>
    </row>
    <row r="38934" spans="9:10" x14ac:dyDescent="0.35">
      <c r="I38934" s="63"/>
      <c r="J38934" s="63"/>
    </row>
    <row r="38935" spans="9:10" x14ac:dyDescent="0.35">
      <c r="I38935" s="63"/>
      <c r="J38935" s="63"/>
    </row>
    <row r="38936" spans="9:10" x14ac:dyDescent="0.35">
      <c r="I38936" s="63"/>
      <c r="J38936" s="63"/>
    </row>
    <row r="38937" spans="9:10" x14ac:dyDescent="0.35">
      <c r="I38937" s="63"/>
      <c r="J38937" s="63"/>
    </row>
    <row r="38938" spans="9:10" x14ac:dyDescent="0.35">
      <c r="I38938" s="63"/>
      <c r="J38938" s="63"/>
    </row>
    <row r="38939" spans="9:10" x14ac:dyDescent="0.35">
      <c r="I38939" s="63"/>
      <c r="J38939" s="63"/>
    </row>
    <row r="38940" spans="9:10" x14ac:dyDescent="0.35">
      <c r="I38940" s="63"/>
      <c r="J38940" s="63"/>
    </row>
    <row r="38941" spans="9:10" x14ac:dyDescent="0.35">
      <c r="I38941" s="63"/>
      <c r="J38941" s="63"/>
    </row>
    <row r="38942" spans="9:10" x14ac:dyDescent="0.35">
      <c r="I38942" s="63"/>
      <c r="J38942" s="63"/>
    </row>
    <row r="38943" spans="9:10" x14ac:dyDescent="0.35">
      <c r="I38943" s="63"/>
      <c r="J38943" s="63"/>
    </row>
    <row r="38944" spans="9:10" x14ac:dyDescent="0.35">
      <c r="I38944" s="63"/>
      <c r="J38944" s="63"/>
    </row>
    <row r="38945" spans="9:10" x14ac:dyDescent="0.35">
      <c r="I38945" s="63"/>
      <c r="J38945" s="63"/>
    </row>
    <row r="38946" spans="9:10" x14ac:dyDescent="0.35">
      <c r="I38946" s="63"/>
      <c r="J38946" s="63"/>
    </row>
    <row r="38947" spans="9:10" x14ac:dyDescent="0.35">
      <c r="I38947" s="63"/>
      <c r="J38947" s="63"/>
    </row>
    <row r="38948" spans="9:10" x14ac:dyDescent="0.35">
      <c r="I38948" s="63"/>
      <c r="J38948" s="63"/>
    </row>
    <row r="38949" spans="9:10" x14ac:dyDescent="0.35">
      <c r="I38949" s="63"/>
      <c r="J38949" s="63"/>
    </row>
    <row r="38950" spans="9:10" x14ac:dyDescent="0.35">
      <c r="I38950" s="63"/>
      <c r="J38950" s="63"/>
    </row>
    <row r="38951" spans="9:10" x14ac:dyDescent="0.35">
      <c r="I38951" s="63"/>
      <c r="J38951" s="63"/>
    </row>
    <row r="38952" spans="9:10" x14ac:dyDescent="0.35">
      <c r="I38952" s="63"/>
      <c r="J38952" s="63"/>
    </row>
    <row r="38953" spans="9:10" x14ac:dyDescent="0.35">
      <c r="I38953" s="63"/>
      <c r="J38953" s="63"/>
    </row>
    <row r="38954" spans="9:10" x14ac:dyDescent="0.35">
      <c r="I38954" s="63"/>
      <c r="J38954" s="63"/>
    </row>
    <row r="38955" spans="9:10" x14ac:dyDescent="0.35">
      <c r="I38955" s="63"/>
      <c r="J38955" s="63"/>
    </row>
    <row r="38956" spans="9:10" x14ac:dyDescent="0.35">
      <c r="I38956" s="63"/>
      <c r="J38956" s="63"/>
    </row>
    <row r="38957" spans="9:10" x14ac:dyDescent="0.35">
      <c r="I38957" s="63"/>
      <c r="J38957" s="63"/>
    </row>
    <row r="38958" spans="9:10" x14ac:dyDescent="0.35">
      <c r="I38958" s="63"/>
      <c r="J38958" s="63"/>
    </row>
    <row r="38959" spans="9:10" x14ac:dyDescent="0.35">
      <c r="I38959" s="63"/>
      <c r="J38959" s="63"/>
    </row>
    <row r="38960" spans="9:10" x14ac:dyDescent="0.35">
      <c r="I38960" s="63"/>
      <c r="J38960" s="63"/>
    </row>
    <row r="38961" spans="9:10" x14ac:dyDescent="0.35">
      <c r="I38961" s="63"/>
      <c r="J38961" s="63"/>
    </row>
    <row r="38962" spans="9:10" x14ac:dyDescent="0.35">
      <c r="I38962" s="63"/>
      <c r="J38962" s="63"/>
    </row>
    <row r="38963" spans="9:10" x14ac:dyDescent="0.35">
      <c r="I38963" s="63"/>
      <c r="J38963" s="63"/>
    </row>
    <row r="38964" spans="9:10" x14ac:dyDescent="0.35">
      <c r="I38964" s="63"/>
      <c r="J38964" s="63"/>
    </row>
    <row r="38965" spans="9:10" x14ac:dyDescent="0.35">
      <c r="I38965" s="63"/>
      <c r="J38965" s="63"/>
    </row>
    <row r="38966" spans="9:10" x14ac:dyDescent="0.35">
      <c r="I38966" s="63"/>
      <c r="J38966" s="63"/>
    </row>
    <row r="38967" spans="9:10" x14ac:dyDescent="0.35">
      <c r="I38967" s="63"/>
      <c r="J38967" s="63"/>
    </row>
    <row r="38968" spans="9:10" x14ac:dyDescent="0.35">
      <c r="I38968" s="63"/>
      <c r="J38968" s="63"/>
    </row>
    <row r="38969" spans="9:10" x14ac:dyDescent="0.35">
      <c r="I38969" s="63"/>
      <c r="J38969" s="63"/>
    </row>
    <row r="38970" spans="9:10" x14ac:dyDescent="0.35">
      <c r="I38970" s="63"/>
      <c r="J38970" s="63"/>
    </row>
    <row r="38971" spans="9:10" x14ac:dyDescent="0.35">
      <c r="I38971" s="63"/>
      <c r="J38971" s="63"/>
    </row>
    <row r="38972" spans="9:10" x14ac:dyDescent="0.35">
      <c r="I38972" s="63"/>
      <c r="J38972" s="63"/>
    </row>
    <row r="38973" spans="9:10" x14ac:dyDescent="0.35">
      <c r="I38973" s="63"/>
      <c r="J38973" s="63"/>
    </row>
    <row r="38974" spans="9:10" x14ac:dyDescent="0.35">
      <c r="I38974" s="63"/>
      <c r="J38974" s="63"/>
    </row>
    <row r="38975" spans="9:10" x14ac:dyDescent="0.35">
      <c r="I38975" s="63"/>
      <c r="J38975" s="63"/>
    </row>
    <row r="38976" spans="9:10" x14ac:dyDescent="0.35">
      <c r="I38976" s="63"/>
      <c r="J38976" s="63"/>
    </row>
    <row r="38977" spans="9:10" x14ac:dyDescent="0.35">
      <c r="I38977" s="63"/>
      <c r="J38977" s="63"/>
    </row>
    <row r="38978" spans="9:10" x14ac:dyDescent="0.35">
      <c r="I38978" s="63"/>
      <c r="J38978" s="63"/>
    </row>
    <row r="38979" spans="9:10" x14ac:dyDescent="0.35">
      <c r="I38979" s="63"/>
      <c r="J38979" s="63"/>
    </row>
    <row r="38980" spans="9:10" x14ac:dyDescent="0.35">
      <c r="I38980" s="63"/>
      <c r="J38980" s="63"/>
    </row>
    <row r="38981" spans="9:10" x14ac:dyDescent="0.35">
      <c r="I38981" s="63"/>
      <c r="J38981" s="63"/>
    </row>
    <row r="38982" spans="9:10" x14ac:dyDescent="0.35">
      <c r="I38982" s="63"/>
      <c r="J38982" s="63"/>
    </row>
    <row r="38983" spans="9:10" x14ac:dyDescent="0.35">
      <c r="I38983" s="63"/>
      <c r="J38983" s="63"/>
    </row>
    <row r="38984" spans="9:10" x14ac:dyDescent="0.35">
      <c r="I38984" s="63"/>
      <c r="J38984" s="63"/>
    </row>
    <row r="38985" spans="9:10" x14ac:dyDescent="0.35">
      <c r="I38985" s="63"/>
      <c r="J38985" s="63"/>
    </row>
    <row r="38986" spans="9:10" x14ac:dyDescent="0.35">
      <c r="I38986" s="63"/>
      <c r="J38986" s="63"/>
    </row>
    <row r="38987" spans="9:10" x14ac:dyDescent="0.35">
      <c r="I38987" s="63"/>
      <c r="J38987" s="63"/>
    </row>
    <row r="38988" spans="9:10" x14ac:dyDescent="0.35">
      <c r="I38988" s="63"/>
      <c r="J38988" s="63"/>
    </row>
    <row r="38989" spans="9:10" x14ac:dyDescent="0.35">
      <c r="I38989" s="63"/>
      <c r="J38989" s="63"/>
    </row>
    <row r="38990" spans="9:10" x14ac:dyDescent="0.35">
      <c r="I38990" s="63"/>
      <c r="J38990" s="63"/>
    </row>
    <row r="38991" spans="9:10" x14ac:dyDescent="0.35">
      <c r="I38991" s="63"/>
      <c r="J38991" s="63"/>
    </row>
    <row r="38992" spans="9:10" x14ac:dyDescent="0.35">
      <c r="I38992" s="63"/>
      <c r="J38992" s="63"/>
    </row>
    <row r="38993" spans="9:10" x14ac:dyDescent="0.35">
      <c r="I38993" s="63"/>
      <c r="J38993" s="63"/>
    </row>
    <row r="38994" spans="9:10" x14ac:dyDescent="0.35">
      <c r="I38994" s="63"/>
      <c r="J38994" s="63"/>
    </row>
    <row r="38995" spans="9:10" x14ac:dyDescent="0.35">
      <c r="I38995" s="63"/>
      <c r="J38995" s="63"/>
    </row>
    <row r="38996" spans="9:10" x14ac:dyDescent="0.35">
      <c r="I38996" s="63"/>
      <c r="J38996" s="63"/>
    </row>
    <row r="38997" spans="9:10" x14ac:dyDescent="0.35">
      <c r="I38997" s="63"/>
      <c r="J38997" s="63"/>
    </row>
    <row r="38998" spans="9:10" x14ac:dyDescent="0.35">
      <c r="I38998" s="63"/>
      <c r="J38998" s="63"/>
    </row>
    <row r="38999" spans="9:10" x14ac:dyDescent="0.35">
      <c r="I38999" s="63"/>
      <c r="J38999" s="63"/>
    </row>
    <row r="39000" spans="9:10" x14ac:dyDescent="0.35">
      <c r="I39000" s="63"/>
      <c r="J39000" s="63"/>
    </row>
    <row r="39001" spans="9:10" x14ac:dyDescent="0.35">
      <c r="I39001" s="63"/>
      <c r="J39001" s="63"/>
    </row>
    <row r="39002" spans="9:10" x14ac:dyDescent="0.35">
      <c r="I39002" s="63"/>
      <c r="J39002" s="63"/>
    </row>
    <row r="39003" spans="9:10" x14ac:dyDescent="0.35">
      <c r="I39003" s="63"/>
      <c r="J39003" s="63"/>
    </row>
    <row r="39004" spans="9:10" x14ac:dyDescent="0.35">
      <c r="I39004" s="63"/>
      <c r="J39004" s="63"/>
    </row>
    <row r="39005" spans="9:10" x14ac:dyDescent="0.35">
      <c r="I39005" s="63"/>
      <c r="J39005" s="63"/>
    </row>
    <row r="39006" spans="9:10" x14ac:dyDescent="0.35">
      <c r="I39006" s="63"/>
      <c r="J39006" s="63"/>
    </row>
    <row r="39007" spans="9:10" x14ac:dyDescent="0.35">
      <c r="I39007" s="63"/>
      <c r="J39007" s="63"/>
    </row>
    <row r="39008" spans="9:10" x14ac:dyDescent="0.35">
      <c r="I39008" s="63"/>
      <c r="J39008" s="63"/>
    </row>
    <row r="39009" spans="9:10" x14ac:dyDescent="0.35">
      <c r="I39009" s="63"/>
      <c r="J39009" s="63"/>
    </row>
    <row r="39010" spans="9:10" x14ac:dyDescent="0.35">
      <c r="I39010" s="63"/>
      <c r="J39010" s="63"/>
    </row>
    <row r="39011" spans="9:10" x14ac:dyDescent="0.35">
      <c r="I39011" s="63"/>
      <c r="J39011" s="63"/>
    </row>
    <row r="39012" spans="9:10" x14ac:dyDescent="0.35">
      <c r="I39012" s="63"/>
      <c r="J39012" s="63"/>
    </row>
    <row r="39013" spans="9:10" x14ac:dyDescent="0.35">
      <c r="I39013" s="63"/>
      <c r="J39013" s="63"/>
    </row>
    <row r="39014" spans="9:10" x14ac:dyDescent="0.35">
      <c r="I39014" s="63"/>
      <c r="J39014" s="63"/>
    </row>
    <row r="39015" spans="9:10" x14ac:dyDescent="0.35">
      <c r="I39015" s="63"/>
      <c r="J39015" s="63"/>
    </row>
    <row r="39016" spans="9:10" x14ac:dyDescent="0.35">
      <c r="I39016" s="63"/>
      <c r="J39016" s="63"/>
    </row>
    <row r="39017" spans="9:10" x14ac:dyDescent="0.35">
      <c r="I39017" s="63"/>
      <c r="J39017" s="63"/>
    </row>
    <row r="39018" spans="9:10" x14ac:dyDescent="0.35">
      <c r="I39018" s="63"/>
      <c r="J39018" s="63"/>
    </row>
    <row r="39019" spans="9:10" x14ac:dyDescent="0.35">
      <c r="I39019" s="63"/>
      <c r="J39019" s="63"/>
    </row>
    <row r="39020" spans="9:10" x14ac:dyDescent="0.35">
      <c r="I39020" s="63"/>
      <c r="J39020" s="63"/>
    </row>
    <row r="39021" spans="9:10" x14ac:dyDescent="0.35">
      <c r="I39021" s="63"/>
      <c r="J39021" s="63"/>
    </row>
    <row r="39022" spans="9:10" x14ac:dyDescent="0.35">
      <c r="I39022" s="63"/>
      <c r="J39022" s="63"/>
    </row>
    <row r="39023" spans="9:10" x14ac:dyDescent="0.35">
      <c r="I39023" s="63"/>
      <c r="J39023" s="63"/>
    </row>
    <row r="39024" spans="9:10" x14ac:dyDescent="0.35">
      <c r="I39024" s="63"/>
      <c r="J39024" s="63"/>
    </row>
    <row r="39025" spans="9:10" x14ac:dyDescent="0.35">
      <c r="I39025" s="63"/>
      <c r="J39025" s="63"/>
    </row>
    <row r="39026" spans="9:10" x14ac:dyDescent="0.35">
      <c r="I39026" s="63"/>
      <c r="J39026" s="63"/>
    </row>
    <row r="39027" spans="9:10" x14ac:dyDescent="0.35">
      <c r="I39027" s="63"/>
      <c r="J39027" s="63"/>
    </row>
    <row r="39028" spans="9:10" x14ac:dyDescent="0.35">
      <c r="I39028" s="63"/>
      <c r="J39028" s="63"/>
    </row>
    <row r="39029" spans="9:10" x14ac:dyDescent="0.35">
      <c r="I39029" s="63"/>
      <c r="J39029" s="63"/>
    </row>
    <row r="39030" spans="9:10" x14ac:dyDescent="0.35">
      <c r="I39030" s="63"/>
      <c r="J39030" s="63"/>
    </row>
    <row r="39031" spans="9:10" x14ac:dyDescent="0.35">
      <c r="I39031" s="63"/>
      <c r="J39031" s="63"/>
    </row>
    <row r="39032" spans="9:10" x14ac:dyDescent="0.35">
      <c r="I39032" s="63"/>
      <c r="J39032" s="63"/>
    </row>
    <row r="39033" spans="9:10" x14ac:dyDescent="0.35">
      <c r="I39033" s="63"/>
      <c r="J39033" s="63"/>
    </row>
    <row r="39034" spans="9:10" x14ac:dyDescent="0.35">
      <c r="I39034" s="63"/>
      <c r="J39034" s="63"/>
    </row>
    <row r="39035" spans="9:10" x14ac:dyDescent="0.35">
      <c r="I39035" s="63"/>
      <c r="J39035" s="63"/>
    </row>
    <row r="39036" spans="9:10" x14ac:dyDescent="0.35">
      <c r="I39036" s="63"/>
      <c r="J39036" s="63"/>
    </row>
    <row r="39037" spans="9:10" x14ac:dyDescent="0.35">
      <c r="I39037" s="63"/>
      <c r="J39037" s="63"/>
    </row>
    <row r="39038" spans="9:10" x14ac:dyDescent="0.35">
      <c r="I39038" s="63"/>
      <c r="J39038" s="63"/>
    </row>
    <row r="39039" spans="9:10" x14ac:dyDescent="0.35">
      <c r="I39039" s="63"/>
      <c r="J39039" s="63"/>
    </row>
    <row r="39040" spans="9:10" x14ac:dyDescent="0.35">
      <c r="I39040" s="63"/>
      <c r="J39040" s="63"/>
    </row>
    <row r="39041" spans="9:10" x14ac:dyDescent="0.35">
      <c r="I39041" s="63"/>
      <c r="J39041" s="63"/>
    </row>
    <row r="39042" spans="9:10" x14ac:dyDescent="0.35">
      <c r="I39042" s="63"/>
      <c r="J39042" s="63"/>
    </row>
    <row r="39043" spans="9:10" x14ac:dyDescent="0.35">
      <c r="I39043" s="63"/>
      <c r="J39043" s="63"/>
    </row>
    <row r="39044" spans="9:10" x14ac:dyDescent="0.35">
      <c r="I39044" s="63"/>
      <c r="J39044" s="63"/>
    </row>
    <row r="39045" spans="9:10" x14ac:dyDescent="0.35">
      <c r="I39045" s="63"/>
      <c r="J39045" s="63"/>
    </row>
    <row r="39046" spans="9:10" x14ac:dyDescent="0.35">
      <c r="I39046" s="63"/>
      <c r="J39046" s="63"/>
    </row>
    <row r="39047" spans="9:10" x14ac:dyDescent="0.35">
      <c r="I39047" s="63"/>
      <c r="J39047" s="63"/>
    </row>
    <row r="39048" spans="9:10" x14ac:dyDescent="0.35">
      <c r="I39048" s="63"/>
      <c r="J39048" s="63"/>
    </row>
    <row r="39049" spans="9:10" x14ac:dyDescent="0.35">
      <c r="I39049" s="63"/>
      <c r="J39049" s="63"/>
    </row>
    <row r="39050" spans="9:10" x14ac:dyDescent="0.35">
      <c r="I39050" s="63"/>
      <c r="J39050" s="63"/>
    </row>
    <row r="39051" spans="9:10" x14ac:dyDescent="0.35">
      <c r="I39051" s="63"/>
      <c r="J39051" s="63"/>
    </row>
    <row r="39052" spans="9:10" x14ac:dyDescent="0.35">
      <c r="I39052" s="63"/>
      <c r="J39052" s="63"/>
    </row>
    <row r="39053" spans="9:10" x14ac:dyDescent="0.35">
      <c r="I39053" s="63"/>
      <c r="J39053" s="63"/>
    </row>
    <row r="39054" spans="9:10" x14ac:dyDescent="0.35">
      <c r="I39054" s="63"/>
      <c r="J39054" s="63"/>
    </row>
    <row r="39055" spans="9:10" x14ac:dyDescent="0.35">
      <c r="I39055" s="63"/>
      <c r="J39055" s="63"/>
    </row>
    <row r="39056" spans="9:10" x14ac:dyDescent="0.35">
      <c r="I39056" s="63"/>
      <c r="J39056" s="63"/>
    </row>
    <row r="39057" spans="9:10" x14ac:dyDescent="0.35">
      <c r="I39057" s="63"/>
      <c r="J39057" s="63"/>
    </row>
    <row r="39058" spans="9:10" x14ac:dyDescent="0.35">
      <c r="I39058" s="63"/>
      <c r="J39058" s="63"/>
    </row>
    <row r="39059" spans="9:10" x14ac:dyDescent="0.35">
      <c r="I39059" s="63"/>
      <c r="J39059" s="63"/>
    </row>
    <row r="39060" spans="9:10" x14ac:dyDescent="0.35">
      <c r="I39060" s="63"/>
      <c r="J39060" s="63"/>
    </row>
    <row r="39061" spans="9:10" x14ac:dyDescent="0.35">
      <c r="I39061" s="63"/>
      <c r="J39061" s="63"/>
    </row>
    <row r="39062" spans="9:10" x14ac:dyDescent="0.35">
      <c r="I39062" s="63"/>
      <c r="J39062" s="63"/>
    </row>
    <row r="39063" spans="9:10" x14ac:dyDescent="0.35">
      <c r="I39063" s="63"/>
      <c r="J39063" s="63"/>
    </row>
    <row r="39064" spans="9:10" x14ac:dyDescent="0.35">
      <c r="I39064" s="63"/>
      <c r="J39064" s="63"/>
    </row>
    <row r="39065" spans="9:10" x14ac:dyDescent="0.35">
      <c r="I39065" s="63"/>
      <c r="J39065" s="63"/>
    </row>
    <row r="39066" spans="9:10" x14ac:dyDescent="0.35">
      <c r="I39066" s="63"/>
      <c r="J39066" s="63"/>
    </row>
    <row r="39067" spans="9:10" x14ac:dyDescent="0.35">
      <c r="I39067" s="63"/>
      <c r="J39067" s="63"/>
    </row>
    <row r="39068" spans="9:10" x14ac:dyDescent="0.35">
      <c r="I39068" s="63"/>
      <c r="J39068" s="63"/>
    </row>
    <row r="39069" spans="9:10" x14ac:dyDescent="0.35">
      <c r="I39069" s="63"/>
      <c r="J39069" s="63"/>
    </row>
    <row r="39070" spans="9:10" x14ac:dyDescent="0.35">
      <c r="I39070" s="63"/>
      <c r="J39070" s="63"/>
    </row>
    <row r="39071" spans="9:10" x14ac:dyDescent="0.35">
      <c r="I39071" s="63"/>
      <c r="J39071" s="63"/>
    </row>
    <row r="39072" spans="9:10" x14ac:dyDescent="0.35">
      <c r="I39072" s="63"/>
      <c r="J39072" s="63"/>
    </row>
    <row r="39073" spans="9:10" x14ac:dyDescent="0.35">
      <c r="I39073" s="63"/>
      <c r="J39073" s="63"/>
    </row>
    <row r="39074" spans="9:10" x14ac:dyDescent="0.35">
      <c r="I39074" s="63"/>
      <c r="J39074" s="63"/>
    </row>
    <row r="39075" spans="9:10" x14ac:dyDescent="0.35">
      <c r="I39075" s="63"/>
      <c r="J39075" s="63"/>
    </row>
    <row r="39076" spans="9:10" x14ac:dyDescent="0.35">
      <c r="I39076" s="63"/>
      <c r="J39076" s="63"/>
    </row>
    <row r="39077" spans="9:10" x14ac:dyDescent="0.35">
      <c r="I39077" s="63"/>
      <c r="J39077" s="63"/>
    </row>
    <row r="39078" spans="9:10" x14ac:dyDescent="0.35">
      <c r="I39078" s="63"/>
      <c r="J39078" s="63"/>
    </row>
    <row r="39079" spans="9:10" x14ac:dyDescent="0.35">
      <c r="I39079" s="63"/>
      <c r="J39079" s="63"/>
    </row>
    <row r="39080" spans="9:10" x14ac:dyDescent="0.35">
      <c r="I39080" s="63"/>
      <c r="J39080" s="63"/>
    </row>
    <row r="39081" spans="9:10" x14ac:dyDescent="0.35">
      <c r="I39081" s="63"/>
      <c r="J39081" s="63"/>
    </row>
    <row r="39082" spans="9:10" x14ac:dyDescent="0.35">
      <c r="I39082" s="63"/>
      <c r="J39082" s="63"/>
    </row>
    <row r="39083" spans="9:10" x14ac:dyDescent="0.35">
      <c r="I39083" s="63"/>
      <c r="J39083" s="63"/>
    </row>
    <row r="39084" spans="9:10" x14ac:dyDescent="0.35">
      <c r="I39084" s="63"/>
      <c r="J39084" s="63"/>
    </row>
    <row r="39085" spans="9:10" x14ac:dyDescent="0.35">
      <c r="I39085" s="63"/>
      <c r="J39085" s="63"/>
    </row>
    <row r="39086" spans="9:10" x14ac:dyDescent="0.35">
      <c r="I39086" s="63"/>
      <c r="J39086" s="63"/>
    </row>
    <row r="39087" spans="9:10" x14ac:dyDescent="0.35">
      <c r="I39087" s="63"/>
      <c r="J39087" s="63"/>
    </row>
    <row r="39088" spans="9:10" x14ac:dyDescent="0.35">
      <c r="I39088" s="63"/>
      <c r="J39088" s="63"/>
    </row>
    <row r="39089" spans="9:10" x14ac:dyDescent="0.35">
      <c r="I39089" s="63"/>
      <c r="J39089" s="63"/>
    </row>
    <row r="39090" spans="9:10" x14ac:dyDescent="0.35">
      <c r="I39090" s="63"/>
      <c r="J39090" s="63"/>
    </row>
    <row r="39091" spans="9:10" x14ac:dyDescent="0.35">
      <c r="I39091" s="63"/>
      <c r="J39091" s="63"/>
    </row>
    <row r="39092" spans="9:10" x14ac:dyDescent="0.35">
      <c r="I39092" s="63"/>
      <c r="J39092" s="63"/>
    </row>
    <row r="39093" spans="9:10" x14ac:dyDescent="0.35">
      <c r="I39093" s="63"/>
      <c r="J39093" s="63"/>
    </row>
    <row r="39094" spans="9:10" x14ac:dyDescent="0.35">
      <c r="I39094" s="63"/>
      <c r="J39094" s="63"/>
    </row>
    <row r="39095" spans="9:10" x14ac:dyDescent="0.35">
      <c r="I39095" s="63"/>
      <c r="J39095" s="63"/>
    </row>
    <row r="39096" spans="9:10" x14ac:dyDescent="0.35">
      <c r="I39096" s="63"/>
      <c r="J39096" s="63"/>
    </row>
    <row r="39097" spans="9:10" x14ac:dyDescent="0.35">
      <c r="I39097" s="63"/>
      <c r="J39097" s="63"/>
    </row>
    <row r="39098" spans="9:10" x14ac:dyDescent="0.35">
      <c r="I39098" s="63"/>
      <c r="J39098" s="63"/>
    </row>
    <row r="39099" spans="9:10" x14ac:dyDescent="0.35">
      <c r="I39099" s="63"/>
      <c r="J39099" s="63"/>
    </row>
    <row r="39100" spans="9:10" x14ac:dyDescent="0.35">
      <c r="I39100" s="63"/>
      <c r="J39100" s="63"/>
    </row>
    <row r="39101" spans="9:10" x14ac:dyDescent="0.35">
      <c r="I39101" s="63"/>
      <c r="J39101" s="63"/>
    </row>
    <row r="39102" spans="9:10" x14ac:dyDescent="0.35">
      <c r="I39102" s="63"/>
      <c r="J39102" s="63"/>
    </row>
    <row r="39103" spans="9:10" x14ac:dyDescent="0.35">
      <c r="I39103" s="63"/>
      <c r="J39103" s="63"/>
    </row>
    <row r="39104" spans="9:10" x14ac:dyDescent="0.35">
      <c r="I39104" s="63"/>
      <c r="J39104" s="63"/>
    </row>
    <row r="39105" spans="9:10" x14ac:dyDescent="0.35">
      <c r="I39105" s="63"/>
      <c r="J39105" s="63"/>
    </row>
    <row r="39106" spans="9:10" x14ac:dyDescent="0.35">
      <c r="I39106" s="63"/>
      <c r="J39106" s="63"/>
    </row>
    <row r="39107" spans="9:10" x14ac:dyDescent="0.35">
      <c r="I39107" s="63"/>
      <c r="J39107" s="63"/>
    </row>
    <row r="39108" spans="9:10" x14ac:dyDescent="0.35">
      <c r="I39108" s="63"/>
      <c r="J39108" s="63"/>
    </row>
    <row r="39109" spans="9:10" x14ac:dyDescent="0.35">
      <c r="I39109" s="63"/>
      <c r="J39109" s="63"/>
    </row>
    <row r="39110" spans="9:10" x14ac:dyDescent="0.35">
      <c r="I39110" s="63"/>
      <c r="J39110" s="63"/>
    </row>
    <row r="39111" spans="9:10" x14ac:dyDescent="0.35">
      <c r="I39111" s="63"/>
      <c r="J39111" s="63"/>
    </row>
    <row r="39112" spans="9:10" x14ac:dyDescent="0.35">
      <c r="I39112" s="63"/>
      <c r="J39112" s="63"/>
    </row>
    <row r="39113" spans="9:10" x14ac:dyDescent="0.35">
      <c r="I39113" s="63"/>
      <c r="J39113" s="63"/>
    </row>
    <row r="39114" spans="9:10" x14ac:dyDescent="0.35">
      <c r="I39114" s="63"/>
      <c r="J39114" s="63"/>
    </row>
    <row r="39115" spans="9:10" x14ac:dyDescent="0.35">
      <c r="I39115" s="63"/>
      <c r="J39115" s="63"/>
    </row>
    <row r="39116" spans="9:10" x14ac:dyDescent="0.35">
      <c r="I39116" s="63"/>
      <c r="J39116" s="63"/>
    </row>
    <row r="39117" spans="9:10" x14ac:dyDescent="0.35">
      <c r="I39117" s="63"/>
      <c r="J39117" s="63"/>
    </row>
    <row r="39118" spans="9:10" x14ac:dyDescent="0.35">
      <c r="I39118" s="63"/>
      <c r="J39118" s="63"/>
    </row>
    <row r="39119" spans="9:10" x14ac:dyDescent="0.35">
      <c r="I39119" s="63"/>
      <c r="J39119" s="63"/>
    </row>
    <row r="39120" spans="9:10" x14ac:dyDescent="0.35">
      <c r="I39120" s="63"/>
      <c r="J39120" s="63"/>
    </row>
    <row r="39121" spans="9:10" x14ac:dyDescent="0.35">
      <c r="I39121" s="63"/>
      <c r="J39121" s="63"/>
    </row>
    <row r="39122" spans="9:10" x14ac:dyDescent="0.35">
      <c r="I39122" s="63"/>
      <c r="J39122" s="63"/>
    </row>
    <row r="39123" spans="9:10" x14ac:dyDescent="0.35">
      <c r="I39123" s="63"/>
      <c r="J39123" s="63"/>
    </row>
    <row r="39124" spans="9:10" x14ac:dyDescent="0.35">
      <c r="I39124" s="63"/>
      <c r="J39124" s="63"/>
    </row>
    <row r="39125" spans="9:10" x14ac:dyDescent="0.35">
      <c r="I39125" s="63"/>
      <c r="J39125" s="63"/>
    </row>
    <row r="39126" spans="9:10" x14ac:dyDescent="0.35">
      <c r="I39126" s="63"/>
      <c r="J39126" s="63"/>
    </row>
    <row r="39127" spans="9:10" x14ac:dyDescent="0.35">
      <c r="I39127" s="63"/>
      <c r="J39127" s="63"/>
    </row>
    <row r="39128" spans="9:10" x14ac:dyDescent="0.35">
      <c r="I39128" s="63"/>
      <c r="J39128" s="63"/>
    </row>
    <row r="39129" spans="9:10" x14ac:dyDescent="0.35">
      <c r="I39129" s="63"/>
      <c r="J39129" s="63"/>
    </row>
    <row r="39130" spans="9:10" x14ac:dyDescent="0.35">
      <c r="I39130" s="63"/>
      <c r="J39130" s="63"/>
    </row>
    <row r="39131" spans="9:10" x14ac:dyDescent="0.35">
      <c r="I39131" s="63"/>
      <c r="J39131" s="63"/>
    </row>
    <row r="39132" spans="9:10" x14ac:dyDescent="0.35">
      <c r="I39132" s="63"/>
      <c r="J39132" s="63"/>
    </row>
    <row r="39133" spans="9:10" x14ac:dyDescent="0.35">
      <c r="I39133" s="63"/>
      <c r="J39133" s="63"/>
    </row>
    <row r="39134" spans="9:10" x14ac:dyDescent="0.35">
      <c r="I39134" s="63"/>
      <c r="J39134" s="63"/>
    </row>
    <row r="39135" spans="9:10" x14ac:dyDescent="0.35">
      <c r="I39135" s="63"/>
      <c r="J39135" s="63"/>
    </row>
    <row r="39136" spans="9:10" x14ac:dyDescent="0.35">
      <c r="I39136" s="63"/>
      <c r="J39136" s="63"/>
    </row>
    <row r="39137" spans="9:10" x14ac:dyDescent="0.35">
      <c r="I39137" s="63"/>
      <c r="J39137" s="63"/>
    </row>
    <row r="39138" spans="9:10" x14ac:dyDescent="0.35">
      <c r="I39138" s="63"/>
      <c r="J39138" s="63"/>
    </row>
    <row r="39139" spans="9:10" x14ac:dyDescent="0.35">
      <c r="I39139" s="63"/>
      <c r="J39139" s="63"/>
    </row>
    <row r="39140" spans="9:10" x14ac:dyDescent="0.35">
      <c r="I39140" s="63"/>
      <c r="J39140" s="63"/>
    </row>
    <row r="39141" spans="9:10" x14ac:dyDescent="0.35">
      <c r="I39141" s="63"/>
      <c r="J39141" s="63"/>
    </row>
    <row r="39142" spans="9:10" x14ac:dyDescent="0.35">
      <c r="I39142" s="63"/>
      <c r="J39142" s="63"/>
    </row>
    <row r="39143" spans="9:10" x14ac:dyDescent="0.35">
      <c r="I39143" s="63"/>
      <c r="J39143" s="63"/>
    </row>
    <row r="39144" spans="9:10" x14ac:dyDescent="0.35">
      <c r="I39144" s="63"/>
      <c r="J39144" s="63"/>
    </row>
    <row r="39145" spans="9:10" x14ac:dyDescent="0.35">
      <c r="I39145" s="63"/>
      <c r="J39145" s="63"/>
    </row>
    <row r="39146" spans="9:10" x14ac:dyDescent="0.35">
      <c r="I39146" s="63"/>
      <c r="J39146" s="63"/>
    </row>
    <row r="39147" spans="9:10" x14ac:dyDescent="0.35">
      <c r="I39147" s="63"/>
      <c r="J39147" s="63"/>
    </row>
    <row r="39148" spans="9:10" x14ac:dyDescent="0.35">
      <c r="I39148" s="63"/>
      <c r="J39148" s="63"/>
    </row>
    <row r="39149" spans="9:10" x14ac:dyDescent="0.35">
      <c r="I39149" s="63"/>
      <c r="J39149" s="63"/>
    </row>
    <row r="39150" spans="9:10" x14ac:dyDescent="0.35">
      <c r="I39150" s="63"/>
      <c r="J39150" s="63"/>
    </row>
    <row r="39151" spans="9:10" x14ac:dyDescent="0.35">
      <c r="I39151" s="63"/>
      <c r="J39151" s="63"/>
    </row>
    <row r="39152" spans="9:10" x14ac:dyDescent="0.35">
      <c r="I39152" s="63"/>
      <c r="J39152" s="63"/>
    </row>
    <row r="39153" spans="9:10" x14ac:dyDescent="0.35">
      <c r="I39153" s="63"/>
      <c r="J39153" s="63"/>
    </row>
    <row r="39154" spans="9:10" x14ac:dyDescent="0.35">
      <c r="I39154" s="63"/>
      <c r="J39154" s="63"/>
    </row>
    <row r="39155" spans="9:10" x14ac:dyDescent="0.35">
      <c r="I39155" s="63"/>
      <c r="J39155" s="63"/>
    </row>
    <row r="39156" spans="9:10" x14ac:dyDescent="0.35">
      <c r="I39156" s="63"/>
      <c r="J39156" s="63"/>
    </row>
    <row r="39157" spans="9:10" x14ac:dyDescent="0.35">
      <c r="I39157" s="63"/>
      <c r="J39157" s="63"/>
    </row>
    <row r="39158" spans="9:10" x14ac:dyDescent="0.35">
      <c r="I39158" s="63"/>
      <c r="J39158" s="63"/>
    </row>
    <row r="39159" spans="9:10" x14ac:dyDescent="0.35">
      <c r="I39159" s="63"/>
      <c r="J39159" s="63"/>
    </row>
    <row r="39160" spans="9:10" x14ac:dyDescent="0.35">
      <c r="I39160" s="63"/>
      <c r="J39160" s="63"/>
    </row>
    <row r="39161" spans="9:10" x14ac:dyDescent="0.35">
      <c r="I39161" s="63"/>
      <c r="J39161" s="63"/>
    </row>
    <row r="39162" spans="9:10" x14ac:dyDescent="0.35">
      <c r="I39162" s="63"/>
      <c r="J39162" s="63"/>
    </row>
    <row r="39163" spans="9:10" x14ac:dyDescent="0.35">
      <c r="I39163" s="63"/>
      <c r="J39163" s="63"/>
    </row>
    <row r="39164" spans="9:10" x14ac:dyDescent="0.35">
      <c r="I39164" s="63"/>
      <c r="J39164" s="63"/>
    </row>
    <row r="39165" spans="9:10" x14ac:dyDescent="0.35">
      <c r="I39165" s="63"/>
      <c r="J39165" s="63"/>
    </row>
    <row r="39166" spans="9:10" x14ac:dyDescent="0.35">
      <c r="I39166" s="63"/>
      <c r="J39166" s="63"/>
    </row>
    <row r="39167" spans="9:10" x14ac:dyDescent="0.35">
      <c r="I39167" s="63"/>
      <c r="J39167" s="63"/>
    </row>
    <row r="39168" spans="9:10" x14ac:dyDescent="0.35">
      <c r="I39168" s="63"/>
      <c r="J39168" s="63"/>
    </row>
    <row r="39169" spans="9:10" x14ac:dyDescent="0.35">
      <c r="I39169" s="63"/>
      <c r="J39169" s="63"/>
    </row>
    <row r="39170" spans="9:10" x14ac:dyDescent="0.35">
      <c r="I39170" s="63"/>
      <c r="J39170" s="63"/>
    </row>
    <row r="39171" spans="9:10" x14ac:dyDescent="0.35">
      <c r="I39171" s="63"/>
      <c r="J39171" s="63"/>
    </row>
    <row r="39172" spans="9:10" x14ac:dyDescent="0.35">
      <c r="I39172" s="63"/>
      <c r="J39172" s="63"/>
    </row>
    <row r="39173" spans="9:10" x14ac:dyDescent="0.35">
      <c r="I39173" s="63"/>
      <c r="J39173" s="63"/>
    </row>
    <row r="39174" spans="9:10" x14ac:dyDescent="0.35">
      <c r="I39174" s="63"/>
      <c r="J39174" s="63"/>
    </row>
    <row r="39175" spans="9:10" x14ac:dyDescent="0.35">
      <c r="I39175" s="63"/>
      <c r="J39175" s="63"/>
    </row>
    <row r="39176" spans="9:10" x14ac:dyDescent="0.35">
      <c r="I39176" s="63"/>
      <c r="J39176" s="63"/>
    </row>
    <row r="39177" spans="9:10" x14ac:dyDescent="0.35">
      <c r="I39177" s="63"/>
      <c r="J39177" s="63"/>
    </row>
    <row r="39178" spans="9:10" x14ac:dyDescent="0.35">
      <c r="I39178" s="63"/>
      <c r="J39178" s="63"/>
    </row>
    <row r="39179" spans="9:10" x14ac:dyDescent="0.35">
      <c r="I39179" s="63"/>
      <c r="J39179" s="63"/>
    </row>
    <row r="39180" spans="9:10" x14ac:dyDescent="0.35">
      <c r="I39180" s="63"/>
      <c r="J39180" s="63"/>
    </row>
    <row r="39181" spans="9:10" x14ac:dyDescent="0.35">
      <c r="I39181" s="63"/>
      <c r="J39181" s="63"/>
    </row>
    <row r="39182" spans="9:10" x14ac:dyDescent="0.35">
      <c r="I39182" s="63"/>
      <c r="J39182" s="63"/>
    </row>
    <row r="39183" spans="9:10" x14ac:dyDescent="0.35">
      <c r="I39183" s="63"/>
      <c r="J39183" s="63"/>
    </row>
    <row r="39184" spans="9:10" x14ac:dyDescent="0.35">
      <c r="I39184" s="63"/>
      <c r="J39184" s="63"/>
    </row>
    <row r="39185" spans="9:10" x14ac:dyDescent="0.35">
      <c r="I39185" s="63"/>
      <c r="J39185" s="63"/>
    </row>
    <row r="39186" spans="9:10" x14ac:dyDescent="0.35">
      <c r="I39186" s="63"/>
      <c r="J39186" s="63"/>
    </row>
    <row r="39187" spans="9:10" x14ac:dyDescent="0.35">
      <c r="I39187" s="63"/>
      <c r="J39187" s="63"/>
    </row>
    <row r="39188" spans="9:10" x14ac:dyDescent="0.35">
      <c r="I39188" s="63"/>
      <c r="J39188" s="63"/>
    </row>
    <row r="39189" spans="9:10" x14ac:dyDescent="0.35">
      <c r="I39189" s="63"/>
      <c r="J39189" s="63"/>
    </row>
    <row r="39190" spans="9:10" x14ac:dyDescent="0.35">
      <c r="I39190" s="63"/>
      <c r="J39190" s="63"/>
    </row>
    <row r="39191" spans="9:10" x14ac:dyDescent="0.35">
      <c r="I39191" s="63"/>
      <c r="J39191" s="63"/>
    </row>
    <row r="39192" spans="9:10" x14ac:dyDescent="0.35">
      <c r="I39192" s="63"/>
      <c r="J39192" s="63"/>
    </row>
    <row r="39193" spans="9:10" x14ac:dyDescent="0.35">
      <c r="I39193" s="63"/>
      <c r="J39193" s="63"/>
    </row>
    <row r="39194" spans="9:10" x14ac:dyDescent="0.35">
      <c r="I39194" s="63"/>
      <c r="J39194" s="63"/>
    </row>
    <row r="39195" spans="9:10" x14ac:dyDescent="0.35">
      <c r="I39195" s="63"/>
      <c r="J39195" s="63"/>
    </row>
    <row r="39196" spans="9:10" x14ac:dyDescent="0.35">
      <c r="I39196" s="63"/>
      <c r="J39196" s="63"/>
    </row>
    <row r="39197" spans="9:10" x14ac:dyDescent="0.35">
      <c r="I39197" s="63"/>
      <c r="J39197" s="63"/>
    </row>
    <row r="39198" spans="9:10" x14ac:dyDescent="0.35">
      <c r="I39198" s="63"/>
      <c r="J39198" s="63"/>
    </row>
    <row r="39199" spans="9:10" x14ac:dyDescent="0.35">
      <c r="I39199" s="63"/>
      <c r="J39199" s="63"/>
    </row>
    <row r="39200" spans="9:10" x14ac:dyDescent="0.35">
      <c r="I39200" s="63"/>
      <c r="J39200" s="63"/>
    </row>
    <row r="39201" spans="9:10" x14ac:dyDescent="0.35">
      <c r="I39201" s="63"/>
      <c r="J39201" s="63"/>
    </row>
    <row r="39202" spans="9:10" x14ac:dyDescent="0.35">
      <c r="I39202" s="63"/>
      <c r="J39202" s="63"/>
    </row>
    <row r="39203" spans="9:10" x14ac:dyDescent="0.35">
      <c r="I39203" s="63"/>
      <c r="J39203" s="63"/>
    </row>
    <row r="39204" spans="9:10" x14ac:dyDescent="0.35">
      <c r="I39204" s="63"/>
      <c r="J39204" s="63"/>
    </row>
    <row r="39205" spans="9:10" x14ac:dyDescent="0.35">
      <c r="I39205" s="63"/>
      <c r="J39205" s="63"/>
    </row>
    <row r="39206" spans="9:10" x14ac:dyDescent="0.35">
      <c r="I39206" s="63"/>
      <c r="J39206" s="63"/>
    </row>
    <row r="39207" spans="9:10" x14ac:dyDescent="0.35">
      <c r="I39207" s="63"/>
      <c r="J39207" s="63"/>
    </row>
    <row r="39208" spans="9:10" x14ac:dyDescent="0.35">
      <c r="I39208" s="63"/>
      <c r="J39208" s="63"/>
    </row>
    <row r="39209" spans="9:10" x14ac:dyDescent="0.35">
      <c r="I39209" s="63"/>
      <c r="J39209" s="63"/>
    </row>
    <row r="39210" spans="9:10" x14ac:dyDescent="0.35">
      <c r="I39210" s="63"/>
      <c r="J39210" s="63"/>
    </row>
    <row r="39211" spans="9:10" x14ac:dyDescent="0.35">
      <c r="I39211" s="63"/>
      <c r="J39211" s="63"/>
    </row>
    <row r="39212" spans="9:10" x14ac:dyDescent="0.35">
      <c r="I39212" s="63"/>
      <c r="J39212" s="63"/>
    </row>
    <row r="39213" spans="9:10" x14ac:dyDescent="0.35">
      <c r="I39213" s="63"/>
      <c r="J39213" s="63"/>
    </row>
    <row r="39214" spans="9:10" x14ac:dyDescent="0.35">
      <c r="I39214" s="63"/>
      <c r="J39214" s="63"/>
    </row>
    <row r="39215" spans="9:10" x14ac:dyDescent="0.35">
      <c r="I39215" s="63"/>
      <c r="J39215" s="63"/>
    </row>
    <row r="39216" spans="9:10" x14ac:dyDescent="0.35">
      <c r="I39216" s="63"/>
      <c r="J39216" s="63"/>
    </row>
    <row r="39217" spans="9:10" x14ac:dyDescent="0.35">
      <c r="I39217" s="63"/>
      <c r="J39217" s="63"/>
    </row>
    <row r="39218" spans="9:10" x14ac:dyDescent="0.35">
      <c r="I39218" s="63"/>
      <c r="J39218" s="63"/>
    </row>
    <row r="39219" spans="9:10" x14ac:dyDescent="0.35">
      <c r="I39219" s="63"/>
      <c r="J39219" s="63"/>
    </row>
    <row r="39220" spans="9:10" x14ac:dyDescent="0.35">
      <c r="I39220" s="63"/>
      <c r="J39220" s="63"/>
    </row>
    <row r="39221" spans="9:10" x14ac:dyDescent="0.35">
      <c r="I39221" s="63"/>
      <c r="J39221" s="63"/>
    </row>
    <row r="39222" spans="9:10" x14ac:dyDescent="0.35">
      <c r="I39222" s="63"/>
      <c r="J39222" s="63"/>
    </row>
    <row r="39223" spans="9:10" x14ac:dyDescent="0.35">
      <c r="I39223" s="63"/>
      <c r="J39223" s="63"/>
    </row>
    <row r="39224" spans="9:10" x14ac:dyDescent="0.35">
      <c r="I39224" s="63"/>
      <c r="J39224" s="63"/>
    </row>
    <row r="39225" spans="9:10" x14ac:dyDescent="0.35">
      <c r="I39225" s="63"/>
      <c r="J39225" s="63"/>
    </row>
    <row r="39226" spans="9:10" x14ac:dyDescent="0.35">
      <c r="I39226" s="63"/>
      <c r="J39226" s="63"/>
    </row>
    <row r="39227" spans="9:10" x14ac:dyDescent="0.35">
      <c r="I39227" s="63"/>
      <c r="J39227" s="63"/>
    </row>
    <row r="39228" spans="9:10" x14ac:dyDescent="0.35">
      <c r="I39228" s="63"/>
      <c r="J39228" s="63"/>
    </row>
    <row r="39229" spans="9:10" x14ac:dyDescent="0.35">
      <c r="I39229" s="63"/>
      <c r="J39229" s="63"/>
    </row>
    <row r="39230" spans="9:10" x14ac:dyDescent="0.35">
      <c r="I39230" s="63"/>
      <c r="J39230" s="63"/>
    </row>
    <row r="39231" spans="9:10" x14ac:dyDescent="0.35">
      <c r="I39231" s="63"/>
      <c r="J39231" s="63"/>
    </row>
    <row r="39232" spans="9:10" x14ac:dyDescent="0.35">
      <c r="I39232" s="63"/>
      <c r="J39232" s="63"/>
    </row>
    <row r="39233" spans="9:10" x14ac:dyDescent="0.35">
      <c r="I39233" s="63"/>
      <c r="J39233" s="63"/>
    </row>
    <row r="39234" spans="9:10" x14ac:dyDescent="0.35">
      <c r="I39234" s="63"/>
      <c r="J39234" s="63"/>
    </row>
    <row r="39235" spans="9:10" x14ac:dyDescent="0.35">
      <c r="I39235" s="63"/>
      <c r="J39235" s="63"/>
    </row>
    <row r="39236" spans="9:10" x14ac:dyDescent="0.35">
      <c r="I39236" s="63"/>
      <c r="J39236" s="63"/>
    </row>
    <row r="39237" spans="9:10" x14ac:dyDescent="0.35">
      <c r="I39237" s="63"/>
      <c r="J39237" s="63"/>
    </row>
    <row r="39238" spans="9:10" x14ac:dyDescent="0.35">
      <c r="I39238" s="63"/>
      <c r="J39238" s="63"/>
    </row>
    <row r="39239" spans="9:10" x14ac:dyDescent="0.35">
      <c r="I39239" s="63"/>
      <c r="J39239" s="63"/>
    </row>
    <row r="39240" spans="9:10" x14ac:dyDescent="0.35">
      <c r="I39240" s="63"/>
      <c r="J39240" s="63"/>
    </row>
    <row r="39241" spans="9:10" x14ac:dyDescent="0.35">
      <c r="I39241" s="63"/>
      <c r="J39241" s="63"/>
    </row>
    <row r="39242" spans="9:10" x14ac:dyDescent="0.35">
      <c r="I39242" s="63"/>
      <c r="J39242" s="63"/>
    </row>
    <row r="39243" spans="9:10" x14ac:dyDescent="0.35">
      <c r="I39243" s="63"/>
      <c r="J39243" s="63"/>
    </row>
    <row r="39244" spans="9:10" x14ac:dyDescent="0.35">
      <c r="I39244" s="63"/>
      <c r="J39244" s="63"/>
    </row>
    <row r="39245" spans="9:10" x14ac:dyDescent="0.35">
      <c r="I39245" s="63"/>
      <c r="J39245" s="63"/>
    </row>
    <row r="39246" spans="9:10" x14ac:dyDescent="0.35">
      <c r="I39246" s="63"/>
      <c r="J39246" s="63"/>
    </row>
    <row r="39247" spans="9:10" x14ac:dyDescent="0.35">
      <c r="I39247" s="63"/>
      <c r="J39247" s="63"/>
    </row>
    <row r="39248" spans="9:10" x14ac:dyDescent="0.35">
      <c r="I39248" s="63"/>
      <c r="J39248" s="63"/>
    </row>
    <row r="39249" spans="9:10" x14ac:dyDescent="0.35">
      <c r="I39249" s="63"/>
      <c r="J39249" s="63"/>
    </row>
    <row r="39250" spans="9:10" x14ac:dyDescent="0.35">
      <c r="I39250" s="63"/>
      <c r="J39250" s="63"/>
    </row>
    <row r="39251" spans="9:10" x14ac:dyDescent="0.35">
      <c r="I39251" s="63"/>
      <c r="J39251" s="63"/>
    </row>
    <row r="39252" spans="9:10" x14ac:dyDescent="0.35">
      <c r="I39252" s="63"/>
      <c r="J39252" s="63"/>
    </row>
    <row r="39253" spans="9:10" x14ac:dyDescent="0.35">
      <c r="I39253" s="63"/>
      <c r="J39253" s="63"/>
    </row>
    <row r="39254" spans="9:10" x14ac:dyDescent="0.35">
      <c r="I39254" s="63"/>
      <c r="J39254" s="63"/>
    </row>
    <row r="39255" spans="9:10" x14ac:dyDescent="0.35">
      <c r="I39255" s="63"/>
      <c r="J39255" s="63"/>
    </row>
    <row r="39256" spans="9:10" x14ac:dyDescent="0.35">
      <c r="I39256" s="63"/>
      <c r="J39256" s="63"/>
    </row>
    <row r="39257" spans="9:10" x14ac:dyDescent="0.35">
      <c r="I39257" s="63"/>
      <c r="J39257" s="63"/>
    </row>
    <row r="39258" spans="9:10" x14ac:dyDescent="0.35">
      <c r="I39258" s="63"/>
      <c r="J39258" s="63"/>
    </row>
    <row r="39259" spans="9:10" x14ac:dyDescent="0.35">
      <c r="I39259" s="63"/>
      <c r="J39259" s="63"/>
    </row>
    <row r="39260" spans="9:10" x14ac:dyDescent="0.35">
      <c r="I39260" s="63"/>
      <c r="J39260" s="63"/>
    </row>
    <row r="39261" spans="9:10" x14ac:dyDescent="0.35">
      <c r="I39261" s="63"/>
      <c r="J39261" s="63"/>
    </row>
    <row r="39262" spans="9:10" x14ac:dyDescent="0.35">
      <c r="I39262" s="63"/>
      <c r="J39262" s="63"/>
    </row>
    <row r="39263" spans="9:10" x14ac:dyDescent="0.35">
      <c r="I39263" s="63"/>
      <c r="J39263" s="63"/>
    </row>
    <row r="39264" spans="9:10" x14ac:dyDescent="0.35">
      <c r="I39264" s="63"/>
      <c r="J39264" s="63"/>
    </row>
    <row r="39265" spans="9:10" x14ac:dyDescent="0.35">
      <c r="I39265" s="63"/>
      <c r="J39265" s="63"/>
    </row>
    <row r="39266" spans="9:10" x14ac:dyDescent="0.35">
      <c r="I39266" s="63"/>
      <c r="J39266" s="63"/>
    </row>
    <row r="39267" spans="9:10" x14ac:dyDescent="0.35">
      <c r="I39267" s="63"/>
      <c r="J39267" s="63"/>
    </row>
    <row r="39268" spans="9:10" x14ac:dyDescent="0.35">
      <c r="I39268" s="63"/>
      <c r="J39268" s="63"/>
    </row>
    <row r="39269" spans="9:10" x14ac:dyDescent="0.35">
      <c r="I39269" s="63"/>
      <c r="J39269" s="63"/>
    </row>
    <row r="39270" spans="9:10" x14ac:dyDescent="0.35">
      <c r="I39270" s="63"/>
      <c r="J39270" s="63"/>
    </row>
    <row r="39271" spans="9:10" x14ac:dyDescent="0.35">
      <c r="I39271" s="63"/>
      <c r="J39271" s="63"/>
    </row>
    <row r="39272" spans="9:10" x14ac:dyDescent="0.35">
      <c r="I39272" s="63"/>
      <c r="J39272" s="63"/>
    </row>
    <row r="39273" spans="9:10" x14ac:dyDescent="0.35">
      <c r="I39273" s="63"/>
      <c r="J39273" s="63"/>
    </row>
    <row r="39274" spans="9:10" x14ac:dyDescent="0.35">
      <c r="I39274" s="63"/>
      <c r="J39274" s="63"/>
    </row>
    <row r="39275" spans="9:10" x14ac:dyDescent="0.35">
      <c r="I39275" s="63"/>
      <c r="J39275" s="63"/>
    </row>
    <row r="39276" spans="9:10" x14ac:dyDescent="0.35">
      <c r="I39276" s="63"/>
      <c r="J39276" s="63"/>
    </row>
    <row r="39277" spans="9:10" x14ac:dyDescent="0.35">
      <c r="I39277" s="63"/>
      <c r="J39277" s="63"/>
    </row>
    <row r="39278" spans="9:10" x14ac:dyDescent="0.35">
      <c r="I39278" s="63"/>
      <c r="J39278" s="63"/>
    </row>
    <row r="39279" spans="9:10" x14ac:dyDescent="0.35">
      <c r="I39279" s="63"/>
      <c r="J39279" s="63"/>
    </row>
    <row r="39280" spans="9:10" x14ac:dyDescent="0.35">
      <c r="I39280" s="63"/>
      <c r="J39280" s="63"/>
    </row>
    <row r="39281" spans="9:10" x14ac:dyDescent="0.35">
      <c r="I39281" s="63"/>
      <c r="J39281" s="63"/>
    </row>
    <row r="39282" spans="9:10" x14ac:dyDescent="0.35">
      <c r="I39282" s="63"/>
      <c r="J39282" s="63"/>
    </row>
    <row r="39283" spans="9:10" x14ac:dyDescent="0.35">
      <c r="I39283" s="63"/>
      <c r="J39283" s="63"/>
    </row>
    <row r="39284" spans="9:10" x14ac:dyDescent="0.35">
      <c r="I39284" s="63"/>
      <c r="J39284" s="63"/>
    </row>
    <row r="39285" spans="9:10" x14ac:dyDescent="0.35">
      <c r="I39285" s="63"/>
      <c r="J39285" s="63"/>
    </row>
    <row r="39286" spans="9:10" x14ac:dyDescent="0.35">
      <c r="I39286" s="63"/>
      <c r="J39286" s="63"/>
    </row>
    <row r="39287" spans="9:10" x14ac:dyDescent="0.35">
      <c r="I39287" s="63"/>
      <c r="J39287" s="63"/>
    </row>
    <row r="39288" spans="9:10" x14ac:dyDescent="0.35">
      <c r="I39288" s="63"/>
      <c r="J39288" s="63"/>
    </row>
    <row r="39289" spans="9:10" x14ac:dyDescent="0.35">
      <c r="I39289" s="63"/>
      <c r="J39289" s="63"/>
    </row>
    <row r="39290" spans="9:10" x14ac:dyDescent="0.35">
      <c r="I39290" s="63"/>
      <c r="J39290" s="63"/>
    </row>
    <row r="39291" spans="9:10" x14ac:dyDescent="0.35">
      <c r="I39291" s="63"/>
      <c r="J39291" s="63"/>
    </row>
    <row r="39292" spans="9:10" x14ac:dyDescent="0.35">
      <c r="I39292" s="63"/>
      <c r="J39292" s="63"/>
    </row>
    <row r="39293" spans="9:10" x14ac:dyDescent="0.35">
      <c r="I39293" s="63"/>
      <c r="J39293" s="63"/>
    </row>
    <row r="39294" spans="9:10" x14ac:dyDescent="0.35">
      <c r="I39294" s="63"/>
      <c r="J39294" s="63"/>
    </row>
    <row r="39295" spans="9:10" x14ac:dyDescent="0.35">
      <c r="I39295" s="63"/>
      <c r="J39295" s="63"/>
    </row>
    <row r="39296" spans="9:10" x14ac:dyDescent="0.35">
      <c r="I39296" s="63"/>
      <c r="J39296" s="63"/>
    </row>
    <row r="39297" spans="9:10" x14ac:dyDescent="0.35">
      <c r="I39297" s="63"/>
      <c r="J39297" s="63"/>
    </row>
    <row r="39298" spans="9:10" x14ac:dyDescent="0.35">
      <c r="I39298" s="63"/>
      <c r="J39298" s="63"/>
    </row>
    <row r="39299" spans="9:10" x14ac:dyDescent="0.35">
      <c r="I39299" s="63"/>
      <c r="J39299" s="63"/>
    </row>
    <row r="39300" spans="9:10" x14ac:dyDescent="0.35">
      <c r="I39300" s="63"/>
      <c r="J39300" s="63"/>
    </row>
    <row r="39301" spans="9:10" x14ac:dyDescent="0.35">
      <c r="I39301" s="63"/>
      <c r="J39301" s="63"/>
    </row>
    <row r="39302" spans="9:10" x14ac:dyDescent="0.35">
      <c r="I39302" s="63"/>
      <c r="J39302" s="63"/>
    </row>
    <row r="39303" spans="9:10" x14ac:dyDescent="0.35">
      <c r="I39303" s="63"/>
      <c r="J39303" s="63"/>
    </row>
    <row r="39304" spans="9:10" x14ac:dyDescent="0.35">
      <c r="I39304" s="63"/>
      <c r="J39304" s="63"/>
    </row>
    <row r="39305" spans="9:10" x14ac:dyDescent="0.35">
      <c r="I39305" s="63"/>
      <c r="J39305" s="63"/>
    </row>
    <row r="39306" spans="9:10" x14ac:dyDescent="0.35">
      <c r="I39306" s="63"/>
      <c r="J39306" s="63"/>
    </row>
    <row r="39307" spans="9:10" x14ac:dyDescent="0.35">
      <c r="I39307" s="63"/>
      <c r="J39307" s="63"/>
    </row>
    <row r="39308" spans="9:10" x14ac:dyDescent="0.35">
      <c r="I39308" s="63"/>
      <c r="J39308" s="63"/>
    </row>
    <row r="39309" spans="9:10" x14ac:dyDescent="0.35">
      <c r="I39309" s="63"/>
      <c r="J39309" s="63"/>
    </row>
    <row r="39310" spans="9:10" x14ac:dyDescent="0.35">
      <c r="I39310" s="63"/>
      <c r="J39310" s="63"/>
    </row>
    <row r="39311" spans="9:10" x14ac:dyDescent="0.35">
      <c r="I39311" s="63"/>
      <c r="J39311" s="63"/>
    </row>
    <row r="39312" spans="9:10" x14ac:dyDescent="0.35">
      <c r="I39312" s="63"/>
      <c r="J39312" s="63"/>
    </row>
    <row r="39313" spans="9:10" x14ac:dyDescent="0.35">
      <c r="I39313" s="63"/>
      <c r="J39313" s="63"/>
    </row>
    <row r="39314" spans="9:10" x14ac:dyDescent="0.35">
      <c r="I39314" s="63"/>
      <c r="J39314" s="63"/>
    </row>
    <row r="39315" spans="9:10" x14ac:dyDescent="0.35">
      <c r="I39315" s="63"/>
      <c r="J39315" s="63"/>
    </row>
    <row r="39316" spans="9:10" x14ac:dyDescent="0.35">
      <c r="I39316" s="63"/>
      <c r="J39316" s="63"/>
    </row>
    <row r="39317" spans="9:10" x14ac:dyDescent="0.35">
      <c r="I39317" s="63"/>
      <c r="J39317" s="63"/>
    </row>
    <row r="39318" spans="9:10" x14ac:dyDescent="0.35">
      <c r="I39318" s="63"/>
      <c r="J39318" s="63"/>
    </row>
    <row r="39319" spans="9:10" x14ac:dyDescent="0.35">
      <c r="I39319" s="63"/>
      <c r="J39319" s="63"/>
    </row>
    <row r="39320" spans="9:10" x14ac:dyDescent="0.35">
      <c r="I39320" s="63"/>
      <c r="J39320" s="63"/>
    </row>
    <row r="39321" spans="9:10" x14ac:dyDescent="0.35">
      <c r="I39321" s="63"/>
      <c r="J39321" s="63"/>
    </row>
    <row r="39322" spans="9:10" x14ac:dyDescent="0.35">
      <c r="I39322" s="63"/>
      <c r="J39322" s="63"/>
    </row>
    <row r="39323" spans="9:10" x14ac:dyDescent="0.35">
      <c r="I39323" s="63"/>
      <c r="J39323" s="63"/>
    </row>
    <row r="39324" spans="9:10" x14ac:dyDescent="0.35">
      <c r="I39324" s="63"/>
      <c r="J39324" s="63"/>
    </row>
    <row r="39325" spans="9:10" x14ac:dyDescent="0.35">
      <c r="I39325" s="63"/>
      <c r="J39325" s="63"/>
    </row>
    <row r="39326" spans="9:10" x14ac:dyDescent="0.35">
      <c r="I39326" s="63"/>
      <c r="J39326" s="63"/>
    </row>
    <row r="39327" spans="9:10" x14ac:dyDescent="0.35">
      <c r="I39327" s="63"/>
      <c r="J39327" s="63"/>
    </row>
    <row r="39328" spans="9:10" x14ac:dyDescent="0.35">
      <c r="I39328" s="63"/>
      <c r="J39328" s="63"/>
    </row>
    <row r="39329" spans="9:10" x14ac:dyDescent="0.35">
      <c r="I39329" s="63"/>
      <c r="J39329" s="63"/>
    </row>
    <row r="39330" spans="9:10" x14ac:dyDescent="0.35">
      <c r="I39330" s="63"/>
      <c r="J39330" s="63"/>
    </row>
    <row r="39331" spans="9:10" x14ac:dyDescent="0.35">
      <c r="I39331" s="63"/>
      <c r="J39331" s="63"/>
    </row>
    <row r="39332" spans="9:10" x14ac:dyDescent="0.35">
      <c r="I39332" s="63"/>
      <c r="J39332" s="63"/>
    </row>
    <row r="39333" spans="9:10" x14ac:dyDescent="0.35">
      <c r="I39333" s="63"/>
      <c r="J39333" s="63"/>
    </row>
    <row r="39334" spans="9:10" x14ac:dyDescent="0.35">
      <c r="I39334" s="63"/>
      <c r="J39334" s="63"/>
    </row>
    <row r="39335" spans="9:10" x14ac:dyDescent="0.35">
      <c r="I39335" s="63"/>
      <c r="J39335" s="63"/>
    </row>
    <row r="39336" spans="9:10" x14ac:dyDescent="0.35">
      <c r="I39336" s="63"/>
      <c r="J39336" s="63"/>
    </row>
    <row r="39337" spans="9:10" x14ac:dyDescent="0.35">
      <c r="I39337" s="63"/>
      <c r="J39337" s="63"/>
    </row>
    <row r="39338" spans="9:10" x14ac:dyDescent="0.35">
      <c r="I39338" s="63"/>
      <c r="J39338" s="63"/>
    </row>
    <row r="39339" spans="9:10" x14ac:dyDescent="0.35">
      <c r="I39339" s="63"/>
      <c r="J39339" s="63"/>
    </row>
    <row r="39340" spans="9:10" x14ac:dyDescent="0.35">
      <c r="I39340" s="63"/>
      <c r="J39340" s="63"/>
    </row>
    <row r="39341" spans="9:10" x14ac:dyDescent="0.35">
      <c r="I39341" s="63"/>
      <c r="J39341" s="63"/>
    </row>
    <row r="39342" spans="9:10" x14ac:dyDescent="0.35">
      <c r="I39342" s="63"/>
      <c r="J39342" s="63"/>
    </row>
    <row r="39343" spans="9:10" x14ac:dyDescent="0.35">
      <c r="I39343" s="63"/>
      <c r="J39343" s="63"/>
    </row>
    <row r="39344" spans="9:10" x14ac:dyDescent="0.35">
      <c r="I39344" s="63"/>
      <c r="J39344" s="63"/>
    </row>
    <row r="39345" spans="9:10" x14ac:dyDescent="0.35">
      <c r="I39345" s="63"/>
      <c r="J39345" s="63"/>
    </row>
    <row r="39346" spans="9:10" x14ac:dyDescent="0.35">
      <c r="I39346" s="63"/>
      <c r="J39346" s="63"/>
    </row>
    <row r="39347" spans="9:10" x14ac:dyDescent="0.35">
      <c r="I39347" s="63"/>
      <c r="J39347" s="63"/>
    </row>
    <row r="39348" spans="9:10" x14ac:dyDescent="0.35">
      <c r="I39348" s="63"/>
      <c r="J39348" s="63"/>
    </row>
    <row r="39349" spans="9:10" x14ac:dyDescent="0.35">
      <c r="I39349" s="63"/>
      <c r="J39349" s="63"/>
    </row>
    <row r="39350" spans="9:10" x14ac:dyDescent="0.35">
      <c r="I39350" s="63"/>
      <c r="J39350" s="63"/>
    </row>
    <row r="39351" spans="9:10" x14ac:dyDescent="0.35">
      <c r="I39351" s="63"/>
      <c r="J39351" s="63"/>
    </row>
    <row r="39352" spans="9:10" x14ac:dyDescent="0.35">
      <c r="I39352" s="63"/>
      <c r="J39352" s="63"/>
    </row>
    <row r="39353" spans="9:10" x14ac:dyDescent="0.35">
      <c r="I39353" s="63"/>
      <c r="J39353" s="63"/>
    </row>
    <row r="39354" spans="9:10" x14ac:dyDescent="0.35">
      <c r="I39354" s="63"/>
      <c r="J39354" s="63"/>
    </row>
    <row r="39355" spans="9:10" x14ac:dyDescent="0.35">
      <c r="I39355" s="63"/>
      <c r="J39355" s="63"/>
    </row>
    <row r="39356" spans="9:10" x14ac:dyDescent="0.35">
      <c r="I39356" s="63"/>
      <c r="J39356" s="63"/>
    </row>
    <row r="39357" spans="9:10" x14ac:dyDescent="0.35">
      <c r="I39357" s="63"/>
      <c r="J39357" s="63"/>
    </row>
    <row r="39358" spans="9:10" x14ac:dyDescent="0.35">
      <c r="I39358" s="63"/>
      <c r="J39358" s="63"/>
    </row>
    <row r="39359" spans="9:10" x14ac:dyDescent="0.35">
      <c r="I39359" s="63"/>
      <c r="J39359" s="63"/>
    </row>
    <row r="39360" spans="9:10" x14ac:dyDescent="0.35">
      <c r="I39360" s="63"/>
      <c r="J39360" s="63"/>
    </row>
    <row r="39361" spans="9:10" x14ac:dyDescent="0.35">
      <c r="I39361" s="63"/>
      <c r="J39361" s="63"/>
    </row>
    <row r="39362" spans="9:10" x14ac:dyDescent="0.35">
      <c r="I39362" s="63"/>
      <c r="J39362" s="63"/>
    </row>
    <row r="39363" spans="9:10" x14ac:dyDescent="0.35">
      <c r="I39363" s="63"/>
      <c r="J39363" s="63"/>
    </row>
    <row r="39364" spans="9:10" x14ac:dyDescent="0.35">
      <c r="I39364" s="63"/>
      <c r="J39364" s="63"/>
    </row>
    <row r="39365" spans="9:10" x14ac:dyDescent="0.35">
      <c r="I39365" s="63"/>
      <c r="J39365" s="63"/>
    </row>
    <row r="39366" spans="9:10" x14ac:dyDescent="0.35">
      <c r="I39366" s="63"/>
      <c r="J39366" s="63"/>
    </row>
    <row r="39367" spans="9:10" x14ac:dyDescent="0.35">
      <c r="I39367" s="63"/>
      <c r="J39367" s="63"/>
    </row>
    <row r="39368" spans="9:10" x14ac:dyDescent="0.35">
      <c r="I39368" s="63"/>
      <c r="J39368" s="63"/>
    </row>
    <row r="39369" spans="9:10" x14ac:dyDescent="0.35">
      <c r="I39369" s="63"/>
      <c r="J39369" s="63"/>
    </row>
    <row r="39370" spans="9:10" x14ac:dyDescent="0.35">
      <c r="I39370" s="63"/>
      <c r="J39370" s="63"/>
    </row>
    <row r="39371" spans="9:10" x14ac:dyDescent="0.35">
      <c r="I39371" s="63"/>
      <c r="J39371" s="63"/>
    </row>
    <row r="39372" spans="9:10" x14ac:dyDescent="0.35">
      <c r="I39372" s="63"/>
      <c r="J39372" s="63"/>
    </row>
    <row r="39373" spans="9:10" x14ac:dyDescent="0.35">
      <c r="I39373" s="63"/>
      <c r="J39373" s="63"/>
    </row>
    <row r="39374" spans="9:10" x14ac:dyDescent="0.35">
      <c r="I39374" s="63"/>
      <c r="J39374" s="63"/>
    </row>
    <row r="39375" spans="9:10" x14ac:dyDescent="0.35">
      <c r="I39375" s="63"/>
      <c r="J39375" s="63"/>
    </row>
    <row r="39376" spans="9:10" x14ac:dyDescent="0.35">
      <c r="I39376" s="63"/>
      <c r="J39376" s="63"/>
    </row>
    <row r="39377" spans="9:10" x14ac:dyDescent="0.35">
      <c r="I39377" s="63"/>
      <c r="J39377" s="63"/>
    </row>
    <row r="39378" spans="9:10" x14ac:dyDescent="0.35">
      <c r="I39378" s="63"/>
      <c r="J39378" s="63"/>
    </row>
    <row r="39379" spans="9:10" x14ac:dyDescent="0.35">
      <c r="I39379" s="63"/>
      <c r="J39379" s="63"/>
    </row>
    <row r="39380" spans="9:10" x14ac:dyDescent="0.35">
      <c r="I39380" s="63"/>
      <c r="J39380" s="63"/>
    </row>
    <row r="39381" spans="9:10" x14ac:dyDescent="0.35">
      <c r="I39381" s="63"/>
      <c r="J39381" s="63"/>
    </row>
    <row r="39382" spans="9:10" x14ac:dyDescent="0.35">
      <c r="I39382" s="63"/>
      <c r="J39382" s="63"/>
    </row>
    <row r="39383" spans="9:10" x14ac:dyDescent="0.35">
      <c r="I39383" s="63"/>
      <c r="J39383" s="63"/>
    </row>
    <row r="39384" spans="9:10" x14ac:dyDescent="0.35">
      <c r="I39384" s="63"/>
      <c r="J39384" s="63"/>
    </row>
    <row r="39385" spans="9:10" x14ac:dyDescent="0.35">
      <c r="I39385" s="63"/>
      <c r="J39385" s="63"/>
    </row>
    <row r="39386" spans="9:10" x14ac:dyDescent="0.35">
      <c r="I39386" s="63"/>
      <c r="J39386" s="63"/>
    </row>
    <row r="39387" spans="9:10" x14ac:dyDescent="0.35">
      <c r="I39387" s="63"/>
      <c r="J39387" s="63"/>
    </row>
    <row r="39388" spans="9:10" x14ac:dyDescent="0.35">
      <c r="I39388" s="63"/>
      <c r="J39388" s="63"/>
    </row>
    <row r="39389" spans="9:10" x14ac:dyDescent="0.35">
      <c r="I39389" s="63"/>
      <c r="J39389" s="63"/>
    </row>
    <row r="39390" spans="9:10" x14ac:dyDescent="0.35">
      <c r="I39390" s="63"/>
      <c r="J39390" s="63"/>
    </row>
    <row r="39391" spans="9:10" x14ac:dyDescent="0.35">
      <c r="I39391" s="63"/>
      <c r="J39391" s="63"/>
    </row>
    <row r="39392" spans="9:10" x14ac:dyDescent="0.35">
      <c r="I39392" s="63"/>
      <c r="J39392" s="63"/>
    </row>
    <row r="39393" spans="9:10" x14ac:dyDescent="0.35">
      <c r="I39393" s="63"/>
      <c r="J39393" s="63"/>
    </row>
    <row r="39394" spans="9:10" x14ac:dyDescent="0.35">
      <c r="I39394" s="63"/>
      <c r="J39394" s="63"/>
    </row>
    <row r="39395" spans="9:10" x14ac:dyDescent="0.35">
      <c r="I39395" s="63"/>
      <c r="J39395" s="63"/>
    </row>
    <row r="39396" spans="9:10" x14ac:dyDescent="0.35">
      <c r="I39396" s="63"/>
      <c r="J39396" s="63"/>
    </row>
    <row r="39397" spans="9:10" x14ac:dyDescent="0.35">
      <c r="I39397" s="63"/>
      <c r="J39397" s="63"/>
    </row>
    <row r="39398" spans="9:10" x14ac:dyDescent="0.35">
      <c r="I39398" s="63"/>
      <c r="J39398" s="63"/>
    </row>
    <row r="39399" spans="9:10" x14ac:dyDescent="0.35">
      <c r="I39399" s="63"/>
      <c r="J39399" s="63"/>
    </row>
    <row r="39400" spans="9:10" x14ac:dyDescent="0.35">
      <c r="I39400" s="63"/>
      <c r="J39400" s="63"/>
    </row>
    <row r="39401" spans="9:10" x14ac:dyDescent="0.35">
      <c r="I39401" s="63"/>
      <c r="J39401" s="63"/>
    </row>
    <row r="39402" spans="9:10" x14ac:dyDescent="0.35">
      <c r="I39402" s="63"/>
      <c r="J39402" s="63"/>
    </row>
    <row r="39403" spans="9:10" x14ac:dyDescent="0.35">
      <c r="I39403" s="63"/>
      <c r="J39403" s="63"/>
    </row>
    <row r="39404" spans="9:10" x14ac:dyDescent="0.35">
      <c r="I39404" s="63"/>
      <c r="J39404" s="63"/>
    </row>
    <row r="39405" spans="9:10" x14ac:dyDescent="0.35">
      <c r="I39405" s="63"/>
      <c r="J39405" s="63"/>
    </row>
    <row r="39406" spans="9:10" x14ac:dyDescent="0.35">
      <c r="I39406" s="63"/>
      <c r="J39406" s="63"/>
    </row>
    <row r="39407" spans="9:10" x14ac:dyDescent="0.35">
      <c r="I39407" s="63"/>
      <c r="J39407" s="63"/>
    </row>
    <row r="39408" spans="9:10" x14ac:dyDescent="0.35">
      <c r="I39408" s="63"/>
      <c r="J39408" s="63"/>
    </row>
    <row r="39409" spans="9:10" x14ac:dyDescent="0.35">
      <c r="I39409" s="63"/>
      <c r="J39409" s="63"/>
    </row>
    <row r="39410" spans="9:10" x14ac:dyDescent="0.35">
      <c r="I39410" s="63"/>
      <c r="J39410" s="63"/>
    </row>
    <row r="39411" spans="9:10" x14ac:dyDescent="0.35">
      <c r="I39411" s="63"/>
      <c r="J39411" s="63"/>
    </row>
    <row r="39412" spans="9:10" x14ac:dyDescent="0.35">
      <c r="I39412" s="63"/>
      <c r="J39412" s="63"/>
    </row>
    <row r="39413" spans="9:10" x14ac:dyDescent="0.35">
      <c r="I39413" s="63"/>
      <c r="J39413" s="63"/>
    </row>
    <row r="39414" spans="9:10" x14ac:dyDescent="0.35">
      <c r="I39414" s="63"/>
      <c r="J39414" s="63"/>
    </row>
    <row r="39415" spans="9:10" x14ac:dyDescent="0.35">
      <c r="I39415" s="63"/>
      <c r="J39415" s="63"/>
    </row>
    <row r="39416" spans="9:10" x14ac:dyDescent="0.35">
      <c r="I39416" s="63"/>
      <c r="J39416" s="63"/>
    </row>
    <row r="39417" spans="9:10" x14ac:dyDescent="0.35">
      <c r="I39417" s="63"/>
      <c r="J39417" s="63"/>
    </row>
    <row r="39418" spans="9:10" x14ac:dyDescent="0.35">
      <c r="I39418" s="63"/>
      <c r="J39418" s="63"/>
    </row>
    <row r="39419" spans="9:10" x14ac:dyDescent="0.35">
      <c r="I39419" s="63"/>
      <c r="J39419" s="63"/>
    </row>
    <row r="39420" spans="9:10" x14ac:dyDescent="0.35">
      <c r="I39420" s="63"/>
      <c r="J39420" s="63"/>
    </row>
    <row r="39421" spans="9:10" x14ac:dyDescent="0.35">
      <c r="I39421" s="63"/>
      <c r="J39421" s="63"/>
    </row>
    <row r="39422" spans="9:10" x14ac:dyDescent="0.35">
      <c r="I39422" s="63"/>
      <c r="J39422" s="63"/>
    </row>
    <row r="39423" spans="9:10" x14ac:dyDescent="0.35">
      <c r="I39423" s="63"/>
      <c r="J39423" s="63"/>
    </row>
    <row r="39424" spans="9:10" x14ac:dyDescent="0.35">
      <c r="I39424" s="63"/>
      <c r="J39424" s="63"/>
    </row>
    <row r="39425" spans="9:10" x14ac:dyDescent="0.35">
      <c r="I39425" s="63"/>
      <c r="J39425" s="63"/>
    </row>
    <row r="39426" spans="9:10" x14ac:dyDescent="0.35">
      <c r="I39426" s="63"/>
      <c r="J39426" s="63"/>
    </row>
    <row r="39427" spans="9:10" x14ac:dyDescent="0.35">
      <c r="I39427" s="63"/>
      <c r="J39427" s="63"/>
    </row>
    <row r="39428" spans="9:10" x14ac:dyDescent="0.35">
      <c r="I39428" s="63"/>
      <c r="J39428" s="63"/>
    </row>
    <row r="39429" spans="9:10" x14ac:dyDescent="0.35">
      <c r="I39429" s="63"/>
      <c r="J39429" s="63"/>
    </row>
    <row r="39430" spans="9:10" x14ac:dyDescent="0.35">
      <c r="I39430" s="63"/>
      <c r="J39430" s="63"/>
    </row>
    <row r="39431" spans="9:10" x14ac:dyDescent="0.35">
      <c r="I39431" s="63"/>
      <c r="J39431" s="63"/>
    </row>
    <row r="39432" spans="9:10" x14ac:dyDescent="0.35">
      <c r="I39432" s="63"/>
      <c r="J39432" s="63"/>
    </row>
    <row r="39433" spans="9:10" x14ac:dyDescent="0.35">
      <c r="I39433" s="63"/>
      <c r="J39433" s="63"/>
    </row>
    <row r="39434" spans="9:10" x14ac:dyDescent="0.35">
      <c r="I39434" s="63"/>
      <c r="J39434" s="63"/>
    </row>
    <row r="39435" spans="9:10" x14ac:dyDescent="0.35">
      <c r="I39435" s="63"/>
      <c r="J39435" s="63"/>
    </row>
    <row r="39436" spans="9:10" x14ac:dyDescent="0.35">
      <c r="I39436" s="63"/>
      <c r="J39436" s="63"/>
    </row>
    <row r="39437" spans="9:10" x14ac:dyDescent="0.35">
      <c r="I39437" s="63"/>
      <c r="J39437" s="63"/>
    </row>
    <row r="39438" spans="9:10" x14ac:dyDescent="0.35">
      <c r="I39438" s="63"/>
      <c r="J39438" s="63"/>
    </row>
    <row r="39439" spans="9:10" x14ac:dyDescent="0.35">
      <c r="I39439" s="63"/>
      <c r="J39439" s="63"/>
    </row>
    <row r="39440" spans="9:10" x14ac:dyDescent="0.35">
      <c r="I39440" s="63"/>
      <c r="J39440" s="63"/>
    </row>
    <row r="39441" spans="9:10" x14ac:dyDescent="0.35">
      <c r="I39441" s="63"/>
      <c r="J39441" s="63"/>
    </row>
    <row r="39442" spans="9:10" x14ac:dyDescent="0.35">
      <c r="I39442" s="63"/>
      <c r="J39442" s="63"/>
    </row>
    <row r="39443" spans="9:10" x14ac:dyDescent="0.35">
      <c r="I39443" s="63"/>
      <c r="J39443" s="63"/>
    </row>
    <row r="39444" spans="9:10" x14ac:dyDescent="0.35">
      <c r="I39444" s="63"/>
      <c r="J39444" s="63"/>
    </row>
    <row r="39445" spans="9:10" x14ac:dyDescent="0.35">
      <c r="I39445" s="63"/>
      <c r="J39445" s="63"/>
    </row>
    <row r="39446" spans="9:10" x14ac:dyDescent="0.35">
      <c r="I39446" s="63"/>
      <c r="J39446" s="63"/>
    </row>
    <row r="39447" spans="9:10" x14ac:dyDescent="0.35">
      <c r="I39447" s="63"/>
      <c r="J39447" s="63"/>
    </row>
    <row r="39448" spans="9:10" x14ac:dyDescent="0.35">
      <c r="I39448" s="63"/>
      <c r="J39448" s="63"/>
    </row>
    <row r="39449" spans="9:10" x14ac:dyDescent="0.35">
      <c r="I39449" s="63"/>
      <c r="J39449" s="63"/>
    </row>
    <row r="39450" spans="9:10" x14ac:dyDescent="0.35">
      <c r="I39450" s="63"/>
      <c r="J39450" s="63"/>
    </row>
    <row r="39451" spans="9:10" x14ac:dyDescent="0.35">
      <c r="I39451" s="63"/>
      <c r="J39451" s="63"/>
    </row>
    <row r="39452" spans="9:10" x14ac:dyDescent="0.35">
      <c r="I39452" s="63"/>
      <c r="J39452" s="63"/>
    </row>
    <row r="39453" spans="9:10" x14ac:dyDescent="0.35">
      <c r="I39453" s="63"/>
      <c r="J39453" s="63"/>
    </row>
    <row r="39454" spans="9:10" x14ac:dyDescent="0.35">
      <c r="I39454" s="63"/>
      <c r="J39454" s="63"/>
    </row>
    <row r="39455" spans="9:10" x14ac:dyDescent="0.35">
      <c r="I39455" s="63"/>
      <c r="J39455" s="63"/>
    </row>
    <row r="39456" spans="9:10" x14ac:dyDescent="0.35">
      <c r="I39456" s="63"/>
      <c r="J39456" s="63"/>
    </row>
    <row r="39457" spans="9:10" x14ac:dyDescent="0.35">
      <c r="I39457" s="63"/>
      <c r="J39457" s="63"/>
    </row>
    <row r="39458" spans="9:10" x14ac:dyDescent="0.35">
      <c r="I39458" s="63"/>
      <c r="J39458" s="63"/>
    </row>
    <row r="39459" spans="9:10" x14ac:dyDescent="0.35">
      <c r="I39459" s="63"/>
      <c r="J39459" s="63"/>
    </row>
    <row r="39460" spans="9:10" x14ac:dyDescent="0.35">
      <c r="I39460" s="63"/>
      <c r="J39460" s="63"/>
    </row>
    <row r="39461" spans="9:10" x14ac:dyDescent="0.35">
      <c r="I39461" s="63"/>
      <c r="J39461" s="63"/>
    </row>
    <row r="39462" spans="9:10" x14ac:dyDescent="0.35">
      <c r="I39462" s="63"/>
      <c r="J39462" s="63"/>
    </row>
    <row r="39463" spans="9:10" x14ac:dyDescent="0.35">
      <c r="I39463" s="63"/>
      <c r="J39463" s="63"/>
    </row>
    <row r="39464" spans="9:10" x14ac:dyDescent="0.35">
      <c r="I39464" s="63"/>
      <c r="J39464" s="63"/>
    </row>
    <row r="39465" spans="9:10" x14ac:dyDescent="0.35">
      <c r="I39465" s="63"/>
      <c r="J39465" s="63"/>
    </row>
    <row r="39466" spans="9:10" x14ac:dyDescent="0.35">
      <c r="I39466" s="63"/>
      <c r="J39466" s="63"/>
    </row>
    <row r="39467" spans="9:10" x14ac:dyDescent="0.35">
      <c r="I39467" s="63"/>
      <c r="J39467" s="63"/>
    </row>
    <row r="39468" spans="9:10" x14ac:dyDescent="0.35">
      <c r="I39468" s="63"/>
      <c r="J39468" s="63"/>
    </row>
    <row r="39469" spans="9:10" x14ac:dyDescent="0.35">
      <c r="I39469" s="63"/>
      <c r="J39469" s="63"/>
    </row>
    <row r="39470" spans="9:10" x14ac:dyDescent="0.35">
      <c r="I39470" s="63"/>
      <c r="J39470" s="63"/>
    </row>
    <row r="39471" spans="9:10" x14ac:dyDescent="0.35">
      <c r="I39471" s="63"/>
      <c r="J39471" s="63"/>
    </row>
    <row r="39472" spans="9:10" x14ac:dyDescent="0.35">
      <c r="I39472" s="63"/>
      <c r="J39472" s="63"/>
    </row>
    <row r="39473" spans="9:10" x14ac:dyDescent="0.35">
      <c r="I39473" s="63"/>
      <c r="J39473" s="63"/>
    </row>
    <row r="39474" spans="9:10" x14ac:dyDescent="0.35">
      <c r="I39474" s="63"/>
      <c r="J39474" s="63"/>
    </row>
    <row r="39475" spans="9:10" x14ac:dyDescent="0.35">
      <c r="I39475" s="63"/>
      <c r="J39475" s="63"/>
    </row>
    <row r="39476" spans="9:10" x14ac:dyDescent="0.35">
      <c r="I39476" s="63"/>
      <c r="J39476" s="63"/>
    </row>
    <row r="39477" spans="9:10" x14ac:dyDescent="0.35">
      <c r="I39477" s="63"/>
      <c r="J39477" s="63"/>
    </row>
    <row r="39478" spans="9:10" x14ac:dyDescent="0.35">
      <c r="I39478" s="63"/>
      <c r="J39478" s="63"/>
    </row>
    <row r="39479" spans="9:10" x14ac:dyDescent="0.35">
      <c r="I39479" s="63"/>
      <c r="J39479" s="63"/>
    </row>
    <row r="39480" spans="9:10" x14ac:dyDescent="0.35">
      <c r="I39480" s="63"/>
      <c r="J39480" s="63"/>
    </row>
    <row r="39481" spans="9:10" x14ac:dyDescent="0.35">
      <c r="I39481" s="63"/>
      <c r="J39481" s="63"/>
    </row>
    <row r="39482" spans="9:10" x14ac:dyDescent="0.35">
      <c r="I39482" s="63"/>
      <c r="J39482" s="63"/>
    </row>
    <row r="39483" spans="9:10" x14ac:dyDescent="0.35">
      <c r="I39483" s="63"/>
      <c r="J39483" s="63"/>
    </row>
    <row r="39484" spans="9:10" x14ac:dyDescent="0.35">
      <c r="I39484" s="63"/>
      <c r="J39484" s="63"/>
    </row>
    <row r="39485" spans="9:10" x14ac:dyDescent="0.35">
      <c r="I39485" s="63"/>
      <c r="J39485" s="63"/>
    </row>
    <row r="39486" spans="9:10" x14ac:dyDescent="0.35">
      <c r="I39486" s="63"/>
      <c r="J39486" s="63"/>
    </row>
    <row r="39487" spans="9:10" x14ac:dyDescent="0.35">
      <c r="I39487" s="63"/>
      <c r="J39487" s="63"/>
    </row>
    <row r="39488" spans="9:10" x14ac:dyDescent="0.35">
      <c r="I39488" s="63"/>
      <c r="J39488" s="63"/>
    </row>
    <row r="39489" spans="9:10" x14ac:dyDescent="0.35">
      <c r="I39489" s="63"/>
      <c r="J39489" s="63"/>
    </row>
    <row r="39490" spans="9:10" x14ac:dyDescent="0.35">
      <c r="I39490" s="63"/>
      <c r="J39490" s="63"/>
    </row>
    <row r="39491" spans="9:10" x14ac:dyDescent="0.35">
      <c r="I39491" s="63"/>
      <c r="J39491" s="63"/>
    </row>
    <row r="39492" spans="9:10" x14ac:dyDescent="0.35">
      <c r="I39492" s="63"/>
      <c r="J39492" s="63"/>
    </row>
    <row r="39493" spans="9:10" x14ac:dyDescent="0.35">
      <c r="I39493" s="63"/>
      <c r="J39493" s="63"/>
    </row>
    <row r="39494" spans="9:10" x14ac:dyDescent="0.35">
      <c r="I39494" s="63"/>
      <c r="J39494" s="63"/>
    </row>
    <row r="39495" spans="9:10" x14ac:dyDescent="0.35">
      <c r="I39495" s="63"/>
      <c r="J39495" s="63"/>
    </row>
    <row r="39496" spans="9:10" x14ac:dyDescent="0.35">
      <c r="I39496" s="63"/>
      <c r="J39496" s="63"/>
    </row>
    <row r="39497" spans="9:10" x14ac:dyDescent="0.35">
      <c r="I39497" s="63"/>
      <c r="J39497" s="63"/>
    </row>
    <row r="39498" spans="9:10" x14ac:dyDescent="0.35">
      <c r="I39498" s="63"/>
      <c r="J39498" s="63"/>
    </row>
    <row r="39499" spans="9:10" x14ac:dyDescent="0.35">
      <c r="I39499" s="63"/>
      <c r="J39499" s="63"/>
    </row>
    <row r="39500" spans="9:10" x14ac:dyDescent="0.35">
      <c r="I39500" s="63"/>
      <c r="J39500" s="63"/>
    </row>
    <row r="39501" spans="9:10" x14ac:dyDescent="0.35">
      <c r="I39501" s="63"/>
      <c r="J39501" s="63"/>
    </row>
    <row r="39502" spans="9:10" x14ac:dyDescent="0.35">
      <c r="I39502" s="63"/>
      <c r="J39502" s="63"/>
    </row>
    <row r="39503" spans="9:10" x14ac:dyDescent="0.35">
      <c r="I39503" s="63"/>
      <c r="J39503" s="63"/>
    </row>
    <row r="39504" spans="9:10" x14ac:dyDescent="0.35">
      <c r="I39504" s="63"/>
      <c r="J39504" s="63"/>
    </row>
    <row r="39505" spans="9:10" x14ac:dyDescent="0.35">
      <c r="I39505" s="63"/>
      <c r="J39505" s="63"/>
    </row>
    <row r="39506" spans="9:10" x14ac:dyDescent="0.35">
      <c r="I39506" s="63"/>
      <c r="J39506" s="63"/>
    </row>
    <row r="39507" spans="9:10" x14ac:dyDescent="0.35">
      <c r="I39507" s="63"/>
      <c r="J39507" s="63"/>
    </row>
    <row r="39508" spans="9:10" x14ac:dyDescent="0.35">
      <c r="I39508" s="63"/>
      <c r="J39508" s="63"/>
    </row>
    <row r="39509" spans="9:10" x14ac:dyDescent="0.35">
      <c r="I39509" s="63"/>
      <c r="J39509" s="63"/>
    </row>
    <row r="39510" spans="9:10" x14ac:dyDescent="0.35">
      <c r="I39510" s="63"/>
      <c r="J39510" s="63"/>
    </row>
    <row r="39511" spans="9:10" x14ac:dyDescent="0.35">
      <c r="I39511" s="63"/>
      <c r="J39511" s="63"/>
    </row>
    <row r="39512" spans="9:10" x14ac:dyDescent="0.35">
      <c r="I39512" s="63"/>
      <c r="J39512" s="63"/>
    </row>
    <row r="39513" spans="9:10" x14ac:dyDescent="0.35">
      <c r="I39513" s="63"/>
      <c r="J39513" s="63"/>
    </row>
    <row r="39514" spans="9:10" x14ac:dyDescent="0.35">
      <c r="I39514" s="63"/>
      <c r="J39514" s="63"/>
    </row>
    <row r="39515" spans="9:10" x14ac:dyDescent="0.35">
      <c r="I39515" s="63"/>
      <c r="J39515" s="63"/>
    </row>
    <row r="39516" spans="9:10" x14ac:dyDescent="0.35">
      <c r="I39516" s="63"/>
      <c r="J39516" s="63"/>
    </row>
    <row r="39517" spans="9:10" x14ac:dyDescent="0.35">
      <c r="I39517" s="63"/>
      <c r="J39517" s="63"/>
    </row>
    <row r="39518" spans="9:10" x14ac:dyDescent="0.35">
      <c r="I39518" s="63"/>
      <c r="J39518" s="63"/>
    </row>
    <row r="39519" spans="9:10" x14ac:dyDescent="0.35">
      <c r="I39519" s="63"/>
      <c r="J39519" s="63"/>
    </row>
    <row r="39520" spans="9:10" x14ac:dyDescent="0.35">
      <c r="I39520" s="63"/>
      <c r="J39520" s="63"/>
    </row>
    <row r="39521" spans="9:10" x14ac:dyDescent="0.35">
      <c r="I39521" s="63"/>
      <c r="J39521" s="63"/>
    </row>
    <row r="39522" spans="9:10" x14ac:dyDescent="0.35">
      <c r="I39522" s="63"/>
      <c r="J39522" s="63"/>
    </row>
    <row r="39523" spans="9:10" x14ac:dyDescent="0.35">
      <c r="I39523" s="63"/>
      <c r="J39523" s="63"/>
    </row>
    <row r="39524" spans="9:10" x14ac:dyDescent="0.35">
      <c r="I39524" s="63"/>
      <c r="J39524" s="63"/>
    </row>
    <row r="39525" spans="9:10" x14ac:dyDescent="0.35">
      <c r="I39525" s="63"/>
      <c r="J39525" s="63"/>
    </row>
    <row r="39526" spans="9:10" x14ac:dyDescent="0.35">
      <c r="I39526" s="63"/>
      <c r="J39526" s="63"/>
    </row>
    <row r="39527" spans="9:10" x14ac:dyDescent="0.35">
      <c r="I39527" s="63"/>
      <c r="J39527" s="63"/>
    </row>
    <row r="39528" spans="9:10" x14ac:dyDescent="0.35">
      <c r="I39528" s="63"/>
      <c r="J39528" s="63"/>
    </row>
    <row r="39529" spans="9:10" x14ac:dyDescent="0.35">
      <c r="I39529" s="63"/>
      <c r="J39529" s="63"/>
    </row>
    <row r="39530" spans="9:10" x14ac:dyDescent="0.35">
      <c r="I39530" s="63"/>
      <c r="J39530" s="63"/>
    </row>
    <row r="39531" spans="9:10" x14ac:dyDescent="0.35">
      <c r="I39531" s="63"/>
      <c r="J39531" s="63"/>
    </row>
    <row r="39532" spans="9:10" x14ac:dyDescent="0.35">
      <c r="I39532" s="63"/>
      <c r="J39532" s="63"/>
    </row>
    <row r="39533" spans="9:10" x14ac:dyDescent="0.35">
      <c r="I39533" s="63"/>
      <c r="J39533" s="63"/>
    </row>
    <row r="39534" spans="9:10" x14ac:dyDescent="0.35">
      <c r="I39534" s="63"/>
      <c r="J39534" s="63"/>
    </row>
    <row r="39535" spans="9:10" x14ac:dyDescent="0.35">
      <c r="I39535" s="63"/>
      <c r="J39535" s="63"/>
    </row>
    <row r="39536" spans="9:10" x14ac:dyDescent="0.35">
      <c r="I39536" s="63"/>
      <c r="J39536" s="63"/>
    </row>
    <row r="39537" spans="9:10" x14ac:dyDescent="0.35">
      <c r="I39537" s="63"/>
      <c r="J39537" s="63"/>
    </row>
    <row r="39538" spans="9:10" x14ac:dyDescent="0.35">
      <c r="I39538" s="63"/>
      <c r="J39538" s="63"/>
    </row>
    <row r="39539" spans="9:10" x14ac:dyDescent="0.35">
      <c r="I39539" s="63"/>
      <c r="J39539" s="63"/>
    </row>
    <row r="39540" spans="9:10" x14ac:dyDescent="0.35">
      <c r="I39540" s="63"/>
      <c r="J39540" s="63"/>
    </row>
    <row r="39541" spans="9:10" x14ac:dyDescent="0.35">
      <c r="I39541" s="63"/>
      <c r="J39541" s="63"/>
    </row>
    <row r="39542" spans="9:10" x14ac:dyDescent="0.35">
      <c r="I39542" s="63"/>
      <c r="J39542" s="63"/>
    </row>
    <row r="39543" spans="9:10" x14ac:dyDescent="0.35">
      <c r="I39543" s="63"/>
      <c r="J39543" s="63"/>
    </row>
    <row r="39544" spans="9:10" x14ac:dyDescent="0.35">
      <c r="I39544" s="63"/>
      <c r="J39544" s="63"/>
    </row>
    <row r="39545" spans="9:10" x14ac:dyDescent="0.35">
      <c r="I39545" s="63"/>
      <c r="J39545" s="63"/>
    </row>
    <row r="39546" spans="9:10" x14ac:dyDescent="0.35">
      <c r="I39546" s="63"/>
      <c r="J39546" s="63"/>
    </row>
    <row r="39547" spans="9:10" x14ac:dyDescent="0.35">
      <c r="I39547" s="63"/>
      <c r="J39547" s="63"/>
    </row>
    <row r="39548" spans="9:10" x14ac:dyDescent="0.35">
      <c r="I39548" s="63"/>
      <c r="J39548" s="63"/>
    </row>
    <row r="39549" spans="9:10" x14ac:dyDescent="0.35">
      <c r="I39549" s="63"/>
      <c r="J39549" s="63"/>
    </row>
    <row r="39550" spans="9:10" x14ac:dyDescent="0.35">
      <c r="I39550" s="63"/>
      <c r="J39550" s="63"/>
    </row>
    <row r="39551" spans="9:10" x14ac:dyDescent="0.35">
      <c r="I39551" s="63"/>
      <c r="J39551" s="63"/>
    </row>
    <row r="39552" spans="9:10" x14ac:dyDescent="0.35">
      <c r="I39552" s="63"/>
      <c r="J39552" s="63"/>
    </row>
    <row r="39553" spans="9:10" x14ac:dyDescent="0.35">
      <c r="I39553" s="63"/>
      <c r="J39553" s="63"/>
    </row>
    <row r="39554" spans="9:10" x14ac:dyDescent="0.35">
      <c r="I39554" s="63"/>
      <c r="J39554" s="63"/>
    </row>
    <row r="39555" spans="9:10" x14ac:dyDescent="0.35">
      <c r="I39555" s="63"/>
      <c r="J39555" s="63"/>
    </row>
    <row r="39556" spans="9:10" x14ac:dyDescent="0.35">
      <c r="I39556" s="63"/>
      <c r="J39556" s="63"/>
    </row>
    <row r="39557" spans="9:10" x14ac:dyDescent="0.35">
      <c r="I39557" s="63"/>
      <c r="J39557" s="63"/>
    </row>
    <row r="39558" spans="9:10" x14ac:dyDescent="0.35">
      <c r="I39558" s="63"/>
      <c r="J39558" s="63"/>
    </row>
    <row r="39559" spans="9:10" x14ac:dyDescent="0.35">
      <c r="I39559" s="63"/>
      <c r="J39559" s="63"/>
    </row>
    <row r="39560" spans="9:10" x14ac:dyDescent="0.35">
      <c r="I39560" s="63"/>
      <c r="J39560" s="63"/>
    </row>
    <row r="39561" spans="9:10" x14ac:dyDescent="0.35">
      <c r="I39561" s="63"/>
      <c r="J39561" s="63"/>
    </row>
    <row r="39562" spans="9:10" x14ac:dyDescent="0.35">
      <c r="I39562" s="63"/>
      <c r="J39562" s="63"/>
    </row>
    <row r="39563" spans="9:10" x14ac:dyDescent="0.35">
      <c r="I39563" s="63"/>
      <c r="J39563" s="63"/>
    </row>
    <row r="39564" spans="9:10" x14ac:dyDescent="0.35">
      <c r="I39564" s="63"/>
      <c r="J39564" s="63"/>
    </row>
    <row r="39565" spans="9:10" x14ac:dyDescent="0.35">
      <c r="I39565" s="63"/>
      <c r="J39565" s="63"/>
    </row>
    <row r="39566" spans="9:10" x14ac:dyDescent="0.35">
      <c r="I39566" s="63"/>
      <c r="J39566" s="63"/>
    </row>
    <row r="39567" spans="9:10" x14ac:dyDescent="0.35">
      <c r="I39567" s="63"/>
      <c r="J39567" s="63"/>
    </row>
    <row r="39568" spans="9:10" x14ac:dyDescent="0.35">
      <c r="I39568" s="63"/>
      <c r="J39568" s="63"/>
    </row>
    <row r="39569" spans="9:10" x14ac:dyDescent="0.35">
      <c r="I39569" s="63"/>
      <c r="J39569" s="63"/>
    </row>
    <row r="39570" spans="9:10" x14ac:dyDescent="0.35">
      <c r="I39570" s="63"/>
      <c r="J39570" s="63"/>
    </row>
    <row r="39571" spans="9:10" x14ac:dyDescent="0.35">
      <c r="I39571" s="63"/>
      <c r="J39571" s="63"/>
    </row>
    <row r="39572" spans="9:10" x14ac:dyDescent="0.35">
      <c r="I39572" s="63"/>
      <c r="J39572" s="63"/>
    </row>
    <row r="39573" spans="9:10" x14ac:dyDescent="0.35">
      <c r="I39573" s="63"/>
      <c r="J39573" s="63"/>
    </row>
    <row r="39574" spans="9:10" x14ac:dyDescent="0.35">
      <c r="I39574" s="63"/>
      <c r="J39574" s="63"/>
    </row>
    <row r="39575" spans="9:10" x14ac:dyDescent="0.35">
      <c r="I39575" s="63"/>
      <c r="J39575" s="63"/>
    </row>
    <row r="39576" spans="9:10" x14ac:dyDescent="0.35">
      <c r="I39576" s="63"/>
      <c r="J39576" s="63"/>
    </row>
    <row r="39577" spans="9:10" x14ac:dyDescent="0.35">
      <c r="I39577" s="63"/>
      <c r="J39577" s="63"/>
    </row>
    <row r="39578" spans="9:10" x14ac:dyDescent="0.35">
      <c r="I39578" s="63"/>
      <c r="J39578" s="63"/>
    </row>
    <row r="39579" spans="9:10" x14ac:dyDescent="0.35">
      <c r="I39579" s="63"/>
      <c r="J39579" s="63"/>
    </row>
    <row r="39580" spans="9:10" x14ac:dyDescent="0.35">
      <c r="I39580" s="63"/>
      <c r="J39580" s="63"/>
    </row>
    <row r="39581" spans="9:10" x14ac:dyDescent="0.35">
      <c r="I39581" s="63"/>
      <c r="J39581" s="63"/>
    </row>
    <row r="39582" spans="9:10" x14ac:dyDescent="0.35">
      <c r="I39582" s="63"/>
      <c r="J39582" s="63"/>
    </row>
    <row r="39583" spans="9:10" x14ac:dyDescent="0.35">
      <c r="I39583" s="63"/>
      <c r="J39583" s="63"/>
    </row>
    <row r="39584" spans="9:10" x14ac:dyDescent="0.35">
      <c r="I39584" s="63"/>
      <c r="J39584" s="63"/>
    </row>
    <row r="39585" spans="9:10" x14ac:dyDescent="0.35">
      <c r="I39585" s="63"/>
      <c r="J39585" s="63"/>
    </row>
    <row r="39586" spans="9:10" x14ac:dyDescent="0.35">
      <c r="I39586" s="63"/>
      <c r="J39586" s="63"/>
    </row>
    <row r="39587" spans="9:10" x14ac:dyDescent="0.35">
      <c r="I39587" s="63"/>
      <c r="J39587" s="63"/>
    </row>
    <row r="39588" spans="9:10" x14ac:dyDescent="0.35">
      <c r="I39588" s="63"/>
      <c r="J39588" s="63"/>
    </row>
    <row r="39589" spans="9:10" x14ac:dyDescent="0.35">
      <c r="I39589" s="63"/>
      <c r="J39589" s="63"/>
    </row>
    <row r="39590" spans="9:10" x14ac:dyDescent="0.35">
      <c r="I39590" s="63"/>
      <c r="J39590" s="63"/>
    </row>
    <row r="39591" spans="9:10" x14ac:dyDescent="0.35">
      <c r="I39591" s="63"/>
      <c r="J39591" s="63"/>
    </row>
    <row r="39592" spans="9:10" x14ac:dyDescent="0.35">
      <c r="I39592" s="63"/>
      <c r="J39592" s="63"/>
    </row>
    <row r="39593" spans="9:10" x14ac:dyDescent="0.35">
      <c r="I39593" s="63"/>
      <c r="J39593" s="63"/>
    </row>
    <row r="39594" spans="9:10" x14ac:dyDescent="0.35">
      <c r="I39594" s="63"/>
      <c r="J39594" s="63"/>
    </row>
    <row r="39595" spans="9:10" x14ac:dyDescent="0.35">
      <c r="I39595" s="63"/>
      <c r="J39595" s="63"/>
    </row>
    <row r="39596" spans="9:10" x14ac:dyDescent="0.35">
      <c r="I39596" s="63"/>
      <c r="J39596" s="63"/>
    </row>
    <row r="39597" spans="9:10" x14ac:dyDescent="0.35">
      <c r="I39597" s="63"/>
      <c r="J39597" s="63"/>
    </row>
    <row r="39598" spans="9:10" x14ac:dyDescent="0.35">
      <c r="I39598" s="63"/>
      <c r="J39598" s="63"/>
    </row>
    <row r="39599" spans="9:10" x14ac:dyDescent="0.35">
      <c r="I39599" s="63"/>
      <c r="J39599" s="63"/>
    </row>
    <row r="39600" spans="9:10" x14ac:dyDescent="0.35">
      <c r="I39600" s="63"/>
      <c r="J39600" s="63"/>
    </row>
    <row r="39601" spans="9:10" x14ac:dyDescent="0.35">
      <c r="I39601" s="63"/>
      <c r="J39601" s="63"/>
    </row>
    <row r="39602" spans="9:10" x14ac:dyDescent="0.35">
      <c r="I39602" s="63"/>
      <c r="J39602" s="63"/>
    </row>
    <row r="39603" spans="9:10" x14ac:dyDescent="0.35">
      <c r="I39603" s="63"/>
      <c r="J39603" s="63"/>
    </row>
    <row r="39604" spans="9:10" x14ac:dyDescent="0.35">
      <c r="I39604" s="63"/>
      <c r="J39604" s="63"/>
    </row>
    <row r="39605" spans="9:10" x14ac:dyDescent="0.35">
      <c r="I39605" s="63"/>
      <c r="J39605" s="63"/>
    </row>
    <row r="39606" spans="9:10" x14ac:dyDescent="0.35">
      <c r="I39606" s="63"/>
      <c r="J39606" s="63"/>
    </row>
    <row r="39607" spans="9:10" x14ac:dyDescent="0.35">
      <c r="I39607" s="63"/>
      <c r="J39607" s="63"/>
    </row>
    <row r="39608" spans="9:10" x14ac:dyDescent="0.35">
      <c r="I39608" s="63"/>
      <c r="J39608" s="63"/>
    </row>
    <row r="39609" spans="9:10" x14ac:dyDescent="0.35">
      <c r="I39609" s="63"/>
      <c r="J39609" s="63"/>
    </row>
    <row r="39610" spans="9:10" x14ac:dyDescent="0.35">
      <c r="I39610" s="63"/>
      <c r="J39610" s="63"/>
    </row>
    <row r="39611" spans="9:10" x14ac:dyDescent="0.35">
      <c r="I39611" s="63"/>
      <c r="J39611" s="63"/>
    </row>
    <row r="39612" spans="9:10" x14ac:dyDescent="0.35">
      <c r="I39612" s="63"/>
      <c r="J39612" s="63"/>
    </row>
    <row r="39613" spans="9:10" x14ac:dyDescent="0.35">
      <c r="I39613" s="63"/>
      <c r="J39613" s="63"/>
    </row>
    <row r="39614" spans="9:10" x14ac:dyDescent="0.35">
      <c r="I39614" s="63"/>
      <c r="J39614" s="63"/>
    </row>
    <row r="39615" spans="9:10" x14ac:dyDescent="0.35">
      <c r="I39615" s="63"/>
      <c r="J39615" s="63"/>
    </row>
    <row r="39616" spans="9:10" x14ac:dyDescent="0.35">
      <c r="I39616" s="63"/>
      <c r="J39616" s="63"/>
    </row>
    <row r="39617" spans="9:10" x14ac:dyDescent="0.35">
      <c r="I39617" s="63"/>
      <c r="J39617" s="63"/>
    </row>
    <row r="39618" spans="9:10" x14ac:dyDescent="0.35">
      <c r="I39618" s="63"/>
      <c r="J39618" s="63"/>
    </row>
    <row r="39619" spans="9:10" x14ac:dyDescent="0.35">
      <c r="I39619" s="63"/>
      <c r="J39619" s="63"/>
    </row>
    <row r="39620" spans="9:10" x14ac:dyDescent="0.35">
      <c r="I39620" s="63"/>
      <c r="J39620" s="63"/>
    </row>
    <row r="39621" spans="9:10" x14ac:dyDescent="0.35">
      <c r="I39621" s="63"/>
      <c r="J39621" s="63"/>
    </row>
    <row r="39622" spans="9:10" x14ac:dyDescent="0.35">
      <c r="I39622" s="63"/>
      <c r="J39622" s="63"/>
    </row>
    <row r="39623" spans="9:10" x14ac:dyDescent="0.35">
      <c r="I39623" s="63"/>
      <c r="J39623" s="63"/>
    </row>
    <row r="39624" spans="9:10" x14ac:dyDescent="0.35">
      <c r="I39624" s="63"/>
      <c r="J39624" s="63"/>
    </row>
    <row r="39625" spans="9:10" x14ac:dyDescent="0.35">
      <c r="I39625" s="63"/>
      <c r="J39625" s="63"/>
    </row>
    <row r="39626" spans="9:10" x14ac:dyDescent="0.35">
      <c r="I39626" s="63"/>
      <c r="J39626" s="63"/>
    </row>
    <row r="39627" spans="9:10" x14ac:dyDescent="0.35">
      <c r="I39627" s="63"/>
      <c r="J39627" s="63"/>
    </row>
    <row r="39628" spans="9:10" x14ac:dyDescent="0.35">
      <c r="I39628" s="63"/>
      <c r="J39628" s="63"/>
    </row>
    <row r="39629" spans="9:10" x14ac:dyDescent="0.35">
      <c r="I39629" s="63"/>
      <c r="J39629" s="63"/>
    </row>
    <row r="39630" spans="9:10" x14ac:dyDescent="0.35">
      <c r="I39630" s="63"/>
      <c r="J39630" s="63"/>
    </row>
    <row r="39631" spans="9:10" x14ac:dyDescent="0.35">
      <c r="I39631" s="63"/>
      <c r="J39631" s="63"/>
    </row>
    <row r="39632" spans="9:10" x14ac:dyDescent="0.35">
      <c r="I39632" s="63"/>
      <c r="J39632" s="63"/>
    </row>
    <row r="39633" spans="9:10" x14ac:dyDescent="0.35">
      <c r="I39633" s="63"/>
      <c r="J39633" s="63"/>
    </row>
    <row r="39634" spans="9:10" x14ac:dyDescent="0.35">
      <c r="I39634" s="63"/>
      <c r="J39634" s="63"/>
    </row>
    <row r="39635" spans="9:10" x14ac:dyDescent="0.35">
      <c r="I39635" s="63"/>
      <c r="J39635" s="63"/>
    </row>
    <row r="39636" spans="9:10" x14ac:dyDescent="0.35">
      <c r="I39636" s="63"/>
      <c r="J39636" s="63"/>
    </row>
    <row r="39637" spans="9:10" x14ac:dyDescent="0.35">
      <c r="I39637" s="63"/>
      <c r="J39637" s="63"/>
    </row>
    <row r="39638" spans="9:10" x14ac:dyDescent="0.35">
      <c r="I39638" s="63"/>
      <c r="J39638" s="63"/>
    </row>
    <row r="39639" spans="9:10" x14ac:dyDescent="0.35">
      <c r="I39639" s="63"/>
      <c r="J39639" s="63"/>
    </row>
    <row r="39640" spans="9:10" x14ac:dyDescent="0.35">
      <c r="I39640" s="63"/>
      <c r="J39640" s="63"/>
    </row>
    <row r="39641" spans="9:10" x14ac:dyDescent="0.35">
      <c r="I39641" s="63"/>
      <c r="J39641" s="63"/>
    </row>
    <row r="39642" spans="9:10" x14ac:dyDescent="0.35">
      <c r="I39642" s="63"/>
      <c r="J39642" s="63"/>
    </row>
    <row r="39643" spans="9:10" x14ac:dyDescent="0.35">
      <c r="I39643" s="63"/>
      <c r="J39643" s="63"/>
    </row>
    <row r="39644" spans="9:10" x14ac:dyDescent="0.35">
      <c r="I39644" s="63"/>
      <c r="J39644" s="63"/>
    </row>
    <row r="39645" spans="9:10" x14ac:dyDescent="0.35">
      <c r="I39645" s="63"/>
      <c r="J39645" s="63"/>
    </row>
    <row r="39646" spans="9:10" x14ac:dyDescent="0.35">
      <c r="I39646" s="63"/>
      <c r="J39646" s="63"/>
    </row>
    <row r="39647" spans="9:10" x14ac:dyDescent="0.35">
      <c r="I39647" s="63"/>
      <c r="J39647" s="63"/>
    </row>
    <row r="39648" spans="9:10" x14ac:dyDescent="0.35">
      <c r="I39648" s="63"/>
      <c r="J39648" s="63"/>
    </row>
    <row r="39649" spans="9:10" x14ac:dyDescent="0.35">
      <c r="I39649" s="63"/>
      <c r="J39649" s="63"/>
    </row>
    <row r="39650" spans="9:10" x14ac:dyDescent="0.35">
      <c r="I39650" s="63"/>
      <c r="J39650" s="63"/>
    </row>
    <row r="39651" spans="9:10" x14ac:dyDescent="0.35">
      <c r="I39651" s="63"/>
      <c r="J39651" s="63"/>
    </row>
    <row r="39652" spans="9:10" x14ac:dyDescent="0.35">
      <c r="I39652" s="63"/>
      <c r="J39652" s="63"/>
    </row>
    <row r="39653" spans="9:10" x14ac:dyDescent="0.35">
      <c r="I39653" s="63"/>
      <c r="J39653" s="63"/>
    </row>
    <row r="39654" spans="9:10" x14ac:dyDescent="0.35">
      <c r="I39654" s="63"/>
      <c r="J39654" s="63"/>
    </row>
    <row r="39655" spans="9:10" x14ac:dyDescent="0.35">
      <c r="I39655" s="63"/>
      <c r="J39655" s="63"/>
    </row>
    <row r="39656" spans="9:10" x14ac:dyDescent="0.35">
      <c r="I39656" s="63"/>
      <c r="J39656" s="63"/>
    </row>
    <row r="39657" spans="9:10" x14ac:dyDescent="0.35">
      <c r="I39657" s="63"/>
      <c r="J39657" s="63"/>
    </row>
    <row r="39658" spans="9:10" x14ac:dyDescent="0.35">
      <c r="I39658" s="63"/>
      <c r="J39658" s="63"/>
    </row>
    <row r="39659" spans="9:10" x14ac:dyDescent="0.35">
      <c r="I39659" s="63"/>
      <c r="J39659" s="63"/>
    </row>
    <row r="39660" spans="9:10" x14ac:dyDescent="0.35">
      <c r="I39660" s="63"/>
      <c r="J39660" s="63"/>
    </row>
    <row r="39661" spans="9:10" x14ac:dyDescent="0.35">
      <c r="I39661" s="63"/>
      <c r="J39661" s="63"/>
    </row>
    <row r="39662" spans="9:10" x14ac:dyDescent="0.35">
      <c r="I39662" s="63"/>
      <c r="J39662" s="63"/>
    </row>
    <row r="39663" spans="9:10" x14ac:dyDescent="0.35">
      <c r="I39663" s="63"/>
      <c r="J39663" s="63"/>
    </row>
    <row r="39664" spans="9:10" x14ac:dyDescent="0.35">
      <c r="I39664" s="63"/>
      <c r="J39664" s="63"/>
    </row>
    <row r="39665" spans="9:10" x14ac:dyDescent="0.35">
      <c r="I39665" s="63"/>
      <c r="J39665" s="63"/>
    </row>
    <row r="39666" spans="9:10" x14ac:dyDescent="0.35">
      <c r="I39666" s="63"/>
      <c r="J39666" s="63"/>
    </row>
    <row r="39667" spans="9:10" x14ac:dyDescent="0.35">
      <c r="I39667" s="63"/>
      <c r="J39667" s="63"/>
    </row>
    <row r="39668" spans="9:10" x14ac:dyDescent="0.35">
      <c r="I39668" s="63"/>
      <c r="J39668" s="63"/>
    </row>
    <row r="39669" spans="9:10" x14ac:dyDescent="0.35">
      <c r="I39669" s="63"/>
      <c r="J39669" s="63"/>
    </row>
    <row r="39670" spans="9:10" x14ac:dyDescent="0.35">
      <c r="I39670" s="63"/>
      <c r="J39670" s="63"/>
    </row>
    <row r="39671" spans="9:10" x14ac:dyDescent="0.35">
      <c r="I39671" s="63"/>
      <c r="J39671" s="63"/>
    </row>
    <row r="39672" spans="9:10" x14ac:dyDescent="0.35">
      <c r="I39672" s="63"/>
      <c r="J39672" s="63"/>
    </row>
    <row r="39673" spans="9:10" x14ac:dyDescent="0.35">
      <c r="I39673" s="63"/>
      <c r="J39673" s="63"/>
    </row>
    <row r="39674" spans="9:10" x14ac:dyDescent="0.35">
      <c r="I39674" s="63"/>
      <c r="J39674" s="63"/>
    </row>
    <row r="39675" spans="9:10" x14ac:dyDescent="0.35">
      <c r="I39675" s="63"/>
      <c r="J39675" s="63"/>
    </row>
    <row r="39676" spans="9:10" x14ac:dyDescent="0.35">
      <c r="I39676" s="63"/>
      <c r="J39676" s="63"/>
    </row>
    <row r="39677" spans="9:10" x14ac:dyDescent="0.35">
      <c r="I39677" s="63"/>
      <c r="J39677" s="63"/>
    </row>
    <row r="39678" spans="9:10" x14ac:dyDescent="0.35">
      <c r="I39678" s="63"/>
      <c r="J39678" s="63"/>
    </row>
    <row r="39679" spans="9:10" x14ac:dyDescent="0.35">
      <c r="I39679" s="63"/>
      <c r="J39679" s="63"/>
    </row>
    <row r="39680" spans="9:10" x14ac:dyDescent="0.35">
      <c r="I39680" s="63"/>
      <c r="J39680" s="63"/>
    </row>
    <row r="39681" spans="9:10" x14ac:dyDescent="0.35">
      <c r="I39681" s="63"/>
      <c r="J39681" s="63"/>
    </row>
    <row r="39682" spans="9:10" x14ac:dyDescent="0.35">
      <c r="I39682" s="63"/>
      <c r="J39682" s="63"/>
    </row>
    <row r="39683" spans="9:10" x14ac:dyDescent="0.35">
      <c r="I39683" s="63"/>
      <c r="J39683" s="63"/>
    </row>
    <row r="39684" spans="9:10" x14ac:dyDescent="0.35">
      <c r="I39684" s="63"/>
      <c r="J39684" s="63"/>
    </row>
    <row r="39685" spans="9:10" x14ac:dyDescent="0.35">
      <c r="I39685" s="63"/>
      <c r="J39685" s="63"/>
    </row>
    <row r="39686" spans="9:10" x14ac:dyDescent="0.35">
      <c r="I39686" s="63"/>
      <c r="J39686" s="63"/>
    </row>
    <row r="39687" spans="9:10" x14ac:dyDescent="0.35">
      <c r="I39687" s="63"/>
      <c r="J39687" s="63"/>
    </row>
    <row r="39688" spans="9:10" x14ac:dyDescent="0.35">
      <c r="I39688" s="63"/>
      <c r="J39688" s="63"/>
    </row>
    <row r="39689" spans="9:10" x14ac:dyDescent="0.35">
      <c r="I39689" s="63"/>
      <c r="J39689" s="63"/>
    </row>
    <row r="39690" spans="9:10" x14ac:dyDescent="0.35">
      <c r="I39690" s="63"/>
      <c r="J39690" s="63"/>
    </row>
    <row r="39691" spans="9:10" x14ac:dyDescent="0.35">
      <c r="I39691" s="63"/>
      <c r="J39691" s="63"/>
    </row>
    <row r="39692" spans="9:10" x14ac:dyDescent="0.35">
      <c r="I39692" s="63"/>
      <c r="J39692" s="63"/>
    </row>
    <row r="39693" spans="9:10" x14ac:dyDescent="0.35">
      <c r="I39693" s="63"/>
      <c r="J39693" s="63"/>
    </row>
    <row r="39694" spans="9:10" x14ac:dyDescent="0.35">
      <c r="I39694" s="63"/>
      <c r="J39694" s="63"/>
    </row>
    <row r="39695" spans="9:10" x14ac:dyDescent="0.35">
      <c r="I39695" s="63"/>
      <c r="J39695" s="63"/>
    </row>
    <row r="39696" spans="9:10" x14ac:dyDescent="0.35">
      <c r="I39696" s="63"/>
      <c r="J39696" s="63"/>
    </row>
    <row r="39697" spans="9:10" x14ac:dyDescent="0.35">
      <c r="I39697" s="63"/>
      <c r="J39697" s="63"/>
    </row>
    <row r="39698" spans="9:10" x14ac:dyDescent="0.35">
      <c r="I39698" s="63"/>
      <c r="J39698" s="63"/>
    </row>
    <row r="39699" spans="9:10" x14ac:dyDescent="0.35">
      <c r="I39699" s="63"/>
      <c r="J39699" s="63"/>
    </row>
    <row r="39700" spans="9:10" x14ac:dyDescent="0.35">
      <c r="I39700" s="63"/>
      <c r="J39700" s="63"/>
    </row>
    <row r="39701" spans="9:10" x14ac:dyDescent="0.35">
      <c r="I39701" s="63"/>
      <c r="J39701" s="63"/>
    </row>
    <row r="39702" spans="9:10" x14ac:dyDescent="0.35">
      <c r="I39702" s="63"/>
      <c r="J39702" s="63"/>
    </row>
    <row r="39703" spans="9:10" x14ac:dyDescent="0.35">
      <c r="I39703" s="63"/>
      <c r="J39703" s="63"/>
    </row>
    <row r="39704" spans="9:10" x14ac:dyDescent="0.35">
      <c r="I39704" s="63"/>
      <c r="J39704" s="63"/>
    </row>
    <row r="39705" spans="9:10" x14ac:dyDescent="0.35">
      <c r="I39705" s="63"/>
      <c r="J39705" s="63"/>
    </row>
    <row r="39706" spans="9:10" x14ac:dyDescent="0.35">
      <c r="I39706" s="63"/>
      <c r="J39706" s="63"/>
    </row>
    <row r="39707" spans="9:10" x14ac:dyDescent="0.35">
      <c r="I39707" s="63"/>
      <c r="J39707" s="63"/>
    </row>
    <row r="39708" spans="9:10" x14ac:dyDescent="0.35">
      <c r="I39708" s="63"/>
      <c r="J39708" s="63"/>
    </row>
    <row r="39709" spans="9:10" x14ac:dyDescent="0.35">
      <c r="I39709" s="63"/>
      <c r="J39709" s="63"/>
    </row>
    <row r="39710" spans="9:10" x14ac:dyDescent="0.35">
      <c r="I39710" s="63"/>
      <c r="J39710" s="63"/>
    </row>
    <row r="39711" spans="9:10" x14ac:dyDescent="0.35">
      <c r="I39711" s="63"/>
      <c r="J39711" s="63"/>
    </row>
    <row r="39712" spans="9:10" x14ac:dyDescent="0.35">
      <c r="I39712" s="63"/>
      <c r="J39712" s="63"/>
    </row>
    <row r="39713" spans="9:10" x14ac:dyDescent="0.35">
      <c r="I39713" s="63"/>
      <c r="J39713" s="63"/>
    </row>
    <row r="39714" spans="9:10" x14ac:dyDescent="0.35">
      <c r="I39714" s="63"/>
      <c r="J39714" s="63"/>
    </row>
    <row r="39715" spans="9:10" x14ac:dyDescent="0.35">
      <c r="I39715" s="63"/>
      <c r="J39715" s="63"/>
    </row>
    <row r="39716" spans="9:10" x14ac:dyDescent="0.35">
      <c r="I39716" s="63"/>
      <c r="J39716" s="63"/>
    </row>
    <row r="39717" spans="9:10" x14ac:dyDescent="0.35">
      <c r="I39717" s="63"/>
      <c r="J39717" s="63"/>
    </row>
    <row r="39718" spans="9:10" x14ac:dyDescent="0.35">
      <c r="I39718" s="63"/>
      <c r="J39718" s="63"/>
    </row>
    <row r="39719" spans="9:10" x14ac:dyDescent="0.35">
      <c r="I39719" s="63"/>
      <c r="J39719" s="63"/>
    </row>
    <row r="39720" spans="9:10" x14ac:dyDescent="0.35">
      <c r="I39720" s="63"/>
      <c r="J39720" s="63"/>
    </row>
    <row r="39721" spans="9:10" x14ac:dyDescent="0.35">
      <c r="I39721" s="63"/>
      <c r="J39721" s="63"/>
    </row>
    <row r="39722" spans="9:10" x14ac:dyDescent="0.35">
      <c r="I39722" s="63"/>
      <c r="J39722" s="63"/>
    </row>
    <row r="39723" spans="9:10" x14ac:dyDescent="0.35">
      <c r="I39723" s="63"/>
      <c r="J39723" s="63"/>
    </row>
    <row r="39724" spans="9:10" x14ac:dyDescent="0.35">
      <c r="I39724" s="63"/>
      <c r="J39724" s="63"/>
    </row>
    <row r="39725" spans="9:10" x14ac:dyDescent="0.35">
      <c r="I39725" s="63"/>
      <c r="J39725" s="63"/>
    </row>
    <row r="39726" spans="9:10" x14ac:dyDescent="0.35">
      <c r="I39726" s="63"/>
      <c r="J39726" s="63"/>
    </row>
    <row r="39727" spans="9:10" x14ac:dyDescent="0.35">
      <c r="I39727" s="63"/>
      <c r="J39727" s="63"/>
    </row>
    <row r="39728" spans="9:10" x14ac:dyDescent="0.35">
      <c r="I39728" s="63"/>
      <c r="J39728" s="63"/>
    </row>
    <row r="39729" spans="9:10" x14ac:dyDescent="0.35">
      <c r="I39729" s="63"/>
      <c r="J39729" s="63"/>
    </row>
    <row r="39730" spans="9:10" x14ac:dyDescent="0.35">
      <c r="I39730" s="63"/>
      <c r="J39730" s="63"/>
    </row>
    <row r="39731" spans="9:10" x14ac:dyDescent="0.35">
      <c r="I39731" s="63"/>
      <c r="J39731" s="63"/>
    </row>
    <row r="39732" spans="9:10" x14ac:dyDescent="0.35">
      <c r="I39732" s="63"/>
      <c r="J39732" s="63"/>
    </row>
    <row r="39733" spans="9:10" x14ac:dyDescent="0.35">
      <c r="I39733" s="63"/>
      <c r="J39733" s="63"/>
    </row>
    <row r="39734" spans="9:10" x14ac:dyDescent="0.35">
      <c r="I39734" s="63"/>
      <c r="J39734" s="63"/>
    </row>
    <row r="39735" spans="9:10" x14ac:dyDescent="0.35">
      <c r="I39735" s="63"/>
      <c r="J39735" s="63"/>
    </row>
    <row r="39736" spans="9:10" x14ac:dyDescent="0.35">
      <c r="I39736" s="63"/>
      <c r="J39736" s="63"/>
    </row>
    <row r="39737" spans="9:10" x14ac:dyDescent="0.35">
      <c r="I39737" s="63"/>
      <c r="J39737" s="63"/>
    </row>
    <row r="39738" spans="9:10" x14ac:dyDescent="0.35">
      <c r="I39738" s="63"/>
      <c r="J39738" s="63"/>
    </row>
    <row r="39739" spans="9:10" x14ac:dyDescent="0.35">
      <c r="I39739" s="63"/>
      <c r="J39739" s="63"/>
    </row>
    <row r="39740" spans="9:10" x14ac:dyDescent="0.35">
      <c r="I39740" s="63"/>
      <c r="J39740" s="63"/>
    </row>
    <row r="39741" spans="9:10" x14ac:dyDescent="0.35">
      <c r="I39741" s="63"/>
      <c r="J39741" s="63"/>
    </row>
    <row r="39742" spans="9:10" x14ac:dyDescent="0.35">
      <c r="I39742" s="63"/>
      <c r="J39742" s="63"/>
    </row>
    <row r="39743" spans="9:10" x14ac:dyDescent="0.35">
      <c r="I39743" s="63"/>
      <c r="J39743" s="63"/>
    </row>
    <row r="39744" spans="9:10" x14ac:dyDescent="0.35">
      <c r="I39744" s="63"/>
      <c r="J39744" s="63"/>
    </row>
    <row r="39745" spans="9:10" x14ac:dyDescent="0.35">
      <c r="I39745" s="63"/>
      <c r="J39745" s="63"/>
    </row>
    <row r="39746" spans="9:10" x14ac:dyDescent="0.35">
      <c r="I39746" s="63"/>
      <c r="J39746" s="63"/>
    </row>
    <row r="39747" spans="9:10" x14ac:dyDescent="0.35">
      <c r="I39747" s="63"/>
      <c r="J39747" s="63"/>
    </row>
    <row r="39748" spans="9:10" x14ac:dyDescent="0.35">
      <c r="I39748" s="63"/>
      <c r="J39748" s="63"/>
    </row>
    <row r="39749" spans="9:10" x14ac:dyDescent="0.35">
      <c r="I39749" s="63"/>
      <c r="J39749" s="63"/>
    </row>
    <row r="39750" spans="9:10" x14ac:dyDescent="0.35">
      <c r="I39750" s="63"/>
      <c r="J39750" s="63"/>
    </row>
    <row r="39751" spans="9:10" x14ac:dyDescent="0.35">
      <c r="I39751" s="63"/>
      <c r="J39751" s="63"/>
    </row>
    <row r="39752" spans="9:10" x14ac:dyDescent="0.35">
      <c r="I39752" s="63"/>
      <c r="J39752" s="63"/>
    </row>
    <row r="39753" spans="9:10" x14ac:dyDescent="0.35">
      <c r="I39753" s="63"/>
      <c r="J39753" s="63"/>
    </row>
    <row r="39754" spans="9:10" x14ac:dyDescent="0.35">
      <c r="I39754" s="63"/>
      <c r="J39754" s="63"/>
    </row>
    <row r="39755" spans="9:10" x14ac:dyDescent="0.35">
      <c r="I39755" s="63"/>
      <c r="J39755" s="63"/>
    </row>
    <row r="39756" spans="9:10" x14ac:dyDescent="0.35">
      <c r="I39756" s="63"/>
      <c r="J39756" s="63"/>
    </row>
    <row r="39757" spans="9:10" x14ac:dyDescent="0.35">
      <c r="I39757" s="63"/>
      <c r="J39757" s="63"/>
    </row>
    <row r="39758" spans="9:10" x14ac:dyDescent="0.35">
      <c r="I39758" s="63"/>
      <c r="J39758" s="63"/>
    </row>
    <row r="39759" spans="9:10" x14ac:dyDescent="0.35">
      <c r="I39759" s="63"/>
      <c r="J39759" s="63"/>
    </row>
    <row r="39760" spans="9:10" x14ac:dyDescent="0.35">
      <c r="I39760" s="63"/>
      <c r="J39760" s="63"/>
    </row>
    <row r="39761" spans="9:10" x14ac:dyDescent="0.35">
      <c r="I39761" s="63"/>
      <c r="J39761" s="63"/>
    </row>
    <row r="39762" spans="9:10" x14ac:dyDescent="0.35">
      <c r="I39762" s="63"/>
      <c r="J39762" s="63"/>
    </row>
    <row r="39763" spans="9:10" x14ac:dyDescent="0.35">
      <c r="I39763" s="63"/>
      <c r="J39763" s="63"/>
    </row>
    <row r="39764" spans="9:10" x14ac:dyDescent="0.35">
      <c r="I39764" s="63"/>
      <c r="J39764" s="63"/>
    </row>
    <row r="39765" spans="9:10" x14ac:dyDescent="0.35">
      <c r="I39765" s="63"/>
      <c r="J39765" s="63"/>
    </row>
    <row r="39766" spans="9:10" x14ac:dyDescent="0.35">
      <c r="I39766" s="63"/>
      <c r="J39766" s="63"/>
    </row>
    <row r="39767" spans="9:10" x14ac:dyDescent="0.35">
      <c r="I39767" s="63"/>
      <c r="J39767" s="63"/>
    </row>
    <row r="39768" spans="9:10" x14ac:dyDescent="0.35">
      <c r="I39768" s="63"/>
      <c r="J39768" s="63"/>
    </row>
    <row r="39769" spans="9:10" x14ac:dyDescent="0.35">
      <c r="I39769" s="63"/>
      <c r="J39769" s="63"/>
    </row>
    <row r="39770" spans="9:10" x14ac:dyDescent="0.35">
      <c r="I39770" s="63"/>
      <c r="J39770" s="63"/>
    </row>
    <row r="39771" spans="9:10" x14ac:dyDescent="0.35">
      <c r="I39771" s="63"/>
      <c r="J39771" s="63"/>
    </row>
    <row r="39772" spans="9:10" x14ac:dyDescent="0.35">
      <c r="I39772" s="63"/>
      <c r="J39772" s="63"/>
    </row>
    <row r="39773" spans="9:10" x14ac:dyDescent="0.35">
      <c r="I39773" s="63"/>
      <c r="J39773" s="63"/>
    </row>
    <row r="39774" spans="9:10" x14ac:dyDescent="0.35">
      <c r="I39774" s="63"/>
      <c r="J39774" s="63"/>
    </row>
    <row r="39775" spans="9:10" x14ac:dyDescent="0.35">
      <c r="I39775" s="63"/>
      <c r="J39775" s="63"/>
    </row>
    <row r="39776" spans="9:10" x14ac:dyDescent="0.35">
      <c r="I39776" s="63"/>
      <c r="J39776" s="63"/>
    </row>
    <row r="39777" spans="9:10" x14ac:dyDescent="0.35">
      <c r="I39777" s="63"/>
      <c r="J39777" s="63"/>
    </row>
    <row r="39778" spans="9:10" x14ac:dyDescent="0.35">
      <c r="I39778" s="63"/>
      <c r="J39778" s="63"/>
    </row>
    <row r="39779" spans="9:10" x14ac:dyDescent="0.35">
      <c r="I39779" s="63"/>
      <c r="J39779" s="63"/>
    </row>
    <row r="39780" spans="9:10" x14ac:dyDescent="0.35">
      <c r="I39780" s="63"/>
      <c r="J39780" s="63"/>
    </row>
    <row r="39781" spans="9:10" x14ac:dyDescent="0.35">
      <c r="I39781" s="63"/>
      <c r="J39781" s="63"/>
    </row>
    <row r="39782" spans="9:10" x14ac:dyDescent="0.35">
      <c r="I39782" s="63"/>
      <c r="J39782" s="63"/>
    </row>
    <row r="39783" spans="9:10" x14ac:dyDescent="0.35">
      <c r="I39783" s="63"/>
      <c r="J39783" s="63"/>
    </row>
    <row r="39784" spans="9:10" x14ac:dyDescent="0.35">
      <c r="I39784" s="63"/>
      <c r="J39784" s="63"/>
    </row>
    <row r="39785" spans="9:10" x14ac:dyDescent="0.35">
      <c r="I39785" s="63"/>
      <c r="J39785" s="63"/>
    </row>
    <row r="39786" spans="9:10" x14ac:dyDescent="0.35">
      <c r="I39786" s="63"/>
      <c r="J39786" s="63"/>
    </row>
    <row r="39787" spans="9:10" x14ac:dyDescent="0.35">
      <c r="I39787" s="63"/>
      <c r="J39787" s="63"/>
    </row>
    <row r="39788" spans="9:10" x14ac:dyDescent="0.35">
      <c r="I39788" s="63"/>
      <c r="J39788" s="63"/>
    </row>
    <row r="39789" spans="9:10" x14ac:dyDescent="0.35">
      <c r="I39789" s="63"/>
      <c r="J39789" s="63"/>
    </row>
    <row r="39790" spans="9:10" x14ac:dyDescent="0.35">
      <c r="I39790" s="63"/>
      <c r="J39790" s="63"/>
    </row>
    <row r="39791" spans="9:10" x14ac:dyDescent="0.35">
      <c r="I39791" s="63"/>
      <c r="J39791" s="63"/>
    </row>
    <row r="39792" spans="9:10" x14ac:dyDescent="0.35">
      <c r="I39792" s="63"/>
      <c r="J39792" s="63"/>
    </row>
    <row r="39793" spans="9:10" x14ac:dyDescent="0.35">
      <c r="I39793" s="63"/>
      <c r="J39793" s="63"/>
    </row>
    <row r="39794" spans="9:10" x14ac:dyDescent="0.35">
      <c r="I39794" s="63"/>
      <c r="J39794" s="63"/>
    </row>
    <row r="39795" spans="9:10" x14ac:dyDescent="0.35">
      <c r="I39795" s="63"/>
      <c r="J39795" s="63"/>
    </row>
    <row r="39796" spans="9:10" x14ac:dyDescent="0.35">
      <c r="I39796" s="63"/>
      <c r="J39796" s="63"/>
    </row>
    <row r="39797" spans="9:10" x14ac:dyDescent="0.35">
      <c r="I39797" s="63"/>
      <c r="J39797" s="63"/>
    </row>
    <row r="39798" spans="9:10" x14ac:dyDescent="0.35">
      <c r="I39798" s="63"/>
      <c r="J39798" s="63"/>
    </row>
    <row r="39799" spans="9:10" x14ac:dyDescent="0.35">
      <c r="I39799" s="63"/>
      <c r="J39799" s="63"/>
    </row>
    <row r="39800" spans="9:10" x14ac:dyDescent="0.35">
      <c r="I39800" s="63"/>
      <c r="J39800" s="63"/>
    </row>
    <row r="39801" spans="9:10" x14ac:dyDescent="0.35">
      <c r="I39801" s="63"/>
      <c r="J39801" s="63"/>
    </row>
    <row r="39802" spans="9:10" x14ac:dyDescent="0.35">
      <c r="I39802" s="63"/>
      <c r="J39802" s="63"/>
    </row>
    <row r="39803" spans="9:10" x14ac:dyDescent="0.35">
      <c r="I39803" s="63"/>
      <c r="J39803" s="63"/>
    </row>
    <row r="39804" spans="9:10" x14ac:dyDescent="0.35">
      <c r="I39804" s="63"/>
      <c r="J39804" s="63"/>
    </row>
    <row r="39805" spans="9:10" x14ac:dyDescent="0.35">
      <c r="I39805" s="63"/>
      <c r="J39805" s="63"/>
    </row>
    <row r="39806" spans="9:10" x14ac:dyDescent="0.35">
      <c r="I39806" s="63"/>
      <c r="J39806" s="63"/>
    </row>
    <row r="39807" spans="9:10" x14ac:dyDescent="0.35">
      <c r="I39807" s="63"/>
      <c r="J39807" s="63"/>
    </row>
    <row r="39808" spans="9:10" x14ac:dyDescent="0.35">
      <c r="I39808" s="63"/>
      <c r="J39808" s="63"/>
    </row>
    <row r="39809" spans="9:10" x14ac:dyDescent="0.35">
      <c r="I39809" s="63"/>
      <c r="J39809" s="63"/>
    </row>
    <row r="39810" spans="9:10" x14ac:dyDescent="0.35">
      <c r="I39810" s="63"/>
      <c r="J39810" s="63"/>
    </row>
    <row r="39811" spans="9:10" x14ac:dyDescent="0.35">
      <c r="I39811" s="63"/>
      <c r="J39811" s="63"/>
    </row>
    <row r="39812" spans="9:10" x14ac:dyDescent="0.35">
      <c r="I39812" s="63"/>
      <c r="J39812" s="63"/>
    </row>
    <row r="39813" spans="9:10" x14ac:dyDescent="0.35">
      <c r="I39813" s="63"/>
      <c r="J39813" s="63"/>
    </row>
    <row r="39814" spans="9:10" x14ac:dyDescent="0.35">
      <c r="I39814" s="63"/>
      <c r="J39814" s="63"/>
    </row>
    <row r="39815" spans="9:10" x14ac:dyDescent="0.35">
      <c r="I39815" s="63"/>
      <c r="J39815" s="63"/>
    </row>
    <row r="39816" spans="9:10" x14ac:dyDescent="0.35">
      <c r="I39816" s="63"/>
      <c r="J39816" s="63"/>
    </row>
    <row r="39817" spans="9:10" x14ac:dyDescent="0.35">
      <c r="I39817" s="63"/>
      <c r="J39817" s="63"/>
    </row>
    <row r="39818" spans="9:10" x14ac:dyDescent="0.35">
      <c r="I39818" s="63"/>
      <c r="J39818" s="63"/>
    </row>
    <row r="39819" spans="9:10" x14ac:dyDescent="0.35">
      <c r="I39819" s="63"/>
      <c r="J39819" s="63"/>
    </row>
    <row r="39820" spans="9:10" x14ac:dyDescent="0.35">
      <c r="I39820" s="63"/>
      <c r="J39820" s="63"/>
    </row>
    <row r="39821" spans="9:10" x14ac:dyDescent="0.35">
      <c r="I39821" s="63"/>
      <c r="J39821" s="63"/>
    </row>
    <row r="39822" spans="9:10" x14ac:dyDescent="0.35">
      <c r="I39822" s="63"/>
      <c r="J39822" s="63"/>
    </row>
    <row r="39823" spans="9:10" x14ac:dyDescent="0.35">
      <c r="I39823" s="63"/>
      <c r="J39823" s="63"/>
    </row>
    <row r="39824" spans="9:10" x14ac:dyDescent="0.35">
      <c r="I39824" s="63"/>
      <c r="J39824" s="63"/>
    </row>
    <row r="39825" spans="9:10" x14ac:dyDescent="0.35">
      <c r="I39825" s="63"/>
      <c r="J39825" s="63"/>
    </row>
    <row r="39826" spans="9:10" x14ac:dyDescent="0.35">
      <c r="I39826" s="63"/>
      <c r="J39826" s="63"/>
    </row>
    <row r="39827" spans="9:10" x14ac:dyDescent="0.35">
      <c r="I39827" s="63"/>
      <c r="J39827" s="63"/>
    </row>
    <row r="39828" spans="9:10" x14ac:dyDescent="0.35">
      <c r="I39828" s="63"/>
      <c r="J39828" s="63"/>
    </row>
    <row r="39829" spans="9:10" x14ac:dyDescent="0.35">
      <c r="I39829" s="63"/>
      <c r="J39829" s="63"/>
    </row>
    <row r="39830" spans="9:10" x14ac:dyDescent="0.35">
      <c r="I39830" s="63"/>
      <c r="J39830" s="63"/>
    </row>
    <row r="39831" spans="9:10" x14ac:dyDescent="0.35">
      <c r="I39831" s="63"/>
      <c r="J39831" s="63"/>
    </row>
    <row r="39832" spans="9:10" x14ac:dyDescent="0.35">
      <c r="I39832" s="63"/>
      <c r="J39832" s="63"/>
    </row>
    <row r="39833" spans="9:10" x14ac:dyDescent="0.35">
      <c r="I39833" s="63"/>
      <c r="J39833" s="63"/>
    </row>
    <row r="39834" spans="9:10" x14ac:dyDescent="0.35">
      <c r="I39834" s="63"/>
      <c r="J39834" s="63"/>
    </row>
    <row r="39835" spans="9:10" x14ac:dyDescent="0.35">
      <c r="I39835" s="63"/>
      <c r="J39835" s="63"/>
    </row>
    <row r="39836" spans="9:10" x14ac:dyDescent="0.35">
      <c r="I39836" s="63"/>
      <c r="J39836" s="63"/>
    </row>
    <row r="39837" spans="9:10" x14ac:dyDescent="0.35">
      <c r="I39837" s="63"/>
      <c r="J39837" s="63"/>
    </row>
    <row r="39838" spans="9:10" x14ac:dyDescent="0.35">
      <c r="I39838" s="63"/>
      <c r="J39838" s="63"/>
    </row>
    <row r="39839" spans="9:10" x14ac:dyDescent="0.35">
      <c r="I39839" s="63"/>
      <c r="J39839" s="63"/>
    </row>
    <row r="39840" spans="9:10" x14ac:dyDescent="0.35">
      <c r="I39840" s="63"/>
      <c r="J39840" s="63"/>
    </row>
    <row r="39841" spans="9:10" x14ac:dyDescent="0.35">
      <c r="I39841" s="63"/>
      <c r="J39841" s="63"/>
    </row>
    <row r="39842" spans="9:10" x14ac:dyDescent="0.35">
      <c r="I39842" s="63"/>
      <c r="J39842" s="63"/>
    </row>
    <row r="39843" spans="9:10" x14ac:dyDescent="0.35">
      <c r="I39843" s="63"/>
      <c r="J39843" s="63"/>
    </row>
    <row r="39844" spans="9:10" x14ac:dyDescent="0.35">
      <c r="I39844" s="63"/>
      <c r="J39844" s="63"/>
    </row>
    <row r="39845" spans="9:10" x14ac:dyDescent="0.35">
      <c r="I39845" s="63"/>
      <c r="J39845" s="63"/>
    </row>
    <row r="39846" spans="9:10" x14ac:dyDescent="0.35">
      <c r="I39846" s="63"/>
      <c r="J39846" s="63"/>
    </row>
    <row r="39847" spans="9:10" x14ac:dyDescent="0.35">
      <c r="I39847" s="63"/>
      <c r="J39847" s="63"/>
    </row>
    <row r="39848" spans="9:10" x14ac:dyDescent="0.35">
      <c r="I39848" s="63"/>
      <c r="J39848" s="63"/>
    </row>
    <row r="39849" spans="9:10" x14ac:dyDescent="0.35">
      <c r="I39849" s="63"/>
      <c r="J39849" s="63"/>
    </row>
    <row r="39850" spans="9:10" x14ac:dyDescent="0.35">
      <c r="I39850" s="63"/>
      <c r="J39850" s="63"/>
    </row>
    <row r="39851" spans="9:10" x14ac:dyDescent="0.35">
      <c r="I39851" s="63"/>
      <c r="J39851" s="63"/>
    </row>
    <row r="39852" spans="9:10" x14ac:dyDescent="0.35">
      <c r="I39852" s="63"/>
      <c r="J39852" s="63"/>
    </row>
    <row r="39853" spans="9:10" x14ac:dyDescent="0.35">
      <c r="I39853" s="63"/>
      <c r="J39853" s="63"/>
    </row>
    <row r="39854" spans="9:10" x14ac:dyDescent="0.35">
      <c r="I39854" s="63"/>
      <c r="J39854" s="63"/>
    </row>
    <row r="39855" spans="9:10" x14ac:dyDescent="0.35">
      <c r="I39855" s="63"/>
      <c r="J39855" s="63"/>
    </row>
    <row r="39856" spans="9:10" x14ac:dyDescent="0.35">
      <c r="I39856" s="63"/>
      <c r="J39856" s="63"/>
    </row>
    <row r="39857" spans="9:10" x14ac:dyDescent="0.35">
      <c r="I39857" s="63"/>
      <c r="J39857" s="63"/>
    </row>
    <row r="39858" spans="9:10" x14ac:dyDescent="0.35">
      <c r="I39858" s="63"/>
      <c r="J39858" s="63"/>
    </row>
    <row r="39859" spans="9:10" x14ac:dyDescent="0.35">
      <c r="I39859" s="63"/>
      <c r="J39859" s="63"/>
    </row>
    <row r="39860" spans="9:10" x14ac:dyDescent="0.35">
      <c r="I39860" s="63"/>
      <c r="J39860" s="63"/>
    </row>
    <row r="39861" spans="9:10" x14ac:dyDescent="0.35">
      <c r="I39861" s="63"/>
      <c r="J39861" s="63"/>
    </row>
    <row r="39862" spans="9:10" x14ac:dyDescent="0.35">
      <c r="I39862" s="63"/>
      <c r="J39862" s="63"/>
    </row>
    <row r="39863" spans="9:10" x14ac:dyDescent="0.35">
      <c r="I39863" s="63"/>
      <c r="J39863" s="63"/>
    </row>
    <row r="39864" spans="9:10" x14ac:dyDescent="0.35">
      <c r="I39864" s="63"/>
      <c r="J39864" s="63"/>
    </row>
    <row r="39865" spans="9:10" x14ac:dyDescent="0.35">
      <c r="I39865" s="63"/>
      <c r="J39865" s="63"/>
    </row>
    <row r="39866" spans="9:10" x14ac:dyDescent="0.35">
      <c r="I39866" s="63"/>
      <c r="J39866" s="63"/>
    </row>
    <row r="39867" spans="9:10" x14ac:dyDescent="0.35">
      <c r="I39867" s="63"/>
      <c r="J39867" s="63"/>
    </row>
    <row r="39868" spans="9:10" x14ac:dyDescent="0.35">
      <c r="I39868" s="63"/>
      <c r="J39868" s="63"/>
    </row>
    <row r="39869" spans="9:10" x14ac:dyDescent="0.35">
      <c r="I39869" s="63"/>
      <c r="J39869" s="63"/>
    </row>
    <row r="39870" spans="9:10" x14ac:dyDescent="0.35">
      <c r="I39870" s="63"/>
      <c r="J39870" s="63"/>
    </row>
    <row r="39871" spans="9:10" x14ac:dyDescent="0.35">
      <c r="I39871" s="63"/>
      <c r="J39871" s="63"/>
    </row>
    <row r="39872" spans="9:10" x14ac:dyDescent="0.35">
      <c r="I39872" s="63"/>
      <c r="J39872" s="63"/>
    </row>
    <row r="39873" spans="9:10" x14ac:dyDescent="0.35">
      <c r="I39873" s="63"/>
      <c r="J39873" s="63"/>
    </row>
    <row r="39874" spans="9:10" x14ac:dyDescent="0.35">
      <c r="I39874" s="63"/>
      <c r="J39874" s="63"/>
    </row>
    <row r="39875" spans="9:10" x14ac:dyDescent="0.35">
      <c r="I39875" s="63"/>
      <c r="J39875" s="63"/>
    </row>
    <row r="39876" spans="9:10" x14ac:dyDescent="0.35">
      <c r="I39876" s="63"/>
      <c r="J39876" s="63"/>
    </row>
    <row r="39877" spans="9:10" x14ac:dyDescent="0.35">
      <c r="I39877" s="63"/>
      <c r="J39877" s="63"/>
    </row>
    <row r="39878" spans="9:10" x14ac:dyDescent="0.35">
      <c r="I39878" s="63"/>
      <c r="J39878" s="63"/>
    </row>
    <row r="39879" spans="9:10" x14ac:dyDescent="0.35">
      <c r="I39879" s="63"/>
      <c r="J39879" s="63"/>
    </row>
    <row r="39880" spans="9:10" x14ac:dyDescent="0.35">
      <c r="I39880" s="63"/>
      <c r="J39880" s="63"/>
    </row>
    <row r="39881" spans="9:10" x14ac:dyDescent="0.35">
      <c r="I39881" s="63"/>
      <c r="J39881" s="63"/>
    </row>
    <row r="39882" spans="9:10" x14ac:dyDescent="0.35">
      <c r="I39882" s="63"/>
      <c r="J39882" s="63"/>
    </row>
    <row r="39883" spans="9:10" x14ac:dyDescent="0.35">
      <c r="I39883" s="63"/>
      <c r="J39883" s="63"/>
    </row>
    <row r="39884" spans="9:10" x14ac:dyDescent="0.35">
      <c r="I39884" s="63"/>
      <c r="J39884" s="63"/>
    </row>
    <row r="39885" spans="9:10" x14ac:dyDescent="0.35">
      <c r="I39885" s="63"/>
      <c r="J39885" s="63"/>
    </row>
    <row r="39886" spans="9:10" x14ac:dyDescent="0.35">
      <c r="I39886" s="63"/>
      <c r="J39886" s="63"/>
    </row>
    <row r="39887" spans="9:10" x14ac:dyDescent="0.35">
      <c r="I39887" s="63"/>
      <c r="J39887" s="63"/>
    </row>
    <row r="39888" spans="9:10" x14ac:dyDescent="0.35">
      <c r="I39888" s="63"/>
      <c r="J39888" s="63"/>
    </row>
    <row r="39889" spans="9:10" x14ac:dyDescent="0.35">
      <c r="I39889" s="63"/>
      <c r="J39889" s="63"/>
    </row>
    <row r="39890" spans="9:10" x14ac:dyDescent="0.35">
      <c r="I39890" s="63"/>
      <c r="J39890" s="63"/>
    </row>
    <row r="39891" spans="9:10" x14ac:dyDescent="0.35">
      <c r="I39891" s="63"/>
      <c r="J39891" s="63"/>
    </row>
    <row r="39892" spans="9:10" x14ac:dyDescent="0.35">
      <c r="I39892" s="63"/>
      <c r="J39892" s="63"/>
    </row>
    <row r="39893" spans="9:10" x14ac:dyDescent="0.35">
      <c r="I39893" s="63"/>
      <c r="J39893" s="63"/>
    </row>
    <row r="39894" spans="9:10" x14ac:dyDescent="0.35">
      <c r="I39894" s="63"/>
      <c r="J39894" s="63"/>
    </row>
    <row r="39895" spans="9:10" x14ac:dyDescent="0.35">
      <c r="I39895" s="63"/>
      <c r="J39895" s="63"/>
    </row>
    <row r="39896" spans="9:10" x14ac:dyDescent="0.35">
      <c r="I39896" s="63"/>
      <c r="J39896" s="63"/>
    </row>
    <row r="39897" spans="9:10" x14ac:dyDescent="0.35">
      <c r="I39897" s="63"/>
      <c r="J39897" s="63"/>
    </row>
    <row r="39898" spans="9:10" x14ac:dyDescent="0.35">
      <c r="I39898" s="63"/>
      <c r="J39898" s="63"/>
    </row>
    <row r="39899" spans="9:10" x14ac:dyDescent="0.35">
      <c r="I39899" s="63"/>
      <c r="J39899" s="63"/>
    </row>
    <row r="39900" spans="9:10" x14ac:dyDescent="0.35">
      <c r="I39900" s="63"/>
      <c r="J39900" s="63"/>
    </row>
    <row r="39901" spans="9:10" x14ac:dyDescent="0.35">
      <c r="I39901" s="63"/>
      <c r="J39901" s="63"/>
    </row>
    <row r="39902" spans="9:10" x14ac:dyDescent="0.35">
      <c r="I39902" s="63"/>
      <c r="J39902" s="63"/>
    </row>
    <row r="39903" spans="9:10" x14ac:dyDescent="0.35">
      <c r="I39903" s="63"/>
      <c r="J39903" s="63"/>
    </row>
    <row r="39904" spans="9:10" x14ac:dyDescent="0.35">
      <c r="I39904" s="63"/>
      <c r="J39904" s="63"/>
    </row>
    <row r="39905" spans="9:10" x14ac:dyDescent="0.35">
      <c r="I39905" s="63"/>
      <c r="J39905" s="63"/>
    </row>
    <row r="39906" spans="9:10" x14ac:dyDescent="0.35">
      <c r="I39906" s="63"/>
      <c r="J39906" s="63"/>
    </row>
    <row r="39907" spans="9:10" x14ac:dyDescent="0.35">
      <c r="I39907" s="63"/>
      <c r="J39907" s="63"/>
    </row>
    <row r="39908" spans="9:10" x14ac:dyDescent="0.35">
      <c r="I39908" s="63"/>
      <c r="J39908" s="63"/>
    </row>
    <row r="39909" spans="9:10" x14ac:dyDescent="0.35">
      <c r="I39909" s="63"/>
      <c r="J39909" s="63"/>
    </row>
    <row r="39910" spans="9:10" x14ac:dyDescent="0.35">
      <c r="I39910" s="63"/>
      <c r="J39910" s="63"/>
    </row>
    <row r="39911" spans="9:10" x14ac:dyDescent="0.35">
      <c r="I39911" s="63"/>
      <c r="J39911" s="63"/>
    </row>
    <row r="39912" spans="9:10" x14ac:dyDescent="0.35">
      <c r="I39912" s="63"/>
      <c r="J39912" s="63"/>
    </row>
    <row r="39913" spans="9:10" x14ac:dyDescent="0.35">
      <c r="I39913" s="63"/>
      <c r="J39913" s="63"/>
    </row>
    <row r="39914" spans="9:10" x14ac:dyDescent="0.35">
      <c r="I39914" s="63"/>
      <c r="J39914" s="63"/>
    </row>
    <row r="39915" spans="9:10" x14ac:dyDescent="0.35">
      <c r="I39915" s="63"/>
      <c r="J39915" s="63"/>
    </row>
    <row r="39916" spans="9:10" x14ac:dyDescent="0.35">
      <c r="I39916" s="63"/>
      <c r="J39916" s="63"/>
    </row>
    <row r="39917" spans="9:10" x14ac:dyDescent="0.35">
      <c r="I39917" s="63"/>
      <c r="J39917" s="63"/>
    </row>
    <row r="39918" spans="9:10" x14ac:dyDescent="0.35">
      <c r="I39918" s="63"/>
      <c r="J39918" s="63"/>
    </row>
    <row r="39919" spans="9:10" x14ac:dyDescent="0.35">
      <c r="I39919" s="63"/>
      <c r="J39919" s="63"/>
    </row>
    <row r="39920" spans="9:10" x14ac:dyDescent="0.35">
      <c r="I39920" s="63"/>
      <c r="J39920" s="63"/>
    </row>
    <row r="39921" spans="9:10" x14ac:dyDescent="0.35">
      <c r="I39921" s="63"/>
      <c r="J39921" s="63"/>
    </row>
    <row r="39922" spans="9:10" x14ac:dyDescent="0.35">
      <c r="I39922" s="63"/>
      <c r="J39922" s="63"/>
    </row>
    <row r="39923" spans="9:10" x14ac:dyDescent="0.35">
      <c r="I39923" s="63"/>
      <c r="J39923" s="63"/>
    </row>
    <row r="39924" spans="9:10" x14ac:dyDescent="0.35">
      <c r="I39924" s="63"/>
      <c r="J39924" s="63"/>
    </row>
    <row r="39925" spans="9:10" x14ac:dyDescent="0.35">
      <c r="I39925" s="63"/>
      <c r="J39925" s="63"/>
    </row>
    <row r="39926" spans="9:10" x14ac:dyDescent="0.35">
      <c r="I39926" s="63"/>
      <c r="J39926" s="63"/>
    </row>
    <row r="39927" spans="9:10" x14ac:dyDescent="0.35">
      <c r="I39927" s="63"/>
      <c r="J39927" s="63"/>
    </row>
    <row r="39928" spans="9:10" x14ac:dyDescent="0.35">
      <c r="I39928" s="63"/>
      <c r="J39928" s="63"/>
    </row>
    <row r="39929" spans="9:10" x14ac:dyDescent="0.35">
      <c r="I39929" s="63"/>
      <c r="J39929" s="63"/>
    </row>
    <row r="39930" spans="9:10" x14ac:dyDescent="0.35">
      <c r="I39930" s="63"/>
      <c r="J39930" s="63"/>
    </row>
    <row r="39931" spans="9:10" x14ac:dyDescent="0.35">
      <c r="I39931" s="63"/>
      <c r="J39931" s="63"/>
    </row>
    <row r="39932" spans="9:10" x14ac:dyDescent="0.35">
      <c r="I39932" s="63"/>
      <c r="J39932" s="63"/>
    </row>
    <row r="39933" spans="9:10" x14ac:dyDescent="0.35">
      <c r="I39933" s="63"/>
      <c r="J39933" s="63"/>
    </row>
    <row r="39934" spans="9:10" x14ac:dyDescent="0.35">
      <c r="I39934" s="63"/>
      <c r="J39934" s="63"/>
    </row>
    <row r="39935" spans="9:10" x14ac:dyDescent="0.35">
      <c r="I39935" s="63"/>
      <c r="J39935" s="63"/>
    </row>
    <row r="39936" spans="9:10" x14ac:dyDescent="0.35">
      <c r="I39936" s="63"/>
      <c r="J39936" s="63"/>
    </row>
    <row r="39937" spans="9:10" x14ac:dyDescent="0.35">
      <c r="I39937" s="63"/>
      <c r="J39937" s="63"/>
    </row>
    <row r="39938" spans="9:10" x14ac:dyDescent="0.35">
      <c r="I39938" s="63"/>
      <c r="J39938" s="63"/>
    </row>
    <row r="39939" spans="9:10" x14ac:dyDescent="0.35">
      <c r="I39939" s="63"/>
      <c r="J39939" s="63"/>
    </row>
    <row r="39940" spans="9:10" x14ac:dyDescent="0.35">
      <c r="I39940" s="63"/>
      <c r="J39940" s="63"/>
    </row>
    <row r="39941" spans="9:10" x14ac:dyDescent="0.35">
      <c r="I39941" s="63"/>
      <c r="J39941" s="63"/>
    </row>
    <row r="39942" spans="9:10" x14ac:dyDescent="0.35">
      <c r="I39942" s="63"/>
      <c r="J39942" s="63"/>
    </row>
    <row r="39943" spans="9:10" x14ac:dyDescent="0.35">
      <c r="I39943" s="63"/>
      <c r="J39943" s="63"/>
    </row>
    <row r="39944" spans="9:10" x14ac:dyDescent="0.35">
      <c r="I39944" s="63"/>
      <c r="J39944" s="63"/>
    </row>
    <row r="39945" spans="9:10" x14ac:dyDescent="0.35">
      <c r="I39945" s="63"/>
      <c r="J39945" s="63"/>
    </row>
    <row r="39946" spans="9:10" x14ac:dyDescent="0.35">
      <c r="I39946" s="63"/>
      <c r="J39946" s="63"/>
    </row>
    <row r="39947" spans="9:10" x14ac:dyDescent="0.35">
      <c r="I39947" s="63"/>
      <c r="J39947" s="63"/>
    </row>
    <row r="39948" spans="9:10" x14ac:dyDescent="0.35">
      <c r="I39948" s="63"/>
      <c r="J39948" s="63"/>
    </row>
    <row r="39949" spans="9:10" x14ac:dyDescent="0.35">
      <c r="I39949" s="63"/>
      <c r="J39949" s="63"/>
    </row>
    <row r="39950" spans="9:10" x14ac:dyDescent="0.35">
      <c r="I39950" s="63"/>
      <c r="J39950" s="63"/>
    </row>
    <row r="39951" spans="9:10" x14ac:dyDescent="0.35">
      <c r="I39951" s="63"/>
      <c r="J39951" s="63"/>
    </row>
    <row r="39952" spans="9:10" x14ac:dyDescent="0.35">
      <c r="I39952" s="63"/>
      <c r="J39952" s="63"/>
    </row>
    <row r="39953" spans="9:10" x14ac:dyDescent="0.35">
      <c r="I39953" s="63"/>
      <c r="J39953" s="63"/>
    </row>
    <row r="39954" spans="9:10" x14ac:dyDescent="0.35">
      <c r="I39954" s="63"/>
      <c r="J39954" s="63"/>
    </row>
    <row r="39955" spans="9:10" x14ac:dyDescent="0.35">
      <c r="I39955" s="63"/>
      <c r="J39955" s="63"/>
    </row>
    <row r="39956" spans="9:10" x14ac:dyDescent="0.35">
      <c r="I39956" s="63"/>
      <c r="J39956" s="63"/>
    </row>
    <row r="39957" spans="9:10" x14ac:dyDescent="0.35">
      <c r="I39957" s="63"/>
      <c r="J39957" s="63"/>
    </row>
    <row r="39958" spans="9:10" x14ac:dyDescent="0.35">
      <c r="I39958" s="63"/>
      <c r="J39958" s="63"/>
    </row>
    <row r="39959" spans="9:10" x14ac:dyDescent="0.35">
      <c r="I39959" s="63"/>
      <c r="J39959" s="63"/>
    </row>
    <row r="39960" spans="9:10" x14ac:dyDescent="0.35">
      <c r="I39960" s="63"/>
      <c r="J39960" s="63"/>
    </row>
    <row r="39961" spans="9:10" x14ac:dyDescent="0.35">
      <c r="I39961" s="63"/>
      <c r="J39961" s="63"/>
    </row>
    <row r="39962" spans="9:10" x14ac:dyDescent="0.35">
      <c r="I39962" s="63"/>
      <c r="J39962" s="63"/>
    </row>
    <row r="39963" spans="9:10" x14ac:dyDescent="0.35">
      <c r="I39963" s="63"/>
      <c r="J39963" s="63"/>
    </row>
    <row r="39964" spans="9:10" x14ac:dyDescent="0.35">
      <c r="I39964" s="63"/>
      <c r="J39964" s="63"/>
    </row>
    <row r="39965" spans="9:10" x14ac:dyDescent="0.35">
      <c r="I39965" s="63"/>
      <c r="J39965" s="63"/>
    </row>
    <row r="39966" spans="9:10" x14ac:dyDescent="0.35">
      <c r="I39966" s="63"/>
      <c r="J39966" s="63"/>
    </row>
    <row r="39967" spans="9:10" x14ac:dyDescent="0.35">
      <c r="I39967" s="63"/>
      <c r="J39967" s="63"/>
    </row>
    <row r="39968" spans="9:10" x14ac:dyDescent="0.35">
      <c r="I39968" s="63"/>
      <c r="J39968" s="63"/>
    </row>
    <row r="39969" spans="9:10" x14ac:dyDescent="0.35">
      <c r="I39969" s="63"/>
      <c r="J39969" s="63"/>
    </row>
    <row r="39970" spans="9:10" x14ac:dyDescent="0.35">
      <c r="I39970" s="63"/>
      <c r="J39970" s="63"/>
    </row>
    <row r="39971" spans="9:10" x14ac:dyDescent="0.35">
      <c r="I39971" s="63"/>
      <c r="J39971" s="63"/>
    </row>
    <row r="39972" spans="9:10" x14ac:dyDescent="0.35">
      <c r="I39972" s="63"/>
      <c r="J39972" s="63"/>
    </row>
    <row r="39973" spans="9:10" x14ac:dyDescent="0.35">
      <c r="I39973" s="63"/>
      <c r="J39973" s="63"/>
    </row>
    <row r="39974" spans="9:10" x14ac:dyDescent="0.35">
      <c r="I39974" s="63"/>
      <c r="J39974" s="63"/>
    </row>
    <row r="39975" spans="9:10" x14ac:dyDescent="0.35">
      <c r="I39975" s="63"/>
      <c r="J39975" s="63"/>
    </row>
    <row r="39976" spans="9:10" x14ac:dyDescent="0.35">
      <c r="I39976" s="63"/>
      <c r="J39976" s="63"/>
    </row>
    <row r="39977" spans="9:10" x14ac:dyDescent="0.35">
      <c r="I39977" s="63"/>
      <c r="J39977" s="63"/>
    </row>
    <row r="39978" spans="9:10" x14ac:dyDescent="0.35">
      <c r="I39978" s="63"/>
      <c r="J39978" s="63"/>
    </row>
    <row r="39979" spans="9:10" x14ac:dyDescent="0.35">
      <c r="I39979" s="63"/>
      <c r="J39979" s="63"/>
    </row>
    <row r="39980" spans="9:10" x14ac:dyDescent="0.35">
      <c r="I39980" s="63"/>
      <c r="J39980" s="63"/>
    </row>
    <row r="39981" spans="9:10" x14ac:dyDescent="0.35">
      <c r="I39981" s="63"/>
      <c r="J39981" s="63"/>
    </row>
    <row r="39982" spans="9:10" x14ac:dyDescent="0.35">
      <c r="I39982" s="63"/>
      <c r="J39982" s="63"/>
    </row>
    <row r="39983" spans="9:10" x14ac:dyDescent="0.35">
      <c r="I39983" s="63"/>
      <c r="J39983" s="63"/>
    </row>
    <row r="39984" spans="9:10" x14ac:dyDescent="0.35">
      <c r="I39984" s="63"/>
      <c r="J39984" s="63"/>
    </row>
    <row r="39985" spans="9:10" x14ac:dyDescent="0.35">
      <c r="I39985" s="63"/>
      <c r="J39985" s="63"/>
    </row>
    <row r="39986" spans="9:10" x14ac:dyDescent="0.35">
      <c r="I39986" s="63"/>
      <c r="J39986" s="63"/>
    </row>
    <row r="39987" spans="9:10" x14ac:dyDescent="0.35">
      <c r="I39987" s="63"/>
      <c r="J39987" s="63"/>
    </row>
    <row r="39988" spans="9:10" x14ac:dyDescent="0.35">
      <c r="I39988" s="63"/>
      <c r="J39988" s="63"/>
    </row>
    <row r="39989" spans="9:10" x14ac:dyDescent="0.35">
      <c r="I39989" s="63"/>
      <c r="J39989" s="63"/>
    </row>
    <row r="39990" spans="9:10" x14ac:dyDescent="0.35">
      <c r="I39990" s="63"/>
      <c r="J39990" s="63"/>
    </row>
    <row r="39991" spans="9:10" x14ac:dyDescent="0.35">
      <c r="I39991" s="63"/>
      <c r="J39991" s="63"/>
    </row>
    <row r="39992" spans="9:10" x14ac:dyDescent="0.35">
      <c r="I39992" s="63"/>
      <c r="J39992" s="63"/>
    </row>
    <row r="39993" spans="9:10" x14ac:dyDescent="0.35">
      <c r="I39993" s="63"/>
      <c r="J39993" s="63"/>
    </row>
    <row r="39994" spans="9:10" x14ac:dyDescent="0.35">
      <c r="I39994" s="63"/>
      <c r="J39994" s="63"/>
    </row>
    <row r="39995" spans="9:10" x14ac:dyDescent="0.35">
      <c r="I39995" s="63"/>
      <c r="J39995" s="63"/>
    </row>
    <row r="39996" spans="9:10" x14ac:dyDescent="0.35">
      <c r="I39996" s="63"/>
      <c r="J39996" s="63"/>
    </row>
    <row r="39997" spans="9:10" x14ac:dyDescent="0.35">
      <c r="I39997" s="63"/>
      <c r="J39997" s="63"/>
    </row>
    <row r="39998" spans="9:10" x14ac:dyDescent="0.35">
      <c r="I39998" s="63"/>
      <c r="J39998" s="63"/>
    </row>
    <row r="39999" spans="9:10" x14ac:dyDescent="0.35">
      <c r="I39999" s="63"/>
      <c r="J39999" s="63"/>
    </row>
    <row r="40000" spans="9:10" x14ac:dyDescent="0.35">
      <c r="I40000" s="63"/>
      <c r="J40000" s="63"/>
    </row>
    <row r="40001" spans="9:10" x14ac:dyDescent="0.35">
      <c r="I40001" s="63"/>
      <c r="J40001" s="63"/>
    </row>
    <row r="40002" spans="9:10" x14ac:dyDescent="0.35">
      <c r="I40002" s="63"/>
      <c r="J40002" s="63"/>
    </row>
    <row r="40003" spans="9:10" x14ac:dyDescent="0.35">
      <c r="I40003" s="63"/>
      <c r="J40003" s="63"/>
    </row>
    <row r="40004" spans="9:10" x14ac:dyDescent="0.35">
      <c r="I40004" s="63"/>
      <c r="J40004" s="63"/>
    </row>
    <row r="40005" spans="9:10" x14ac:dyDescent="0.35">
      <c r="I40005" s="63"/>
      <c r="J40005" s="63"/>
    </row>
    <row r="40006" spans="9:10" x14ac:dyDescent="0.35">
      <c r="I40006" s="63"/>
      <c r="J40006" s="63"/>
    </row>
    <row r="40007" spans="9:10" x14ac:dyDescent="0.35">
      <c r="I40007" s="63"/>
      <c r="J40007" s="63"/>
    </row>
    <row r="40008" spans="9:10" x14ac:dyDescent="0.35">
      <c r="I40008" s="63"/>
      <c r="J40008" s="63"/>
    </row>
    <row r="40009" spans="9:10" x14ac:dyDescent="0.35">
      <c r="I40009" s="63"/>
      <c r="J40009" s="63"/>
    </row>
    <row r="40010" spans="9:10" x14ac:dyDescent="0.35">
      <c r="I40010" s="63"/>
      <c r="J40010" s="63"/>
    </row>
    <row r="40011" spans="9:10" x14ac:dyDescent="0.35">
      <c r="I40011" s="63"/>
      <c r="J40011" s="63"/>
    </row>
    <row r="40012" spans="9:10" x14ac:dyDescent="0.35">
      <c r="I40012" s="63"/>
      <c r="J40012" s="63"/>
    </row>
    <row r="40013" spans="9:10" x14ac:dyDescent="0.35">
      <c r="I40013" s="63"/>
      <c r="J40013" s="63"/>
    </row>
    <row r="40014" spans="9:10" x14ac:dyDescent="0.35">
      <c r="I40014" s="63"/>
      <c r="J40014" s="63"/>
    </row>
    <row r="40015" spans="9:10" x14ac:dyDescent="0.35">
      <c r="I40015" s="63"/>
      <c r="J40015" s="63"/>
    </row>
    <row r="40016" spans="9:10" x14ac:dyDescent="0.35">
      <c r="I40016" s="63"/>
      <c r="J40016" s="63"/>
    </row>
    <row r="40017" spans="9:10" x14ac:dyDescent="0.35">
      <c r="I40017" s="63"/>
      <c r="J40017" s="63"/>
    </row>
    <row r="40018" spans="9:10" x14ac:dyDescent="0.35">
      <c r="I40018" s="63"/>
      <c r="J40018" s="63"/>
    </row>
    <row r="40019" spans="9:10" x14ac:dyDescent="0.35">
      <c r="I40019" s="63"/>
      <c r="J40019" s="63"/>
    </row>
    <row r="40020" spans="9:10" x14ac:dyDescent="0.35">
      <c r="I40020" s="63"/>
      <c r="J40020" s="63"/>
    </row>
    <row r="40021" spans="9:10" x14ac:dyDescent="0.35">
      <c r="I40021" s="63"/>
      <c r="J40021" s="63"/>
    </row>
    <row r="40022" spans="9:10" x14ac:dyDescent="0.35">
      <c r="I40022" s="63"/>
      <c r="J40022" s="63"/>
    </row>
    <row r="40023" spans="9:10" x14ac:dyDescent="0.35">
      <c r="I40023" s="63"/>
      <c r="J40023" s="63"/>
    </row>
    <row r="40024" spans="9:10" x14ac:dyDescent="0.35">
      <c r="I40024" s="63"/>
      <c r="J40024" s="63"/>
    </row>
    <row r="40025" spans="9:10" x14ac:dyDescent="0.35">
      <c r="I40025" s="63"/>
      <c r="J40025" s="63"/>
    </row>
    <row r="40026" spans="9:10" x14ac:dyDescent="0.35">
      <c r="I40026" s="63"/>
      <c r="J40026" s="63"/>
    </row>
    <row r="40027" spans="9:10" x14ac:dyDescent="0.35">
      <c r="I40027" s="63"/>
      <c r="J40027" s="63"/>
    </row>
    <row r="40028" spans="9:10" x14ac:dyDescent="0.35">
      <c r="I40028" s="63"/>
      <c r="J40028" s="63"/>
    </row>
    <row r="40029" spans="9:10" x14ac:dyDescent="0.35">
      <c r="I40029" s="63"/>
      <c r="J40029" s="63"/>
    </row>
    <row r="40030" spans="9:10" x14ac:dyDescent="0.35">
      <c r="I40030" s="63"/>
      <c r="J40030" s="63"/>
    </row>
    <row r="40031" spans="9:10" x14ac:dyDescent="0.35">
      <c r="I40031" s="63"/>
      <c r="J40031" s="63"/>
    </row>
    <row r="40032" spans="9:10" x14ac:dyDescent="0.35">
      <c r="I40032" s="63"/>
      <c r="J40032" s="63"/>
    </row>
    <row r="40033" spans="9:10" x14ac:dyDescent="0.35">
      <c r="I40033" s="63"/>
      <c r="J40033" s="63"/>
    </row>
    <row r="40034" spans="9:10" x14ac:dyDescent="0.35">
      <c r="I40034" s="63"/>
      <c r="J40034" s="63"/>
    </row>
    <row r="40035" spans="9:10" x14ac:dyDescent="0.35">
      <c r="I40035" s="63"/>
      <c r="J40035" s="63"/>
    </row>
    <row r="40036" spans="9:10" x14ac:dyDescent="0.35">
      <c r="I40036" s="63"/>
      <c r="J40036" s="63"/>
    </row>
    <row r="40037" spans="9:10" x14ac:dyDescent="0.35">
      <c r="I40037" s="63"/>
      <c r="J40037" s="63"/>
    </row>
    <row r="40038" spans="9:10" x14ac:dyDescent="0.35">
      <c r="I40038" s="63"/>
      <c r="J40038" s="63"/>
    </row>
    <row r="40039" spans="9:10" x14ac:dyDescent="0.35">
      <c r="I40039" s="63"/>
      <c r="J40039" s="63"/>
    </row>
    <row r="40040" spans="9:10" x14ac:dyDescent="0.35">
      <c r="I40040" s="63"/>
      <c r="J40040" s="63"/>
    </row>
    <row r="40041" spans="9:10" x14ac:dyDescent="0.35">
      <c r="I40041" s="63"/>
      <c r="J40041" s="63"/>
    </row>
    <row r="40042" spans="9:10" x14ac:dyDescent="0.35">
      <c r="I40042" s="63"/>
      <c r="J40042" s="63"/>
    </row>
    <row r="40043" spans="9:10" x14ac:dyDescent="0.35">
      <c r="I40043" s="63"/>
      <c r="J40043" s="63"/>
    </row>
    <row r="40044" spans="9:10" x14ac:dyDescent="0.35">
      <c r="I40044" s="63"/>
      <c r="J40044" s="63"/>
    </row>
    <row r="40045" spans="9:10" x14ac:dyDescent="0.35">
      <c r="I40045" s="63"/>
      <c r="J40045" s="63"/>
    </row>
    <row r="40046" spans="9:10" x14ac:dyDescent="0.35">
      <c r="I40046" s="63"/>
      <c r="J40046" s="63"/>
    </row>
    <row r="40047" spans="9:10" x14ac:dyDescent="0.35">
      <c r="I40047" s="63"/>
      <c r="J40047" s="63"/>
    </row>
    <row r="40048" spans="9:10" x14ac:dyDescent="0.35">
      <c r="I40048" s="63"/>
      <c r="J40048" s="63"/>
    </row>
    <row r="40049" spans="9:10" x14ac:dyDescent="0.35">
      <c r="I40049" s="63"/>
      <c r="J40049" s="63"/>
    </row>
    <row r="40050" spans="9:10" x14ac:dyDescent="0.35">
      <c r="I40050" s="63"/>
      <c r="J40050" s="63"/>
    </row>
    <row r="40051" spans="9:10" x14ac:dyDescent="0.35">
      <c r="I40051" s="63"/>
      <c r="J40051" s="63"/>
    </row>
    <row r="40052" spans="9:10" x14ac:dyDescent="0.35">
      <c r="I40052" s="63"/>
      <c r="J40052" s="63"/>
    </row>
    <row r="40053" spans="9:10" x14ac:dyDescent="0.35">
      <c r="I40053" s="63"/>
      <c r="J40053" s="63"/>
    </row>
    <row r="40054" spans="9:10" x14ac:dyDescent="0.35">
      <c r="I40054" s="63"/>
      <c r="J40054" s="63"/>
    </row>
    <row r="40055" spans="9:10" x14ac:dyDescent="0.35">
      <c r="I40055" s="63"/>
      <c r="J40055" s="63"/>
    </row>
    <row r="40056" spans="9:10" x14ac:dyDescent="0.35">
      <c r="I40056" s="63"/>
      <c r="J40056" s="63"/>
    </row>
    <row r="40057" spans="9:10" x14ac:dyDescent="0.35">
      <c r="I40057" s="63"/>
      <c r="J40057" s="63"/>
    </row>
    <row r="40058" spans="9:10" x14ac:dyDescent="0.35">
      <c r="I40058" s="63"/>
      <c r="J40058" s="63"/>
    </row>
    <row r="40059" spans="9:10" x14ac:dyDescent="0.35">
      <c r="I40059" s="63"/>
      <c r="J40059" s="63"/>
    </row>
    <row r="40060" spans="9:10" x14ac:dyDescent="0.35">
      <c r="I40060" s="63"/>
      <c r="J40060" s="63"/>
    </row>
    <row r="40061" spans="9:10" x14ac:dyDescent="0.35">
      <c r="I40061" s="63"/>
      <c r="J40061" s="63"/>
    </row>
    <row r="40062" spans="9:10" x14ac:dyDescent="0.35">
      <c r="I40062" s="63"/>
      <c r="J40062" s="63"/>
    </row>
    <row r="40063" spans="9:10" x14ac:dyDescent="0.35">
      <c r="I40063" s="63"/>
      <c r="J40063" s="63"/>
    </row>
    <row r="40064" spans="9:10" x14ac:dyDescent="0.35">
      <c r="I40064" s="63"/>
      <c r="J40064" s="63"/>
    </row>
    <row r="40065" spans="9:10" x14ac:dyDescent="0.35">
      <c r="I40065" s="63"/>
      <c r="J40065" s="63"/>
    </row>
    <row r="40066" spans="9:10" x14ac:dyDescent="0.35">
      <c r="I40066" s="63"/>
      <c r="J40066" s="63"/>
    </row>
    <row r="40067" spans="9:10" x14ac:dyDescent="0.35">
      <c r="I40067" s="63"/>
      <c r="J40067" s="63"/>
    </row>
    <row r="40068" spans="9:10" x14ac:dyDescent="0.35">
      <c r="I40068" s="63"/>
      <c r="J40068" s="63"/>
    </row>
    <row r="40069" spans="9:10" x14ac:dyDescent="0.35">
      <c r="I40069" s="63"/>
      <c r="J40069" s="63"/>
    </row>
    <row r="40070" spans="9:10" x14ac:dyDescent="0.35">
      <c r="I40070" s="63"/>
      <c r="J40070" s="63"/>
    </row>
    <row r="40071" spans="9:10" x14ac:dyDescent="0.35">
      <c r="I40071" s="63"/>
      <c r="J40071" s="63"/>
    </row>
    <row r="40072" spans="9:10" x14ac:dyDescent="0.35">
      <c r="I40072" s="63"/>
      <c r="J40072" s="63"/>
    </row>
    <row r="40073" spans="9:10" x14ac:dyDescent="0.35">
      <c r="I40073" s="63"/>
      <c r="J40073" s="63"/>
    </row>
    <row r="40074" spans="9:10" x14ac:dyDescent="0.35">
      <c r="I40074" s="63"/>
      <c r="J40074" s="63"/>
    </row>
    <row r="40075" spans="9:10" x14ac:dyDescent="0.35">
      <c r="I40075" s="63"/>
      <c r="J40075" s="63"/>
    </row>
    <row r="40076" spans="9:10" x14ac:dyDescent="0.35">
      <c r="I40076" s="63"/>
      <c r="J40076" s="63"/>
    </row>
    <row r="40077" spans="9:10" x14ac:dyDescent="0.35">
      <c r="I40077" s="63"/>
      <c r="J40077" s="63"/>
    </row>
    <row r="40078" spans="9:10" x14ac:dyDescent="0.35">
      <c r="I40078" s="63"/>
      <c r="J40078" s="63"/>
    </row>
    <row r="40079" spans="9:10" x14ac:dyDescent="0.35">
      <c r="I40079" s="63"/>
      <c r="J40079" s="63"/>
    </row>
    <row r="40080" spans="9:10" x14ac:dyDescent="0.35">
      <c r="I40080" s="63"/>
      <c r="J40080" s="63"/>
    </row>
    <row r="40081" spans="9:10" x14ac:dyDescent="0.35">
      <c r="I40081" s="63"/>
      <c r="J40081" s="63"/>
    </row>
    <row r="40082" spans="9:10" x14ac:dyDescent="0.35">
      <c r="I40082" s="63"/>
      <c r="J40082" s="63"/>
    </row>
    <row r="40083" spans="9:10" x14ac:dyDescent="0.35">
      <c r="I40083" s="63"/>
      <c r="J40083" s="63"/>
    </row>
    <row r="40084" spans="9:10" x14ac:dyDescent="0.35">
      <c r="I40084" s="63"/>
      <c r="J40084" s="63"/>
    </row>
    <row r="40085" spans="9:10" x14ac:dyDescent="0.35">
      <c r="I40085" s="63"/>
      <c r="J40085" s="63"/>
    </row>
    <row r="40086" spans="9:10" x14ac:dyDescent="0.35">
      <c r="I40086" s="63"/>
      <c r="J40086" s="63"/>
    </row>
    <row r="40087" spans="9:10" x14ac:dyDescent="0.35">
      <c r="I40087" s="63"/>
      <c r="J40087" s="63"/>
    </row>
    <row r="40088" spans="9:10" x14ac:dyDescent="0.35">
      <c r="I40088" s="63"/>
      <c r="J40088" s="63"/>
    </row>
    <row r="40089" spans="9:10" x14ac:dyDescent="0.35">
      <c r="I40089" s="63"/>
      <c r="J40089" s="63"/>
    </row>
    <row r="40090" spans="9:10" x14ac:dyDescent="0.35">
      <c r="I40090" s="63"/>
      <c r="J40090" s="63"/>
    </row>
    <row r="40091" spans="9:10" x14ac:dyDescent="0.35">
      <c r="I40091" s="63"/>
      <c r="J40091" s="63"/>
    </row>
    <row r="40092" spans="9:10" x14ac:dyDescent="0.35">
      <c r="I40092" s="63"/>
      <c r="J40092" s="63"/>
    </row>
    <row r="40093" spans="9:10" x14ac:dyDescent="0.35">
      <c r="I40093" s="63"/>
      <c r="J40093" s="63"/>
    </row>
    <row r="40094" spans="9:10" x14ac:dyDescent="0.35">
      <c r="I40094" s="63"/>
      <c r="J40094" s="63"/>
    </row>
    <row r="40095" spans="9:10" x14ac:dyDescent="0.35">
      <c r="I40095" s="63"/>
      <c r="J40095" s="63"/>
    </row>
    <row r="40096" spans="9:10" x14ac:dyDescent="0.35">
      <c r="I40096" s="63"/>
      <c r="J40096" s="63"/>
    </row>
    <row r="40097" spans="9:10" x14ac:dyDescent="0.35">
      <c r="I40097" s="63"/>
      <c r="J40097" s="63"/>
    </row>
    <row r="40098" spans="9:10" x14ac:dyDescent="0.35">
      <c r="I40098" s="63"/>
      <c r="J40098" s="63"/>
    </row>
    <row r="40099" spans="9:10" x14ac:dyDescent="0.35">
      <c r="I40099" s="63"/>
      <c r="J40099" s="63"/>
    </row>
    <row r="40100" spans="9:10" x14ac:dyDescent="0.35">
      <c r="I40100" s="63"/>
      <c r="J40100" s="63"/>
    </row>
    <row r="40101" spans="9:10" x14ac:dyDescent="0.35">
      <c r="I40101" s="63"/>
      <c r="J40101" s="63"/>
    </row>
    <row r="40102" spans="9:10" x14ac:dyDescent="0.35">
      <c r="I40102" s="63"/>
      <c r="J40102" s="63"/>
    </row>
    <row r="40103" spans="9:10" x14ac:dyDescent="0.35">
      <c r="I40103" s="63"/>
      <c r="J40103" s="63"/>
    </row>
    <row r="40104" spans="9:10" x14ac:dyDescent="0.35">
      <c r="I40104" s="63"/>
      <c r="J40104" s="63"/>
    </row>
    <row r="40105" spans="9:10" x14ac:dyDescent="0.35">
      <c r="I40105" s="63"/>
      <c r="J40105" s="63"/>
    </row>
    <row r="40106" spans="9:10" x14ac:dyDescent="0.35">
      <c r="I40106" s="63"/>
      <c r="J40106" s="63"/>
    </row>
    <row r="40107" spans="9:10" x14ac:dyDescent="0.35">
      <c r="I40107" s="63"/>
      <c r="J40107" s="63"/>
    </row>
    <row r="40108" spans="9:10" x14ac:dyDescent="0.35">
      <c r="I40108" s="63"/>
      <c r="J40108" s="63"/>
    </row>
    <row r="40109" spans="9:10" x14ac:dyDescent="0.35">
      <c r="I40109" s="63"/>
      <c r="J40109" s="63"/>
    </row>
    <row r="40110" spans="9:10" x14ac:dyDescent="0.35">
      <c r="I40110" s="63"/>
      <c r="J40110" s="63"/>
    </row>
    <row r="40111" spans="9:10" x14ac:dyDescent="0.35">
      <c r="I40111" s="63"/>
      <c r="J40111" s="63"/>
    </row>
    <row r="40112" spans="9:10" x14ac:dyDescent="0.35">
      <c r="I40112" s="63"/>
      <c r="J40112" s="63"/>
    </row>
    <row r="40113" spans="9:10" x14ac:dyDescent="0.35">
      <c r="I40113" s="63"/>
      <c r="J40113" s="63"/>
    </row>
    <row r="40114" spans="9:10" x14ac:dyDescent="0.35">
      <c r="I40114" s="63"/>
      <c r="J40114" s="63"/>
    </row>
    <row r="40115" spans="9:10" x14ac:dyDescent="0.35">
      <c r="I40115" s="63"/>
      <c r="J40115" s="63"/>
    </row>
    <row r="40116" spans="9:10" x14ac:dyDescent="0.35">
      <c r="I40116" s="63"/>
      <c r="J40116" s="63"/>
    </row>
    <row r="40117" spans="9:10" x14ac:dyDescent="0.35">
      <c r="I40117" s="63"/>
      <c r="J40117" s="63"/>
    </row>
    <row r="40118" spans="9:10" x14ac:dyDescent="0.35">
      <c r="I40118" s="63"/>
      <c r="J40118" s="63"/>
    </row>
    <row r="40119" spans="9:10" x14ac:dyDescent="0.35">
      <c r="I40119" s="63"/>
      <c r="J40119" s="63"/>
    </row>
    <row r="40120" spans="9:10" x14ac:dyDescent="0.35">
      <c r="I40120" s="63"/>
      <c r="J40120" s="63"/>
    </row>
    <row r="40121" spans="9:10" x14ac:dyDescent="0.35">
      <c r="I40121" s="63"/>
      <c r="J40121" s="63"/>
    </row>
    <row r="40122" spans="9:10" x14ac:dyDescent="0.35">
      <c r="I40122" s="63"/>
      <c r="J40122" s="63"/>
    </row>
    <row r="40123" spans="9:10" x14ac:dyDescent="0.35">
      <c r="I40123" s="63"/>
      <c r="J40123" s="63"/>
    </row>
    <row r="40124" spans="9:10" x14ac:dyDescent="0.35">
      <c r="I40124" s="63"/>
      <c r="J40124" s="63"/>
    </row>
    <row r="40125" spans="9:10" x14ac:dyDescent="0.35">
      <c r="I40125" s="63"/>
      <c r="J40125" s="63"/>
    </row>
    <row r="40126" spans="9:10" x14ac:dyDescent="0.35">
      <c r="I40126" s="63"/>
      <c r="J40126" s="63"/>
    </row>
    <row r="40127" spans="9:10" x14ac:dyDescent="0.35">
      <c r="I40127" s="63"/>
      <c r="J40127" s="63"/>
    </row>
    <row r="40128" spans="9:10" x14ac:dyDescent="0.35">
      <c r="I40128" s="63"/>
      <c r="J40128" s="63"/>
    </row>
    <row r="40129" spans="9:10" x14ac:dyDescent="0.35">
      <c r="I40129" s="63"/>
      <c r="J40129" s="63"/>
    </row>
    <row r="40130" spans="9:10" x14ac:dyDescent="0.35">
      <c r="I40130" s="63"/>
      <c r="J40130" s="63"/>
    </row>
    <row r="40131" spans="9:10" x14ac:dyDescent="0.35">
      <c r="I40131" s="63"/>
      <c r="J40131" s="63"/>
    </row>
    <row r="40132" spans="9:10" x14ac:dyDescent="0.35">
      <c r="I40132" s="63"/>
      <c r="J40132" s="63"/>
    </row>
    <row r="40133" spans="9:10" x14ac:dyDescent="0.35">
      <c r="I40133" s="63"/>
      <c r="J40133" s="63"/>
    </row>
    <row r="40134" spans="9:10" x14ac:dyDescent="0.35">
      <c r="I40134" s="63"/>
      <c r="J40134" s="63"/>
    </row>
    <row r="40135" spans="9:10" x14ac:dyDescent="0.35">
      <c r="I40135" s="63"/>
      <c r="J40135" s="63"/>
    </row>
    <row r="40136" spans="9:10" x14ac:dyDescent="0.35">
      <c r="I40136" s="63"/>
      <c r="J40136" s="63"/>
    </row>
    <row r="40137" spans="9:10" x14ac:dyDescent="0.35">
      <c r="I40137" s="63"/>
      <c r="J40137" s="63"/>
    </row>
    <row r="40138" spans="9:10" x14ac:dyDescent="0.35">
      <c r="I40138" s="63"/>
      <c r="J40138" s="63"/>
    </row>
    <row r="40139" spans="9:10" x14ac:dyDescent="0.35">
      <c r="I40139" s="63"/>
      <c r="J40139" s="63"/>
    </row>
    <row r="40140" spans="9:10" x14ac:dyDescent="0.35">
      <c r="I40140" s="63"/>
      <c r="J40140" s="63"/>
    </row>
    <row r="40141" spans="9:10" x14ac:dyDescent="0.35">
      <c r="I40141" s="63"/>
      <c r="J40141" s="63"/>
    </row>
    <row r="40142" spans="9:10" x14ac:dyDescent="0.35">
      <c r="I40142" s="63"/>
      <c r="J40142" s="63"/>
    </row>
    <row r="40143" spans="9:10" x14ac:dyDescent="0.35">
      <c r="I40143" s="63"/>
      <c r="J40143" s="63"/>
    </row>
    <row r="40144" spans="9:10" x14ac:dyDescent="0.35">
      <c r="I40144" s="63"/>
      <c r="J40144" s="63"/>
    </row>
    <row r="40145" spans="9:10" x14ac:dyDescent="0.35">
      <c r="I40145" s="63"/>
      <c r="J40145" s="63"/>
    </row>
    <row r="40146" spans="9:10" x14ac:dyDescent="0.35">
      <c r="I40146" s="63"/>
      <c r="J40146" s="63"/>
    </row>
    <row r="40147" spans="9:10" x14ac:dyDescent="0.35">
      <c r="I40147" s="63"/>
      <c r="J40147" s="63"/>
    </row>
    <row r="40148" spans="9:10" x14ac:dyDescent="0.35">
      <c r="I40148" s="63"/>
      <c r="J40148" s="63"/>
    </row>
    <row r="40149" spans="9:10" x14ac:dyDescent="0.35">
      <c r="I40149" s="63"/>
      <c r="J40149" s="63"/>
    </row>
    <row r="40150" spans="9:10" x14ac:dyDescent="0.35">
      <c r="I40150" s="63"/>
      <c r="J40150" s="63"/>
    </row>
    <row r="40151" spans="9:10" x14ac:dyDescent="0.35">
      <c r="I40151" s="63"/>
      <c r="J40151" s="63"/>
    </row>
    <row r="40152" spans="9:10" x14ac:dyDescent="0.35">
      <c r="I40152" s="63"/>
      <c r="J40152" s="63"/>
    </row>
    <row r="40153" spans="9:10" x14ac:dyDescent="0.35">
      <c r="I40153" s="63"/>
      <c r="J40153" s="63"/>
    </row>
    <row r="40154" spans="9:10" x14ac:dyDescent="0.35">
      <c r="I40154" s="63"/>
      <c r="J40154" s="63"/>
    </row>
    <row r="40155" spans="9:10" x14ac:dyDescent="0.35">
      <c r="I40155" s="63"/>
      <c r="J40155" s="63"/>
    </row>
    <row r="40156" spans="9:10" x14ac:dyDescent="0.35">
      <c r="I40156" s="63"/>
      <c r="J40156" s="63"/>
    </row>
    <row r="40157" spans="9:10" x14ac:dyDescent="0.35">
      <c r="I40157" s="63"/>
      <c r="J40157" s="63"/>
    </row>
    <row r="40158" spans="9:10" x14ac:dyDescent="0.35">
      <c r="I40158" s="63"/>
      <c r="J40158" s="63"/>
    </row>
    <row r="40159" spans="9:10" x14ac:dyDescent="0.35">
      <c r="I40159" s="63"/>
      <c r="J40159" s="63"/>
    </row>
    <row r="40160" spans="9:10" x14ac:dyDescent="0.35">
      <c r="I40160" s="63"/>
      <c r="J40160" s="63"/>
    </row>
    <row r="40161" spans="9:10" x14ac:dyDescent="0.35">
      <c r="I40161" s="63"/>
      <c r="J40161" s="63"/>
    </row>
    <row r="40162" spans="9:10" x14ac:dyDescent="0.35">
      <c r="I40162" s="63"/>
      <c r="J40162" s="63"/>
    </row>
    <row r="40163" spans="9:10" x14ac:dyDescent="0.35">
      <c r="I40163" s="63"/>
      <c r="J40163" s="63"/>
    </row>
    <row r="40164" spans="9:10" x14ac:dyDescent="0.35">
      <c r="I40164" s="63"/>
      <c r="J40164" s="63"/>
    </row>
    <row r="40165" spans="9:10" x14ac:dyDescent="0.35">
      <c r="I40165" s="63"/>
      <c r="J40165" s="63"/>
    </row>
    <row r="40166" spans="9:10" x14ac:dyDescent="0.35">
      <c r="I40166" s="63"/>
      <c r="J40166" s="63"/>
    </row>
    <row r="40167" spans="9:10" x14ac:dyDescent="0.35">
      <c r="I40167" s="63"/>
      <c r="J40167" s="63"/>
    </row>
    <row r="40168" spans="9:10" x14ac:dyDescent="0.35">
      <c r="I40168" s="63"/>
      <c r="J40168" s="63"/>
    </row>
    <row r="40169" spans="9:10" x14ac:dyDescent="0.35">
      <c r="I40169" s="63"/>
      <c r="J40169" s="63"/>
    </row>
    <row r="40170" spans="9:10" x14ac:dyDescent="0.35">
      <c r="I40170" s="63"/>
      <c r="J40170" s="63"/>
    </row>
    <row r="40171" spans="9:10" x14ac:dyDescent="0.35">
      <c r="I40171" s="63"/>
      <c r="J40171" s="63"/>
    </row>
    <row r="40172" spans="9:10" x14ac:dyDescent="0.35">
      <c r="I40172" s="63"/>
      <c r="J40172" s="63"/>
    </row>
    <row r="40173" spans="9:10" x14ac:dyDescent="0.35">
      <c r="I40173" s="63"/>
      <c r="J40173" s="63"/>
    </row>
    <row r="40174" spans="9:10" x14ac:dyDescent="0.35">
      <c r="I40174" s="63"/>
      <c r="J40174" s="63"/>
    </row>
    <row r="40175" spans="9:10" x14ac:dyDescent="0.35">
      <c r="I40175" s="63"/>
      <c r="J40175" s="63"/>
    </row>
    <row r="40176" spans="9:10" x14ac:dyDescent="0.35">
      <c r="I40176" s="63"/>
      <c r="J40176" s="63"/>
    </row>
    <row r="40177" spans="9:10" x14ac:dyDescent="0.35">
      <c r="I40177" s="63"/>
      <c r="J40177" s="63"/>
    </row>
    <row r="40178" spans="9:10" x14ac:dyDescent="0.35">
      <c r="I40178" s="63"/>
      <c r="J40178" s="63"/>
    </row>
    <row r="40179" spans="9:10" x14ac:dyDescent="0.35">
      <c r="I40179" s="63"/>
      <c r="J40179" s="63"/>
    </row>
    <row r="40180" spans="9:10" x14ac:dyDescent="0.35">
      <c r="I40180" s="63"/>
      <c r="J40180" s="63"/>
    </row>
    <row r="40181" spans="9:10" x14ac:dyDescent="0.35">
      <c r="I40181" s="63"/>
      <c r="J40181" s="63"/>
    </row>
    <row r="40182" spans="9:10" x14ac:dyDescent="0.35">
      <c r="I40182" s="63"/>
      <c r="J40182" s="63"/>
    </row>
    <row r="40183" spans="9:10" x14ac:dyDescent="0.35">
      <c r="I40183" s="63"/>
      <c r="J40183" s="63"/>
    </row>
    <row r="40184" spans="9:10" x14ac:dyDescent="0.35">
      <c r="I40184" s="63"/>
      <c r="J40184" s="63"/>
    </row>
    <row r="40185" spans="9:10" x14ac:dyDescent="0.35">
      <c r="I40185" s="63"/>
      <c r="J40185" s="63"/>
    </row>
    <row r="40186" spans="9:10" x14ac:dyDescent="0.35">
      <c r="I40186" s="63"/>
      <c r="J40186" s="63"/>
    </row>
    <row r="40187" spans="9:10" x14ac:dyDescent="0.35">
      <c r="I40187" s="63"/>
      <c r="J40187" s="63"/>
    </row>
    <row r="40188" spans="9:10" x14ac:dyDescent="0.35">
      <c r="I40188" s="63"/>
      <c r="J40188" s="63"/>
    </row>
    <row r="40189" spans="9:10" x14ac:dyDescent="0.35">
      <c r="I40189" s="63"/>
      <c r="J40189" s="63"/>
    </row>
    <row r="40190" spans="9:10" x14ac:dyDescent="0.35">
      <c r="I40190" s="63"/>
      <c r="J40190" s="63"/>
    </row>
    <row r="40191" spans="9:10" x14ac:dyDescent="0.35">
      <c r="I40191" s="63"/>
      <c r="J40191" s="63"/>
    </row>
    <row r="40192" spans="9:10" x14ac:dyDescent="0.35">
      <c r="I40192" s="63"/>
      <c r="J40192" s="63"/>
    </row>
    <row r="40193" spans="9:10" x14ac:dyDescent="0.35">
      <c r="I40193" s="63"/>
      <c r="J40193" s="63"/>
    </row>
    <row r="40194" spans="9:10" x14ac:dyDescent="0.35">
      <c r="I40194" s="63"/>
      <c r="J40194" s="63"/>
    </row>
    <row r="40195" spans="9:10" x14ac:dyDescent="0.35">
      <c r="I40195" s="63"/>
      <c r="J40195" s="63"/>
    </row>
    <row r="40196" spans="9:10" x14ac:dyDescent="0.35">
      <c r="I40196" s="63"/>
      <c r="J40196" s="63"/>
    </row>
    <row r="40197" spans="9:10" x14ac:dyDescent="0.35">
      <c r="I40197" s="63"/>
      <c r="J40197" s="63"/>
    </row>
    <row r="40198" spans="9:10" x14ac:dyDescent="0.35">
      <c r="I40198" s="63"/>
      <c r="J40198" s="63"/>
    </row>
    <row r="40199" spans="9:10" x14ac:dyDescent="0.35">
      <c r="I40199" s="63"/>
      <c r="J40199" s="63"/>
    </row>
    <row r="40200" spans="9:10" x14ac:dyDescent="0.35">
      <c r="I40200" s="63"/>
      <c r="J40200" s="63"/>
    </row>
    <row r="40201" spans="9:10" x14ac:dyDescent="0.35">
      <c r="I40201" s="63"/>
      <c r="J40201" s="63"/>
    </row>
    <row r="40202" spans="9:10" x14ac:dyDescent="0.35">
      <c r="I40202" s="63"/>
      <c r="J40202" s="63"/>
    </row>
    <row r="40203" spans="9:10" x14ac:dyDescent="0.35">
      <c r="I40203" s="63"/>
      <c r="J40203" s="63"/>
    </row>
    <row r="40204" spans="9:10" x14ac:dyDescent="0.35">
      <c r="I40204" s="63"/>
      <c r="J40204" s="63"/>
    </row>
    <row r="40205" spans="9:10" x14ac:dyDescent="0.35">
      <c r="I40205" s="63"/>
      <c r="J40205" s="63"/>
    </row>
    <row r="40206" spans="9:10" x14ac:dyDescent="0.35">
      <c r="I40206" s="63"/>
      <c r="J40206" s="63"/>
    </row>
    <row r="40207" spans="9:10" x14ac:dyDescent="0.35">
      <c r="I40207" s="63"/>
      <c r="J40207" s="63"/>
    </row>
    <row r="40208" spans="9:10" x14ac:dyDescent="0.35">
      <c r="I40208" s="63"/>
      <c r="J40208" s="63"/>
    </row>
    <row r="40209" spans="9:10" x14ac:dyDescent="0.35">
      <c r="I40209" s="63"/>
      <c r="J40209" s="63"/>
    </row>
    <row r="40210" spans="9:10" x14ac:dyDescent="0.35">
      <c r="I40210" s="63"/>
      <c r="J40210" s="63"/>
    </row>
    <row r="40211" spans="9:10" x14ac:dyDescent="0.35">
      <c r="I40211" s="63"/>
      <c r="J40211" s="63"/>
    </row>
    <row r="40212" spans="9:10" x14ac:dyDescent="0.35">
      <c r="I40212" s="63"/>
      <c r="J40212" s="63"/>
    </row>
    <row r="40213" spans="9:10" x14ac:dyDescent="0.35">
      <c r="I40213" s="63"/>
      <c r="J40213" s="63"/>
    </row>
    <row r="40214" spans="9:10" x14ac:dyDescent="0.35">
      <c r="I40214" s="63"/>
      <c r="J40214" s="63"/>
    </row>
    <row r="40215" spans="9:10" x14ac:dyDescent="0.35">
      <c r="I40215" s="63"/>
      <c r="J40215" s="63"/>
    </row>
    <row r="40216" spans="9:10" x14ac:dyDescent="0.35">
      <c r="I40216" s="63"/>
      <c r="J40216" s="63"/>
    </row>
    <row r="40217" spans="9:10" x14ac:dyDescent="0.35">
      <c r="I40217" s="63"/>
      <c r="J40217" s="63"/>
    </row>
    <row r="40218" spans="9:10" x14ac:dyDescent="0.35">
      <c r="I40218" s="63"/>
      <c r="J40218" s="63"/>
    </row>
    <row r="40219" spans="9:10" x14ac:dyDescent="0.35">
      <c r="I40219" s="63"/>
      <c r="J40219" s="63"/>
    </row>
    <row r="40220" spans="9:10" x14ac:dyDescent="0.35">
      <c r="I40220" s="63"/>
      <c r="J40220" s="63"/>
    </row>
    <row r="40221" spans="9:10" x14ac:dyDescent="0.35">
      <c r="I40221" s="63"/>
      <c r="J40221" s="63"/>
    </row>
    <row r="40222" spans="9:10" x14ac:dyDescent="0.35">
      <c r="I40222" s="63"/>
      <c r="J40222" s="63"/>
    </row>
    <row r="40223" spans="9:10" x14ac:dyDescent="0.35">
      <c r="I40223" s="63"/>
      <c r="J40223" s="63"/>
    </row>
    <row r="40224" spans="9:10" x14ac:dyDescent="0.35">
      <c r="I40224" s="63"/>
      <c r="J40224" s="63"/>
    </row>
    <row r="40225" spans="9:10" x14ac:dyDescent="0.35">
      <c r="I40225" s="63"/>
      <c r="J40225" s="63"/>
    </row>
    <row r="40226" spans="9:10" x14ac:dyDescent="0.35">
      <c r="I40226" s="63"/>
      <c r="J40226" s="63"/>
    </row>
    <row r="40227" spans="9:10" x14ac:dyDescent="0.35">
      <c r="I40227" s="63"/>
      <c r="J40227" s="63"/>
    </row>
    <row r="40228" spans="9:10" x14ac:dyDescent="0.35">
      <c r="I40228" s="63"/>
      <c r="J40228" s="63"/>
    </row>
    <row r="40229" spans="9:10" x14ac:dyDescent="0.35">
      <c r="I40229" s="63"/>
      <c r="J40229" s="63"/>
    </row>
    <row r="40230" spans="9:10" x14ac:dyDescent="0.35">
      <c r="I40230" s="63"/>
      <c r="J40230" s="63"/>
    </row>
    <row r="40231" spans="9:10" x14ac:dyDescent="0.35">
      <c r="I40231" s="63"/>
      <c r="J40231" s="63"/>
    </row>
    <row r="40232" spans="9:10" x14ac:dyDescent="0.35">
      <c r="I40232" s="63"/>
      <c r="J40232" s="63"/>
    </row>
    <row r="40233" spans="9:10" x14ac:dyDescent="0.35">
      <c r="I40233" s="63"/>
      <c r="J40233" s="63"/>
    </row>
    <row r="40234" spans="9:10" x14ac:dyDescent="0.35">
      <c r="I40234" s="63"/>
      <c r="J40234" s="63"/>
    </row>
    <row r="40235" spans="9:10" x14ac:dyDescent="0.35">
      <c r="I40235" s="63"/>
      <c r="J40235" s="63"/>
    </row>
    <row r="40236" spans="9:10" x14ac:dyDescent="0.35">
      <c r="I40236" s="63"/>
      <c r="J40236" s="63"/>
    </row>
    <row r="40237" spans="9:10" x14ac:dyDescent="0.35">
      <c r="I40237" s="63"/>
      <c r="J40237" s="63"/>
    </row>
    <row r="40238" spans="9:10" x14ac:dyDescent="0.35">
      <c r="I40238" s="63"/>
      <c r="J40238" s="63"/>
    </row>
    <row r="40239" spans="9:10" x14ac:dyDescent="0.35">
      <c r="I40239" s="63"/>
      <c r="J40239" s="63"/>
    </row>
    <row r="40240" spans="9:10" x14ac:dyDescent="0.35">
      <c r="I40240" s="63"/>
      <c r="J40240" s="63"/>
    </row>
    <row r="40241" spans="9:10" x14ac:dyDescent="0.35">
      <c r="I40241" s="63"/>
      <c r="J40241" s="63"/>
    </row>
    <row r="40242" spans="9:10" x14ac:dyDescent="0.35">
      <c r="I40242" s="63"/>
      <c r="J40242" s="63"/>
    </row>
    <row r="40243" spans="9:10" x14ac:dyDescent="0.35">
      <c r="I40243" s="63"/>
      <c r="J40243" s="63"/>
    </row>
    <row r="40244" spans="9:10" x14ac:dyDescent="0.35">
      <c r="I40244" s="63"/>
      <c r="J40244" s="63"/>
    </row>
    <row r="40245" spans="9:10" x14ac:dyDescent="0.35">
      <c r="I40245" s="63"/>
      <c r="J40245" s="63"/>
    </row>
    <row r="40246" spans="9:10" x14ac:dyDescent="0.35">
      <c r="I40246" s="63"/>
      <c r="J40246" s="63"/>
    </row>
    <row r="40247" spans="9:10" x14ac:dyDescent="0.35">
      <c r="I40247" s="63"/>
      <c r="J40247" s="63"/>
    </row>
    <row r="40248" spans="9:10" x14ac:dyDescent="0.35">
      <c r="I40248" s="63"/>
      <c r="J40248" s="63"/>
    </row>
    <row r="40249" spans="9:10" x14ac:dyDescent="0.35">
      <c r="I40249" s="63"/>
      <c r="J40249" s="63"/>
    </row>
    <row r="40250" spans="9:10" x14ac:dyDescent="0.35">
      <c r="I40250" s="63"/>
      <c r="J40250" s="63"/>
    </row>
    <row r="40251" spans="9:10" x14ac:dyDescent="0.35">
      <c r="I40251" s="63"/>
      <c r="J40251" s="63"/>
    </row>
    <row r="40252" spans="9:10" x14ac:dyDescent="0.35">
      <c r="I40252" s="63"/>
      <c r="J40252" s="63"/>
    </row>
    <row r="40253" spans="9:10" x14ac:dyDescent="0.35">
      <c r="I40253" s="63"/>
      <c r="J40253" s="63"/>
    </row>
    <row r="40254" spans="9:10" x14ac:dyDescent="0.35">
      <c r="I40254" s="63"/>
      <c r="J40254" s="63"/>
    </row>
    <row r="40255" spans="9:10" x14ac:dyDescent="0.35">
      <c r="I40255" s="63"/>
      <c r="J40255" s="63"/>
    </row>
    <row r="40256" spans="9:10" x14ac:dyDescent="0.35">
      <c r="I40256" s="63"/>
      <c r="J40256" s="63"/>
    </row>
    <row r="40257" spans="9:10" x14ac:dyDescent="0.35">
      <c r="I40257" s="63"/>
      <c r="J40257" s="63"/>
    </row>
    <row r="40258" spans="9:10" x14ac:dyDescent="0.35">
      <c r="I40258" s="63"/>
      <c r="J40258" s="63"/>
    </row>
    <row r="40259" spans="9:10" x14ac:dyDescent="0.35">
      <c r="I40259" s="63"/>
      <c r="J40259" s="63"/>
    </row>
    <row r="40260" spans="9:10" x14ac:dyDescent="0.35">
      <c r="I40260" s="63"/>
      <c r="J40260" s="63"/>
    </row>
    <row r="40261" spans="9:10" x14ac:dyDescent="0.35">
      <c r="I40261" s="63"/>
      <c r="J40261" s="63"/>
    </row>
    <row r="40262" spans="9:10" x14ac:dyDescent="0.35">
      <c r="I40262" s="63"/>
      <c r="J40262" s="63"/>
    </row>
    <row r="40263" spans="9:10" x14ac:dyDescent="0.35">
      <c r="I40263" s="63"/>
      <c r="J40263" s="63"/>
    </row>
    <row r="40264" spans="9:10" x14ac:dyDescent="0.35">
      <c r="I40264" s="63"/>
      <c r="J40264" s="63"/>
    </row>
    <row r="40265" spans="9:10" x14ac:dyDescent="0.35">
      <c r="I40265" s="63"/>
      <c r="J40265" s="63"/>
    </row>
    <row r="40266" spans="9:10" x14ac:dyDescent="0.35">
      <c r="I40266" s="63"/>
      <c r="J40266" s="63"/>
    </row>
    <row r="40267" spans="9:10" x14ac:dyDescent="0.35">
      <c r="I40267" s="63"/>
      <c r="J40267" s="63"/>
    </row>
    <row r="40268" spans="9:10" x14ac:dyDescent="0.35">
      <c r="I40268" s="63"/>
      <c r="J40268" s="63"/>
    </row>
    <row r="40269" spans="9:10" x14ac:dyDescent="0.35">
      <c r="I40269" s="63"/>
      <c r="J40269" s="63"/>
    </row>
    <row r="40270" spans="9:10" x14ac:dyDescent="0.35">
      <c r="I40270" s="63"/>
      <c r="J40270" s="63"/>
    </row>
    <row r="40271" spans="9:10" x14ac:dyDescent="0.35">
      <c r="I40271" s="63"/>
      <c r="J40271" s="63"/>
    </row>
    <row r="40272" spans="9:10" x14ac:dyDescent="0.35">
      <c r="I40272" s="63"/>
      <c r="J40272" s="63"/>
    </row>
    <row r="40273" spans="9:10" x14ac:dyDescent="0.35">
      <c r="I40273" s="63"/>
      <c r="J40273" s="63"/>
    </row>
    <row r="40274" spans="9:10" x14ac:dyDescent="0.35">
      <c r="I40274" s="63"/>
      <c r="J40274" s="63"/>
    </row>
    <row r="40275" spans="9:10" x14ac:dyDescent="0.35">
      <c r="I40275" s="63"/>
      <c r="J40275" s="63"/>
    </row>
    <row r="40276" spans="9:10" x14ac:dyDescent="0.35">
      <c r="I40276" s="63"/>
      <c r="J40276" s="63"/>
    </row>
    <row r="40277" spans="9:10" x14ac:dyDescent="0.35">
      <c r="I40277" s="63"/>
      <c r="J40277" s="63"/>
    </row>
    <row r="40278" spans="9:10" x14ac:dyDescent="0.35">
      <c r="I40278" s="63"/>
      <c r="J40278" s="63"/>
    </row>
    <row r="40279" spans="9:10" x14ac:dyDescent="0.35">
      <c r="I40279" s="63"/>
      <c r="J40279" s="63"/>
    </row>
    <row r="40280" spans="9:10" x14ac:dyDescent="0.35">
      <c r="I40280" s="63"/>
      <c r="J40280" s="63"/>
    </row>
    <row r="40281" spans="9:10" x14ac:dyDescent="0.35">
      <c r="I40281" s="63"/>
      <c r="J40281" s="63"/>
    </row>
    <row r="40282" spans="9:10" x14ac:dyDescent="0.35">
      <c r="I40282" s="63"/>
      <c r="J40282" s="63"/>
    </row>
    <row r="40283" spans="9:10" x14ac:dyDescent="0.35">
      <c r="I40283" s="63"/>
      <c r="J40283" s="63"/>
    </row>
    <row r="40284" spans="9:10" x14ac:dyDescent="0.35">
      <c r="I40284" s="63"/>
      <c r="J40284" s="63"/>
    </row>
    <row r="40285" spans="9:10" x14ac:dyDescent="0.35">
      <c r="I40285" s="63"/>
      <c r="J40285" s="63"/>
    </row>
    <row r="40286" spans="9:10" x14ac:dyDescent="0.35">
      <c r="I40286" s="63"/>
      <c r="J40286" s="63"/>
    </row>
    <row r="40287" spans="9:10" x14ac:dyDescent="0.35">
      <c r="I40287" s="63"/>
      <c r="J40287" s="63"/>
    </row>
    <row r="40288" spans="9:10" x14ac:dyDescent="0.35">
      <c r="I40288" s="63"/>
      <c r="J40288" s="63"/>
    </row>
    <row r="40289" spans="9:10" x14ac:dyDescent="0.35">
      <c r="I40289" s="63"/>
      <c r="J40289" s="63"/>
    </row>
    <row r="40290" spans="9:10" x14ac:dyDescent="0.35">
      <c r="I40290" s="63"/>
      <c r="J40290" s="63"/>
    </row>
    <row r="40291" spans="9:10" x14ac:dyDescent="0.35">
      <c r="I40291" s="63"/>
      <c r="J40291" s="63"/>
    </row>
    <row r="40292" spans="9:10" x14ac:dyDescent="0.35">
      <c r="I40292" s="63"/>
      <c r="J40292" s="63"/>
    </row>
    <row r="40293" spans="9:10" x14ac:dyDescent="0.35">
      <c r="I40293" s="63"/>
      <c r="J40293" s="63"/>
    </row>
    <row r="40294" spans="9:10" x14ac:dyDescent="0.35">
      <c r="I40294" s="63"/>
      <c r="J40294" s="63"/>
    </row>
    <row r="40295" spans="9:10" x14ac:dyDescent="0.35">
      <c r="I40295" s="63"/>
      <c r="J40295" s="63"/>
    </row>
    <row r="40296" spans="9:10" x14ac:dyDescent="0.35">
      <c r="I40296" s="63"/>
      <c r="J40296" s="63"/>
    </row>
    <row r="40297" spans="9:10" x14ac:dyDescent="0.35">
      <c r="I40297" s="63"/>
      <c r="J40297" s="63"/>
    </row>
    <row r="40298" spans="9:10" x14ac:dyDescent="0.35">
      <c r="I40298" s="63"/>
      <c r="J40298" s="63"/>
    </row>
    <row r="40299" spans="9:10" x14ac:dyDescent="0.35">
      <c r="I40299" s="63"/>
      <c r="J40299" s="63"/>
    </row>
    <row r="40300" spans="9:10" x14ac:dyDescent="0.35">
      <c r="I40300" s="63"/>
      <c r="J40300" s="63"/>
    </row>
    <row r="40301" spans="9:10" x14ac:dyDescent="0.35">
      <c r="I40301" s="63"/>
      <c r="J40301" s="63"/>
    </row>
    <row r="40302" spans="9:10" x14ac:dyDescent="0.35">
      <c r="I40302" s="63"/>
      <c r="J40302" s="63"/>
    </row>
    <row r="40303" spans="9:10" x14ac:dyDescent="0.35">
      <c r="I40303" s="63"/>
      <c r="J40303" s="63"/>
    </row>
    <row r="40304" spans="9:10" x14ac:dyDescent="0.35">
      <c r="I40304" s="63"/>
      <c r="J40304" s="63"/>
    </row>
    <row r="40305" spans="9:10" x14ac:dyDescent="0.35">
      <c r="I40305" s="63"/>
      <c r="J40305" s="63"/>
    </row>
    <row r="40306" spans="9:10" x14ac:dyDescent="0.35">
      <c r="I40306" s="63"/>
      <c r="J40306" s="63"/>
    </row>
    <row r="40307" spans="9:10" x14ac:dyDescent="0.35">
      <c r="I40307" s="63"/>
      <c r="J40307" s="63"/>
    </row>
    <row r="40308" spans="9:10" x14ac:dyDescent="0.35">
      <c r="I40308" s="63"/>
      <c r="J40308" s="63"/>
    </row>
    <row r="40309" spans="9:10" x14ac:dyDescent="0.35">
      <c r="I40309" s="63"/>
      <c r="J40309" s="63"/>
    </row>
    <row r="40310" spans="9:10" x14ac:dyDescent="0.35">
      <c r="I40310" s="63"/>
      <c r="J40310" s="63"/>
    </row>
    <row r="40311" spans="9:10" x14ac:dyDescent="0.35">
      <c r="I40311" s="63"/>
      <c r="J40311" s="63"/>
    </row>
    <row r="40312" spans="9:10" x14ac:dyDescent="0.35">
      <c r="I40312" s="63"/>
      <c r="J40312" s="63"/>
    </row>
    <row r="40313" spans="9:10" x14ac:dyDescent="0.35">
      <c r="I40313" s="63"/>
      <c r="J40313" s="63"/>
    </row>
    <row r="40314" spans="9:10" x14ac:dyDescent="0.35">
      <c r="I40314" s="63"/>
      <c r="J40314" s="63"/>
    </row>
    <row r="40315" spans="9:10" x14ac:dyDescent="0.35">
      <c r="I40315" s="63"/>
      <c r="J40315" s="63"/>
    </row>
    <row r="40316" spans="9:10" x14ac:dyDescent="0.35">
      <c r="I40316" s="63"/>
      <c r="J40316" s="63"/>
    </row>
    <row r="40317" spans="9:10" x14ac:dyDescent="0.35">
      <c r="I40317" s="63"/>
      <c r="J40317" s="63"/>
    </row>
    <row r="40318" spans="9:10" x14ac:dyDescent="0.35">
      <c r="I40318" s="63"/>
      <c r="J40318" s="63"/>
    </row>
    <row r="40319" spans="9:10" x14ac:dyDescent="0.35">
      <c r="I40319" s="63"/>
      <c r="J40319" s="63"/>
    </row>
    <row r="40320" spans="9:10" x14ac:dyDescent="0.35">
      <c r="I40320" s="63"/>
      <c r="J40320" s="63"/>
    </row>
    <row r="40321" spans="9:10" x14ac:dyDescent="0.35">
      <c r="I40321" s="63"/>
      <c r="J40321" s="63"/>
    </row>
    <row r="40322" spans="9:10" x14ac:dyDescent="0.35">
      <c r="I40322" s="63"/>
      <c r="J40322" s="63"/>
    </row>
    <row r="40323" spans="9:10" x14ac:dyDescent="0.35">
      <c r="I40323" s="63"/>
      <c r="J40323" s="63"/>
    </row>
    <row r="40324" spans="9:10" x14ac:dyDescent="0.35">
      <c r="I40324" s="63"/>
      <c r="J40324" s="63"/>
    </row>
    <row r="40325" spans="9:10" x14ac:dyDescent="0.35">
      <c r="I40325" s="63"/>
      <c r="J40325" s="63"/>
    </row>
    <row r="40326" spans="9:10" x14ac:dyDescent="0.35">
      <c r="I40326" s="63"/>
      <c r="J40326" s="63"/>
    </row>
    <row r="40327" spans="9:10" x14ac:dyDescent="0.35">
      <c r="I40327" s="63"/>
      <c r="J40327" s="63"/>
    </row>
    <row r="40328" spans="9:10" x14ac:dyDescent="0.35">
      <c r="I40328" s="63"/>
      <c r="J40328" s="63"/>
    </row>
    <row r="40329" spans="9:10" x14ac:dyDescent="0.35">
      <c r="I40329" s="63"/>
      <c r="J40329" s="63"/>
    </row>
    <row r="40330" spans="9:10" x14ac:dyDescent="0.35">
      <c r="I40330" s="63"/>
      <c r="J40330" s="63"/>
    </row>
    <row r="40331" spans="9:10" x14ac:dyDescent="0.35">
      <c r="I40331" s="63"/>
      <c r="J40331" s="63"/>
    </row>
    <row r="40332" spans="9:10" x14ac:dyDescent="0.35">
      <c r="I40332" s="63"/>
      <c r="J40332" s="63"/>
    </row>
    <row r="40333" spans="9:10" x14ac:dyDescent="0.35">
      <c r="I40333" s="63"/>
      <c r="J40333" s="63"/>
    </row>
    <row r="40334" spans="9:10" x14ac:dyDescent="0.35">
      <c r="I40334" s="63"/>
      <c r="J40334" s="63"/>
    </row>
    <row r="40335" spans="9:10" x14ac:dyDescent="0.35">
      <c r="I40335" s="63"/>
      <c r="J40335" s="63"/>
    </row>
    <row r="40336" spans="9:10" x14ac:dyDescent="0.35">
      <c r="I40336" s="63"/>
      <c r="J40336" s="63"/>
    </row>
    <row r="40337" spans="9:10" x14ac:dyDescent="0.35">
      <c r="I40337" s="63"/>
      <c r="J40337" s="63"/>
    </row>
    <row r="40338" spans="9:10" x14ac:dyDescent="0.35">
      <c r="I40338" s="63"/>
      <c r="J40338" s="63"/>
    </row>
    <row r="40339" spans="9:10" x14ac:dyDescent="0.35">
      <c r="I40339" s="63"/>
      <c r="J40339" s="63"/>
    </row>
    <row r="40340" spans="9:10" x14ac:dyDescent="0.35">
      <c r="I40340" s="63"/>
      <c r="J40340" s="63"/>
    </row>
    <row r="40341" spans="9:10" x14ac:dyDescent="0.35">
      <c r="I40341" s="63"/>
      <c r="J40341" s="63"/>
    </row>
    <row r="40342" spans="9:10" x14ac:dyDescent="0.35">
      <c r="I40342" s="63"/>
      <c r="J40342" s="63"/>
    </row>
    <row r="40343" spans="9:10" x14ac:dyDescent="0.35">
      <c r="I40343" s="63"/>
      <c r="J40343" s="63"/>
    </row>
    <row r="40344" spans="9:10" x14ac:dyDescent="0.35">
      <c r="I40344" s="63"/>
      <c r="J40344" s="63"/>
    </row>
    <row r="40345" spans="9:10" x14ac:dyDescent="0.35">
      <c r="I40345" s="63"/>
      <c r="J40345" s="63"/>
    </row>
    <row r="40346" spans="9:10" x14ac:dyDescent="0.35">
      <c r="I40346" s="63"/>
      <c r="J40346" s="63"/>
    </row>
    <row r="40347" spans="9:10" x14ac:dyDescent="0.35">
      <c r="I40347" s="63"/>
      <c r="J40347" s="63"/>
    </row>
    <row r="40348" spans="9:10" x14ac:dyDescent="0.35">
      <c r="I40348" s="63"/>
      <c r="J40348" s="63"/>
    </row>
    <row r="40349" spans="9:10" x14ac:dyDescent="0.35">
      <c r="I40349" s="63"/>
      <c r="J40349" s="63"/>
    </row>
    <row r="40350" spans="9:10" x14ac:dyDescent="0.35">
      <c r="I40350" s="63"/>
      <c r="J40350" s="63"/>
    </row>
    <row r="40351" spans="9:10" x14ac:dyDescent="0.35">
      <c r="I40351" s="63"/>
      <c r="J40351" s="63"/>
    </row>
    <row r="40352" spans="9:10" x14ac:dyDescent="0.35">
      <c r="I40352" s="63"/>
      <c r="J40352" s="63"/>
    </row>
    <row r="40353" spans="9:10" x14ac:dyDescent="0.35">
      <c r="I40353" s="63"/>
      <c r="J40353" s="63"/>
    </row>
    <row r="40354" spans="9:10" x14ac:dyDescent="0.35">
      <c r="I40354" s="63"/>
      <c r="J40354" s="63"/>
    </row>
    <row r="40355" spans="9:10" x14ac:dyDescent="0.35">
      <c r="I40355" s="63"/>
      <c r="J40355" s="63"/>
    </row>
    <row r="40356" spans="9:10" x14ac:dyDescent="0.35">
      <c r="I40356" s="63"/>
      <c r="J40356" s="63"/>
    </row>
    <row r="40357" spans="9:10" x14ac:dyDescent="0.35">
      <c r="I40357" s="63"/>
      <c r="J40357" s="63"/>
    </row>
    <row r="40358" spans="9:10" x14ac:dyDescent="0.35">
      <c r="I40358" s="63"/>
      <c r="J40358" s="63"/>
    </row>
    <row r="40359" spans="9:10" x14ac:dyDescent="0.35">
      <c r="I40359" s="63"/>
      <c r="J40359" s="63"/>
    </row>
    <row r="40360" spans="9:10" x14ac:dyDescent="0.35">
      <c r="I40360" s="63"/>
      <c r="J40360" s="63"/>
    </row>
    <row r="40361" spans="9:10" x14ac:dyDescent="0.35">
      <c r="I40361" s="63"/>
      <c r="J40361" s="63"/>
    </row>
    <row r="40362" spans="9:10" x14ac:dyDescent="0.35">
      <c r="I40362" s="63"/>
      <c r="J40362" s="63"/>
    </row>
    <row r="40363" spans="9:10" x14ac:dyDescent="0.35">
      <c r="I40363" s="63"/>
      <c r="J40363" s="63"/>
    </row>
    <row r="40364" spans="9:10" x14ac:dyDescent="0.35">
      <c r="I40364" s="63"/>
      <c r="J40364" s="63"/>
    </row>
    <row r="40365" spans="9:10" x14ac:dyDescent="0.35">
      <c r="I40365" s="63"/>
      <c r="J40365" s="63"/>
    </row>
    <row r="40366" spans="9:10" x14ac:dyDescent="0.35">
      <c r="I40366" s="63"/>
      <c r="J40366" s="63"/>
    </row>
    <row r="40367" spans="9:10" x14ac:dyDescent="0.35">
      <c r="I40367" s="63"/>
      <c r="J40367" s="63"/>
    </row>
    <row r="40368" spans="9:10" x14ac:dyDescent="0.35">
      <c r="I40368" s="63"/>
      <c r="J40368" s="63"/>
    </row>
    <row r="40369" spans="9:10" x14ac:dyDescent="0.35">
      <c r="I40369" s="63"/>
      <c r="J40369" s="63"/>
    </row>
    <row r="40370" spans="9:10" x14ac:dyDescent="0.35">
      <c r="I40370" s="63"/>
      <c r="J40370" s="63"/>
    </row>
    <row r="40371" spans="9:10" x14ac:dyDescent="0.35">
      <c r="I40371" s="63"/>
      <c r="J40371" s="63"/>
    </row>
    <row r="40372" spans="9:10" x14ac:dyDescent="0.35">
      <c r="I40372" s="63"/>
      <c r="J40372" s="63"/>
    </row>
    <row r="40373" spans="9:10" x14ac:dyDescent="0.35">
      <c r="I40373" s="63"/>
      <c r="J40373" s="63"/>
    </row>
    <row r="40374" spans="9:10" x14ac:dyDescent="0.35">
      <c r="I40374" s="63"/>
      <c r="J40374" s="63"/>
    </row>
    <row r="40375" spans="9:10" x14ac:dyDescent="0.35">
      <c r="I40375" s="63"/>
      <c r="J40375" s="63"/>
    </row>
    <row r="40376" spans="9:10" x14ac:dyDescent="0.35">
      <c r="I40376" s="63"/>
      <c r="J40376" s="63"/>
    </row>
    <row r="40377" spans="9:10" x14ac:dyDescent="0.35">
      <c r="I40377" s="63"/>
      <c r="J40377" s="63"/>
    </row>
    <row r="40378" spans="9:10" x14ac:dyDescent="0.35">
      <c r="I40378" s="63"/>
      <c r="J40378" s="63"/>
    </row>
    <row r="40379" spans="9:10" x14ac:dyDescent="0.35">
      <c r="I40379" s="63"/>
      <c r="J40379" s="63"/>
    </row>
    <row r="40380" spans="9:10" x14ac:dyDescent="0.35">
      <c r="I40380" s="63"/>
      <c r="J40380" s="63"/>
    </row>
    <row r="40381" spans="9:10" x14ac:dyDescent="0.35">
      <c r="I40381" s="63"/>
      <c r="J40381" s="63"/>
    </row>
    <row r="40382" spans="9:10" x14ac:dyDescent="0.35">
      <c r="I40382" s="63"/>
      <c r="J40382" s="63"/>
    </row>
    <row r="40383" spans="9:10" x14ac:dyDescent="0.35">
      <c r="I40383" s="63"/>
      <c r="J40383" s="63"/>
    </row>
    <row r="40384" spans="9:10" x14ac:dyDescent="0.35">
      <c r="I40384" s="63"/>
      <c r="J40384" s="63"/>
    </row>
    <row r="40385" spans="9:10" x14ac:dyDescent="0.35">
      <c r="I40385" s="63"/>
      <c r="J40385" s="63"/>
    </row>
    <row r="40386" spans="9:10" x14ac:dyDescent="0.35">
      <c r="I40386" s="63"/>
      <c r="J40386" s="63"/>
    </row>
    <row r="40387" spans="9:10" x14ac:dyDescent="0.35">
      <c r="I40387" s="63"/>
      <c r="J40387" s="63"/>
    </row>
    <row r="40388" spans="9:10" x14ac:dyDescent="0.35">
      <c r="I40388" s="63"/>
      <c r="J40388" s="63"/>
    </row>
    <row r="40389" spans="9:10" x14ac:dyDescent="0.35">
      <c r="I40389" s="63"/>
      <c r="J40389" s="63"/>
    </row>
    <row r="40390" spans="9:10" x14ac:dyDescent="0.35">
      <c r="I40390" s="63"/>
      <c r="J40390" s="63"/>
    </row>
    <row r="40391" spans="9:10" x14ac:dyDescent="0.35">
      <c r="I40391" s="63"/>
      <c r="J40391" s="63"/>
    </row>
    <row r="40392" spans="9:10" x14ac:dyDescent="0.35">
      <c r="I40392" s="63"/>
      <c r="J40392" s="63"/>
    </row>
    <row r="40393" spans="9:10" x14ac:dyDescent="0.35">
      <c r="I40393" s="63"/>
      <c r="J40393" s="63"/>
    </row>
    <row r="40394" spans="9:10" x14ac:dyDescent="0.35">
      <c r="I40394" s="63"/>
      <c r="J40394" s="63"/>
    </row>
    <row r="40395" spans="9:10" x14ac:dyDescent="0.35">
      <c r="I40395" s="63"/>
      <c r="J40395" s="63"/>
    </row>
    <row r="40396" spans="9:10" x14ac:dyDescent="0.35">
      <c r="I40396" s="63"/>
      <c r="J40396" s="63"/>
    </row>
    <row r="40397" spans="9:10" x14ac:dyDescent="0.35">
      <c r="I40397" s="63"/>
      <c r="J40397" s="63"/>
    </row>
    <row r="40398" spans="9:10" x14ac:dyDescent="0.35">
      <c r="I40398" s="63"/>
      <c r="J40398" s="63"/>
    </row>
    <row r="40399" spans="9:10" x14ac:dyDescent="0.35">
      <c r="I40399" s="63"/>
      <c r="J40399" s="63"/>
    </row>
    <row r="40400" spans="9:10" x14ac:dyDescent="0.35">
      <c r="I40400" s="63"/>
      <c r="J40400" s="63"/>
    </row>
    <row r="40401" spans="9:10" x14ac:dyDescent="0.35">
      <c r="I40401" s="63"/>
      <c r="J40401" s="63"/>
    </row>
    <row r="40402" spans="9:10" x14ac:dyDescent="0.35">
      <c r="I40402" s="63"/>
      <c r="J40402" s="63"/>
    </row>
    <row r="40403" spans="9:10" x14ac:dyDescent="0.35">
      <c r="I40403" s="63"/>
      <c r="J40403" s="63"/>
    </row>
    <row r="40404" spans="9:10" x14ac:dyDescent="0.35">
      <c r="I40404" s="63"/>
      <c r="J40404" s="63"/>
    </row>
    <row r="40405" spans="9:10" x14ac:dyDescent="0.35">
      <c r="I40405" s="63"/>
      <c r="J40405" s="63"/>
    </row>
    <row r="40406" spans="9:10" x14ac:dyDescent="0.35">
      <c r="I40406" s="63"/>
      <c r="J40406" s="63"/>
    </row>
    <row r="40407" spans="9:10" x14ac:dyDescent="0.35">
      <c r="I40407" s="63"/>
      <c r="J40407" s="63"/>
    </row>
    <row r="40408" spans="9:10" x14ac:dyDescent="0.35">
      <c r="I40408" s="63"/>
      <c r="J40408" s="63"/>
    </row>
    <row r="40409" spans="9:10" x14ac:dyDescent="0.35">
      <c r="I40409" s="63"/>
      <c r="J40409" s="63"/>
    </row>
    <row r="40410" spans="9:10" x14ac:dyDescent="0.35">
      <c r="I40410" s="63"/>
      <c r="J40410" s="63"/>
    </row>
    <row r="40411" spans="9:10" x14ac:dyDescent="0.35">
      <c r="I40411" s="63"/>
      <c r="J40411" s="63"/>
    </row>
    <row r="40412" spans="9:10" x14ac:dyDescent="0.35">
      <c r="I40412" s="63"/>
      <c r="J40412" s="63"/>
    </row>
    <row r="40413" spans="9:10" x14ac:dyDescent="0.35">
      <c r="I40413" s="63"/>
      <c r="J40413" s="63"/>
    </row>
    <row r="40414" spans="9:10" x14ac:dyDescent="0.35">
      <c r="I40414" s="63"/>
      <c r="J40414" s="63"/>
    </row>
    <row r="40415" spans="9:10" x14ac:dyDescent="0.35">
      <c r="I40415" s="63"/>
      <c r="J40415" s="63"/>
    </row>
    <row r="40416" spans="9:10" x14ac:dyDescent="0.35">
      <c r="I40416" s="63"/>
      <c r="J40416" s="63"/>
    </row>
    <row r="40417" spans="9:10" x14ac:dyDescent="0.35">
      <c r="I40417" s="63"/>
      <c r="J40417" s="63"/>
    </row>
    <row r="40418" spans="9:10" x14ac:dyDescent="0.35">
      <c r="I40418" s="63"/>
      <c r="J40418" s="63"/>
    </row>
    <row r="40419" spans="9:10" x14ac:dyDescent="0.35">
      <c r="I40419" s="63"/>
      <c r="J40419" s="63"/>
    </row>
    <row r="40420" spans="9:10" x14ac:dyDescent="0.35">
      <c r="I40420" s="63"/>
      <c r="J40420" s="63"/>
    </row>
    <row r="40421" spans="9:10" x14ac:dyDescent="0.35">
      <c r="I40421" s="63"/>
      <c r="J40421" s="63"/>
    </row>
    <row r="40422" spans="9:10" x14ac:dyDescent="0.35">
      <c r="I40422" s="63"/>
      <c r="J40422" s="63"/>
    </row>
    <row r="40423" spans="9:10" x14ac:dyDescent="0.35">
      <c r="I40423" s="63"/>
      <c r="J40423" s="63"/>
    </row>
    <row r="40424" spans="9:10" x14ac:dyDescent="0.35">
      <c r="I40424" s="63"/>
      <c r="J40424" s="63"/>
    </row>
    <row r="40425" spans="9:10" x14ac:dyDescent="0.35">
      <c r="I40425" s="63"/>
      <c r="J40425" s="63"/>
    </row>
    <row r="40426" spans="9:10" x14ac:dyDescent="0.35">
      <c r="I40426" s="63"/>
      <c r="J40426" s="63"/>
    </row>
    <row r="40427" spans="9:10" x14ac:dyDescent="0.35">
      <c r="I40427" s="63"/>
      <c r="J40427" s="63"/>
    </row>
    <row r="40428" spans="9:10" x14ac:dyDescent="0.35">
      <c r="I40428" s="63"/>
      <c r="J40428" s="63"/>
    </row>
    <row r="40429" spans="9:10" x14ac:dyDescent="0.35">
      <c r="I40429" s="63"/>
      <c r="J40429" s="63"/>
    </row>
    <row r="40430" spans="9:10" x14ac:dyDescent="0.35">
      <c r="I40430" s="63"/>
      <c r="J40430" s="63"/>
    </row>
    <row r="40431" spans="9:10" x14ac:dyDescent="0.35">
      <c r="I40431" s="63"/>
      <c r="J40431" s="63"/>
    </row>
    <row r="40432" spans="9:10" x14ac:dyDescent="0.35">
      <c r="I40432" s="63"/>
      <c r="J40432" s="63"/>
    </row>
    <row r="40433" spans="9:10" x14ac:dyDescent="0.35">
      <c r="I40433" s="63"/>
      <c r="J40433" s="63"/>
    </row>
    <row r="40434" spans="9:10" x14ac:dyDescent="0.35">
      <c r="I40434" s="63"/>
      <c r="J40434" s="63"/>
    </row>
    <row r="40435" spans="9:10" x14ac:dyDescent="0.35">
      <c r="I40435" s="63"/>
      <c r="J40435" s="63"/>
    </row>
    <row r="40436" spans="9:10" x14ac:dyDescent="0.35">
      <c r="I40436" s="63"/>
      <c r="J40436" s="63"/>
    </row>
    <row r="40437" spans="9:10" x14ac:dyDescent="0.35">
      <c r="I40437" s="63"/>
      <c r="J40437" s="63"/>
    </row>
    <row r="40438" spans="9:10" x14ac:dyDescent="0.35">
      <c r="I40438" s="63"/>
      <c r="J40438" s="63"/>
    </row>
    <row r="40439" spans="9:10" x14ac:dyDescent="0.35">
      <c r="I40439" s="63"/>
      <c r="J40439" s="63"/>
    </row>
    <row r="40440" spans="9:10" x14ac:dyDescent="0.35">
      <c r="I40440" s="63"/>
      <c r="J40440" s="63"/>
    </row>
    <row r="40441" spans="9:10" x14ac:dyDescent="0.35">
      <c r="I40441" s="63"/>
      <c r="J40441" s="63"/>
    </row>
    <row r="40442" spans="9:10" x14ac:dyDescent="0.35">
      <c r="I40442" s="63"/>
      <c r="J40442" s="63"/>
    </row>
    <row r="40443" spans="9:10" x14ac:dyDescent="0.35">
      <c r="I40443" s="63"/>
      <c r="J40443" s="63"/>
    </row>
    <row r="40444" spans="9:10" x14ac:dyDescent="0.35">
      <c r="I40444" s="63"/>
      <c r="J40444" s="63"/>
    </row>
    <row r="40445" spans="9:10" x14ac:dyDescent="0.35">
      <c r="I40445" s="63"/>
      <c r="J40445" s="63"/>
    </row>
    <row r="40446" spans="9:10" x14ac:dyDescent="0.35">
      <c r="I40446" s="63"/>
      <c r="J40446" s="63"/>
    </row>
    <row r="40447" spans="9:10" x14ac:dyDescent="0.35">
      <c r="I40447" s="63"/>
      <c r="J40447" s="63"/>
    </row>
    <row r="40448" spans="9:10" x14ac:dyDescent="0.35">
      <c r="I40448" s="63"/>
      <c r="J40448" s="63"/>
    </row>
    <row r="40449" spans="9:10" x14ac:dyDescent="0.35">
      <c r="I40449" s="63"/>
      <c r="J40449" s="63"/>
    </row>
    <row r="40450" spans="9:10" x14ac:dyDescent="0.35">
      <c r="I40450" s="63"/>
      <c r="J40450" s="63"/>
    </row>
    <row r="40451" spans="9:10" x14ac:dyDescent="0.35">
      <c r="I40451" s="63"/>
      <c r="J40451" s="63"/>
    </row>
    <row r="40452" spans="9:10" x14ac:dyDescent="0.35">
      <c r="I40452" s="63"/>
      <c r="J40452" s="63"/>
    </row>
    <row r="40453" spans="9:10" x14ac:dyDescent="0.35">
      <c r="I40453" s="63"/>
      <c r="J40453" s="63"/>
    </row>
    <row r="40454" spans="9:10" x14ac:dyDescent="0.35">
      <c r="I40454" s="63"/>
      <c r="J40454" s="63"/>
    </row>
    <row r="40455" spans="9:10" x14ac:dyDescent="0.35">
      <c r="I40455" s="63"/>
      <c r="J40455" s="63"/>
    </row>
    <row r="40456" spans="9:10" x14ac:dyDescent="0.35">
      <c r="I40456" s="63"/>
      <c r="J40456" s="63"/>
    </row>
    <row r="40457" spans="9:10" x14ac:dyDescent="0.35">
      <c r="I40457" s="63"/>
      <c r="J40457" s="63"/>
    </row>
    <row r="40458" spans="9:10" x14ac:dyDescent="0.35">
      <c r="I40458" s="63"/>
      <c r="J40458" s="63"/>
    </row>
    <row r="40459" spans="9:10" x14ac:dyDescent="0.35">
      <c r="I40459" s="63"/>
      <c r="J40459" s="63"/>
    </row>
    <row r="40460" spans="9:10" x14ac:dyDescent="0.35">
      <c r="I40460" s="63"/>
      <c r="J40460" s="63"/>
    </row>
    <row r="40461" spans="9:10" x14ac:dyDescent="0.35">
      <c r="I40461" s="63"/>
      <c r="J40461" s="63"/>
    </row>
    <row r="40462" spans="9:10" x14ac:dyDescent="0.35">
      <c r="I40462" s="63"/>
      <c r="J40462" s="63"/>
    </row>
    <row r="40463" spans="9:10" x14ac:dyDescent="0.35">
      <c r="I40463" s="63"/>
      <c r="J40463" s="63"/>
    </row>
    <row r="40464" spans="9:10" x14ac:dyDescent="0.35">
      <c r="I40464" s="63"/>
      <c r="J40464" s="63"/>
    </row>
    <row r="40465" spans="9:10" x14ac:dyDescent="0.35">
      <c r="I40465" s="63"/>
      <c r="J40465" s="63"/>
    </row>
    <row r="40466" spans="9:10" x14ac:dyDescent="0.35">
      <c r="I40466" s="63"/>
      <c r="J40466" s="63"/>
    </row>
    <row r="40467" spans="9:10" x14ac:dyDescent="0.35">
      <c r="I40467" s="63"/>
      <c r="J40467" s="63"/>
    </row>
    <row r="40468" spans="9:10" x14ac:dyDescent="0.35">
      <c r="I40468" s="63"/>
      <c r="J40468" s="63"/>
    </row>
    <row r="40469" spans="9:10" x14ac:dyDescent="0.35">
      <c r="I40469" s="63"/>
      <c r="J40469" s="63"/>
    </row>
    <row r="40470" spans="9:10" x14ac:dyDescent="0.35">
      <c r="I40470" s="63"/>
      <c r="J40470" s="63"/>
    </row>
    <row r="40471" spans="9:10" x14ac:dyDescent="0.35">
      <c r="I40471" s="63"/>
      <c r="J40471" s="63"/>
    </row>
    <row r="40472" spans="9:10" x14ac:dyDescent="0.35">
      <c r="I40472" s="63"/>
      <c r="J40472" s="63"/>
    </row>
    <row r="40473" spans="9:10" x14ac:dyDescent="0.35">
      <c r="I40473" s="63"/>
      <c r="J40473" s="63"/>
    </row>
    <row r="40474" spans="9:10" x14ac:dyDescent="0.35">
      <c r="I40474" s="63"/>
      <c r="J40474" s="63"/>
    </row>
    <row r="40475" spans="9:10" x14ac:dyDescent="0.35">
      <c r="I40475" s="63"/>
      <c r="J40475" s="63"/>
    </row>
    <row r="40476" spans="9:10" x14ac:dyDescent="0.35">
      <c r="I40476" s="63"/>
      <c r="J40476" s="63"/>
    </row>
    <row r="40477" spans="9:10" x14ac:dyDescent="0.35">
      <c r="I40477" s="63"/>
      <c r="J40477" s="63"/>
    </row>
    <row r="40478" spans="9:10" x14ac:dyDescent="0.35">
      <c r="I40478" s="63"/>
      <c r="J40478" s="63"/>
    </row>
    <row r="40479" spans="9:10" x14ac:dyDescent="0.35">
      <c r="I40479" s="63"/>
      <c r="J40479" s="63"/>
    </row>
    <row r="40480" spans="9:10" x14ac:dyDescent="0.35">
      <c r="I40480" s="63"/>
      <c r="J40480" s="63"/>
    </row>
    <row r="40481" spans="9:10" x14ac:dyDescent="0.35">
      <c r="I40481" s="63"/>
      <c r="J40481" s="63"/>
    </row>
    <row r="40482" spans="9:10" x14ac:dyDescent="0.35">
      <c r="I40482" s="63"/>
      <c r="J40482" s="63"/>
    </row>
    <row r="40483" spans="9:10" x14ac:dyDescent="0.35">
      <c r="I40483" s="63"/>
      <c r="J40483" s="63"/>
    </row>
    <row r="40484" spans="9:10" x14ac:dyDescent="0.35">
      <c r="I40484" s="63"/>
      <c r="J40484" s="63"/>
    </row>
    <row r="40485" spans="9:10" x14ac:dyDescent="0.35">
      <c r="I40485" s="63"/>
      <c r="J40485" s="63"/>
    </row>
    <row r="40486" spans="9:10" x14ac:dyDescent="0.35">
      <c r="I40486" s="63"/>
      <c r="J40486" s="63"/>
    </row>
    <row r="40487" spans="9:10" x14ac:dyDescent="0.35">
      <c r="I40487" s="63"/>
      <c r="J40487" s="63"/>
    </row>
    <row r="40488" spans="9:10" x14ac:dyDescent="0.35">
      <c r="I40488" s="63"/>
      <c r="J40488" s="63"/>
    </row>
    <row r="40489" spans="9:10" x14ac:dyDescent="0.35">
      <c r="I40489" s="63"/>
      <c r="J40489" s="63"/>
    </row>
    <row r="40490" spans="9:10" x14ac:dyDescent="0.35">
      <c r="I40490" s="63"/>
      <c r="J40490" s="63"/>
    </row>
    <row r="40491" spans="9:10" x14ac:dyDescent="0.35">
      <c r="I40491" s="63"/>
      <c r="J40491" s="63"/>
    </row>
    <row r="40492" spans="9:10" x14ac:dyDescent="0.35">
      <c r="I40492" s="63"/>
      <c r="J40492" s="63"/>
    </row>
    <row r="40493" spans="9:10" x14ac:dyDescent="0.35">
      <c r="I40493" s="63"/>
      <c r="J40493" s="63"/>
    </row>
    <row r="40494" spans="9:10" x14ac:dyDescent="0.35">
      <c r="I40494" s="63"/>
      <c r="J40494" s="63"/>
    </row>
    <row r="40495" spans="9:10" x14ac:dyDescent="0.35">
      <c r="I40495" s="63"/>
      <c r="J40495" s="63"/>
    </row>
    <row r="40496" spans="9:10" x14ac:dyDescent="0.35">
      <c r="I40496" s="63"/>
      <c r="J40496" s="63"/>
    </row>
    <row r="40497" spans="9:10" x14ac:dyDescent="0.35">
      <c r="I40497" s="63"/>
      <c r="J40497" s="63"/>
    </row>
    <row r="40498" spans="9:10" x14ac:dyDescent="0.35">
      <c r="I40498" s="63"/>
      <c r="J40498" s="63"/>
    </row>
    <row r="40499" spans="9:10" x14ac:dyDescent="0.35">
      <c r="I40499" s="63"/>
      <c r="J40499" s="63"/>
    </row>
    <row r="40500" spans="9:10" x14ac:dyDescent="0.35">
      <c r="I40500" s="63"/>
      <c r="J40500" s="63"/>
    </row>
    <row r="40501" spans="9:10" x14ac:dyDescent="0.35">
      <c r="I40501" s="63"/>
      <c r="J40501" s="63"/>
    </row>
    <row r="40502" spans="9:10" x14ac:dyDescent="0.35">
      <c r="I40502" s="63"/>
      <c r="J40502" s="63"/>
    </row>
    <row r="40503" spans="9:10" x14ac:dyDescent="0.35">
      <c r="I40503" s="63"/>
      <c r="J40503" s="63"/>
    </row>
    <row r="40504" spans="9:10" x14ac:dyDescent="0.35">
      <c r="I40504" s="63"/>
      <c r="J40504" s="63"/>
    </row>
    <row r="40505" spans="9:10" x14ac:dyDescent="0.35">
      <c r="I40505" s="63"/>
      <c r="J40505" s="63"/>
    </row>
    <row r="40506" spans="9:10" x14ac:dyDescent="0.35">
      <c r="I40506" s="63"/>
      <c r="J40506" s="63"/>
    </row>
    <row r="40507" spans="9:10" x14ac:dyDescent="0.35">
      <c r="I40507" s="63"/>
      <c r="J40507" s="63"/>
    </row>
    <row r="40508" spans="9:10" x14ac:dyDescent="0.35">
      <c r="I40508" s="63"/>
      <c r="J40508" s="63"/>
    </row>
    <row r="40509" spans="9:10" x14ac:dyDescent="0.35">
      <c r="I40509" s="63"/>
      <c r="J40509" s="63"/>
    </row>
    <row r="40510" spans="9:10" x14ac:dyDescent="0.35">
      <c r="I40510" s="63"/>
      <c r="J40510" s="63"/>
    </row>
    <row r="40511" spans="9:10" x14ac:dyDescent="0.35">
      <c r="I40511" s="63"/>
      <c r="J40511" s="63"/>
    </row>
    <row r="40512" spans="9:10" x14ac:dyDescent="0.35">
      <c r="I40512" s="63"/>
      <c r="J40512" s="63"/>
    </row>
    <row r="40513" spans="9:10" x14ac:dyDescent="0.35">
      <c r="I40513" s="63"/>
      <c r="J40513" s="63"/>
    </row>
    <row r="40514" spans="9:10" x14ac:dyDescent="0.35">
      <c r="I40514" s="63"/>
      <c r="J40514" s="63"/>
    </row>
    <row r="40515" spans="9:10" x14ac:dyDescent="0.35">
      <c r="I40515" s="63"/>
      <c r="J40515" s="63"/>
    </row>
    <row r="40516" spans="9:10" x14ac:dyDescent="0.35">
      <c r="I40516" s="63"/>
      <c r="J40516" s="63"/>
    </row>
    <row r="40517" spans="9:10" x14ac:dyDescent="0.35">
      <c r="I40517" s="63"/>
      <c r="J40517" s="63"/>
    </row>
    <row r="40518" spans="9:10" x14ac:dyDescent="0.35">
      <c r="I40518" s="63"/>
      <c r="J40518" s="63"/>
    </row>
    <row r="40519" spans="9:10" x14ac:dyDescent="0.35">
      <c r="I40519" s="63"/>
      <c r="J40519" s="63"/>
    </row>
    <row r="40520" spans="9:10" x14ac:dyDescent="0.35">
      <c r="I40520" s="63"/>
      <c r="J40520" s="63"/>
    </row>
    <row r="40521" spans="9:10" x14ac:dyDescent="0.35">
      <c r="I40521" s="63"/>
      <c r="J40521" s="63"/>
    </row>
    <row r="40522" spans="9:10" x14ac:dyDescent="0.35">
      <c r="I40522" s="63"/>
      <c r="J40522" s="63"/>
    </row>
    <row r="40523" spans="9:10" x14ac:dyDescent="0.35">
      <c r="I40523" s="63"/>
      <c r="J40523" s="63"/>
    </row>
    <row r="40524" spans="9:10" x14ac:dyDescent="0.35">
      <c r="I40524" s="63"/>
      <c r="J40524" s="63"/>
    </row>
    <row r="40525" spans="9:10" x14ac:dyDescent="0.35">
      <c r="I40525" s="63"/>
      <c r="J40525" s="63"/>
    </row>
    <row r="40526" spans="9:10" x14ac:dyDescent="0.35">
      <c r="I40526" s="63"/>
      <c r="J40526" s="63"/>
    </row>
    <row r="40527" spans="9:10" x14ac:dyDescent="0.35">
      <c r="I40527" s="63"/>
      <c r="J40527" s="63"/>
    </row>
    <row r="40528" spans="9:10" x14ac:dyDescent="0.35">
      <c r="I40528" s="63"/>
      <c r="J40528" s="63"/>
    </row>
    <row r="40529" spans="9:10" x14ac:dyDescent="0.35">
      <c r="I40529" s="63"/>
      <c r="J40529" s="63"/>
    </row>
    <row r="40530" spans="9:10" x14ac:dyDescent="0.35">
      <c r="I40530" s="63"/>
      <c r="J40530" s="63"/>
    </row>
    <row r="40531" spans="9:10" x14ac:dyDescent="0.35">
      <c r="I40531" s="63"/>
      <c r="J40531" s="63"/>
    </row>
    <row r="40532" spans="9:10" x14ac:dyDescent="0.35">
      <c r="I40532" s="63"/>
      <c r="J40532" s="63"/>
    </row>
    <row r="40533" spans="9:10" x14ac:dyDescent="0.35">
      <c r="I40533" s="63"/>
      <c r="J40533" s="63"/>
    </row>
    <row r="40534" spans="9:10" x14ac:dyDescent="0.35">
      <c r="I40534" s="63"/>
      <c r="J40534" s="63"/>
    </row>
    <row r="40535" spans="9:10" x14ac:dyDescent="0.35">
      <c r="I40535" s="63"/>
      <c r="J40535" s="63"/>
    </row>
    <row r="40536" spans="9:10" x14ac:dyDescent="0.35">
      <c r="I40536" s="63"/>
      <c r="J40536" s="63"/>
    </row>
    <row r="40537" spans="9:10" x14ac:dyDescent="0.35">
      <c r="I40537" s="63"/>
      <c r="J40537" s="63"/>
    </row>
    <row r="40538" spans="9:10" x14ac:dyDescent="0.35">
      <c r="I40538" s="63"/>
      <c r="J40538" s="63"/>
    </row>
    <row r="40539" spans="9:10" x14ac:dyDescent="0.35">
      <c r="I40539" s="63"/>
      <c r="J40539" s="63"/>
    </row>
    <row r="40540" spans="9:10" x14ac:dyDescent="0.35">
      <c r="I40540" s="63"/>
      <c r="J40540" s="63"/>
    </row>
    <row r="40541" spans="9:10" x14ac:dyDescent="0.35">
      <c r="I40541" s="63"/>
      <c r="J40541" s="63"/>
    </row>
    <row r="40542" spans="9:10" x14ac:dyDescent="0.35">
      <c r="I40542" s="63"/>
      <c r="J40542" s="63"/>
    </row>
    <row r="40543" spans="9:10" x14ac:dyDescent="0.35">
      <c r="I40543" s="63"/>
      <c r="J40543" s="63"/>
    </row>
    <row r="40544" spans="9:10" x14ac:dyDescent="0.35">
      <c r="I40544" s="63"/>
      <c r="J40544" s="63"/>
    </row>
    <row r="40545" spans="9:10" x14ac:dyDescent="0.35">
      <c r="I40545" s="63"/>
      <c r="J40545" s="63"/>
    </row>
    <row r="40546" spans="9:10" x14ac:dyDescent="0.35">
      <c r="I40546" s="63"/>
      <c r="J40546" s="63"/>
    </row>
    <row r="40547" spans="9:10" x14ac:dyDescent="0.35">
      <c r="I40547" s="63"/>
      <c r="J40547" s="63"/>
    </row>
    <row r="40548" spans="9:10" x14ac:dyDescent="0.35">
      <c r="I40548" s="63"/>
      <c r="J40548" s="63"/>
    </row>
    <row r="40549" spans="9:10" x14ac:dyDescent="0.35">
      <c r="I40549" s="63"/>
      <c r="J40549" s="63"/>
    </row>
    <row r="40550" spans="9:10" x14ac:dyDescent="0.35">
      <c r="I40550" s="63"/>
      <c r="J40550" s="63"/>
    </row>
    <row r="40551" spans="9:10" x14ac:dyDescent="0.35">
      <c r="I40551" s="63"/>
      <c r="J40551" s="63"/>
    </row>
    <row r="40552" spans="9:10" x14ac:dyDescent="0.35">
      <c r="I40552" s="63"/>
      <c r="J40552" s="63"/>
    </row>
    <row r="40553" spans="9:10" x14ac:dyDescent="0.35">
      <c r="I40553" s="63"/>
      <c r="J40553" s="63"/>
    </row>
    <row r="40554" spans="9:10" x14ac:dyDescent="0.35">
      <c r="I40554" s="63"/>
      <c r="J40554" s="63"/>
    </row>
    <row r="40555" spans="9:10" x14ac:dyDescent="0.35">
      <c r="I40555" s="63"/>
      <c r="J40555" s="63"/>
    </row>
    <row r="40556" spans="9:10" x14ac:dyDescent="0.35">
      <c r="I40556" s="63"/>
      <c r="J40556" s="63"/>
    </row>
    <row r="40557" spans="9:10" x14ac:dyDescent="0.35">
      <c r="I40557" s="63"/>
      <c r="J40557" s="63"/>
    </row>
    <row r="40558" spans="9:10" x14ac:dyDescent="0.35">
      <c r="I40558" s="63"/>
      <c r="J40558" s="63"/>
    </row>
    <row r="40559" spans="9:10" x14ac:dyDescent="0.35">
      <c r="I40559" s="63"/>
      <c r="J40559" s="63"/>
    </row>
    <row r="40560" spans="9:10" x14ac:dyDescent="0.35">
      <c r="I40560" s="63"/>
      <c r="J40560" s="63"/>
    </row>
    <row r="40561" spans="9:10" x14ac:dyDescent="0.35">
      <c r="I40561" s="63"/>
      <c r="J40561" s="63"/>
    </row>
    <row r="40562" spans="9:10" x14ac:dyDescent="0.35">
      <c r="I40562" s="63"/>
      <c r="J40562" s="63"/>
    </row>
    <row r="40563" spans="9:10" x14ac:dyDescent="0.35">
      <c r="I40563" s="63"/>
      <c r="J40563" s="63"/>
    </row>
    <row r="40564" spans="9:10" x14ac:dyDescent="0.35">
      <c r="I40564" s="63"/>
      <c r="J40564" s="63"/>
    </row>
    <row r="40565" spans="9:10" x14ac:dyDescent="0.35">
      <c r="I40565" s="63"/>
      <c r="J40565" s="63"/>
    </row>
    <row r="40566" spans="9:10" x14ac:dyDescent="0.35">
      <c r="I40566" s="63"/>
      <c r="J40566" s="63"/>
    </row>
    <row r="40567" spans="9:10" x14ac:dyDescent="0.35">
      <c r="I40567" s="63"/>
      <c r="J40567" s="63"/>
    </row>
    <row r="40568" spans="9:10" x14ac:dyDescent="0.35">
      <c r="I40568" s="63"/>
      <c r="J40568" s="63"/>
    </row>
    <row r="40569" spans="9:10" x14ac:dyDescent="0.35">
      <c r="I40569" s="63"/>
      <c r="J40569" s="63"/>
    </row>
    <row r="40570" spans="9:10" x14ac:dyDescent="0.35">
      <c r="I40570" s="63"/>
      <c r="J40570" s="63"/>
    </row>
    <row r="40571" spans="9:10" x14ac:dyDescent="0.35">
      <c r="I40571" s="63"/>
      <c r="J40571" s="63"/>
    </row>
    <row r="40572" spans="9:10" x14ac:dyDescent="0.35">
      <c r="I40572" s="63"/>
      <c r="J40572" s="63"/>
    </row>
    <row r="40573" spans="9:10" x14ac:dyDescent="0.35">
      <c r="I40573" s="63"/>
      <c r="J40573" s="63"/>
    </row>
    <row r="40574" spans="9:10" x14ac:dyDescent="0.35">
      <c r="I40574" s="63"/>
      <c r="J40574" s="63"/>
    </row>
    <row r="40575" spans="9:10" x14ac:dyDescent="0.35">
      <c r="I40575" s="63"/>
      <c r="J40575" s="63"/>
    </row>
    <row r="40576" spans="9:10" x14ac:dyDescent="0.35">
      <c r="I40576" s="63"/>
      <c r="J40576" s="63"/>
    </row>
    <row r="40577" spans="9:10" x14ac:dyDescent="0.35">
      <c r="I40577" s="63"/>
      <c r="J40577" s="63"/>
    </row>
    <row r="40578" spans="9:10" x14ac:dyDescent="0.35">
      <c r="I40578" s="63"/>
      <c r="J40578" s="63"/>
    </row>
    <row r="40579" spans="9:10" x14ac:dyDescent="0.35">
      <c r="I40579" s="63"/>
      <c r="J40579" s="63"/>
    </row>
    <row r="40580" spans="9:10" x14ac:dyDescent="0.35">
      <c r="I40580" s="63"/>
      <c r="J40580" s="63"/>
    </row>
    <row r="40581" spans="9:10" x14ac:dyDescent="0.35">
      <c r="I40581" s="63"/>
      <c r="J40581" s="63"/>
    </row>
    <row r="40582" spans="9:10" x14ac:dyDescent="0.35">
      <c r="I40582" s="63"/>
      <c r="J40582" s="63"/>
    </row>
    <row r="40583" spans="9:10" x14ac:dyDescent="0.35">
      <c r="I40583" s="63"/>
      <c r="J40583" s="63"/>
    </row>
    <row r="40584" spans="9:10" x14ac:dyDescent="0.35">
      <c r="I40584" s="63"/>
      <c r="J40584" s="63"/>
    </row>
    <row r="40585" spans="9:10" x14ac:dyDescent="0.35">
      <c r="I40585" s="63"/>
      <c r="J40585" s="63"/>
    </row>
    <row r="40586" spans="9:10" x14ac:dyDescent="0.35">
      <c r="I40586" s="63"/>
      <c r="J40586" s="63"/>
    </row>
    <row r="40587" spans="9:10" x14ac:dyDescent="0.35">
      <c r="I40587" s="63"/>
      <c r="J40587" s="63"/>
    </row>
    <row r="40588" spans="9:10" x14ac:dyDescent="0.35">
      <c r="I40588" s="63"/>
      <c r="J40588" s="63"/>
    </row>
    <row r="40589" spans="9:10" x14ac:dyDescent="0.35">
      <c r="I40589" s="63"/>
      <c r="J40589" s="63"/>
    </row>
    <row r="40590" spans="9:10" x14ac:dyDescent="0.35">
      <c r="I40590" s="63"/>
      <c r="J40590" s="63"/>
    </row>
    <row r="40591" spans="9:10" x14ac:dyDescent="0.35">
      <c r="I40591" s="63"/>
      <c r="J40591" s="63"/>
    </row>
    <row r="40592" spans="9:10" x14ac:dyDescent="0.35">
      <c r="I40592" s="63"/>
      <c r="J40592" s="63"/>
    </row>
    <row r="40593" spans="9:10" x14ac:dyDescent="0.35">
      <c r="I40593" s="63"/>
      <c r="J40593" s="63"/>
    </row>
    <row r="40594" spans="9:10" x14ac:dyDescent="0.35">
      <c r="I40594" s="63"/>
      <c r="J40594" s="63"/>
    </row>
    <row r="40595" spans="9:10" x14ac:dyDescent="0.35">
      <c r="I40595" s="63"/>
      <c r="J40595" s="63"/>
    </row>
    <row r="40596" spans="9:10" x14ac:dyDescent="0.35">
      <c r="I40596" s="63"/>
      <c r="J40596" s="63"/>
    </row>
    <row r="40597" spans="9:10" x14ac:dyDescent="0.35">
      <c r="I40597" s="63"/>
      <c r="J40597" s="63"/>
    </row>
    <row r="40598" spans="9:10" x14ac:dyDescent="0.35">
      <c r="I40598" s="63"/>
      <c r="J40598" s="63"/>
    </row>
    <row r="40599" spans="9:10" x14ac:dyDescent="0.35">
      <c r="I40599" s="63"/>
      <c r="J40599" s="63"/>
    </row>
    <row r="40600" spans="9:10" x14ac:dyDescent="0.35">
      <c r="I40600" s="63"/>
      <c r="J40600" s="63"/>
    </row>
    <row r="40601" spans="9:10" x14ac:dyDescent="0.35">
      <c r="I40601" s="63"/>
      <c r="J40601" s="63"/>
    </row>
    <row r="40602" spans="9:10" x14ac:dyDescent="0.35">
      <c r="I40602" s="63"/>
      <c r="J40602" s="63"/>
    </row>
    <row r="40603" spans="9:10" x14ac:dyDescent="0.35">
      <c r="I40603" s="63"/>
      <c r="J40603" s="63"/>
    </row>
    <row r="40604" spans="9:10" x14ac:dyDescent="0.35">
      <c r="I40604" s="63"/>
      <c r="J40604" s="63"/>
    </row>
    <row r="40605" spans="9:10" x14ac:dyDescent="0.35">
      <c r="I40605" s="63"/>
      <c r="J40605" s="63"/>
    </row>
    <row r="40606" spans="9:10" x14ac:dyDescent="0.35">
      <c r="I40606" s="63"/>
      <c r="J40606" s="63"/>
    </row>
    <row r="40607" spans="9:10" x14ac:dyDescent="0.35">
      <c r="I40607" s="63"/>
      <c r="J40607" s="63"/>
    </row>
    <row r="40608" spans="9:10" x14ac:dyDescent="0.35">
      <c r="I40608" s="63"/>
      <c r="J40608" s="63"/>
    </row>
    <row r="40609" spans="9:10" x14ac:dyDescent="0.35">
      <c r="I40609" s="63"/>
      <c r="J40609" s="63"/>
    </row>
    <row r="40610" spans="9:10" x14ac:dyDescent="0.35">
      <c r="I40610" s="63"/>
      <c r="J40610" s="63"/>
    </row>
    <row r="40611" spans="9:10" x14ac:dyDescent="0.35">
      <c r="I40611" s="63"/>
      <c r="J40611" s="63"/>
    </row>
    <row r="40612" spans="9:10" x14ac:dyDescent="0.35">
      <c r="I40612" s="63"/>
      <c r="J40612" s="63"/>
    </row>
    <row r="40613" spans="9:10" x14ac:dyDescent="0.35">
      <c r="I40613" s="63"/>
      <c r="J40613" s="63"/>
    </row>
    <row r="40614" spans="9:10" x14ac:dyDescent="0.35">
      <c r="I40614" s="63"/>
      <c r="J40614" s="63"/>
    </row>
    <row r="40615" spans="9:10" x14ac:dyDescent="0.35">
      <c r="I40615" s="63"/>
      <c r="J40615" s="63"/>
    </row>
    <row r="40616" spans="9:10" x14ac:dyDescent="0.35">
      <c r="I40616" s="63"/>
      <c r="J40616" s="63"/>
    </row>
    <row r="40617" spans="9:10" x14ac:dyDescent="0.35">
      <c r="I40617" s="63"/>
      <c r="J40617" s="63"/>
    </row>
    <row r="40618" spans="9:10" x14ac:dyDescent="0.35">
      <c r="I40618" s="63"/>
      <c r="J40618" s="63"/>
    </row>
    <row r="40619" spans="9:10" x14ac:dyDescent="0.35">
      <c r="I40619" s="63"/>
      <c r="J40619" s="63"/>
    </row>
    <row r="40620" spans="9:10" x14ac:dyDescent="0.35">
      <c r="I40620" s="63"/>
      <c r="J40620" s="63"/>
    </row>
    <row r="40621" spans="9:10" x14ac:dyDescent="0.35">
      <c r="I40621" s="63"/>
      <c r="J40621" s="63"/>
    </row>
    <row r="40622" spans="9:10" x14ac:dyDescent="0.35">
      <c r="I40622" s="63"/>
      <c r="J40622" s="63"/>
    </row>
    <row r="40623" spans="9:10" x14ac:dyDescent="0.35">
      <c r="I40623" s="63"/>
      <c r="J40623" s="63"/>
    </row>
    <row r="40624" spans="9:10" x14ac:dyDescent="0.35">
      <c r="I40624" s="63"/>
      <c r="J40624" s="63"/>
    </row>
    <row r="40625" spans="9:10" x14ac:dyDescent="0.35">
      <c r="I40625" s="63"/>
      <c r="J40625" s="63"/>
    </row>
    <row r="40626" spans="9:10" x14ac:dyDescent="0.35">
      <c r="I40626" s="63"/>
      <c r="J40626" s="63"/>
    </row>
    <row r="40627" spans="9:10" x14ac:dyDescent="0.35">
      <c r="I40627" s="63"/>
      <c r="J40627" s="63"/>
    </row>
    <row r="40628" spans="9:10" x14ac:dyDescent="0.35">
      <c r="I40628" s="63"/>
      <c r="J40628" s="63"/>
    </row>
    <row r="40629" spans="9:10" x14ac:dyDescent="0.35">
      <c r="I40629" s="63"/>
      <c r="J40629" s="63"/>
    </row>
    <row r="40630" spans="9:10" x14ac:dyDescent="0.35">
      <c r="I40630" s="63"/>
      <c r="J40630" s="63"/>
    </row>
    <row r="40631" spans="9:10" x14ac:dyDescent="0.35">
      <c r="I40631" s="63"/>
      <c r="J40631" s="63"/>
    </row>
    <row r="40632" spans="9:10" x14ac:dyDescent="0.35">
      <c r="I40632" s="63"/>
      <c r="J40632" s="63"/>
    </row>
    <row r="40633" spans="9:10" x14ac:dyDescent="0.35">
      <c r="I40633" s="63"/>
      <c r="J40633" s="63"/>
    </row>
    <row r="40634" spans="9:10" x14ac:dyDescent="0.35">
      <c r="I40634" s="63"/>
      <c r="J40634" s="63"/>
    </row>
    <row r="40635" spans="9:10" x14ac:dyDescent="0.35">
      <c r="I40635" s="63"/>
      <c r="J40635" s="63"/>
    </row>
    <row r="40636" spans="9:10" x14ac:dyDescent="0.35">
      <c r="I40636" s="63"/>
      <c r="J40636" s="63"/>
    </row>
    <row r="40637" spans="9:10" x14ac:dyDescent="0.35">
      <c r="I40637" s="63"/>
      <c r="J40637" s="63"/>
    </row>
    <row r="40638" spans="9:10" x14ac:dyDescent="0.35">
      <c r="I40638" s="63"/>
      <c r="J40638" s="63"/>
    </row>
    <row r="40639" spans="9:10" x14ac:dyDescent="0.35">
      <c r="I40639" s="63"/>
      <c r="J40639" s="63"/>
    </row>
    <row r="40640" spans="9:10" x14ac:dyDescent="0.35">
      <c r="I40640" s="63"/>
      <c r="J40640" s="63"/>
    </row>
    <row r="40641" spans="9:10" x14ac:dyDescent="0.35">
      <c r="I40641" s="63"/>
      <c r="J40641" s="63"/>
    </row>
    <row r="40642" spans="9:10" x14ac:dyDescent="0.35">
      <c r="I40642" s="63"/>
      <c r="J40642" s="63"/>
    </row>
    <row r="40643" spans="9:10" x14ac:dyDescent="0.35">
      <c r="I40643" s="63"/>
      <c r="J40643" s="63"/>
    </row>
    <row r="40644" spans="9:10" x14ac:dyDescent="0.35">
      <c r="I40644" s="63"/>
      <c r="J40644" s="63"/>
    </row>
    <row r="40645" spans="9:10" x14ac:dyDescent="0.35">
      <c r="I40645" s="63"/>
      <c r="J40645" s="63"/>
    </row>
    <row r="40646" spans="9:10" x14ac:dyDescent="0.35">
      <c r="I40646" s="63"/>
      <c r="J40646" s="63"/>
    </row>
    <row r="40647" spans="9:10" x14ac:dyDescent="0.35">
      <c r="I40647" s="63"/>
      <c r="J40647" s="63"/>
    </row>
    <row r="40648" spans="9:10" x14ac:dyDescent="0.35">
      <c r="I40648" s="63"/>
      <c r="J40648" s="63"/>
    </row>
    <row r="40649" spans="9:10" x14ac:dyDescent="0.35">
      <c r="I40649" s="63"/>
      <c r="J40649" s="63"/>
    </row>
    <row r="40650" spans="9:10" x14ac:dyDescent="0.35">
      <c r="I40650" s="63"/>
      <c r="J40650" s="63"/>
    </row>
    <row r="40651" spans="9:10" x14ac:dyDescent="0.35">
      <c r="I40651" s="63"/>
      <c r="J40651" s="63"/>
    </row>
    <row r="40652" spans="9:10" x14ac:dyDescent="0.35">
      <c r="I40652" s="63"/>
      <c r="J40652" s="63"/>
    </row>
    <row r="40653" spans="9:10" x14ac:dyDescent="0.35">
      <c r="I40653" s="63"/>
      <c r="J40653" s="63"/>
    </row>
    <row r="40654" spans="9:10" x14ac:dyDescent="0.35">
      <c r="I40654" s="63"/>
      <c r="J40654" s="63"/>
    </row>
    <row r="40655" spans="9:10" x14ac:dyDescent="0.35">
      <c r="I40655" s="63"/>
      <c r="J40655" s="63"/>
    </row>
    <row r="40656" spans="9:10" x14ac:dyDescent="0.35">
      <c r="I40656" s="63"/>
      <c r="J40656" s="63"/>
    </row>
    <row r="40657" spans="9:10" x14ac:dyDescent="0.35">
      <c r="I40657" s="63"/>
      <c r="J40657" s="63"/>
    </row>
    <row r="40658" spans="9:10" x14ac:dyDescent="0.35">
      <c r="I40658" s="63"/>
      <c r="J40658" s="63"/>
    </row>
    <row r="40659" spans="9:10" x14ac:dyDescent="0.35">
      <c r="I40659" s="63"/>
      <c r="J40659" s="63"/>
    </row>
    <row r="40660" spans="9:10" x14ac:dyDescent="0.35">
      <c r="I40660" s="63"/>
      <c r="J40660" s="63"/>
    </row>
    <row r="40661" spans="9:10" x14ac:dyDescent="0.35">
      <c r="I40661" s="63"/>
      <c r="J40661" s="63"/>
    </row>
    <row r="40662" spans="9:10" x14ac:dyDescent="0.35">
      <c r="I40662" s="63"/>
      <c r="J40662" s="63"/>
    </row>
    <row r="40663" spans="9:10" x14ac:dyDescent="0.35">
      <c r="I40663" s="63"/>
      <c r="J40663" s="63"/>
    </row>
    <row r="40664" spans="9:10" x14ac:dyDescent="0.35">
      <c r="I40664" s="63"/>
      <c r="J40664" s="63"/>
    </row>
    <row r="40665" spans="9:10" x14ac:dyDescent="0.35">
      <c r="I40665" s="63"/>
      <c r="J40665" s="63"/>
    </row>
    <row r="40666" spans="9:10" x14ac:dyDescent="0.35">
      <c r="I40666" s="63"/>
      <c r="J40666" s="63"/>
    </row>
    <row r="40667" spans="9:10" x14ac:dyDescent="0.35">
      <c r="I40667" s="63"/>
      <c r="J40667" s="63"/>
    </row>
    <row r="40668" spans="9:10" x14ac:dyDescent="0.35">
      <c r="I40668" s="63"/>
      <c r="J40668" s="63"/>
    </row>
    <row r="40669" spans="9:10" x14ac:dyDescent="0.35">
      <c r="I40669" s="63"/>
      <c r="J40669" s="63"/>
    </row>
    <row r="40670" spans="9:10" x14ac:dyDescent="0.35">
      <c r="I40670" s="63"/>
      <c r="J40670" s="63"/>
    </row>
    <row r="40671" spans="9:10" x14ac:dyDescent="0.35">
      <c r="I40671" s="63"/>
      <c r="J40671" s="63"/>
    </row>
    <row r="40672" spans="9:10" x14ac:dyDescent="0.35">
      <c r="I40672" s="63"/>
      <c r="J40672" s="63"/>
    </row>
    <row r="40673" spans="9:10" x14ac:dyDescent="0.35">
      <c r="I40673" s="63"/>
      <c r="J40673" s="63"/>
    </row>
    <row r="40674" spans="9:10" x14ac:dyDescent="0.35">
      <c r="I40674" s="63"/>
      <c r="J40674" s="63"/>
    </row>
    <row r="40675" spans="9:10" x14ac:dyDescent="0.35">
      <c r="I40675" s="63"/>
      <c r="J40675" s="63"/>
    </row>
    <row r="40676" spans="9:10" x14ac:dyDescent="0.35">
      <c r="I40676" s="63"/>
      <c r="J40676" s="63"/>
    </row>
    <row r="40677" spans="9:10" x14ac:dyDescent="0.35">
      <c r="I40677" s="63"/>
      <c r="J40677" s="63"/>
    </row>
    <row r="40678" spans="9:10" x14ac:dyDescent="0.35">
      <c r="I40678" s="63"/>
      <c r="J40678" s="63"/>
    </row>
    <row r="40679" spans="9:10" x14ac:dyDescent="0.35">
      <c r="I40679" s="63"/>
      <c r="J40679" s="63"/>
    </row>
    <row r="40680" spans="9:10" x14ac:dyDescent="0.35">
      <c r="I40680" s="63"/>
      <c r="J40680" s="63"/>
    </row>
    <row r="40681" spans="9:10" x14ac:dyDescent="0.35">
      <c r="I40681" s="63"/>
      <c r="J40681" s="63"/>
    </row>
    <row r="40682" spans="9:10" x14ac:dyDescent="0.35">
      <c r="I40682" s="63"/>
      <c r="J40682" s="63"/>
    </row>
    <row r="40683" spans="9:10" x14ac:dyDescent="0.35">
      <c r="I40683" s="63"/>
      <c r="J40683" s="63"/>
    </row>
    <row r="40684" spans="9:10" x14ac:dyDescent="0.35">
      <c r="I40684" s="63"/>
      <c r="J40684" s="63"/>
    </row>
    <row r="40685" spans="9:10" x14ac:dyDescent="0.35">
      <c r="I40685" s="63"/>
      <c r="J40685" s="63"/>
    </row>
    <row r="40686" spans="9:10" x14ac:dyDescent="0.35">
      <c r="I40686" s="63"/>
      <c r="J40686" s="63"/>
    </row>
    <row r="40687" spans="9:10" x14ac:dyDescent="0.35">
      <c r="I40687" s="63"/>
      <c r="J40687" s="63"/>
    </row>
    <row r="40688" spans="9:10" x14ac:dyDescent="0.35">
      <c r="I40688" s="63"/>
      <c r="J40688" s="63"/>
    </row>
    <row r="40689" spans="9:10" x14ac:dyDescent="0.35">
      <c r="I40689" s="63"/>
      <c r="J40689" s="63"/>
    </row>
    <row r="40690" spans="9:10" x14ac:dyDescent="0.35">
      <c r="I40690" s="63"/>
      <c r="J40690" s="63"/>
    </row>
    <row r="40691" spans="9:10" x14ac:dyDescent="0.35">
      <c r="I40691" s="63"/>
      <c r="J40691" s="63"/>
    </row>
    <row r="40692" spans="9:10" x14ac:dyDescent="0.35">
      <c r="I40692" s="63"/>
      <c r="J40692" s="63"/>
    </row>
    <row r="40693" spans="9:10" x14ac:dyDescent="0.35">
      <c r="I40693" s="63"/>
      <c r="J40693" s="63"/>
    </row>
    <row r="40694" spans="9:10" x14ac:dyDescent="0.35">
      <c r="I40694" s="63"/>
      <c r="J40694" s="63"/>
    </row>
    <row r="40695" spans="9:10" x14ac:dyDescent="0.35">
      <c r="I40695" s="63"/>
      <c r="J40695" s="63"/>
    </row>
    <row r="40696" spans="9:10" x14ac:dyDescent="0.35">
      <c r="I40696" s="63"/>
      <c r="J40696" s="63"/>
    </row>
    <row r="40697" spans="9:10" x14ac:dyDescent="0.35">
      <c r="I40697" s="63"/>
      <c r="J40697" s="63"/>
    </row>
    <row r="40698" spans="9:10" x14ac:dyDescent="0.35">
      <c r="I40698" s="63"/>
      <c r="J40698" s="63"/>
    </row>
    <row r="40699" spans="9:10" x14ac:dyDescent="0.35">
      <c r="I40699" s="63"/>
      <c r="J40699" s="63"/>
    </row>
    <row r="40700" spans="9:10" x14ac:dyDescent="0.35">
      <c r="I40700" s="63"/>
      <c r="J40700" s="63"/>
    </row>
    <row r="40701" spans="9:10" x14ac:dyDescent="0.35">
      <c r="I40701" s="63"/>
      <c r="J40701" s="63"/>
    </row>
    <row r="40702" spans="9:10" x14ac:dyDescent="0.35">
      <c r="I40702" s="63"/>
      <c r="J40702" s="63"/>
    </row>
    <row r="40703" spans="9:10" x14ac:dyDescent="0.35">
      <c r="I40703" s="63"/>
      <c r="J40703" s="63"/>
    </row>
    <row r="40704" spans="9:10" x14ac:dyDescent="0.35">
      <c r="I40704" s="63"/>
      <c r="J40704" s="63"/>
    </row>
    <row r="40705" spans="9:10" x14ac:dyDescent="0.35">
      <c r="I40705" s="63"/>
      <c r="J40705" s="63"/>
    </row>
    <row r="40706" spans="9:10" x14ac:dyDescent="0.35">
      <c r="I40706" s="63"/>
      <c r="J40706" s="63"/>
    </row>
    <row r="40707" spans="9:10" x14ac:dyDescent="0.35">
      <c r="I40707" s="63"/>
      <c r="J40707" s="63"/>
    </row>
    <row r="40708" spans="9:10" x14ac:dyDescent="0.35">
      <c r="I40708" s="63"/>
      <c r="J40708" s="63"/>
    </row>
    <row r="40709" spans="9:10" x14ac:dyDescent="0.35">
      <c r="I40709" s="63"/>
      <c r="J40709" s="63"/>
    </row>
    <row r="40710" spans="9:10" x14ac:dyDescent="0.35">
      <c r="I40710" s="63"/>
      <c r="J40710" s="63"/>
    </row>
    <row r="40711" spans="9:10" x14ac:dyDescent="0.35">
      <c r="I40711" s="63"/>
      <c r="J40711" s="63"/>
    </row>
    <row r="40712" spans="9:10" x14ac:dyDescent="0.35">
      <c r="I40712" s="63"/>
      <c r="J40712" s="63"/>
    </row>
    <row r="40713" spans="9:10" x14ac:dyDescent="0.35">
      <c r="I40713" s="63"/>
      <c r="J40713" s="63"/>
    </row>
    <row r="40714" spans="9:10" x14ac:dyDescent="0.35">
      <c r="I40714" s="63"/>
      <c r="J40714" s="63"/>
    </row>
    <row r="40715" spans="9:10" x14ac:dyDescent="0.35">
      <c r="I40715" s="63"/>
      <c r="J40715" s="63"/>
    </row>
    <row r="40716" spans="9:10" x14ac:dyDescent="0.35">
      <c r="I40716" s="63"/>
      <c r="J40716" s="63"/>
    </row>
    <row r="40717" spans="9:10" x14ac:dyDescent="0.35">
      <c r="I40717" s="63"/>
      <c r="J40717" s="63"/>
    </row>
    <row r="40718" spans="9:10" x14ac:dyDescent="0.35">
      <c r="I40718" s="63"/>
      <c r="J40718" s="63"/>
    </row>
    <row r="40719" spans="9:10" x14ac:dyDescent="0.35">
      <c r="I40719" s="63"/>
      <c r="J40719" s="63"/>
    </row>
    <row r="40720" spans="9:10" x14ac:dyDescent="0.35">
      <c r="I40720" s="63"/>
      <c r="J40720" s="63"/>
    </row>
    <row r="40721" spans="9:10" x14ac:dyDescent="0.35">
      <c r="I40721" s="63"/>
      <c r="J40721" s="63"/>
    </row>
    <row r="40722" spans="9:10" x14ac:dyDescent="0.35">
      <c r="I40722" s="63"/>
      <c r="J40722" s="63"/>
    </row>
    <row r="40723" spans="9:10" x14ac:dyDescent="0.35">
      <c r="I40723" s="63"/>
      <c r="J40723" s="63"/>
    </row>
    <row r="40724" spans="9:10" x14ac:dyDescent="0.35">
      <c r="I40724" s="63"/>
      <c r="J40724" s="63"/>
    </row>
    <row r="40725" spans="9:10" x14ac:dyDescent="0.35">
      <c r="I40725" s="63"/>
      <c r="J40725" s="63"/>
    </row>
    <row r="40726" spans="9:10" x14ac:dyDescent="0.35">
      <c r="I40726" s="63"/>
      <c r="J40726" s="63"/>
    </row>
    <row r="40727" spans="9:10" x14ac:dyDescent="0.35">
      <c r="I40727" s="63"/>
      <c r="J40727" s="63"/>
    </row>
    <row r="40728" spans="9:10" x14ac:dyDescent="0.35">
      <c r="I40728" s="63"/>
      <c r="J40728" s="63"/>
    </row>
    <row r="40729" spans="9:10" x14ac:dyDescent="0.35">
      <c r="I40729" s="63"/>
      <c r="J40729" s="63"/>
    </row>
    <row r="40730" spans="9:10" x14ac:dyDescent="0.35">
      <c r="I40730" s="63"/>
      <c r="J40730" s="63"/>
    </row>
    <row r="40731" spans="9:10" x14ac:dyDescent="0.35">
      <c r="I40731" s="63"/>
      <c r="J40731" s="63"/>
    </row>
    <row r="40732" spans="9:10" x14ac:dyDescent="0.35">
      <c r="I40732" s="63"/>
      <c r="J40732" s="63"/>
    </row>
    <row r="40733" spans="9:10" x14ac:dyDescent="0.35">
      <c r="I40733" s="63"/>
      <c r="J40733" s="63"/>
    </row>
    <row r="40734" spans="9:10" x14ac:dyDescent="0.35">
      <c r="I40734" s="63"/>
      <c r="J40734" s="63"/>
    </row>
    <row r="40735" spans="9:10" x14ac:dyDescent="0.35">
      <c r="I40735" s="63"/>
      <c r="J40735" s="63"/>
    </row>
    <row r="40736" spans="9:10" x14ac:dyDescent="0.35">
      <c r="I40736" s="63"/>
      <c r="J40736" s="63"/>
    </row>
    <row r="40737" spans="9:10" x14ac:dyDescent="0.35">
      <c r="I40737" s="63"/>
      <c r="J40737" s="63"/>
    </row>
    <row r="40738" spans="9:10" x14ac:dyDescent="0.35">
      <c r="I40738" s="63"/>
      <c r="J40738" s="63"/>
    </row>
    <row r="40739" spans="9:10" x14ac:dyDescent="0.35">
      <c r="I40739" s="63"/>
      <c r="J40739" s="63"/>
    </row>
    <row r="40740" spans="9:10" x14ac:dyDescent="0.35">
      <c r="I40740" s="63"/>
      <c r="J40740" s="63"/>
    </row>
    <row r="40741" spans="9:10" x14ac:dyDescent="0.35">
      <c r="I40741" s="63"/>
      <c r="J40741" s="63"/>
    </row>
    <row r="40742" spans="9:10" x14ac:dyDescent="0.35">
      <c r="I40742" s="63"/>
      <c r="J40742" s="63"/>
    </row>
    <row r="40743" spans="9:10" x14ac:dyDescent="0.35">
      <c r="I40743" s="63"/>
      <c r="J40743" s="63"/>
    </row>
    <row r="40744" spans="9:10" x14ac:dyDescent="0.35">
      <c r="I40744" s="63"/>
      <c r="J40744" s="63"/>
    </row>
    <row r="40745" spans="9:10" x14ac:dyDescent="0.35">
      <c r="I40745" s="63"/>
      <c r="J40745" s="63"/>
    </row>
    <row r="40746" spans="9:10" x14ac:dyDescent="0.35">
      <c r="I40746" s="63"/>
      <c r="J40746" s="63"/>
    </row>
    <row r="40747" spans="9:10" x14ac:dyDescent="0.35">
      <c r="I40747" s="63"/>
      <c r="J40747" s="63"/>
    </row>
    <row r="40748" spans="9:10" x14ac:dyDescent="0.35">
      <c r="I40748" s="63"/>
      <c r="J40748" s="63"/>
    </row>
    <row r="40749" spans="9:10" x14ac:dyDescent="0.35">
      <c r="I40749" s="63"/>
      <c r="J40749" s="63"/>
    </row>
    <row r="40750" spans="9:10" x14ac:dyDescent="0.35">
      <c r="I40750" s="63"/>
      <c r="J40750" s="63"/>
    </row>
    <row r="40751" spans="9:10" x14ac:dyDescent="0.35">
      <c r="I40751" s="63"/>
      <c r="J40751" s="63"/>
    </row>
    <row r="40752" spans="9:10" x14ac:dyDescent="0.35">
      <c r="I40752" s="63"/>
      <c r="J40752" s="63"/>
    </row>
    <row r="40753" spans="9:10" x14ac:dyDescent="0.35">
      <c r="I40753" s="63"/>
      <c r="J40753" s="63"/>
    </row>
    <row r="40754" spans="9:10" x14ac:dyDescent="0.35">
      <c r="I40754" s="63"/>
      <c r="J40754" s="63"/>
    </row>
    <row r="40755" spans="9:10" x14ac:dyDescent="0.35">
      <c r="I40755" s="63"/>
      <c r="J40755" s="63"/>
    </row>
    <row r="40756" spans="9:10" x14ac:dyDescent="0.35">
      <c r="I40756" s="63"/>
      <c r="J40756" s="63"/>
    </row>
    <row r="40757" spans="9:10" x14ac:dyDescent="0.35">
      <c r="I40757" s="63"/>
      <c r="J40757" s="63"/>
    </row>
    <row r="40758" spans="9:10" x14ac:dyDescent="0.35">
      <c r="I40758" s="63"/>
      <c r="J40758" s="63"/>
    </row>
    <row r="40759" spans="9:10" x14ac:dyDescent="0.35">
      <c r="I40759" s="63"/>
      <c r="J40759" s="63"/>
    </row>
    <row r="40760" spans="9:10" x14ac:dyDescent="0.35">
      <c r="I40760" s="63"/>
      <c r="J40760" s="63"/>
    </row>
    <row r="40761" spans="9:10" x14ac:dyDescent="0.35">
      <c r="I40761" s="63"/>
      <c r="J40761" s="63"/>
    </row>
    <row r="40762" spans="9:10" x14ac:dyDescent="0.35">
      <c r="I40762" s="63"/>
      <c r="J40762" s="63"/>
    </row>
    <row r="40763" spans="9:10" x14ac:dyDescent="0.35">
      <c r="I40763" s="63"/>
      <c r="J40763" s="63"/>
    </row>
    <row r="40764" spans="9:10" x14ac:dyDescent="0.35">
      <c r="I40764" s="63"/>
      <c r="J40764" s="63"/>
    </row>
    <row r="40765" spans="9:10" x14ac:dyDescent="0.35">
      <c r="I40765" s="63"/>
      <c r="J40765" s="63"/>
    </row>
    <row r="40766" spans="9:10" x14ac:dyDescent="0.35">
      <c r="I40766" s="63"/>
      <c r="J40766" s="63"/>
    </row>
    <row r="40767" spans="9:10" x14ac:dyDescent="0.35">
      <c r="I40767" s="63"/>
      <c r="J40767" s="63"/>
    </row>
    <row r="40768" spans="9:10" x14ac:dyDescent="0.35">
      <c r="I40768" s="63"/>
      <c r="J40768" s="63"/>
    </row>
    <row r="40769" spans="9:10" x14ac:dyDescent="0.35">
      <c r="I40769" s="63"/>
      <c r="J40769" s="63"/>
    </row>
    <row r="40770" spans="9:10" x14ac:dyDescent="0.35">
      <c r="I40770" s="63"/>
      <c r="J40770" s="63"/>
    </row>
    <row r="40771" spans="9:10" x14ac:dyDescent="0.35">
      <c r="I40771" s="63"/>
      <c r="J40771" s="63"/>
    </row>
    <row r="40772" spans="9:10" x14ac:dyDescent="0.35">
      <c r="I40772" s="63"/>
      <c r="J40772" s="63"/>
    </row>
    <row r="40773" spans="9:10" x14ac:dyDescent="0.35">
      <c r="I40773" s="63"/>
      <c r="J40773" s="63"/>
    </row>
    <row r="40774" spans="9:10" x14ac:dyDescent="0.35">
      <c r="I40774" s="63"/>
      <c r="J40774" s="63"/>
    </row>
    <row r="40775" spans="9:10" x14ac:dyDescent="0.35">
      <c r="I40775" s="63"/>
      <c r="J40775" s="63"/>
    </row>
    <row r="40776" spans="9:10" x14ac:dyDescent="0.35">
      <c r="I40776" s="63"/>
      <c r="J40776" s="63"/>
    </row>
    <row r="40777" spans="9:10" x14ac:dyDescent="0.35">
      <c r="I40777" s="63"/>
      <c r="J40777" s="63"/>
    </row>
    <row r="40778" spans="9:10" x14ac:dyDescent="0.35">
      <c r="I40778" s="63"/>
      <c r="J40778" s="63"/>
    </row>
    <row r="40779" spans="9:10" x14ac:dyDescent="0.35">
      <c r="I40779" s="63"/>
      <c r="J40779" s="63"/>
    </row>
    <row r="40780" spans="9:10" x14ac:dyDescent="0.35">
      <c r="I40780" s="63"/>
      <c r="J40780" s="63"/>
    </row>
    <row r="40781" spans="9:10" x14ac:dyDescent="0.35">
      <c r="I40781" s="63"/>
      <c r="J40781" s="63"/>
    </row>
    <row r="40782" spans="9:10" x14ac:dyDescent="0.35">
      <c r="I40782" s="63"/>
      <c r="J40782" s="63"/>
    </row>
    <row r="40783" spans="9:10" x14ac:dyDescent="0.35">
      <c r="I40783" s="63"/>
      <c r="J40783" s="63"/>
    </row>
    <row r="40784" spans="9:10" x14ac:dyDescent="0.35">
      <c r="I40784" s="63"/>
      <c r="J40784" s="63"/>
    </row>
    <row r="40785" spans="9:10" x14ac:dyDescent="0.35">
      <c r="I40785" s="63"/>
      <c r="J40785" s="63"/>
    </row>
    <row r="40786" spans="9:10" x14ac:dyDescent="0.35">
      <c r="I40786" s="63"/>
      <c r="J40786" s="63"/>
    </row>
    <row r="40787" spans="9:10" x14ac:dyDescent="0.35">
      <c r="I40787" s="63"/>
      <c r="J40787" s="63"/>
    </row>
    <row r="40788" spans="9:10" x14ac:dyDescent="0.35">
      <c r="I40788" s="63"/>
      <c r="J40788" s="63"/>
    </row>
    <row r="40789" spans="9:10" x14ac:dyDescent="0.35">
      <c r="I40789" s="63"/>
      <c r="J40789" s="63"/>
    </row>
    <row r="40790" spans="9:10" x14ac:dyDescent="0.35">
      <c r="I40790" s="63"/>
      <c r="J40790" s="63"/>
    </row>
    <row r="40791" spans="9:10" x14ac:dyDescent="0.35">
      <c r="I40791" s="63"/>
      <c r="J40791" s="63"/>
    </row>
    <row r="40792" spans="9:10" x14ac:dyDescent="0.35">
      <c r="I40792" s="63"/>
      <c r="J40792" s="63"/>
    </row>
    <row r="40793" spans="9:10" x14ac:dyDescent="0.35">
      <c r="I40793" s="63"/>
      <c r="J40793" s="63"/>
    </row>
    <row r="40794" spans="9:10" x14ac:dyDescent="0.35">
      <c r="I40794" s="63"/>
      <c r="J40794" s="63"/>
    </row>
    <row r="40795" spans="9:10" x14ac:dyDescent="0.35">
      <c r="I40795" s="63"/>
      <c r="J40795" s="63"/>
    </row>
    <row r="40796" spans="9:10" x14ac:dyDescent="0.35">
      <c r="I40796" s="63"/>
      <c r="J40796" s="63"/>
    </row>
    <row r="40797" spans="9:10" x14ac:dyDescent="0.35">
      <c r="I40797" s="63"/>
      <c r="J40797" s="63"/>
    </row>
    <row r="40798" spans="9:10" x14ac:dyDescent="0.35">
      <c r="I40798" s="63"/>
      <c r="J40798" s="63"/>
    </row>
    <row r="40799" spans="9:10" x14ac:dyDescent="0.35">
      <c r="I40799" s="63"/>
      <c r="J40799" s="63"/>
    </row>
    <row r="40800" spans="9:10" x14ac:dyDescent="0.35">
      <c r="I40800" s="63"/>
      <c r="J40800" s="63"/>
    </row>
    <row r="40801" spans="9:10" x14ac:dyDescent="0.35">
      <c r="I40801" s="63"/>
      <c r="J40801" s="63"/>
    </row>
    <row r="40802" spans="9:10" x14ac:dyDescent="0.35">
      <c r="I40802" s="63"/>
      <c r="J40802" s="63"/>
    </row>
    <row r="40803" spans="9:10" x14ac:dyDescent="0.35">
      <c r="I40803" s="63"/>
      <c r="J40803" s="63"/>
    </row>
    <row r="40804" spans="9:10" x14ac:dyDescent="0.35">
      <c r="I40804" s="63"/>
      <c r="J40804" s="63"/>
    </row>
    <row r="40805" spans="9:10" x14ac:dyDescent="0.35">
      <c r="I40805" s="63"/>
      <c r="J40805" s="63"/>
    </row>
    <row r="40806" spans="9:10" x14ac:dyDescent="0.35">
      <c r="I40806" s="63"/>
      <c r="J40806" s="63"/>
    </row>
    <row r="40807" spans="9:10" x14ac:dyDescent="0.35">
      <c r="I40807" s="63"/>
      <c r="J40807" s="63"/>
    </row>
    <row r="40808" spans="9:10" x14ac:dyDescent="0.35">
      <c r="I40808" s="63"/>
      <c r="J40808" s="63"/>
    </row>
    <row r="40809" spans="9:10" x14ac:dyDescent="0.35">
      <c r="I40809" s="63"/>
      <c r="J40809" s="63"/>
    </row>
    <row r="40810" spans="9:10" x14ac:dyDescent="0.35">
      <c r="I40810" s="63"/>
      <c r="J40810" s="63"/>
    </row>
    <row r="40811" spans="9:10" x14ac:dyDescent="0.35">
      <c r="I40811" s="63"/>
      <c r="J40811" s="63"/>
    </row>
    <row r="40812" spans="9:10" x14ac:dyDescent="0.35">
      <c r="I40812" s="63"/>
      <c r="J40812" s="63"/>
    </row>
    <row r="40813" spans="9:10" x14ac:dyDescent="0.35">
      <c r="I40813" s="63"/>
      <c r="J40813" s="63"/>
    </row>
    <row r="40814" spans="9:10" x14ac:dyDescent="0.35">
      <c r="I40814" s="63"/>
      <c r="J40814" s="63"/>
    </row>
    <row r="40815" spans="9:10" x14ac:dyDescent="0.35">
      <c r="I40815" s="63"/>
      <c r="J40815" s="63"/>
    </row>
    <row r="40816" spans="9:10" x14ac:dyDescent="0.35">
      <c r="I40816" s="63"/>
      <c r="J40816" s="63"/>
    </row>
    <row r="40817" spans="9:10" x14ac:dyDescent="0.35">
      <c r="I40817" s="63"/>
      <c r="J40817" s="63"/>
    </row>
    <row r="40818" spans="9:10" x14ac:dyDescent="0.35">
      <c r="I40818" s="63"/>
      <c r="J40818" s="63"/>
    </row>
    <row r="40819" spans="9:10" x14ac:dyDescent="0.35">
      <c r="I40819" s="63"/>
      <c r="J40819" s="63"/>
    </row>
    <row r="40820" spans="9:10" x14ac:dyDescent="0.35">
      <c r="I40820" s="63"/>
      <c r="J40820" s="63"/>
    </row>
    <row r="40821" spans="9:10" x14ac:dyDescent="0.35">
      <c r="I40821" s="63"/>
      <c r="J40821" s="63"/>
    </row>
    <row r="40822" spans="9:10" x14ac:dyDescent="0.35">
      <c r="I40822" s="63"/>
      <c r="J40822" s="63"/>
    </row>
    <row r="40823" spans="9:10" x14ac:dyDescent="0.35">
      <c r="I40823" s="63"/>
      <c r="J40823" s="63"/>
    </row>
    <row r="40824" spans="9:10" x14ac:dyDescent="0.35">
      <c r="I40824" s="63"/>
      <c r="J40824" s="63"/>
    </row>
    <row r="40825" spans="9:10" x14ac:dyDescent="0.35">
      <c r="I40825" s="63"/>
      <c r="J40825" s="63"/>
    </row>
    <row r="40826" spans="9:10" x14ac:dyDescent="0.35">
      <c r="I40826" s="63"/>
      <c r="J40826" s="63"/>
    </row>
    <row r="40827" spans="9:10" x14ac:dyDescent="0.35">
      <c r="I40827" s="63"/>
      <c r="J40827" s="63"/>
    </row>
    <row r="40828" spans="9:10" x14ac:dyDescent="0.35">
      <c r="I40828" s="63"/>
      <c r="J40828" s="63"/>
    </row>
    <row r="40829" spans="9:10" x14ac:dyDescent="0.35">
      <c r="I40829" s="63"/>
      <c r="J40829" s="63"/>
    </row>
    <row r="40830" spans="9:10" x14ac:dyDescent="0.35">
      <c r="I40830" s="63"/>
      <c r="J40830" s="63"/>
    </row>
    <row r="40831" spans="9:10" x14ac:dyDescent="0.35">
      <c r="I40831" s="63"/>
      <c r="J40831" s="63"/>
    </row>
    <row r="40832" spans="9:10" x14ac:dyDescent="0.35">
      <c r="I40832" s="63"/>
      <c r="J40832" s="63"/>
    </row>
    <row r="40833" spans="9:10" x14ac:dyDescent="0.35">
      <c r="I40833" s="63"/>
      <c r="J40833" s="63"/>
    </row>
    <row r="40834" spans="9:10" x14ac:dyDescent="0.35">
      <c r="I40834" s="63"/>
      <c r="J40834" s="63"/>
    </row>
    <row r="40835" spans="9:10" x14ac:dyDescent="0.35">
      <c r="I40835" s="63"/>
      <c r="J40835" s="63"/>
    </row>
    <row r="40836" spans="9:10" x14ac:dyDescent="0.35">
      <c r="I40836" s="63"/>
      <c r="J40836" s="63"/>
    </row>
    <row r="40837" spans="9:10" x14ac:dyDescent="0.35">
      <c r="I40837" s="63"/>
      <c r="J40837" s="63"/>
    </row>
    <row r="40838" spans="9:10" x14ac:dyDescent="0.35">
      <c r="I40838" s="63"/>
      <c r="J40838" s="63"/>
    </row>
    <row r="40839" spans="9:10" x14ac:dyDescent="0.35">
      <c r="I40839" s="63"/>
      <c r="J40839" s="63"/>
    </row>
    <row r="40840" spans="9:10" x14ac:dyDescent="0.35">
      <c r="I40840" s="63"/>
      <c r="J40840" s="63"/>
    </row>
    <row r="40841" spans="9:10" x14ac:dyDescent="0.35">
      <c r="I40841" s="63"/>
      <c r="J40841" s="63"/>
    </row>
    <row r="40842" spans="9:10" x14ac:dyDescent="0.35">
      <c r="I40842" s="63"/>
      <c r="J40842" s="63"/>
    </row>
    <row r="40843" spans="9:10" x14ac:dyDescent="0.35">
      <c r="I40843" s="63"/>
      <c r="J40843" s="63"/>
    </row>
    <row r="40844" spans="9:10" x14ac:dyDescent="0.35">
      <c r="I40844" s="63"/>
      <c r="J40844" s="63"/>
    </row>
    <row r="40845" spans="9:10" x14ac:dyDescent="0.35">
      <c r="I40845" s="63"/>
      <c r="J40845" s="63"/>
    </row>
    <row r="40846" spans="9:10" x14ac:dyDescent="0.35">
      <c r="I40846" s="63"/>
      <c r="J40846" s="63"/>
    </row>
    <row r="40847" spans="9:10" x14ac:dyDescent="0.35">
      <c r="I40847" s="63"/>
      <c r="J40847" s="63"/>
    </row>
    <row r="40848" spans="9:10" x14ac:dyDescent="0.35">
      <c r="I40848" s="63"/>
      <c r="J40848" s="63"/>
    </row>
    <row r="40849" spans="9:10" x14ac:dyDescent="0.35">
      <c r="I40849" s="63"/>
      <c r="J40849" s="63"/>
    </row>
    <row r="40850" spans="9:10" x14ac:dyDescent="0.35">
      <c r="I40850" s="63"/>
      <c r="J40850" s="63"/>
    </row>
    <row r="40851" spans="9:10" x14ac:dyDescent="0.35">
      <c r="I40851" s="63"/>
      <c r="J40851" s="63"/>
    </row>
    <row r="40852" spans="9:10" x14ac:dyDescent="0.35">
      <c r="I40852" s="63"/>
      <c r="J40852" s="63"/>
    </row>
    <row r="40853" spans="9:10" x14ac:dyDescent="0.35">
      <c r="I40853" s="63"/>
      <c r="J40853" s="63"/>
    </row>
    <row r="40854" spans="9:10" x14ac:dyDescent="0.35">
      <c r="I40854" s="63"/>
      <c r="J40854" s="63"/>
    </row>
    <row r="40855" spans="9:10" x14ac:dyDescent="0.35">
      <c r="I40855" s="63"/>
      <c r="J40855" s="63"/>
    </row>
    <row r="40856" spans="9:10" x14ac:dyDescent="0.35">
      <c r="I40856" s="63"/>
      <c r="J40856" s="63"/>
    </row>
    <row r="40857" spans="9:10" x14ac:dyDescent="0.35">
      <c r="I40857" s="63"/>
      <c r="J40857" s="63"/>
    </row>
    <row r="40858" spans="9:10" x14ac:dyDescent="0.35">
      <c r="I40858" s="63"/>
      <c r="J40858" s="63"/>
    </row>
    <row r="40859" spans="9:10" x14ac:dyDescent="0.35">
      <c r="I40859" s="63"/>
      <c r="J40859" s="63"/>
    </row>
    <row r="40860" spans="9:10" x14ac:dyDescent="0.35">
      <c r="I40860" s="63"/>
      <c r="J40860" s="63"/>
    </row>
    <row r="40861" spans="9:10" x14ac:dyDescent="0.35">
      <c r="I40861" s="63"/>
      <c r="J40861" s="63"/>
    </row>
    <row r="40862" spans="9:10" x14ac:dyDescent="0.35">
      <c r="I40862" s="63"/>
      <c r="J40862" s="63"/>
    </row>
    <row r="40863" spans="9:10" x14ac:dyDescent="0.35">
      <c r="I40863" s="63"/>
      <c r="J40863" s="63"/>
    </row>
    <row r="40864" spans="9:10" x14ac:dyDescent="0.35">
      <c r="I40864" s="63"/>
      <c r="J40864" s="63"/>
    </row>
    <row r="40865" spans="9:10" x14ac:dyDescent="0.35">
      <c r="I40865" s="63"/>
      <c r="J40865" s="63"/>
    </row>
    <row r="40866" spans="9:10" x14ac:dyDescent="0.35">
      <c r="I40866" s="63"/>
      <c r="J40866" s="63"/>
    </row>
    <row r="40867" spans="9:10" x14ac:dyDescent="0.35">
      <c r="I40867" s="63"/>
      <c r="J40867" s="63"/>
    </row>
    <row r="40868" spans="9:10" x14ac:dyDescent="0.35">
      <c r="I40868" s="63"/>
      <c r="J40868" s="63"/>
    </row>
    <row r="40869" spans="9:10" x14ac:dyDescent="0.35">
      <c r="I40869" s="63"/>
      <c r="J40869" s="63"/>
    </row>
    <row r="40870" spans="9:10" x14ac:dyDescent="0.35">
      <c r="I40870" s="63"/>
      <c r="J40870" s="63"/>
    </row>
    <row r="40871" spans="9:10" x14ac:dyDescent="0.35">
      <c r="I40871" s="63"/>
      <c r="J40871" s="63"/>
    </row>
    <row r="40872" spans="9:10" x14ac:dyDescent="0.35">
      <c r="I40872" s="63"/>
      <c r="J40872" s="63"/>
    </row>
    <row r="40873" spans="9:10" x14ac:dyDescent="0.35">
      <c r="I40873" s="63"/>
      <c r="J40873" s="63"/>
    </row>
    <row r="40874" spans="9:10" x14ac:dyDescent="0.35">
      <c r="I40874" s="63"/>
      <c r="J40874" s="63"/>
    </row>
    <row r="40875" spans="9:10" x14ac:dyDescent="0.35">
      <c r="I40875" s="63"/>
      <c r="J40875" s="63"/>
    </row>
    <row r="40876" spans="9:10" x14ac:dyDescent="0.35">
      <c r="I40876" s="63"/>
      <c r="J40876" s="63"/>
    </row>
    <row r="40877" spans="9:10" x14ac:dyDescent="0.35">
      <c r="I40877" s="63"/>
      <c r="J40877" s="63"/>
    </row>
    <row r="40878" spans="9:10" x14ac:dyDescent="0.35">
      <c r="I40878" s="63"/>
      <c r="J40878" s="63"/>
    </row>
    <row r="40879" spans="9:10" x14ac:dyDescent="0.35">
      <c r="I40879" s="63"/>
      <c r="J40879" s="63"/>
    </row>
    <row r="40880" spans="9:10" x14ac:dyDescent="0.35">
      <c r="I40880" s="63"/>
      <c r="J40880" s="63"/>
    </row>
    <row r="40881" spans="9:10" x14ac:dyDescent="0.35">
      <c r="I40881" s="63"/>
      <c r="J40881" s="63"/>
    </row>
    <row r="40882" spans="9:10" x14ac:dyDescent="0.35">
      <c r="I40882" s="63"/>
      <c r="J40882" s="63"/>
    </row>
    <row r="40883" spans="9:10" x14ac:dyDescent="0.35">
      <c r="I40883" s="63"/>
      <c r="J40883" s="63"/>
    </row>
    <row r="40884" spans="9:10" x14ac:dyDescent="0.35">
      <c r="I40884" s="63"/>
      <c r="J40884" s="63"/>
    </row>
    <row r="40885" spans="9:10" x14ac:dyDescent="0.35">
      <c r="I40885" s="63"/>
      <c r="J40885" s="63"/>
    </row>
    <row r="40886" spans="9:10" x14ac:dyDescent="0.35">
      <c r="I40886" s="63"/>
      <c r="J40886" s="63"/>
    </row>
    <row r="40887" spans="9:10" x14ac:dyDescent="0.35">
      <c r="I40887" s="63"/>
      <c r="J40887" s="63"/>
    </row>
    <row r="40888" spans="9:10" x14ac:dyDescent="0.35">
      <c r="I40888" s="63"/>
      <c r="J40888" s="63"/>
    </row>
    <row r="40889" spans="9:10" x14ac:dyDescent="0.35">
      <c r="I40889" s="63"/>
      <c r="J40889" s="63"/>
    </row>
    <row r="40890" spans="9:10" x14ac:dyDescent="0.35">
      <c r="I40890" s="63"/>
      <c r="J40890" s="63"/>
    </row>
    <row r="40891" spans="9:10" x14ac:dyDescent="0.35">
      <c r="I40891" s="63"/>
      <c r="J40891" s="63"/>
    </row>
    <row r="40892" spans="9:10" x14ac:dyDescent="0.35">
      <c r="I40892" s="63"/>
      <c r="J40892" s="63"/>
    </row>
    <row r="40893" spans="9:10" x14ac:dyDescent="0.35">
      <c r="I40893" s="63"/>
      <c r="J40893" s="63"/>
    </row>
    <row r="40894" spans="9:10" x14ac:dyDescent="0.35">
      <c r="I40894" s="63"/>
      <c r="J40894" s="63"/>
    </row>
    <row r="40895" spans="9:10" x14ac:dyDescent="0.35">
      <c r="I40895" s="63"/>
      <c r="J40895" s="63"/>
    </row>
    <row r="40896" spans="9:10" x14ac:dyDescent="0.35">
      <c r="I40896" s="63"/>
      <c r="J40896" s="63"/>
    </row>
    <row r="40897" spans="9:10" x14ac:dyDescent="0.35">
      <c r="I40897" s="63"/>
      <c r="J40897" s="63"/>
    </row>
    <row r="40898" spans="9:10" x14ac:dyDescent="0.35">
      <c r="I40898" s="63"/>
      <c r="J40898" s="63"/>
    </row>
    <row r="40899" spans="9:10" x14ac:dyDescent="0.35">
      <c r="I40899" s="63"/>
      <c r="J40899" s="63"/>
    </row>
    <row r="40900" spans="9:10" x14ac:dyDescent="0.35">
      <c r="I40900" s="63"/>
      <c r="J40900" s="63"/>
    </row>
    <row r="40901" spans="9:10" x14ac:dyDescent="0.35">
      <c r="I40901" s="63"/>
      <c r="J40901" s="63"/>
    </row>
    <row r="40902" spans="9:10" x14ac:dyDescent="0.35">
      <c r="I40902" s="63"/>
      <c r="J40902" s="63"/>
    </row>
    <row r="40903" spans="9:10" x14ac:dyDescent="0.35">
      <c r="I40903" s="63"/>
      <c r="J40903" s="63"/>
    </row>
    <row r="40904" spans="9:10" x14ac:dyDescent="0.35">
      <c r="I40904" s="63"/>
      <c r="J40904" s="63"/>
    </row>
    <row r="40905" spans="9:10" x14ac:dyDescent="0.35">
      <c r="I40905" s="63"/>
      <c r="J40905" s="63"/>
    </row>
    <row r="40906" spans="9:10" x14ac:dyDescent="0.35">
      <c r="I40906" s="63"/>
      <c r="J40906" s="63"/>
    </row>
    <row r="40907" spans="9:10" x14ac:dyDescent="0.35">
      <c r="I40907" s="63"/>
      <c r="J40907" s="63"/>
    </row>
    <row r="40908" spans="9:10" x14ac:dyDescent="0.35">
      <c r="I40908" s="63"/>
      <c r="J40908" s="63"/>
    </row>
    <row r="40909" spans="9:10" x14ac:dyDescent="0.35">
      <c r="I40909" s="63"/>
      <c r="J40909" s="63"/>
    </row>
    <row r="40910" spans="9:10" x14ac:dyDescent="0.35">
      <c r="I40910" s="63"/>
      <c r="J40910" s="63"/>
    </row>
    <row r="40911" spans="9:10" x14ac:dyDescent="0.35">
      <c r="I40911" s="63"/>
      <c r="J40911" s="63"/>
    </row>
    <row r="40912" spans="9:10" x14ac:dyDescent="0.35">
      <c r="I40912" s="63"/>
      <c r="J40912" s="63"/>
    </row>
    <row r="40913" spans="9:10" x14ac:dyDescent="0.35">
      <c r="I40913" s="63"/>
      <c r="J40913" s="63"/>
    </row>
    <row r="40914" spans="9:10" x14ac:dyDescent="0.35">
      <c r="I40914" s="63"/>
      <c r="J40914" s="63"/>
    </row>
    <row r="40915" spans="9:10" x14ac:dyDescent="0.35">
      <c r="I40915" s="63"/>
      <c r="J40915" s="63"/>
    </row>
    <row r="40916" spans="9:10" x14ac:dyDescent="0.35">
      <c r="I40916" s="63"/>
      <c r="J40916" s="63"/>
    </row>
    <row r="40917" spans="9:10" x14ac:dyDescent="0.35">
      <c r="I40917" s="63"/>
      <c r="J40917" s="63"/>
    </row>
    <row r="40918" spans="9:10" x14ac:dyDescent="0.35">
      <c r="I40918" s="63"/>
      <c r="J40918" s="63"/>
    </row>
    <row r="40919" spans="9:10" x14ac:dyDescent="0.35">
      <c r="I40919" s="63"/>
      <c r="J40919" s="63"/>
    </row>
    <row r="40920" spans="9:10" x14ac:dyDescent="0.35">
      <c r="I40920" s="63"/>
      <c r="J40920" s="63"/>
    </row>
    <row r="40921" spans="9:10" x14ac:dyDescent="0.35">
      <c r="I40921" s="63"/>
      <c r="J40921" s="63"/>
    </row>
    <row r="40922" spans="9:10" x14ac:dyDescent="0.35">
      <c r="I40922" s="63"/>
      <c r="J40922" s="63"/>
    </row>
    <row r="40923" spans="9:10" x14ac:dyDescent="0.35">
      <c r="I40923" s="63"/>
      <c r="J40923" s="63"/>
    </row>
    <row r="40924" spans="9:10" x14ac:dyDescent="0.35">
      <c r="I40924" s="63"/>
      <c r="J40924" s="63"/>
    </row>
    <row r="40925" spans="9:10" x14ac:dyDescent="0.35">
      <c r="I40925" s="63"/>
      <c r="J40925" s="63"/>
    </row>
    <row r="40926" spans="9:10" x14ac:dyDescent="0.35">
      <c r="I40926" s="63"/>
      <c r="J40926" s="63"/>
    </row>
    <row r="40927" spans="9:10" x14ac:dyDescent="0.35">
      <c r="I40927" s="63"/>
      <c r="J40927" s="63"/>
    </row>
    <row r="40928" spans="9:10" x14ac:dyDescent="0.35">
      <c r="I40928" s="63"/>
      <c r="J40928" s="63"/>
    </row>
    <row r="40929" spans="9:10" x14ac:dyDescent="0.35">
      <c r="I40929" s="63"/>
      <c r="J40929" s="63"/>
    </row>
    <row r="40930" spans="9:10" x14ac:dyDescent="0.35">
      <c r="I40930" s="63"/>
      <c r="J40930" s="63"/>
    </row>
    <row r="40931" spans="9:10" x14ac:dyDescent="0.35">
      <c r="I40931" s="63"/>
      <c r="J40931" s="63"/>
    </row>
    <row r="40932" spans="9:10" x14ac:dyDescent="0.35">
      <c r="I40932" s="63"/>
      <c r="J40932" s="63"/>
    </row>
    <row r="40933" spans="9:10" x14ac:dyDescent="0.35">
      <c r="I40933" s="63"/>
      <c r="J40933" s="63"/>
    </row>
    <row r="40934" spans="9:10" x14ac:dyDescent="0.35">
      <c r="I40934" s="63"/>
      <c r="J40934" s="63"/>
    </row>
    <row r="40935" spans="9:10" x14ac:dyDescent="0.35">
      <c r="I40935" s="63"/>
      <c r="J40935" s="63"/>
    </row>
    <row r="40936" spans="9:10" x14ac:dyDescent="0.35">
      <c r="I40936" s="63"/>
      <c r="J40936" s="63"/>
    </row>
    <row r="40937" spans="9:10" x14ac:dyDescent="0.35">
      <c r="I40937" s="63"/>
      <c r="J40937" s="63"/>
    </row>
    <row r="40938" spans="9:10" x14ac:dyDescent="0.35">
      <c r="I40938" s="63"/>
      <c r="J40938" s="63"/>
    </row>
    <row r="40939" spans="9:10" x14ac:dyDescent="0.35">
      <c r="I40939" s="63"/>
      <c r="J40939" s="63"/>
    </row>
    <row r="40940" spans="9:10" x14ac:dyDescent="0.35">
      <c r="I40940" s="63"/>
      <c r="J40940" s="63"/>
    </row>
    <row r="40941" spans="9:10" x14ac:dyDescent="0.35">
      <c r="I40941" s="63"/>
      <c r="J40941" s="63"/>
    </row>
    <row r="40942" spans="9:10" x14ac:dyDescent="0.35">
      <c r="I40942" s="63"/>
      <c r="J40942" s="63"/>
    </row>
    <row r="40943" spans="9:10" x14ac:dyDescent="0.35">
      <c r="I40943" s="63"/>
      <c r="J40943" s="63"/>
    </row>
    <row r="40944" spans="9:10" x14ac:dyDescent="0.35">
      <c r="I40944" s="63"/>
      <c r="J40944" s="63"/>
    </row>
    <row r="40945" spans="9:10" x14ac:dyDescent="0.35">
      <c r="I40945" s="63"/>
      <c r="J40945" s="63"/>
    </row>
    <row r="40946" spans="9:10" x14ac:dyDescent="0.35">
      <c r="I40946" s="63"/>
      <c r="J40946" s="63"/>
    </row>
    <row r="40947" spans="9:10" x14ac:dyDescent="0.35">
      <c r="I40947" s="63"/>
      <c r="J40947" s="63"/>
    </row>
    <row r="40948" spans="9:10" x14ac:dyDescent="0.35">
      <c r="I40948" s="63"/>
      <c r="J40948" s="63"/>
    </row>
    <row r="40949" spans="9:10" x14ac:dyDescent="0.35">
      <c r="I40949" s="63"/>
      <c r="J40949" s="63"/>
    </row>
    <row r="40950" spans="9:10" x14ac:dyDescent="0.35">
      <c r="I40950" s="63"/>
      <c r="J40950" s="63"/>
    </row>
    <row r="40951" spans="9:10" x14ac:dyDescent="0.35">
      <c r="I40951" s="63"/>
      <c r="J40951" s="63"/>
    </row>
    <row r="40952" spans="9:10" x14ac:dyDescent="0.35">
      <c r="I40952" s="63"/>
      <c r="J40952" s="63"/>
    </row>
    <row r="40953" spans="9:10" x14ac:dyDescent="0.35">
      <c r="I40953" s="63"/>
      <c r="J40953" s="63"/>
    </row>
    <row r="40954" spans="9:10" x14ac:dyDescent="0.35">
      <c r="I40954" s="63"/>
      <c r="J40954" s="63"/>
    </row>
    <row r="40955" spans="9:10" x14ac:dyDescent="0.35">
      <c r="I40955" s="63"/>
      <c r="J40955" s="63"/>
    </row>
    <row r="40956" spans="9:10" x14ac:dyDescent="0.35">
      <c r="I40956" s="63"/>
      <c r="J40956" s="63"/>
    </row>
    <row r="40957" spans="9:10" x14ac:dyDescent="0.35">
      <c r="I40957" s="63"/>
      <c r="J40957" s="63"/>
    </row>
    <row r="40958" spans="9:10" x14ac:dyDescent="0.35">
      <c r="I40958" s="63"/>
      <c r="J40958" s="63"/>
    </row>
    <row r="40959" spans="9:10" x14ac:dyDescent="0.35">
      <c r="I40959" s="63"/>
      <c r="J40959" s="63"/>
    </row>
    <row r="40960" spans="9:10" x14ac:dyDescent="0.35">
      <c r="I40960" s="63"/>
      <c r="J40960" s="63"/>
    </row>
    <row r="40961" spans="9:10" x14ac:dyDescent="0.35">
      <c r="I40961" s="63"/>
      <c r="J40961" s="63"/>
    </row>
    <row r="40962" spans="9:10" x14ac:dyDescent="0.35">
      <c r="I40962" s="63"/>
      <c r="J40962" s="63"/>
    </row>
    <row r="40963" spans="9:10" x14ac:dyDescent="0.35">
      <c r="I40963" s="63"/>
      <c r="J40963" s="63"/>
    </row>
    <row r="40964" spans="9:10" x14ac:dyDescent="0.35">
      <c r="I40964" s="63"/>
      <c r="J40964" s="63"/>
    </row>
    <row r="40965" spans="9:10" x14ac:dyDescent="0.35">
      <c r="I40965" s="63"/>
      <c r="J40965" s="63"/>
    </row>
    <row r="40966" spans="9:10" x14ac:dyDescent="0.35">
      <c r="I40966" s="63"/>
      <c r="J40966" s="63"/>
    </row>
    <row r="40967" spans="9:10" x14ac:dyDescent="0.35">
      <c r="I40967" s="63"/>
      <c r="J40967" s="63"/>
    </row>
    <row r="40968" spans="9:10" x14ac:dyDescent="0.35">
      <c r="I40968" s="63"/>
      <c r="J40968" s="63"/>
    </row>
    <row r="40969" spans="9:10" x14ac:dyDescent="0.35">
      <c r="I40969" s="63"/>
      <c r="J40969" s="63"/>
    </row>
    <row r="40970" spans="9:10" x14ac:dyDescent="0.35">
      <c r="I40970" s="63"/>
      <c r="J40970" s="63"/>
    </row>
    <row r="40971" spans="9:10" x14ac:dyDescent="0.35">
      <c r="I40971" s="63"/>
      <c r="J40971" s="63"/>
    </row>
    <row r="40972" spans="9:10" x14ac:dyDescent="0.35">
      <c r="I40972" s="63"/>
      <c r="J40972" s="63"/>
    </row>
    <row r="40973" spans="9:10" x14ac:dyDescent="0.35">
      <c r="I40973" s="63"/>
      <c r="J40973" s="63"/>
    </row>
    <row r="40974" spans="9:10" x14ac:dyDescent="0.35">
      <c r="I40974" s="63"/>
      <c r="J40974" s="63"/>
    </row>
    <row r="40975" spans="9:10" x14ac:dyDescent="0.35">
      <c r="I40975" s="63"/>
      <c r="J40975" s="63"/>
    </row>
    <row r="40976" spans="9:10" x14ac:dyDescent="0.35">
      <c r="I40976" s="63"/>
      <c r="J40976" s="63"/>
    </row>
    <row r="40977" spans="9:10" x14ac:dyDescent="0.35">
      <c r="I40977" s="63"/>
      <c r="J40977" s="63"/>
    </row>
    <row r="40978" spans="9:10" x14ac:dyDescent="0.35">
      <c r="I40978" s="63"/>
      <c r="J40978" s="63"/>
    </row>
    <row r="40979" spans="9:10" x14ac:dyDescent="0.35">
      <c r="I40979" s="63"/>
      <c r="J40979" s="63"/>
    </row>
    <row r="40980" spans="9:10" x14ac:dyDescent="0.35">
      <c r="I40980" s="63"/>
      <c r="J40980" s="63"/>
    </row>
    <row r="40981" spans="9:10" x14ac:dyDescent="0.35">
      <c r="I40981" s="63"/>
      <c r="J40981" s="63"/>
    </row>
    <row r="40982" spans="9:10" x14ac:dyDescent="0.35">
      <c r="I40982" s="63"/>
      <c r="J40982" s="63"/>
    </row>
    <row r="40983" spans="9:10" x14ac:dyDescent="0.35">
      <c r="I40983" s="63"/>
      <c r="J40983" s="63"/>
    </row>
    <row r="40984" spans="9:10" x14ac:dyDescent="0.35">
      <c r="I40984" s="63"/>
      <c r="J40984" s="63"/>
    </row>
    <row r="40985" spans="9:10" x14ac:dyDescent="0.35">
      <c r="I40985" s="63"/>
      <c r="J40985" s="63"/>
    </row>
    <row r="40986" spans="9:10" x14ac:dyDescent="0.35">
      <c r="I40986" s="63"/>
      <c r="J40986" s="63"/>
    </row>
    <row r="40987" spans="9:10" x14ac:dyDescent="0.35">
      <c r="I40987" s="63"/>
      <c r="J40987" s="63"/>
    </row>
    <row r="40988" spans="9:10" x14ac:dyDescent="0.35">
      <c r="I40988" s="63"/>
      <c r="J40988" s="63"/>
    </row>
    <row r="40989" spans="9:10" x14ac:dyDescent="0.35">
      <c r="I40989" s="63"/>
      <c r="J40989" s="63"/>
    </row>
    <row r="40990" spans="9:10" x14ac:dyDescent="0.35">
      <c r="I40990" s="63"/>
      <c r="J40990" s="63"/>
    </row>
    <row r="40991" spans="9:10" x14ac:dyDescent="0.35">
      <c r="I40991" s="63"/>
      <c r="J40991" s="63"/>
    </row>
    <row r="40992" spans="9:10" x14ac:dyDescent="0.35">
      <c r="I40992" s="63"/>
      <c r="J40992" s="63"/>
    </row>
    <row r="40993" spans="9:10" x14ac:dyDescent="0.35">
      <c r="I40993" s="63"/>
      <c r="J40993" s="63"/>
    </row>
    <row r="40994" spans="9:10" x14ac:dyDescent="0.35">
      <c r="I40994" s="63"/>
      <c r="J40994" s="63"/>
    </row>
    <row r="40995" spans="9:10" x14ac:dyDescent="0.35">
      <c r="I40995" s="63"/>
      <c r="J40995" s="63"/>
    </row>
    <row r="40996" spans="9:10" x14ac:dyDescent="0.35">
      <c r="I40996" s="63"/>
      <c r="J40996" s="63"/>
    </row>
    <row r="40997" spans="9:10" x14ac:dyDescent="0.35">
      <c r="I40997" s="63"/>
      <c r="J40997" s="63"/>
    </row>
    <row r="40998" spans="9:10" x14ac:dyDescent="0.35">
      <c r="I40998" s="63"/>
      <c r="J40998" s="63"/>
    </row>
    <row r="40999" spans="9:10" x14ac:dyDescent="0.35">
      <c r="I40999" s="63"/>
      <c r="J40999" s="63"/>
    </row>
    <row r="41000" spans="9:10" x14ac:dyDescent="0.35">
      <c r="I41000" s="63"/>
      <c r="J41000" s="63"/>
    </row>
    <row r="41001" spans="9:10" x14ac:dyDescent="0.35">
      <c r="I41001" s="63"/>
      <c r="J41001" s="63"/>
    </row>
    <row r="41002" spans="9:10" x14ac:dyDescent="0.35">
      <c r="I41002" s="63"/>
      <c r="J41002" s="63"/>
    </row>
    <row r="41003" spans="9:10" x14ac:dyDescent="0.35">
      <c r="I41003" s="63"/>
      <c r="J41003" s="63"/>
    </row>
    <row r="41004" spans="9:10" x14ac:dyDescent="0.35">
      <c r="I41004" s="63"/>
      <c r="J41004" s="63"/>
    </row>
    <row r="41005" spans="9:10" x14ac:dyDescent="0.35">
      <c r="I41005" s="63"/>
      <c r="J41005" s="63"/>
    </row>
    <row r="41006" spans="9:10" x14ac:dyDescent="0.35">
      <c r="I41006" s="63"/>
      <c r="J41006" s="63"/>
    </row>
    <row r="41007" spans="9:10" x14ac:dyDescent="0.35">
      <c r="I41007" s="63"/>
      <c r="J41007" s="63"/>
    </row>
    <row r="41008" spans="9:10" x14ac:dyDescent="0.35">
      <c r="I41008" s="63"/>
      <c r="J41008" s="63"/>
    </row>
    <row r="41009" spans="9:10" x14ac:dyDescent="0.35">
      <c r="I41009" s="63"/>
      <c r="J41009" s="63"/>
    </row>
    <row r="41010" spans="9:10" x14ac:dyDescent="0.35">
      <c r="I41010" s="63"/>
      <c r="J41010" s="63"/>
    </row>
    <row r="41011" spans="9:10" x14ac:dyDescent="0.35">
      <c r="I41011" s="63"/>
      <c r="J41011" s="63"/>
    </row>
    <row r="41012" spans="9:10" x14ac:dyDescent="0.35">
      <c r="I41012" s="63"/>
      <c r="J41012" s="63"/>
    </row>
    <row r="41013" spans="9:10" x14ac:dyDescent="0.35">
      <c r="I41013" s="63"/>
      <c r="J41013" s="63"/>
    </row>
    <row r="41014" spans="9:10" x14ac:dyDescent="0.35">
      <c r="I41014" s="63"/>
      <c r="J41014" s="63"/>
    </row>
    <row r="41015" spans="9:10" x14ac:dyDescent="0.35">
      <c r="I41015" s="63"/>
      <c r="J41015" s="63"/>
    </row>
    <row r="41016" spans="9:10" x14ac:dyDescent="0.35">
      <c r="I41016" s="63"/>
      <c r="J41016" s="63"/>
    </row>
    <row r="41017" spans="9:10" x14ac:dyDescent="0.35">
      <c r="I41017" s="63"/>
      <c r="J41017" s="63"/>
    </row>
    <row r="41018" spans="9:10" x14ac:dyDescent="0.35">
      <c r="I41018" s="63"/>
      <c r="J41018" s="63"/>
    </row>
    <row r="41019" spans="9:10" x14ac:dyDescent="0.35">
      <c r="I41019" s="63"/>
      <c r="J41019" s="63"/>
    </row>
    <row r="41020" spans="9:10" x14ac:dyDescent="0.35">
      <c r="I41020" s="63"/>
      <c r="J41020" s="63"/>
    </row>
    <row r="41021" spans="9:10" x14ac:dyDescent="0.35">
      <c r="I41021" s="63"/>
      <c r="J41021" s="63"/>
    </row>
    <row r="41022" spans="9:10" x14ac:dyDescent="0.35">
      <c r="I41022" s="63"/>
      <c r="J41022" s="63"/>
    </row>
    <row r="41023" spans="9:10" x14ac:dyDescent="0.35">
      <c r="I41023" s="63"/>
      <c r="J41023" s="63"/>
    </row>
    <row r="41024" spans="9:10" x14ac:dyDescent="0.35">
      <c r="I41024" s="63"/>
      <c r="J41024" s="63"/>
    </row>
    <row r="41025" spans="9:10" x14ac:dyDescent="0.35">
      <c r="I41025" s="63"/>
      <c r="J41025" s="63"/>
    </row>
    <row r="41026" spans="9:10" x14ac:dyDescent="0.35">
      <c r="I41026" s="63"/>
      <c r="J41026" s="63"/>
    </row>
    <row r="41027" spans="9:10" x14ac:dyDescent="0.35">
      <c r="I41027" s="63"/>
      <c r="J41027" s="63"/>
    </row>
    <row r="41028" spans="9:10" x14ac:dyDescent="0.35">
      <c r="I41028" s="63"/>
      <c r="J41028" s="63"/>
    </row>
    <row r="41029" spans="9:10" x14ac:dyDescent="0.35">
      <c r="I41029" s="63"/>
      <c r="J41029" s="63"/>
    </row>
    <row r="41030" spans="9:10" x14ac:dyDescent="0.35">
      <c r="I41030" s="63"/>
      <c r="J41030" s="63"/>
    </row>
    <row r="41031" spans="9:10" x14ac:dyDescent="0.35">
      <c r="I41031" s="63"/>
      <c r="J41031" s="63"/>
    </row>
    <row r="41032" spans="9:10" x14ac:dyDescent="0.35">
      <c r="I41032" s="63"/>
      <c r="J41032" s="63"/>
    </row>
    <row r="41033" spans="9:10" x14ac:dyDescent="0.35">
      <c r="I41033" s="63"/>
      <c r="J41033" s="63"/>
    </row>
    <row r="41034" spans="9:10" x14ac:dyDescent="0.35">
      <c r="I41034" s="63"/>
      <c r="J41034" s="63"/>
    </row>
    <row r="41035" spans="9:10" x14ac:dyDescent="0.35">
      <c r="I41035" s="63"/>
      <c r="J41035" s="63"/>
    </row>
    <row r="41036" spans="9:10" x14ac:dyDescent="0.35">
      <c r="I41036" s="63"/>
      <c r="J41036" s="63"/>
    </row>
    <row r="41037" spans="9:10" x14ac:dyDescent="0.35">
      <c r="I41037" s="63"/>
      <c r="J41037" s="63"/>
    </row>
    <row r="41038" spans="9:10" x14ac:dyDescent="0.35">
      <c r="I41038" s="63"/>
      <c r="J41038" s="63"/>
    </row>
    <row r="41039" spans="9:10" x14ac:dyDescent="0.35">
      <c r="I41039" s="63"/>
      <c r="J41039" s="63"/>
    </row>
    <row r="41040" spans="9:10" x14ac:dyDescent="0.35">
      <c r="I41040" s="63"/>
      <c r="J41040" s="63"/>
    </row>
    <row r="41041" spans="9:10" x14ac:dyDescent="0.35">
      <c r="I41041" s="63"/>
      <c r="J41041" s="63"/>
    </row>
    <row r="41042" spans="9:10" x14ac:dyDescent="0.35">
      <c r="I41042" s="63"/>
      <c r="J41042" s="63"/>
    </row>
    <row r="41043" spans="9:10" x14ac:dyDescent="0.35">
      <c r="I41043" s="63"/>
      <c r="J41043" s="63"/>
    </row>
    <row r="41044" spans="9:10" x14ac:dyDescent="0.35">
      <c r="I41044" s="63"/>
      <c r="J41044" s="63"/>
    </row>
    <row r="41045" spans="9:10" x14ac:dyDescent="0.35">
      <c r="I41045" s="63"/>
      <c r="J41045" s="63"/>
    </row>
    <row r="41046" spans="9:10" x14ac:dyDescent="0.35">
      <c r="I41046" s="63"/>
      <c r="J41046" s="63"/>
    </row>
    <row r="41047" spans="9:10" x14ac:dyDescent="0.35">
      <c r="I41047" s="63"/>
      <c r="J41047" s="63"/>
    </row>
    <row r="41048" spans="9:10" x14ac:dyDescent="0.35">
      <c r="I41048" s="63"/>
      <c r="J41048" s="63"/>
    </row>
    <row r="41049" spans="9:10" x14ac:dyDescent="0.35">
      <c r="I41049" s="63"/>
      <c r="J41049" s="63"/>
    </row>
    <row r="41050" spans="9:10" x14ac:dyDescent="0.35">
      <c r="I41050" s="63"/>
      <c r="J41050" s="63"/>
    </row>
    <row r="41051" spans="9:10" x14ac:dyDescent="0.35">
      <c r="I41051" s="63"/>
      <c r="J41051" s="63"/>
    </row>
    <row r="41052" spans="9:10" x14ac:dyDescent="0.35">
      <c r="I41052" s="63"/>
      <c r="J41052" s="63"/>
    </row>
    <row r="41053" spans="9:10" x14ac:dyDescent="0.35">
      <c r="I41053" s="63"/>
      <c r="J41053" s="63"/>
    </row>
    <row r="41054" spans="9:10" x14ac:dyDescent="0.35">
      <c r="I41054" s="63"/>
      <c r="J41054" s="63"/>
    </row>
    <row r="41055" spans="9:10" x14ac:dyDescent="0.35">
      <c r="I41055" s="63"/>
      <c r="J41055" s="63"/>
    </row>
    <row r="41056" spans="9:10" x14ac:dyDescent="0.35">
      <c r="I41056" s="63"/>
      <c r="J41056" s="63"/>
    </row>
    <row r="41057" spans="9:10" x14ac:dyDescent="0.35">
      <c r="I41057" s="63"/>
      <c r="J41057" s="63"/>
    </row>
    <row r="41058" spans="9:10" x14ac:dyDescent="0.35">
      <c r="I41058" s="63"/>
      <c r="J41058" s="63"/>
    </row>
    <row r="41059" spans="9:10" x14ac:dyDescent="0.35">
      <c r="I41059" s="63"/>
      <c r="J41059" s="63"/>
    </row>
    <row r="41060" spans="9:10" x14ac:dyDescent="0.35">
      <c r="I41060" s="63"/>
      <c r="J41060" s="63"/>
    </row>
    <row r="41061" spans="9:10" x14ac:dyDescent="0.35">
      <c r="I41061" s="63"/>
      <c r="J41061" s="63"/>
    </row>
    <row r="41062" spans="9:10" x14ac:dyDescent="0.35">
      <c r="I41062" s="63"/>
      <c r="J41062" s="63"/>
    </row>
    <row r="41063" spans="9:10" x14ac:dyDescent="0.35">
      <c r="I41063" s="63"/>
      <c r="J41063" s="63"/>
    </row>
    <row r="41064" spans="9:10" x14ac:dyDescent="0.35">
      <c r="I41064" s="63"/>
      <c r="J41064" s="63"/>
    </row>
    <row r="41065" spans="9:10" x14ac:dyDescent="0.35">
      <c r="I41065" s="63"/>
      <c r="J41065" s="63"/>
    </row>
    <row r="41066" spans="9:10" x14ac:dyDescent="0.35">
      <c r="I41066" s="63"/>
      <c r="J41066" s="63"/>
    </row>
    <row r="41067" spans="9:10" x14ac:dyDescent="0.35">
      <c r="I41067" s="63"/>
      <c r="J41067" s="63"/>
    </row>
    <row r="41068" spans="9:10" x14ac:dyDescent="0.35">
      <c r="I41068" s="63"/>
      <c r="J41068" s="63"/>
    </row>
    <row r="41069" spans="9:10" x14ac:dyDescent="0.35">
      <c r="I41069" s="63"/>
      <c r="J41069" s="63"/>
    </row>
    <row r="41070" spans="9:10" x14ac:dyDescent="0.35">
      <c r="I41070" s="63"/>
      <c r="J41070" s="63"/>
    </row>
    <row r="41071" spans="9:10" x14ac:dyDescent="0.35">
      <c r="I41071" s="63"/>
      <c r="J41071" s="63"/>
    </row>
    <row r="41072" spans="9:10" x14ac:dyDescent="0.35">
      <c r="I41072" s="63"/>
      <c r="J41072" s="63"/>
    </row>
    <row r="41073" spans="9:10" x14ac:dyDescent="0.35">
      <c r="I41073" s="63"/>
      <c r="J41073" s="63"/>
    </row>
    <row r="41074" spans="9:10" x14ac:dyDescent="0.35">
      <c r="I41074" s="63"/>
      <c r="J41074" s="63"/>
    </row>
    <row r="41075" spans="9:10" x14ac:dyDescent="0.35">
      <c r="I41075" s="63"/>
      <c r="J41075" s="63"/>
    </row>
    <row r="41076" spans="9:10" x14ac:dyDescent="0.35">
      <c r="I41076" s="63"/>
      <c r="J41076" s="63"/>
    </row>
    <row r="41077" spans="9:10" x14ac:dyDescent="0.35">
      <c r="I41077" s="63"/>
      <c r="J41077" s="63"/>
    </row>
    <row r="41078" spans="9:10" x14ac:dyDescent="0.35">
      <c r="I41078" s="63"/>
      <c r="J41078" s="63"/>
    </row>
    <row r="41079" spans="9:10" x14ac:dyDescent="0.35">
      <c r="I41079" s="63"/>
      <c r="J41079" s="63"/>
    </row>
    <row r="41080" spans="9:10" x14ac:dyDescent="0.35">
      <c r="I41080" s="63"/>
      <c r="J41080" s="63"/>
    </row>
    <row r="41081" spans="9:10" x14ac:dyDescent="0.35">
      <c r="I41081" s="63"/>
      <c r="J41081" s="63"/>
    </row>
    <row r="41082" spans="9:10" x14ac:dyDescent="0.35">
      <c r="I41082" s="63"/>
      <c r="J41082" s="63"/>
    </row>
    <row r="41083" spans="9:10" x14ac:dyDescent="0.35">
      <c r="I41083" s="63"/>
      <c r="J41083" s="63"/>
    </row>
    <row r="41084" spans="9:10" x14ac:dyDescent="0.35">
      <c r="I41084" s="63"/>
      <c r="J41084" s="63"/>
    </row>
    <row r="41085" spans="9:10" x14ac:dyDescent="0.35">
      <c r="I41085" s="63"/>
      <c r="J41085" s="63"/>
    </row>
    <row r="41086" spans="9:10" x14ac:dyDescent="0.35">
      <c r="I41086" s="63"/>
      <c r="J41086" s="63"/>
    </row>
    <row r="41087" spans="9:10" x14ac:dyDescent="0.35">
      <c r="I41087" s="63"/>
      <c r="J41087" s="63"/>
    </row>
    <row r="41088" spans="9:10" x14ac:dyDescent="0.35">
      <c r="I41088" s="63"/>
      <c r="J41088" s="63"/>
    </row>
    <row r="41089" spans="9:10" x14ac:dyDescent="0.35">
      <c r="I41089" s="63"/>
      <c r="J41089" s="63"/>
    </row>
    <row r="41090" spans="9:10" x14ac:dyDescent="0.35">
      <c r="I41090" s="63"/>
      <c r="J41090" s="63"/>
    </row>
    <row r="41091" spans="9:10" x14ac:dyDescent="0.35">
      <c r="I41091" s="63"/>
      <c r="J41091" s="63"/>
    </row>
    <row r="41092" spans="9:10" x14ac:dyDescent="0.35">
      <c r="I41092" s="63"/>
      <c r="J41092" s="63"/>
    </row>
    <row r="41093" spans="9:10" x14ac:dyDescent="0.35">
      <c r="I41093" s="63"/>
      <c r="J41093" s="63"/>
    </row>
    <row r="41094" spans="9:10" x14ac:dyDescent="0.35">
      <c r="I41094" s="63"/>
      <c r="J41094" s="63"/>
    </row>
    <row r="41095" spans="9:10" x14ac:dyDescent="0.35">
      <c r="I41095" s="63"/>
      <c r="J41095" s="63"/>
    </row>
    <row r="41096" spans="9:10" x14ac:dyDescent="0.35">
      <c r="I41096" s="63"/>
      <c r="J41096" s="63"/>
    </row>
    <row r="41097" spans="9:10" x14ac:dyDescent="0.35">
      <c r="I41097" s="63"/>
      <c r="J41097" s="63"/>
    </row>
    <row r="41098" spans="9:10" x14ac:dyDescent="0.35">
      <c r="I41098" s="63"/>
      <c r="J41098" s="63"/>
    </row>
    <row r="41099" spans="9:10" x14ac:dyDescent="0.35">
      <c r="I41099" s="63"/>
      <c r="J41099" s="63"/>
    </row>
    <row r="41100" spans="9:10" x14ac:dyDescent="0.35">
      <c r="I41100" s="63"/>
      <c r="J41100" s="63"/>
    </row>
    <row r="41101" spans="9:10" x14ac:dyDescent="0.35">
      <c r="I41101" s="63"/>
      <c r="J41101" s="63"/>
    </row>
    <row r="41102" spans="9:10" x14ac:dyDescent="0.35">
      <c r="I41102" s="63"/>
      <c r="J41102" s="63"/>
    </row>
    <row r="41103" spans="9:10" x14ac:dyDescent="0.35">
      <c r="I41103" s="63"/>
      <c r="J41103" s="63"/>
    </row>
    <row r="41104" spans="9:10" x14ac:dyDescent="0.35">
      <c r="I41104" s="63"/>
      <c r="J41104" s="63"/>
    </row>
    <row r="41105" spans="9:10" x14ac:dyDescent="0.35">
      <c r="I41105" s="63"/>
      <c r="J41105" s="63"/>
    </row>
    <row r="41106" spans="9:10" x14ac:dyDescent="0.35">
      <c r="I41106" s="63"/>
      <c r="J41106" s="63"/>
    </row>
    <row r="41107" spans="9:10" x14ac:dyDescent="0.35">
      <c r="I41107" s="63"/>
      <c r="J41107" s="63"/>
    </row>
    <row r="41108" spans="9:10" x14ac:dyDescent="0.35">
      <c r="I41108" s="63"/>
      <c r="J41108" s="63"/>
    </row>
    <row r="41109" spans="9:10" x14ac:dyDescent="0.35">
      <c r="I41109" s="63"/>
      <c r="J41109" s="63"/>
    </row>
    <row r="41110" spans="9:10" x14ac:dyDescent="0.35">
      <c r="I41110" s="63"/>
      <c r="J41110" s="63"/>
    </row>
    <row r="41111" spans="9:10" x14ac:dyDescent="0.35">
      <c r="I41111" s="63"/>
      <c r="J41111" s="63"/>
    </row>
    <row r="41112" spans="9:10" x14ac:dyDescent="0.35">
      <c r="I41112" s="63"/>
      <c r="J41112" s="63"/>
    </row>
    <row r="41113" spans="9:10" x14ac:dyDescent="0.35">
      <c r="I41113" s="63"/>
      <c r="J41113" s="63"/>
    </row>
    <row r="41114" spans="9:10" x14ac:dyDescent="0.35">
      <c r="I41114" s="63"/>
      <c r="J41114" s="63"/>
    </row>
    <row r="41115" spans="9:10" x14ac:dyDescent="0.35">
      <c r="I41115" s="63"/>
      <c r="J41115" s="63"/>
    </row>
    <row r="41116" spans="9:10" x14ac:dyDescent="0.35">
      <c r="I41116" s="63"/>
      <c r="J41116" s="63"/>
    </row>
    <row r="41117" spans="9:10" x14ac:dyDescent="0.35">
      <c r="I41117" s="63"/>
      <c r="J41117" s="63"/>
    </row>
    <row r="41118" spans="9:10" x14ac:dyDescent="0.35">
      <c r="I41118" s="63"/>
      <c r="J41118" s="63"/>
    </row>
    <row r="41119" spans="9:10" x14ac:dyDescent="0.35">
      <c r="I41119" s="63"/>
      <c r="J41119" s="63"/>
    </row>
    <row r="41120" spans="9:10" x14ac:dyDescent="0.35">
      <c r="I41120" s="63"/>
      <c r="J41120" s="63"/>
    </row>
    <row r="41121" spans="9:10" x14ac:dyDescent="0.35">
      <c r="I41121" s="63"/>
      <c r="J41121" s="63"/>
    </row>
    <row r="41122" spans="9:10" x14ac:dyDescent="0.35">
      <c r="I41122" s="63"/>
      <c r="J41122" s="63"/>
    </row>
    <row r="41123" spans="9:10" x14ac:dyDescent="0.35">
      <c r="I41123" s="63"/>
      <c r="J41123" s="63"/>
    </row>
    <row r="41124" spans="9:10" x14ac:dyDescent="0.35">
      <c r="I41124" s="63"/>
      <c r="J41124" s="63"/>
    </row>
    <row r="41125" spans="9:10" x14ac:dyDescent="0.35">
      <c r="I41125" s="63"/>
      <c r="J41125" s="63"/>
    </row>
    <row r="41126" spans="9:10" x14ac:dyDescent="0.35">
      <c r="I41126" s="63"/>
      <c r="J41126" s="63"/>
    </row>
    <row r="41127" spans="9:10" x14ac:dyDescent="0.35">
      <c r="I41127" s="63"/>
      <c r="J41127" s="63"/>
    </row>
    <row r="41128" spans="9:10" x14ac:dyDescent="0.35">
      <c r="I41128" s="63"/>
      <c r="J41128" s="63"/>
    </row>
    <row r="41129" spans="9:10" x14ac:dyDescent="0.35">
      <c r="I41129" s="63"/>
      <c r="J41129" s="63"/>
    </row>
    <row r="41130" spans="9:10" x14ac:dyDescent="0.35">
      <c r="I41130" s="63"/>
      <c r="J41130" s="63"/>
    </row>
    <row r="41131" spans="9:10" x14ac:dyDescent="0.35">
      <c r="I41131" s="63"/>
      <c r="J41131" s="63"/>
    </row>
    <row r="41132" spans="9:10" x14ac:dyDescent="0.35">
      <c r="I41132" s="63"/>
      <c r="J41132" s="63"/>
    </row>
    <row r="41133" spans="9:10" x14ac:dyDescent="0.35">
      <c r="I41133" s="63"/>
      <c r="J41133" s="63"/>
    </row>
    <row r="41134" spans="9:10" x14ac:dyDescent="0.35">
      <c r="I41134" s="63"/>
      <c r="J41134" s="63"/>
    </row>
    <row r="41135" spans="9:10" x14ac:dyDescent="0.35">
      <c r="I41135" s="63"/>
      <c r="J41135" s="63"/>
    </row>
    <row r="41136" spans="9:10" x14ac:dyDescent="0.35">
      <c r="I41136" s="63"/>
      <c r="J41136" s="63"/>
    </row>
    <row r="41137" spans="9:10" x14ac:dyDescent="0.35">
      <c r="I41137" s="63"/>
      <c r="J41137" s="63"/>
    </row>
    <row r="41138" spans="9:10" x14ac:dyDescent="0.35">
      <c r="I41138" s="63"/>
      <c r="J41138" s="63"/>
    </row>
    <row r="41139" spans="9:10" x14ac:dyDescent="0.35">
      <c r="I41139" s="63"/>
      <c r="J41139" s="63"/>
    </row>
    <row r="41140" spans="9:10" x14ac:dyDescent="0.35">
      <c r="I41140" s="63"/>
      <c r="J41140" s="63"/>
    </row>
    <row r="41141" spans="9:10" x14ac:dyDescent="0.35">
      <c r="I41141" s="63"/>
      <c r="J41141" s="63"/>
    </row>
    <row r="41142" spans="9:10" x14ac:dyDescent="0.35">
      <c r="I41142" s="63"/>
      <c r="J41142" s="63"/>
    </row>
    <row r="41143" spans="9:10" x14ac:dyDescent="0.35">
      <c r="I41143" s="63"/>
      <c r="J41143" s="63"/>
    </row>
    <row r="41144" spans="9:10" x14ac:dyDescent="0.35">
      <c r="I41144" s="63"/>
      <c r="J41144" s="63"/>
    </row>
    <row r="41145" spans="9:10" x14ac:dyDescent="0.35">
      <c r="I41145" s="63"/>
      <c r="J41145" s="63"/>
    </row>
    <row r="41146" spans="9:10" x14ac:dyDescent="0.35">
      <c r="I41146" s="63"/>
      <c r="J41146" s="63"/>
    </row>
    <row r="41147" spans="9:10" x14ac:dyDescent="0.35">
      <c r="I41147" s="63"/>
      <c r="J41147" s="63"/>
    </row>
    <row r="41148" spans="9:10" x14ac:dyDescent="0.35">
      <c r="I41148" s="63"/>
      <c r="J41148" s="63"/>
    </row>
    <row r="41149" spans="9:10" x14ac:dyDescent="0.35">
      <c r="I41149" s="63"/>
      <c r="J41149" s="63"/>
    </row>
    <row r="41150" spans="9:10" x14ac:dyDescent="0.35">
      <c r="I41150" s="63"/>
      <c r="J41150" s="63"/>
    </row>
    <row r="41151" spans="9:10" x14ac:dyDescent="0.35">
      <c r="I41151" s="63"/>
      <c r="J41151" s="63"/>
    </row>
    <row r="41152" spans="9:10" x14ac:dyDescent="0.35">
      <c r="I41152" s="63"/>
      <c r="J41152" s="63"/>
    </row>
    <row r="41153" spans="9:10" x14ac:dyDescent="0.35">
      <c r="I41153" s="63"/>
      <c r="J41153" s="63"/>
    </row>
    <row r="41154" spans="9:10" x14ac:dyDescent="0.35">
      <c r="I41154" s="63"/>
      <c r="J41154" s="63"/>
    </row>
    <row r="41155" spans="9:10" x14ac:dyDescent="0.35">
      <c r="I41155" s="63"/>
      <c r="J41155" s="63"/>
    </row>
    <row r="41156" spans="9:10" x14ac:dyDescent="0.35">
      <c r="I41156" s="63"/>
      <c r="J41156" s="63"/>
    </row>
    <row r="41157" spans="9:10" x14ac:dyDescent="0.35">
      <c r="I41157" s="63"/>
      <c r="J41157" s="63"/>
    </row>
    <row r="41158" spans="9:10" x14ac:dyDescent="0.35">
      <c r="I41158" s="63"/>
      <c r="J41158" s="63"/>
    </row>
    <row r="41159" spans="9:10" x14ac:dyDescent="0.35">
      <c r="I41159" s="63"/>
      <c r="J41159" s="63"/>
    </row>
    <row r="41160" spans="9:10" x14ac:dyDescent="0.35">
      <c r="I41160" s="63"/>
      <c r="J41160" s="63"/>
    </row>
    <row r="41161" spans="9:10" x14ac:dyDescent="0.35">
      <c r="I41161" s="63"/>
      <c r="J41161" s="63"/>
    </row>
    <row r="41162" spans="9:10" x14ac:dyDescent="0.35">
      <c r="I41162" s="63"/>
      <c r="J41162" s="63"/>
    </row>
    <row r="41163" spans="9:10" x14ac:dyDescent="0.35">
      <c r="I41163" s="63"/>
      <c r="J41163" s="63"/>
    </row>
    <row r="41164" spans="9:10" x14ac:dyDescent="0.35">
      <c r="I41164" s="63"/>
      <c r="J41164" s="63"/>
    </row>
    <row r="41165" spans="9:10" x14ac:dyDescent="0.35">
      <c r="I41165" s="63"/>
      <c r="J41165" s="63"/>
    </row>
    <row r="41166" spans="9:10" x14ac:dyDescent="0.35">
      <c r="I41166" s="63"/>
      <c r="J41166" s="63"/>
    </row>
    <row r="41167" spans="9:10" x14ac:dyDescent="0.35">
      <c r="I41167" s="63"/>
      <c r="J41167" s="63"/>
    </row>
    <row r="41168" spans="9:10" x14ac:dyDescent="0.35">
      <c r="I41168" s="63"/>
      <c r="J41168" s="63"/>
    </row>
    <row r="41169" spans="9:10" x14ac:dyDescent="0.35">
      <c r="I41169" s="63"/>
      <c r="J41169" s="63"/>
    </row>
    <row r="41170" spans="9:10" x14ac:dyDescent="0.35">
      <c r="I41170" s="63"/>
      <c r="J41170" s="63"/>
    </row>
    <row r="41171" spans="9:10" x14ac:dyDescent="0.35">
      <c r="I41171" s="63"/>
      <c r="J41171" s="63"/>
    </row>
    <row r="41172" spans="9:10" x14ac:dyDescent="0.35">
      <c r="I41172" s="63"/>
      <c r="J41172" s="63"/>
    </row>
    <row r="41173" spans="9:10" x14ac:dyDescent="0.35">
      <c r="I41173" s="63"/>
      <c r="J41173" s="63"/>
    </row>
    <row r="41174" spans="9:10" x14ac:dyDescent="0.35">
      <c r="I41174" s="63"/>
      <c r="J41174" s="63"/>
    </row>
    <row r="41175" spans="9:10" x14ac:dyDescent="0.35">
      <c r="I41175" s="63"/>
      <c r="J41175" s="63"/>
    </row>
    <row r="41176" spans="9:10" x14ac:dyDescent="0.35">
      <c r="I41176" s="63"/>
      <c r="J41176" s="63"/>
    </row>
    <row r="41177" spans="9:10" x14ac:dyDescent="0.35">
      <c r="I41177" s="63"/>
      <c r="J41177" s="63"/>
    </row>
    <row r="41178" spans="9:10" x14ac:dyDescent="0.35">
      <c r="I41178" s="63"/>
      <c r="J41178" s="63"/>
    </row>
    <row r="41179" spans="9:10" x14ac:dyDescent="0.35">
      <c r="I41179" s="63"/>
      <c r="J41179" s="63"/>
    </row>
    <row r="41180" spans="9:10" x14ac:dyDescent="0.35">
      <c r="I41180" s="63"/>
      <c r="J41180" s="63"/>
    </row>
    <row r="41181" spans="9:10" x14ac:dyDescent="0.35">
      <c r="I41181" s="63"/>
      <c r="J41181" s="63"/>
    </row>
    <row r="41182" spans="9:10" x14ac:dyDescent="0.35">
      <c r="I41182" s="63"/>
      <c r="J41182" s="63"/>
    </row>
    <row r="41183" spans="9:10" x14ac:dyDescent="0.35">
      <c r="I41183" s="63"/>
      <c r="J41183" s="63"/>
    </row>
    <row r="41184" spans="9:10" x14ac:dyDescent="0.35">
      <c r="I41184" s="63"/>
      <c r="J41184" s="63"/>
    </row>
    <row r="41185" spans="9:10" x14ac:dyDescent="0.35">
      <c r="I41185" s="63"/>
      <c r="J41185" s="63"/>
    </row>
    <row r="41186" spans="9:10" x14ac:dyDescent="0.35">
      <c r="I41186" s="63"/>
      <c r="J41186" s="63"/>
    </row>
    <row r="41187" spans="9:10" x14ac:dyDescent="0.35">
      <c r="I41187" s="63"/>
      <c r="J41187" s="63"/>
    </row>
    <row r="41188" spans="9:10" x14ac:dyDescent="0.35">
      <c r="I41188" s="63"/>
      <c r="J41188" s="63"/>
    </row>
    <row r="41189" spans="9:10" x14ac:dyDescent="0.35">
      <c r="I41189" s="63"/>
      <c r="J41189" s="63"/>
    </row>
    <row r="41190" spans="9:10" x14ac:dyDescent="0.35">
      <c r="I41190" s="63"/>
      <c r="J41190" s="63"/>
    </row>
    <row r="41191" spans="9:10" x14ac:dyDescent="0.35">
      <c r="I41191" s="63"/>
      <c r="J41191" s="63"/>
    </row>
    <row r="41192" spans="9:10" x14ac:dyDescent="0.35">
      <c r="I41192" s="63"/>
      <c r="J41192" s="63"/>
    </row>
    <row r="41193" spans="9:10" x14ac:dyDescent="0.35">
      <c r="I41193" s="63"/>
      <c r="J41193" s="63"/>
    </row>
    <row r="41194" spans="9:10" x14ac:dyDescent="0.35">
      <c r="I41194" s="63"/>
      <c r="J41194" s="63"/>
    </row>
    <row r="41195" spans="9:10" x14ac:dyDescent="0.35">
      <c r="I41195" s="63"/>
      <c r="J41195" s="63"/>
    </row>
    <row r="41196" spans="9:10" x14ac:dyDescent="0.35">
      <c r="I41196" s="63"/>
      <c r="J41196" s="63"/>
    </row>
    <row r="41197" spans="9:10" x14ac:dyDescent="0.35">
      <c r="I41197" s="63"/>
      <c r="J41197" s="63"/>
    </row>
    <row r="41198" spans="9:10" x14ac:dyDescent="0.35">
      <c r="I41198" s="63"/>
      <c r="J41198" s="63"/>
    </row>
    <row r="41199" spans="9:10" x14ac:dyDescent="0.35">
      <c r="I41199" s="63"/>
      <c r="J41199" s="63"/>
    </row>
    <row r="41200" spans="9:10" x14ac:dyDescent="0.35">
      <c r="I41200" s="63"/>
      <c r="J41200" s="63"/>
    </row>
    <row r="41201" spans="9:10" x14ac:dyDescent="0.35">
      <c r="I41201" s="63"/>
      <c r="J41201" s="63"/>
    </row>
    <row r="41202" spans="9:10" x14ac:dyDescent="0.35">
      <c r="I41202" s="63"/>
      <c r="J41202" s="63"/>
    </row>
    <row r="41203" spans="9:10" x14ac:dyDescent="0.35">
      <c r="I41203" s="63"/>
      <c r="J41203" s="63"/>
    </row>
    <row r="41204" spans="9:10" x14ac:dyDescent="0.35">
      <c r="I41204" s="63"/>
      <c r="J41204" s="63"/>
    </row>
    <row r="41205" spans="9:10" x14ac:dyDescent="0.35">
      <c r="I41205" s="63"/>
      <c r="J41205" s="63"/>
    </row>
    <row r="41206" spans="9:10" x14ac:dyDescent="0.35">
      <c r="I41206" s="63"/>
      <c r="J41206" s="63"/>
    </row>
    <row r="41207" spans="9:10" x14ac:dyDescent="0.35">
      <c r="I41207" s="63"/>
      <c r="J41207" s="63"/>
    </row>
    <row r="41208" spans="9:10" x14ac:dyDescent="0.35">
      <c r="I41208" s="63"/>
      <c r="J41208" s="63"/>
    </row>
    <row r="41209" spans="9:10" x14ac:dyDescent="0.35">
      <c r="I41209" s="63"/>
      <c r="J41209" s="63"/>
    </row>
    <row r="41210" spans="9:10" x14ac:dyDescent="0.35">
      <c r="I41210" s="63"/>
      <c r="J41210" s="63"/>
    </row>
    <row r="41211" spans="9:10" x14ac:dyDescent="0.35">
      <c r="I41211" s="63"/>
      <c r="J41211" s="63"/>
    </row>
    <row r="41212" spans="9:10" x14ac:dyDescent="0.35">
      <c r="I41212" s="63"/>
      <c r="J41212" s="63"/>
    </row>
    <row r="41213" spans="9:10" x14ac:dyDescent="0.35">
      <c r="I41213" s="63"/>
      <c r="J41213" s="63"/>
    </row>
    <row r="41214" spans="9:10" x14ac:dyDescent="0.35">
      <c r="I41214" s="63"/>
      <c r="J41214" s="63"/>
    </row>
    <row r="41215" spans="9:10" x14ac:dyDescent="0.35">
      <c r="I41215" s="63"/>
      <c r="J41215" s="63"/>
    </row>
    <row r="41216" spans="9:10" x14ac:dyDescent="0.35">
      <c r="I41216" s="63"/>
      <c r="J41216" s="63"/>
    </row>
    <row r="41217" spans="9:10" x14ac:dyDescent="0.35">
      <c r="I41217" s="63"/>
      <c r="J41217" s="63"/>
    </row>
    <row r="41218" spans="9:10" x14ac:dyDescent="0.35">
      <c r="I41218" s="63"/>
      <c r="J41218" s="63"/>
    </row>
    <row r="41219" spans="9:10" x14ac:dyDescent="0.35">
      <c r="I41219" s="63"/>
      <c r="J41219" s="63"/>
    </row>
    <row r="41220" spans="9:10" x14ac:dyDescent="0.35">
      <c r="I41220" s="63"/>
      <c r="J41220" s="63"/>
    </row>
    <row r="41221" spans="9:10" x14ac:dyDescent="0.35">
      <c r="I41221" s="63"/>
      <c r="J41221" s="63"/>
    </row>
    <row r="41222" spans="9:10" x14ac:dyDescent="0.35">
      <c r="I41222" s="63"/>
      <c r="J41222" s="63"/>
    </row>
    <row r="41223" spans="9:10" x14ac:dyDescent="0.35">
      <c r="I41223" s="63"/>
      <c r="J41223" s="63"/>
    </row>
    <row r="41224" spans="9:10" x14ac:dyDescent="0.35">
      <c r="I41224" s="63"/>
      <c r="J41224" s="63"/>
    </row>
    <row r="41225" spans="9:10" x14ac:dyDescent="0.35">
      <c r="I41225" s="63"/>
      <c r="J41225" s="63"/>
    </row>
    <row r="41226" spans="9:10" x14ac:dyDescent="0.35">
      <c r="I41226" s="63"/>
      <c r="J41226" s="63"/>
    </row>
    <row r="41227" spans="9:10" x14ac:dyDescent="0.35">
      <c r="I41227" s="63"/>
      <c r="J41227" s="63"/>
    </row>
    <row r="41228" spans="9:10" x14ac:dyDescent="0.35">
      <c r="I41228" s="63"/>
      <c r="J41228" s="63"/>
    </row>
    <row r="41229" spans="9:10" x14ac:dyDescent="0.35">
      <c r="I41229" s="63"/>
      <c r="J41229" s="63"/>
    </row>
    <row r="41230" spans="9:10" x14ac:dyDescent="0.35">
      <c r="I41230" s="63"/>
      <c r="J41230" s="63"/>
    </row>
    <row r="41231" spans="9:10" x14ac:dyDescent="0.35">
      <c r="I41231" s="63"/>
      <c r="J41231" s="63"/>
    </row>
    <row r="41232" spans="9:10" x14ac:dyDescent="0.35">
      <c r="I41232" s="63"/>
      <c r="J41232" s="63"/>
    </row>
    <row r="41233" spans="9:10" x14ac:dyDescent="0.35">
      <c r="I41233" s="63"/>
      <c r="J41233" s="63"/>
    </row>
    <row r="41234" spans="9:10" x14ac:dyDescent="0.35">
      <c r="I41234" s="63"/>
      <c r="J41234" s="63"/>
    </row>
    <row r="41235" spans="9:10" x14ac:dyDescent="0.35">
      <c r="I41235" s="63"/>
      <c r="J41235" s="63"/>
    </row>
    <row r="41236" spans="9:10" x14ac:dyDescent="0.35">
      <c r="I41236" s="63"/>
      <c r="J41236" s="63"/>
    </row>
    <row r="41237" spans="9:10" x14ac:dyDescent="0.35">
      <c r="I41237" s="63"/>
      <c r="J41237" s="63"/>
    </row>
    <row r="41238" spans="9:10" x14ac:dyDescent="0.35">
      <c r="I41238" s="63"/>
      <c r="J41238" s="63"/>
    </row>
    <row r="41239" spans="9:10" x14ac:dyDescent="0.35">
      <c r="I41239" s="63"/>
      <c r="J41239" s="63"/>
    </row>
    <row r="41240" spans="9:10" x14ac:dyDescent="0.35">
      <c r="I41240" s="63"/>
      <c r="J41240" s="63"/>
    </row>
    <row r="41241" spans="9:10" x14ac:dyDescent="0.35">
      <c r="I41241" s="63"/>
      <c r="J41241" s="63"/>
    </row>
    <row r="41242" spans="9:10" x14ac:dyDescent="0.35">
      <c r="I41242" s="63"/>
      <c r="J41242" s="63"/>
    </row>
    <row r="41243" spans="9:10" x14ac:dyDescent="0.35">
      <c r="I41243" s="63"/>
      <c r="J41243" s="63"/>
    </row>
    <row r="41244" spans="9:10" x14ac:dyDescent="0.35">
      <c r="I41244" s="63"/>
      <c r="J41244" s="63"/>
    </row>
    <row r="41245" spans="9:10" x14ac:dyDescent="0.35">
      <c r="I41245" s="63"/>
      <c r="J41245" s="63"/>
    </row>
    <row r="41246" spans="9:10" x14ac:dyDescent="0.35">
      <c r="I41246" s="63"/>
      <c r="J41246" s="63"/>
    </row>
    <row r="41247" spans="9:10" x14ac:dyDescent="0.35">
      <c r="I41247" s="63"/>
      <c r="J41247" s="63"/>
    </row>
    <row r="41248" spans="9:10" x14ac:dyDescent="0.35">
      <c r="I41248" s="63"/>
      <c r="J41248" s="63"/>
    </row>
    <row r="41249" spans="9:10" x14ac:dyDescent="0.35">
      <c r="I41249" s="63"/>
      <c r="J41249" s="63"/>
    </row>
    <row r="41250" spans="9:10" x14ac:dyDescent="0.35">
      <c r="I41250" s="63"/>
      <c r="J41250" s="63"/>
    </row>
    <row r="41251" spans="9:10" x14ac:dyDescent="0.35">
      <c r="I41251" s="63"/>
      <c r="J41251" s="63"/>
    </row>
    <row r="41252" spans="9:10" x14ac:dyDescent="0.35">
      <c r="I41252" s="63"/>
      <c r="J41252" s="63"/>
    </row>
    <row r="41253" spans="9:10" x14ac:dyDescent="0.35">
      <c r="I41253" s="63"/>
      <c r="J41253" s="63"/>
    </row>
    <row r="41254" spans="9:10" x14ac:dyDescent="0.35">
      <c r="I41254" s="63"/>
      <c r="J41254" s="63"/>
    </row>
    <row r="41255" spans="9:10" x14ac:dyDescent="0.35">
      <c r="I41255" s="63"/>
      <c r="J41255" s="63"/>
    </row>
    <row r="41256" spans="9:10" x14ac:dyDescent="0.35">
      <c r="I41256" s="63"/>
      <c r="J41256" s="63"/>
    </row>
    <row r="41257" spans="9:10" x14ac:dyDescent="0.35">
      <c r="I41257" s="63"/>
      <c r="J41257" s="63"/>
    </row>
    <row r="41258" spans="9:10" x14ac:dyDescent="0.35">
      <c r="I41258" s="63"/>
      <c r="J41258" s="63"/>
    </row>
    <row r="41259" spans="9:10" x14ac:dyDescent="0.35">
      <c r="I41259" s="63"/>
      <c r="J41259" s="63"/>
    </row>
    <row r="41260" spans="9:10" x14ac:dyDescent="0.35">
      <c r="I41260" s="63"/>
      <c r="J41260" s="63"/>
    </row>
    <row r="41261" spans="9:10" x14ac:dyDescent="0.35">
      <c r="I41261" s="63"/>
      <c r="J41261" s="63"/>
    </row>
    <row r="41262" spans="9:10" x14ac:dyDescent="0.35">
      <c r="I41262" s="63"/>
      <c r="J41262" s="63"/>
    </row>
    <row r="41263" spans="9:10" x14ac:dyDescent="0.35">
      <c r="I41263" s="63"/>
      <c r="J41263" s="63"/>
    </row>
    <row r="41264" spans="9:10" x14ac:dyDescent="0.35">
      <c r="I41264" s="63"/>
      <c r="J41264" s="63"/>
    </row>
    <row r="41265" spans="9:10" x14ac:dyDescent="0.35">
      <c r="I41265" s="63"/>
      <c r="J41265" s="63"/>
    </row>
    <row r="41266" spans="9:10" x14ac:dyDescent="0.35">
      <c r="I41266" s="63"/>
      <c r="J41266" s="63"/>
    </row>
    <row r="41267" spans="9:10" x14ac:dyDescent="0.35">
      <c r="I41267" s="63"/>
      <c r="J41267" s="63"/>
    </row>
    <row r="41268" spans="9:10" x14ac:dyDescent="0.35">
      <c r="I41268" s="63"/>
      <c r="J41268" s="63"/>
    </row>
    <row r="41269" spans="9:10" x14ac:dyDescent="0.35">
      <c r="I41269" s="63"/>
      <c r="J41269" s="63"/>
    </row>
    <row r="41270" spans="9:10" x14ac:dyDescent="0.35">
      <c r="I41270" s="63"/>
      <c r="J41270" s="63"/>
    </row>
    <row r="41271" spans="9:10" x14ac:dyDescent="0.35">
      <c r="I41271" s="63"/>
      <c r="J41271" s="63"/>
    </row>
    <row r="41272" spans="9:10" x14ac:dyDescent="0.35">
      <c r="I41272" s="63"/>
      <c r="J41272" s="63"/>
    </row>
    <row r="41273" spans="9:10" x14ac:dyDescent="0.35">
      <c r="I41273" s="63"/>
      <c r="J41273" s="63"/>
    </row>
    <row r="41274" spans="9:10" x14ac:dyDescent="0.35">
      <c r="I41274" s="63"/>
      <c r="J41274" s="63"/>
    </row>
    <row r="41275" spans="9:10" x14ac:dyDescent="0.35">
      <c r="I41275" s="63"/>
      <c r="J41275" s="63"/>
    </row>
    <row r="41276" spans="9:10" x14ac:dyDescent="0.35">
      <c r="I41276" s="63"/>
      <c r="J41276" s="63"/>
    </row>
    <row r="41277" spans="9:10" x14ac:dyDescent="0.35">
      <c r="I41277" s="63"/>
      <c r="J41277" s="63"/>
    </row>
    <row r="41278" spans="9:10" x14ac:dyDescent="0.35">
      <c r="I41278" s="63"/>
      <c r="J41278" s="63"/>
    </row>
    <row r="41279" spans="9:10" x14ac:dyDescent="0.35">
      <c r="I41279" s="63"/>
      <c r="J41279" s="63"/>
    </row>
    <row r="41280" spans="9:10" x14ac:dyDescent="0.35">
      <c r="I41280" s="63"/>
      <c r="J41280" s="63"/>
    </row>
    <row r="41281" spans="9:10" x14ac:dyDescent="0.35">
      <c r="I41281" s="63"/>
      <c r="J41281" s="63"/>
    </row>
    <row r="41282" spans="9:10" x14ac:dyDescent="0.35">
      <c r="I41282" s="63"/>
      <c r="J41282" s="63"/>
    </row>
    <row r="41283" spans="9:10" x14ac:dyDescent="0.35">
      <c r="I41283" s="63"/>
      <c r="J41283" s="63"/>
    </row>
    <row r="41284" spans="9:10" x14ac:dyDescent="0.35">
      <c r="I41284" s="63"/>
      <c r="J41284" s="63"/>
    </row>
    <row r="41285" spans="9:10" x14ac:dyDescent="0.35">
      <c r="I41285" s="63"/>
      <c r="J41285" s="63"/>
    </row>
    <row r="41286" spans="9:10" x14ac:dyDescent="0.35">
      <c r="I41286" s="63"/>
      <c r="J41286" s="63"/>
    </row>
    <row r="41287" spans="9:10" x14ac:dyDescent="0.35">
      <c r="I41287" s="63"/>
      <c r="J41287" s="63"/>
    </row>
    <row r="41288" spans="9:10" x14ac:dyDescent="0.35">
      <c r="I41288" s="63"/>
      <c r="J41288" s="63"/>
    </row>
    <row r="41289" spans="9:10" x14ac:dyDescent="0.35">
      <c r="I41289" s="63"/>
      <c r="J41289" s="63"/>
    </row>
    <row r="41290" spans="9:10" x14ac:dyDescent="0.35">
      <c r="I41290" s="63"/>
      <c r="J41290" s="63"/>
    </row>
    <row r="41291" spans="9:10" x14ac:dyDescent="0.35">
      <c r="I41291" s="63"/>
      <c r="J41291" s="63"/>
    </row>
    <row r="41292" spans="9:10" x14ac:dyDescent="0.35">
      <c r="I41292" s="63"/>
      <c r="J41292" s="63"/>
    </row>
    <row r="41293" spans="9:10" x14ac:dyDescent="0.35">
      <c r="I41293" s="63"/>
      <c r="J41293" s="63"/>
    </row>
    <row r="41294" spans="9:10" x14ac:dyDescent="0.35">
      <c r="I41294" s="63"/>
      <c r="J41294" s="63"/>
    </row>
    <row r="41295" spans="9:10" x14ac:dyDescent="0.35">
      <c r="I41295" s="63"/>
      <c r="J41295" s="63"/>
    </row>
    <row r="41296" spans="9:10" x14ac:dyDescent="0.35">
      <c r="I41296" s="63"/>
      <c r="J41296" s="63"/>
    </row>
    <row r="41297" spans="9:10" x14ac:dyDescent="0.35">
      <c r="I41297" s="63"/>
      <c r="J41297" s="63"/>
    </row>
    <row r="41298" spans="9:10" x14ac:dyDescent="0.35">
      <c r="I41298" s="63"/>
      <c r="J41298" s="63"/>
    </row>
    <row r="41299" spans="9:10" x14ac:dyDescent="0.35">
      <c r="I41299" s="63"/>
      <c r="J41299" s="63"/>
    </row>
    <row r="41300" spans="9:10" x14ac:dyDescent="0.35">
      <c r="I41300" s="63"/>
      <c r="J41300" s="63"/>
    </row>
    <row r="41301" spans="9:10" x14ac:dyDescent="0.35">
      <c r="I41301" s="63"/>
      <c r="J41301" s="63"/>
    </row>
    <row r="41302" spans="9:10" x14ac:dyDescent="0.35">
      <c r="I41302" s="63"/>
      <c r="J41302" s="63"/>
    </row>
    <row r="41303" spans="9:10" x14ac:dyDescent="0.35">
      <c r="I41303" s="63"/>
      <c r="J41303" s="63"/>
    </row>
    <row r="41304" spans="9:10" x14ac:dyDescent="0.35">
      <c r="I41304" s="63"/>
      <c r="J41304" s="63"/>
    </row>
    <row r="41305" spans="9:10" x14ac:dyDescent="0.35">
      <c r="I41305" s="63"/>
      <c r="J41305" s="63"/>
    </row>
    <row r="41306" spans="9:10" x14ac:dyDescent="0.35">
      <c r="I41306" s="63"/>
      <c r="J41306" s="63"/>
    </row>
    <row r="41307" spans="9:10" x14ac:dyDescent="0.35">
      <c r="I41307" s="63"/>
      <c r="J41307" s="63"/>
    </row>
    <row r="41308" spans="9:10" x14ac:dyDescent="0.35">
      <c r="I41308" s="63"/>
      <c r="J41308" s="63"/>
    </row>
    <row r="41309" spans="9:10" x14ac:dyDescent="0.35">
      <c r="I41309" s="63"/>
      <c r="J41309" s="63"/>
    </row>
    <row r="41310" spans="9:10" x14ac:dyDescent="0.35">
      <c r="I41310" s="63"/>
      <c r="J41310" s="63"/>
    </row>
    <row r="41311" spans="9:10" x14ac:dyDescent="0.35">
      <c r="I41311" s="63"/>
      <c r="J41311" s="63"/>
    </row>
    <row r="41312" spans="9:10" x14ac:dyDescent="0.35">
      <c r="I41312" s="63"/>
      <c r="J41312" s="63"/>
    </row>
    <row r="41313" spans="9:10" x14ac:dyDescent="0.35">
      <c r="I41313" s="63"/>
      <c r="J41313" s="63"/>
    </row>
    <row r="41314" spans="9:10" x14ac:dyDescent="0.35">
      <c r="I41314" s="63"/>
      <c r="J41314" s="63"/>
    </row>
    <row r="41315" spans="9:10" x14ac:dyDescent="0.35">
      <c r="I41315" s="63"/>
      <c r="J41315" s="63"/>
    </row>
    <row r="41316" spans="9:10" x14ac:dyDescent="0.35">
      <c r="I41316" s="63"/>
      <c r="J41316" s="63"/>
    </row>
    <row r="41317" spans="9:10" x14ac:dyDescent="0.35">
      <c r="I41317" s="63"/>
      <c r="J41317" s="63"/>
    </row>
    <row r="41318" spans="9:10" x14ac:dyDescent="0.35">
      <c r="I41318" s="63"/>
      <c r="J41318" s="63"/>
    </row>
    <row r="41319" spans="9:10" x14ac:dyDescent="0.35">
      <c r="I41319" s="63"/>
      <c r="J41319" s="63"/>
    </row>
    <row r="41320" spans="9:10" x14ac:dyDescent="0.35">
      <c r="I41320" s="63"/>
      <c r="J41320" s="63"/>
    </row>
    <row r="41321" spans="9:10" x14ac:dyDescent="0.35">
      <c r="I41321" s="63"/>
      <c r="J41321" s="63"/>
    </row>
    <row r="41322" spans="9:10" x14ac:dyDescent="0.35">
      <c r="I41322" s="63"/>
      <c r="J41322" s="63"/>
    </row>
    <row r="41323" spans="9:10" x14ac:dyDescent="0.35">
      <c r="I41323" s="63"/>
      <c r="J41323" s="63"/>
    </row>
    <row r="41324" spans="9:10" x14ac:dyDescent="0.35">
      <c r="I41324" s="63"/>
      <c r="J41324" s="63"/>
    </row>
    <row r="41325" spans="9:10" x14ac:dyDescent="0.35">
      <c r="I41325" s="63"/>
      <c r="J41325" s="63"/>
    </row>
    <row r="41326" spans="9:10" x14ac:dyDescent="0.35">
      <c r="I41326" s="63"/>
      <c r="J41326" s="63"/>
    </row>
    <row r="41327" spans="9:10" x14ac:dyDescent="0.35">
      <c r="I41327" s="63"/>
      <c r="J41327" s="63"/>
    </row>
    <row r="41328" spans="9:10" x14ac:dyDescent="0.35">
      <c r="I41328" s="63"/>
      <c r="J41328" s="63"/>
    </row>
    <row r="41329" spans="9:10" x14ac:dyDescent="0.35">
      <c r="I41329" s="63"/>
      <c r="J41329" s="63"/>
    </row>
    <row r="41330" spans="9:10" x14ac:dyDescent="0.35">
      <c r="I41330" s="63"/>
      <c r="J41330" s="63"/>
    </row>
    <row r="41331" spans="9:10" x14ac:dyDescent="0.35">
      <c r="I41331" s="63"/>
      <c r="J41331" s="63"/>
    </row>
    <row r="41332" spans="9:10" x14ac:dyDescent="0.35">
      <c r="I41332" s="63"/>
      <c r="J41332" s="63"/>
    </row>
    <row r="41333" spans="9:10" x14ac:dyDescent="0.35">
      <c r="I41333" s="63"/>
      <c r="J41333" s="63"/>
    </row>
    <row r="41334" spans="9:10" x14ac:dyDescent="0.35">
      <c r="I41334" s="63"/>
      <c r="J41334" s="63"/>
    </row>
    <row r="41335" spans="9:10" x14ac:dyDescent="0.35">
      <c r="I41335" s="63"/>
      <c r="J41335" s="63"/>
    </row>
    <row r="41336" spans="9:10" x14ac:dyDescent="0.35">
      <c r="I41336" s="63"/>
      <c r="J41336" s="63"/>
    </row>
    <row r="41337" spans="9:10" x14ac:dyDescent="0.35">
      <c r="I41337" s="63"/>
      <c r="J41337" s="63"/>
    </row>
    <row r="41338" spans="9:10" x14ac:dyDescent="0.35">
      <c r="I41338" s="63"/>
      <c r="J41338" s="63"/>
    </row>
    <row r="41339" spans="9:10" x14ac:dyDescent="0.35">
      <c r="I41339" s="63"/>
      <c r="J41339" s="63"/>
    </row>
    <row r="41340" spans="9:10" x14ac:dyDescent="0.35">
      <c r="I41340" s="63"/>
      <c r="J41340" s="63"/>
    </row>
    <row r="41341" spans="9:10" x14ac:dyDescent="0.35">
      <c r="I41341" s="63"/>
      <c r="J41341" s="63"/>
    </row>
    <row r="41342" spans="9:10" x14ac:dyDescent="0.35">
      <c r="I41342" s="63"/>
      <c r="J41342" s="63"/>
    </row>
    <row r="41343" spans="9:10" x14ac:dyDescent="0.35">
      <c r="I41343" s="63"/>
      <c r="J41343" s="63"/>
    </row>
    <row r="41344" spans="9:10" x14ac:dyDescent="0.35">
      <c r="I41344" s="63"/>
      <c r="J41344" s="63"/>
    </row>
    <row r="41345" spans="9:10" x14ac:dyDescent="0.35">
      <c r="I41345" s="63"/>
      <c r="J41345" s="63"/>
    </row>
    <row r="41346" spans="9:10" x14ac:dyDescent="0.35">
      <c r="I41346" s="63"/>
      <c r="J41346" s="63"/>
    </row>
    <row r="41347" spans="9:10" x14ac:dyDescent="0.35">
      <c r="I41347" s="63"/>
      <c r="J41347" s="63"/>
    </row>
    <row r="41348" spans="9:10" x14ac:dyDescent="0.35">
      <c r="I41348" s="63"/>
      <c r="J41348" s="63"/>
    </row>
    <row r="41349" spans="9:10" x14ac:dyDescent="0.35">
      <c r="I41349" s="63"/>
      <c r="J41349" s="63"/>
    </row>
    <row r="41350" spans="9:10" x14ac:dyDescent="0.35">
      <c r="I41350" s="63"/>
      <c r="J41350" s="63"/>
    </row>
    <row r="41351" spans="9:10" x14ac:dyDescent="0.35">
      <c r="I41351" s="63"/>
      <c r="J41351" s="63"/>
    </row>
    <row r="41352" spans="9:10" x14ac:dyDescent="0.35">
      <c r="I41352" s="63"/>
      <c r="J41352" s="63"/>
    </row>
    <row r="41353" spans="9:10" x14ac:dyDescent="0.35">
      <c r="I41353" s="63"/>
      <c r="J41353" s="63"/>
    </row>
    <row r="41354" spans="9:10" x14ac:dyDescent="0.35">
      <c r="I41354" s="63"/>
      <c r="J41354" s="63"/>
    </row>
    <row r="41355" spans="9:10" x14ac:dyDescent="0.35">
      <c r="I41355" s="63"/>
      <c r="J41355" s="63"/>
    </row>
    <row r="41356" spans="9:10" x14ac:dyDescent="0.35">
      <c r="I41356" s="63"/>
      <c r="J41356" s="63"/>
    </row>
    <row r="41357" spans="9:10" x14ac:dyDescent="0.35">
      <c r="I41357" s="63"/>
      <c r="J41357" s="63"/>
    </row>
    <row r="41358" spans="9:10" x14ac:dyDescent="0.35">
      <c r="I41358" s="63"/>
      <c r="J41358" s="63"/>
    </row>
    <row r="41359" spans="9:10" x14ac:dyDescent="0.35">
      <c r="I41359" s="63"/>
      <c r="J41359" s="63"/>
    </row>
    <row r="41360" spans="9:10" x14ac:dyDescent="0.35">
      <c r="I41360" s="63"/>
      <c r="J41360" s="63"/>
    </row>
    <row r="41361" spans="9:10" x14ac:dyDescent="0.35">
      <c r="I41361" s="63"/>
      <c r="J41361" s="63"/>
    </row>
    <row r="41362" spans="9:10" x14ac:dyDescent="0.35">
      <c r="I41362" s="63"/>
      <c r="J41362" s="63"/>
    </row>
    <row r="41363" spans="9:10" x14ac:dyDescent="0.35">
      <c r="I41363" s="63"/>
      <c r="J41363" s="63"/>
    </row>
    <row r="41364" spans="9:10" x14ac:dyDescent="0.35">
      <c r="I41364" s="63"/>
      <c r="J41364" s="63"/>
    </row>
    <row r="41365" spans="9:10" x14ac:dyDescent="0.35">
      <c r="I41365" s="63"/>
      <c r="J41365" s="63"/>
    </row>
    <row r="41366" spans="9:10" x14ac:dyDescent="0.35">
      <c r="I41366" s="63"/>
      <c r="J41366" s="63"/>
    </row>
    <row r="41367" spans="9:10" x14ac:dyDescent="0.35">
      <c r="I41367" s="63"/>
      <c r="J41367" s="63"/>
    </row>
    <row r="41368" spans="9:10" x14ac:dyDescent="0.35">
      <c r="I41368" s="63"/>
      <c r="J41368" s="63"/>
    </row>
    <row r="41369" spans="9:10" x14ac:dyDescent="0.35">
      <c r="I41369" s="63"/>
      <c r="J41369" s="63"/>
    </row>
    <row r="41370" spans="9:10" x14ac:dyDescent="0.35">
      <c r="I41370" s="63"/>
      <c r="J41370" s="63"/>
    </row>
    <row r="41371" spans="9:10" x14ac:dyDescent="0.35">
      <c r="I41371" s="63"/>
      <c r="J41371" s="63"/>
    </row>
    <row r="41372" spans="9:10" x14ac:dyDescent="0.35">
      <c r="I41372" s="63"/>
      <c r="J41372" s="63"/>
    </row>
    <row r="41373" spans="9:10" x14ac:dyDescent="0.35">
      <c r="I41373" s="63"/>
      <c r="J41373" s="63"/>
    </row>
    <row r="41374" spans="9:10" x14ac:dyDescent="0.35">
      <c r="I41374" s="63"/>
      <c r="J41374" s="63"/>
    </row>
    <row r="41375" spans="9:10" x14ac:dyDescent="0.35">
      <c r="I41375" s="63"/>
      <c r="J41375" s="63"/>
    </row>
    <row r="41376" spans="9:10" x14ac:dyDescent="0.35">
      <c r="I41376" s="63"/>
      <c r="J41376" s="63"/>
    </row>
    <row r="41377" spans="9:10" x14ac:dyDescent="0.35">
      <c r="I41377" s="63"/>
      <c r="J41377" s="63"/>
    </row>
    <row r="41378" spans="9:10" x14ac:dyDescent="0.35">
      <c r="I41378" s="63"/>
      <c r="J41378" s="63"/>
    </row>
    <row r="41379" spans="9:10" x14ac:dyDescent="0.35">
      <c r="I41379" s="63"/>
      <c r="J41379" s="63"/>
    </row>
    <row r="41380" spans="9:10" x14ac:dyDescent="0.35">
      <c r="I41380" s="63"/>
      <c r="J41380" s="63"/>
    </row>
    <row r="41381" spans="9:10" x14ac:dyDescent="0.35">
      <c r="I41381" s="63"/>
      <c r="J41381" s="63"/>
    </row>
    <row r="41382" spans="9:10" x14ac:dyDescent="0.35">
      <c r="I41382" s="63"/>
      <c r="J41382" s="63"/>
    </row>
    <row r="41383" spans="9:10" x14ac:dyDescent="0.35">
      <c r="I41383" s="63"/>
      <c r="J41383" s="63"/>
    </row>
    <row r="41384" spans="9:10" x14ac:dyDescent="0.35">
      <c r="I41384" s="63"/>
      <c r="J41384" s="63"/>
    </row>
    <row r="41385" spans="9:10" x14ac:dyDescent="0.35">
      <c r="I41385" s="63"/>
      <c r="J41385" s="63"/>
    </row>
    <row r="41386" spans="9:10" x14ac:dyDescent="0.35">
      <c r="I41386" s="63"/>
      <c r="J41386" s="63"/>
    </row>
    <row r="41387" spans="9:10" x14ac:dyDescent="0.35">
      <c r="I41387" s="63"/>
      <c r="J41387" s="63"/>
    </row>
    <row r="41388" spans="9:10" x14ac:dyDescent="0.35">
      <c r="I41388" s="63"/>
      <c r="J41388" s="63"/>
    </row>
    <row r="41389" spans="9:10" x14ac:dyDescent="0.35">
      <c r="I41389" s="63"/>
      <c r="J41389" s="63"/>
    </row>
    <row r="41390" spans="9:10" x14ac:dyDescent="0.35">
      <c r="I41390" s="63"/>
      <c r="J41390" s="63"/>
    </row>
    <row r="41391" spans="9:10" x14ac:dyDescent="0.35">
      <c r="I41391" s="63"/>
      <c r="J41391" s="63"/>
    </row>
    <row r="41392" spans="9:10" x14ac:dyDescent="0.35">
      <c r="I41392" s="63"/>
      <c r="J41392" s="63"/>
    </row>
    <row r="41393" spans="9:10" x14ac:dyDescent="0.35">
      <c r="I41393" s="63"/>
      <c r="J41393" s="63"/>
    </row>
    <row r="41394" spans="9:10" x14ac:dyDescent="0.35">
      <c r="I41394" s="63"/>
      <c r="J41394" s="63"/>
    </row>
    <row r="41395" spans="9:10" x14ac:dyDescent="0.35">
      <c r="I41395" s="63"/>
      <c r="J41395" s="63"/>
    </row>
    <row r="41396" spans="9:10" x14ac:dyDescent="0.35">
      <c r="I41396" s="63"/>
      <c r="J41396" s="63"/>
    </row>
    <row r="41397" spans="9:10" x14ac:dyDescent="0.35">
      <c r="I41397" s="63"/>
      <c r="J41397" s="63"/>
    </row>
    <row r="41398" spans="9:10" x14ac:dyDescent="0.35">
      <c r="I41398" s="63"/>
      <c r="J41398" s="63"/>
    </row>
    <row r="41399" spans="9:10" x14ac:dyDescent="0.35">
      <c r="I41399" s="63"/>
      <c r="J41399" s="63"/>
    </row>
    <row r="41400" spans="9:10" x14ac:dyDescent="0.35">
      <c r="I41400" s="63"/>
      <c r="J41400" s="63"/>
    </row>
    <row r="41401" spans="9:10" x14ac:dyDescent="0.35">
      <c r="I41401" s="63"/>
      <c r="J41401" s="63"/>
    </row>
    <row r="41402" spans="9:10" x14ac:dyDescent="0.35">
      <c r="I41402" s="63"/>
      <c r="J41402" s="63"/>
    </row>
    <row r="41403" spans="9:10" x14ac:dyDescent="0.35">
      <c r="I41403" s="63"/>
      <c r="J41403" s="63"/>
    </row>
    <row r="41404" spans="9:10" x14ac:dyDescent="0.35">
      <c r="I41404" s="63"/>
      <c r="J41404" s="63"/>
    </row>
    <row r="41405" spans="9:10" x14ac:dyDescent="0.35">
      <c r="I41405" s="63"/>
      <c r="J41405" s="63"/>
    </row>
    <row r="41406" spans="9:10" x14ac:dyDescent="0.35">
      <c r="I41406" s="63"/>
      <c r="J41406" s="63"/>
    </row>
    <row r="41407" spans="9:10" x14ac:dyDescent="0.35">
      <c r="I41407" s="63"/>
      <c r="J41407" s="63"/>
    </row>
    <row r="41408" spans="9:10" x14ac:dyDescent="0.35">
      <c r="I41408" s="63"/>
      <c r="J41408" s="63"/>
    </row>
    <row r="41409" spans="9:10" x14ac:dyDescent="0.35">
      <c r="I41409" s="63"/>
      <c r="J41409" s="63"/>
    </row>
    <row r="41410" spans="9:10" x14ac:dyDescent="0.35">
      <c r="I41410" s="63"/>
      <c r="J41410" s="63"/>
    </row>
    <row r="41411" spans="9:10" x14ac:dyDescent="0.35">
      <c r="I41411" s="63"/>
      <c r="J41411" s="63"/>
    </row>
    <row r="41412" spans="9:10" x14ac:dyDescent="0.35">
      <c r="I41412" s="63"/>
      <c r="J41412" s="63"/>
    </row>
    <row r="41413" spans="9:10" x14ac:dyDescent="0.35">
      <c r="I41413" s="63"/>
      <c r="J41413" s="63"/>
    </row>
    <row r="41414" spans="9:10" x14ac:dyDescent="0.35">
      <c r="I41414" s="63"/>
      <c r="J41414" s="63"/>
    </row>
    <row r="41415" spans="9:10" x14ac:dyDescent="0.35">
      <c r="I41415" s="63"/>
      <c r="J41415" s="63"/>
    </row>
    <row r="41416" spans="9:10" x14ac:dyDescent="0.35">
      <c r="I41416" s="63"/>
      <c r="J41416" s="63"/>
    </row>
    <row r="41417" spans="9:10" x14ac:dyDescent="0.35">
      <c r="I41417" s="63"/>
      <c r="J41417" s="63"/>
    </row>
    <row r="41418" spans="9:10" x14ac:dyDescent="0.35">
      <c r="I41418" s="63"/>
      <c r="J41418" s="63"/>
    </row>
    <row r="41419" spans="9:10" x14ac:dyDescent="0.35">
      <c r="I41419" s="63"/>
      <c r="J41419" s="63"/>
    </row>
    <row r="41420" spans="9:10" x14ac:dyDescent="0.35">
      <c r="I41420" s="63"/>
      <c r="J41420" s="63"/>
    </row>
    <row r="41421" spans="9:10" x14ac:dyDescent="0.35">
      <c r="I41421" s="63"/>
      <c r="J41421" s="63"/>
    </row>
    <row r="41422" spans="9:10" x14ac:dyDescent="0.35">
      <c r="I41422" s="63"/>
      <c r="J41422" s="63"/>
    </row>
    <row r="41423" spans="9:10" x14ac:dyDescent="0.35">
      <c r="I41423" s="63"/>
      <c r="J41423" s="63"/>
    </row>
    <row r="41424" spans="9:10" x14ac:dyDescent="0.35">
      <c r="I41424" s="63"/>
      <c r="J41424" s="63"/>
    </row>
    <row r="41425" spans="9:10" x14ac:dyDescent="0.35">
      <c r="I41425" s="63"/>
      <c r="J41425" s="63"/>
    </row>
    <row r="41426" spans="9:10" x14ac:dyDescent="0.35">
      <c r="I41426" s="63"/>
      <c r="J41426" s="63"/>
    </row>
    <row r="41427" spans="9:10" x14ac:dyDescent="0.35">
      <c r="I41427" s="63"/>
      <c r="J41427" s="63"/>
    </row>
    <row r="41428" spans="9:10" x14ac:dyDescent="0.35">
      <c r="I41428" s="63"/>
      <c r="J41428" s="63"/>
    </row>
    <row r="41429" spans="9:10" x14ac:dyDescent="0.35">
      <c r="I41429" s="63"/>
      <c r="J41429" s="63"/>
    </row>
    <row r="41430" spans="9:10" x14ac:dyDescent="0.35">
      <c r="I41430" s="63"/>
      <c r="J41430" s="63"/>
    </row>
    <row r="41431" spans="9:10" x14ac:dyDescent="0.35">
      <c r="I41431" s="63"/>
      <c r="J41431" s="63"/>
    </row>
    <row r="41432" spans="9:10" x14ac:dyDescent="0.35">
      <c r="I41432" s="63"/>
      <c r="J41432" s="63"/>
    </row>
    <row r="41433" spans="9:10" x14ac:dyDescent="0.35">
      <c r="I41433" s="63"/>
      <c r="J41433" s="63"/>
    </row>
    <row r="41434" spans="9:10" x14ac:dyDescent="0.35">
      <c r="I41434" s="63"/>
      <c r="J41434" s="63"/>
    </row>
    <row r="41435" spans="9:10" x14ac:dyDescent="0.35">
      <c r="I41435" s="63"/>
      <c r="J41435" s="63"/>
    </row>
    <row r="41436" spans="9:10" x14ac:dyDescent="0.35">
      <c r="I41436" s="63"/>
      <c r="J41436" s="63"/>
    </row>
    <row r="41437" spans="9:10" x14ac:dyDescent="0.35">
      <c r="I41437" s="63"/>
      <c r="J41437" s="63"/>
    </row>
    <row r="41438" spans="9:10" x14ac:dyDescent="0.35">
      <c r="I41438" s="63"/>
      <c r="J41438" s="63"/>
    </row>
    <row r="41439" spans="9:10" x14ac:dyDescent="0.35">
      <c r="I41439" s="63"/>
      <c r="J41439" s="63"/>
    </row>
    <row r="41440" spans="9:10" x14ac:dyDescent="0.35">
      <c r="I41440" s="63"/>
      <c r="J41440" s="63"/>
    </row>
    <row r="41441" spans="9:10" x14ac:dyDescent="0.35">
      <c r="I41441" s="63"/>
      <c r="J41441" s="63"/>
    </row>
    <row r="41442" spans="9:10" x14ac:dyDescent="0.35">
      <c r="I41442" s="63"/>
      <c r="J41442" s="63"/>
    </row>
    <row r="41443" spans="9:10" x14ac:dyDescent="0.35">
      <c r="I41443" s="63"/>
      <c r="J41443" s="63"/>
    </row>
    <row r="41444" spans="9:10" x14ac:dyDescent="0.35">
      <c r="I41444" s="63"/>
      <c r="J41444" s="63"/>
    </row>
    <row r="41445" spans="9:10" x14ac:dyDescent="0.35">
      <c r="I41445" s="63"/>
      <c r="J41445" s="63"/>
    </row>
    <row r="41446" spans="9:10" x14ac:dyDescent="0.35">
      <c r="I41446" s="63"/>
      <c r="J41446" s="63"/>
    </row>
    <row r="41447" spans="9:10" x14ac:dyDescent="0.35">
      <c r="I41447" s="63"/>
      <c r="J41447" s="63"/>
    </row>
    <row r="41448" spans="9:10" x14ac:dyDescent="0.35">
      <c r="I41448" s="63"/>
      <c r="J41448" s="63"/>
    </row>
    <row r="41449" spans="9:10" x14ac:dyDescent="0.35">
      <c r="I41449" s="63"/>
      <c r="J41449" s="63"/>
    </row>
    <row r="41450" spans="9:10" x14ac:dyDescent="0.35">
      <c r="I41450" s="63"/>
      <c r="J41450" s="63"/>
    </row>
    <row r="41451" spans="9:10" x14ac:dyDescent="0.35">
      <c r="I41451" s="63"/>
      <c r="J41451" s="63"/>
    </row>
    <row r="41452" spans="9:10" x14ac:dyDescent="0.35">
      <c r="I41452" s="63"/>
      <c r="J41452" s="63"/>
    </row>
    <row r="41453" spans="9:10" x14ac:dyDescent="0.35">
      <c r="I41453" s="63"/>
      <c r="J41453" s="63"/>
    </row>
    <row r="41454" spans="9:10" x14ac:dyDescent="0.35">
      <c r="I41454" s="63"/>
      <c r="J41454" s="63"/>
    </row>
    <row r="41455" spans="9:10" x14ac:dyDescent="0.35">
      <c r="I41455" s="63"/>
      <c r="J41455" s="63"/>
    </row>
    <row r="41456" spans="9:10" x14ac:dyDescent="0.35">
      <c r="I41456" s="63"/>
      <c r="J41456" s="63"/>
    </row>
    <row r="41457" spans="9:10" x14ac:dyDescent="0.35">
      <c r="I41457" s="63"/>
      <c r="J41457" s="63"/>
    </row>
    <row r="41458" spans="9:10" x14ac:dyDescent="0.35">
      <c r="I41458" s="63"/>
      <c r="J41458" s="63"/>
    </row>
    <row r="41459" spans="9:10" x14ac:dyDescent="0.35">
      <c r="I41459" s="63"/>
      <c r="J41459" s="63"/>
    </row>
    <row r="41460" spans="9:10" x14ac:dyDescent="0.35">
      <c r="I41460" s="63"/>
      <c r="J41460" s="63"/>
    </row>
    <row r="41461" spans="9:10" x14ac:dyDescent="0.35">
      <c r="I41461" s="63"/>
      <c r="J41461" s="63"/>
    </row>
    <row r="41462" spans="9:10" x14ac:dyDescent="0.35">
      <c r="I41462" s="63"/>
      <c r="J41462" s="63"/>
    </row>
    <row r="41463" spans="9:10" x14ac:dyDescent="0.35">
      <c r="I41463" s="63"/>
      <c r="J41463" s="63"/>
    </row>
    <row r="41464" spans="9:10" x14ac:dyDescent="0.35">
      <c r="I41464" s="63"/>
      <c r="J41464" s="63"/>
    </row>
    <row r="41465" spans="9:10" x14ac:dyDescent="0.35">
      <c r="I41465" s="63"/>
      <c r="J41465" s="63"/>
    </row>
    <row r="41466" spans="9:10" x14ac:dyDescent="0.35">
      <c r="I41466" s="63"/>
      <c r="J41466" s="63"/>
    </row>
    <row r="41467" spans="9:10" x14ac:dyDescent="0.35">
      <c r="I41467" s="63"/>
      <c r="J41467" s="63"/>
    </row>
    <row r="41468" spans="9:10" x14ac:dyDescent="0.35">
      <c r="I41468" s="63"/>
      <c r="J41468" s="63"/>
    </row>
    <row r="41469" spans="9:10" x14ac:dyDescent="0.35">
      <c r="I41469" s="63"/>
      <c r="J41469" s="63"/>
    </row>
    <row r="41470" spans="9:10" x14ac:dyDescent="0.35">
      <c r="I41470" s="63"/>
      <c r="J41470" s="63"/>
    </row>
    <row r="41471" spans="9:10" x14ac:dyDescent="0.35">
      <c r="I41471" s="63"/>
      <c r="J41471" s="63"/>
    </row>
    <row r="41472" spans="9:10" x14ac:dyDescent="0.35">
      <c r="I41472" s="63"/>
      <c r="J41472" s="63"/>
    </row>
    <row r="41473" spans="9:10" x14ac:dyDescent="0.35">
      <c r="I41473" s="63"/>
      <c r="J41473" s="63"/>
    </row>
    <row r="41474" spans="9:10" x14ac:dyDescent="0.35">
      <c r="I41474" s="63"/>
      <c r="J41474" s="63"/>
    </row>
    <row r="41475" spans="9:10" x14ac:dyDescent="0.35">
      <c r="I41475" s="63"/>
      <c r="J41475" s="63"/>
    </row>
    <row r="41476" spans="9:10" x14ac:dyDescent="0.35">
      <c r="I41476" s="63"/>
      <c r="J41476" s="63"/>
    </row>
    <row r="41477" spans="9:10" x14ac:dyDescent="0.35">
      <c r="I41477" s="63"/>
      <c r="J41477" s="63"/>
    </row>
    <row r="41478" spans="9:10" x14ac:dyDescent="0.35">
      <c r="I41478" s="63"/>
      <c r="J41478" s="63"/>
    </row>
    <row r="41479" spans="9:10" x14ac:dyDescent="0.35">
      <c r="I41479" s="63"/>
      <c r="J41479" s="63"/>
    </row>
    <row r="41480" spans="9:10" x14ac:dyDescent="0.35">
      <c r="I41480" s="63"/>
      <c r="J41480" s="63"/>
    </row>
    <row r="41481" spans="9:10" x14ac:dyDescent="0.35">
      <c r="I41481" s="63"/>
      <c r="J41481" s="63"/>
    </row>
    <row r="41482" spans="9:10" x14ac:dyDescent="0.35">
      <c r="I41482" s="63"/>
      <c r="J41482" s="63"/>
    </row>
    <row r="41483" spans="9:10" x14ac:dyDescent="0.35">
      <c r="I41483" s="63"/>
      <c r="J41483" s="63"/>
    </row>
    <row r="41484" spans="9:10" x14ac:dyDescent="0.35">
      <c r="I41484" s="63"/>
      <c r="J41484" s="63"/>
    </row>
    <row r="41485" spans="9:10" x14ac:dyDescent="0.35">
      <c r="I41485" s="63"/>
      <c r="J41485" s="63"/>
    </row>
    <row r="41486" spans="9:10" x14ac:dyDescent="0.35">
      <c r="I41486" s="63"/>
      <c r="J41486" s="63"/>
    </row>
    <row r="41487" spans="9:10" x14ac:dyDescent="0.35">
      <c r="I41487" s="63"/>
      <c r="J41487" s="63"/>
    </row>
    <row r="41488" spans="9:10" x14ac:dyDescent="0.35">
      <c r="I41488" s="63"/>
      <c r="J41488" s="63"/>
    </row>
    <row r="41489" spans="9:10" x14ac:dyDescent="0.35">
      <c r="I41489" s="63"/>
      <c r="J41489" s="63"/>
    </row>
    <row r="41490" spans="9:10" x14ac:dyDescent="0.35">
      <c r="I41490" s="63"/>
      <c r="J41490" s="63"/>
    </row>
    <row r="41491" spans="9:10" x14ac:dyDescent="0.35">
      <c r="I41491" s="63"/>
      <c r="J41491" s="63"/>
    </row>
    <row r="41492" spans="9:10" x14ac:dyDescent="0.35">
      <c r="I41492" s="63"/>
      <c r="J41492" s="63"/>
    </row>
    <row r="41493" spans="9:10" x14ac:dyDescent="0.35">
      <c r="I41493" s="63"/>
      <c r="J41493" s="63"/>
    </row>
    <row r="41494" spans="9:10" x14ac:dyDescent="0.35">
      <c r="I41494" s="63"/>
      <c r="J41494" s="63"/>
    </row>
    <row r="41495" spans="9:10" x14ac:dyDescent="0.35">
      <c r="I41495" s="63"/>
      <c r="J41495" s="63"/>
    </row>
    <row r="41496" spans="9:10" x14ac:dyDescent="0.35">
      <c r="I41496" s="63"/>
      <c r="J41496" s="63"/>
    </row>
    <row r="41497" spans="9:10" x14ac:dyDescent="0.35">
      <c r="I41497" s="63"/>
      <c r="J41497" s="63"/>
    </row>
    <row r="41498" spans="9:10" x14ac:dyDescent="0.35">
      <c r="I41498" s="63"/>
      <c r="J41498" s="63"/>
    </row>
    <row r="41499" spans="9:10" x14ac:dyDescent="0.35">
      <c r="I41499" s="63"/>
      <c r="J41499" s="63"/>
    </row>
    <row r="41500" spans="9:10" x14ac:dyDescent="0.35">
      <c r="I41500" s="63"/>
      <c r="J41500" s="63"/>
    </row>
    <row r="41501" spans="9:10" x14ac:dyDescent="0.35">
      <c r="I41501" s="63"/>
      <c r="J41501" s="63"/>
    </row>
    <row r="41502" spans="9:10" x14ac:dyDescent="0.35">
      <c r="I41502" s="63"/>
      <c r="J41502" s="63"/>
    </row>
    <row r="41503" spans="9:10" x14ac:dyDescent="0.35">
      <c r="I41503" s="63"/>
      <c r="J41503" s="63"/>
    </row>
    <row r="41504" spans="9:10" x14ac:dyDescent="0.35">
      <c r="I41504" s="63"/>
      <c r="J41504" s="63"/>
    </row>
    <row r="41505" spans="9:10" x14ac:dyDescent="0.35">
      <c r="I41505" s="63"/>
      <c r="J41505" s="63"/>
    </row>
    <row r="41506" spans="9:10" x14ac:dyDescent="0.35">
      <c r="I41506" s="63"/>
      <c r="J41506" s="63"/>
    </row>
    <row r="41507" spans="9:10" x14ac:dyDescent="0.35">
      <c r="I41507" s="63"/>
      <c r="J41507" s="63"/>
    </row>
    <row r="41508" spans="9:10" x14ac:dyDescent="0.35">
      <c r="I41508" s="63"/>
      <c r="J41508" s="63"/>
    </row>
    <row r="41509" spans="9:10" x14ac:dyDescent="0.35">
      <c r="I41509" s="63"/>
      <c r="J41509" s="63"/>
    </row>
    <row r="41510" spans="9:10" x14ac:dyDescent="0.35">
      <c r="I41510" s="63"/>
      <c r="J41510" s="63"/>
    </row>
    <row r="41511" spans="9:10" x14ac:dyDescent="0.35">
      <c r="I41511" s="63"/>
      <c r="J41511" s="63"/>
    </row>
    <row r="41512" spans="9:10" x14ac:dyDescent="0.35">
      <c r="I41512" s="63"/>
      <c r="J41512" s="63"/>
    </row>
    <row r="41513" spans="9:10" x14ac:dyDescent="0.35">
      <c r="I41513" s="63"/>
      <c r="J41513" s="63"/>
    </row>
    <row r="41514" spans="9:10" x14ac:dyDescent="0.35">
      <c r="I41514" s="63"/>
      <c r="J41514" s="63"/>
    </row>
    <row r="41515" spans="9:10" x14ac:dyDescent="0.35">
      <c r="I41515" s="63"/>
      <c r="J41515" s="63"/>
    </row>
    <row r="41516" spans="9:10" x14ac:dyDescent="0.35">
      <c r="I41516" s="63"/>
      <c r="J41516" s="63"/>
    </row>
    <row r="41517" spans="9:10" x14ac:dyDescent="0.35">
      <c r="I41517" s="63"/>
      <c r="J41517" s="63"/>
    </row>
    <row r="41518" spans="9:10" x14ac:dyDescent="0.35">
      <c r="I41518" s="63"/>
      <c r="J41518" s="63"/>
    </row>
    <row r="41519" spans="9:10" x14ac:dyDescent="0.35">
      <c r="I41519" s="63"/>
      <c r="J41519" s="63"/>
    </row>
    <row r="41520" spans="9:10" x14ac:dyDescent="0.35">
      <c r="I41520" s="63"/>
      <c r="J41520" s="63"/>
    </row>
    <row r="41521" spans="9:10" x14ac:dyDescent="0.35">
      <c r="I41521" s="63"/>
      <c r="J41521" s="63"/>
    </row>
    <row r="41522" spans="9:10" x14ac:dyDescent="0.35">
      <c r="I41522" s="63"/>
      <c r="J41522" s="63"/>
    </row>
    <row r="41523" spans="9:10" x14ac:dyDescent="0.35">
      <c r="I41523" s="63"/>
      <c r="J41523" s="63"/>
    </row>
    <row r="41524" spans="9:10" x14ac:dyDescent="0.35">
      <c r="I41524" s="63"/>
      <c r="J41524" s="63"/>
    </row>
    <row r="41525" spans="9:10" x14ac:dyDescent="0.35">
      <c r="I41525" s="63"/>
      <c r="J41525" s="63"/>
    </row>
    <row r="41526" spans="9:10" x14ac:dyDescent="0.35">
      <c r="I41526" s="63"/>
      <c r="J41526" s="63"/>
    </row>
    <row r="41527" spans="9:10" x14ac:dyDescent="0.35">
      <c r="I41527" s="63"/>
      <c r="J41527" s="63"/>
    </row>
    <row r="41528" spans="9:10" x14ac:dyDescent="0.35">
      <c r="I41528" s="63"/>
      <c r="J41528" s="63"/>
    </row>
    <row r="41529" spans="9:10" x14ac:dyDescent="0.35">
      <c r="I41529" s="63"/>
      <c r="J41529" s="63"/>
    </row>
    <row r="41530" spans="9:10" x14ac:dyDescent="0.35">
      <c r="I41530" s="63"/>
      <c r="J41530" s="63"/>
    </row>
    <row r="41531" spans="9:10" x14ac:dyDescent="0.35">
      <c r="I41531" s="63"/>
      <c r="J41531" s="63"/>
    </row>
    <row r="41532" spans="9:10" x14ac:dyDescent="0.35">
      <c r="I41532" s="63"/>
      <c r="J41532" s="63"/>
    </row>
    <row r="41533" spans="9:10" x14ac:dyDescent="0.35">
      <c r="I41533" s="63"/>
      <c r="J41533" s="63"/>
    </row>
    <row r="41534" spans="9:10" x14ac:dyDescent="0.35">
      <c r="I41534" s="63"/>
      <c r="J41534" s="63"/>
    </row>
    <row r="41535" spans="9:10" x14ac:dyDescent="0.35">
      <c r="I41535" s="63"/>
      <c r="J41535" s="63"/>
    </row>
    <row r="41536" spans="9:10" x14ac:dyDescent="0.35">
      <c r="I41536" s="63"/>
      <c r="J41536" s="63"/>
    </row>
    <row r="41537" spans="9:10" x14ac:dyDescent="0.35">
      <c r="I41537" s="63"/>
      <c r="J41537" s="63"/>
    </row>
    <row r="41538" spans="9:10" x14ac:dyDescent="0.35">
      <c r="I41538" s="63"/>
      <c r="J41538" s="63"/>
    </row>
    <row r="41539" spans="9:10" x14ac:dyDescent="0.35">
      <c r="I41539" s="63"/>
      <c r="J41539" s="63"/>
    </row>
    <row r="41540" spans="9:10" x14ac:dyDescent="0.35">
      <c r="I41540" s="63"/>
      <c r="J41540" s="63"/>
    </row>
    <row r="41541" spans="9:10" x14ac:dyDescent="0.35">
      <c r="I41541" s="63"/>
      <c r="J41541" s="63"/>
    </row>
    <row r="41542" spans="9:10" x14ac:dyDescent="0.35">
      <c r="I41542" s="63"/>
      <c r="J41542" s="63"/>
    </row>
    <row r="41543" spans="9:10" x14ac:dyDescent="0.35">
      <c r="I41543" s="63"/>
      <c r="J41543" s="63"/>
    </row>
    <row r="41544" spans="9:10" x14ac:dyDescent="0.35">
      <c r="I41544" s="63"/>
      <c r="J41544" s="63"/>
    </row>
    <row r="41545" spans="9:10" x14ac:dyDescent="0.35">
      <c r="I41545" s="63"/>
      <c r="J41545" s="63"/>
    </row>
    <row r="41546" spans="9:10" x14ac:dyDescent="0.35">
      <c r="I41546" s="63"/>
      <c r="J41546" s="63"/>
    </row>
    <row r="41547" spans="9:10" x14ac:dyDescent="0.35">
      <c r="I41547" s="63"/>
      <c r="J41547" s="63"/>
    </row>
    <row r="41548" spans="9:10" x14ac:dyDescent="0.35">
      <c r="I41548" s="63"/>
      <c r="J41548" s="63"/>
    </row>
    <row r="41549" spans="9:10" x14ac:dyDescent="0.35">
      <c r="I41549" s="63"/>
      <c r="J41549" s="63"/>
    </row>
    <row r="41550" spans="9:10" x14ac:dyDescent="0.35">
      <c r="I41550" s="63"/>
      <c r="J41550" s="63"/>
    </row>
    <row r="41551" spans="9:10" x14ac:dyDescent="0.35">
      <c r="I41551" s="63"/>
      <c r="J41551" s="63"/>
    </row>
    <row r="41552" spans="9:10" x14ac:dyDescent="0.35">
      <c r="I41552" s="63"/>
      <c r="J41552" s="63"/>
    </row>
    <row r="41553" spans="9:10" x14ac:dyDescent="0.35">
      <c r="I41553" s="63"/>
      <c r="J41553" s="63"/>
    </row>
    <row r="41554" spans="9:10" x14ac:dyDescent="0.35">
      <c r="I41554" s="63"/>
      <c r="J41554" s="63"/>
    </row>
    <row r="41555" spans="9:10" x14ac:dyDescent="0.35">
      <c r="I41555" s="63"/>
      <c r="J41555" s="63"/>
    </row>
    <row r="41556" spans="9:10" x14ac:dyDescent="0.35">
      <c r="I41556" s="63"/>
      <c r="J41556" s="63"/>
    </row>
    <row r="41557" spans="9:10" x14ac:dyDescent="0.35">
      <c r="I41557" s="63"/>
      <c r="J41557" s="63"/>
    </row>
    <row r="41558" spans="9:10" x14ac:dyDescent="0.35">
      <c r="I41558" s="63"/>
      <c r="J41558" s="63"/>
    </row>
    <row r="41559" spans="9:10" x14ac:dyDescent="0.35">
      <c r="I41559" s="63"/>
      <c r="J41559" s="63"/>
    </row>
    <row r="41560" spans="9:10" x14ac:dyDescent="0.35">
      <c r="I41560" s="63"/>
      <c r="J41560" s="63"/>
    </row>
    <row r="41561" spans="9:10" x14ac:dyDescent="0.35">
      <c r="I41561" s="63"/>
      <c r="J41561" s="63"/>
    </row>
    <row r="41562" spans="9:10" x14ac:dyDescent="0.35">
      <c r="I41562" s="63"/>
      <c r="J41562" s="63"/>
    </row>
    <row r="41563" spans="9:10" x14ac:dyDescent="0.35">
      <c r="I41563" s="63"/>
      <c r="J41563" s="63"/>
    </row>
    <row r="41564" spans="9:10" x14ac:dyDescent="0.35">
      <c r="I41564" s="63"/>
      <c r="J41564" s="63"/>
    </row>
    <row r="41565" spans="9:10" x14ac:dyDescent="0.35">
      <c r="I41565" s="63"/>
      <c r="J41565" s="63"/>
    </row>
    <row r="41566" spans="9:10" x14ac:dyDescent="0.35">
      <c r="I41566" s="63"/>
      <c r="J41566" s="63"/>
    </row>
    <row r="41567" spans="9:10" x14ac:dyDescent="0.35">
      <c r="I41567" s="63"/>
      <c r="J41567" s="63"/>
    </row>
    <row r="41568" spans="9:10" x14ac:dyDescent="0.35">
      <c r="I41568" s="63"/>
      <c r="J41568" s="63"/>
    </row>
    <row r="41569" spans="9:10" x14ac:dyDescent="0.35">
      <c r="I41569" s="63"/>
      <c r="J41569" s="63"/>
    </row>
    <row r="41570" spans="9:10" x14ac:dyDescent="0.35">
      <c r="I41570" s="63"/>
      <c r="J41570" s="63"/>
    </row>
    <row r="41571" spans="9:10" x14ac:dyDescent="0.35">
      <c r="I41571" s="63"/>
      <c r="J41571" s="63"/>
    </row>
    <row r="41572" spans="9:10" x14ac:dyDescent="0.35">
      <c r="I41572" s="63"/>
      <c r="J41572" s="63"/>
    </row>
    <row r="41573" spans="9:10" x14ac:dyDescent="0.35">
      <c r="I41573" s="63"/>
      <c r="J41573" s="63"/>
    </row>
    <row r="41574" spans="9:10" x14ac:dyDescent="0.35">
      <c r="I41574" s="63"/>
      <c r="J41574" s="63"/>
    </row>
    <row r="41575" spans="9:10" x14ac:dyDescent="0.35">
      <c r="I41575" s="63"/>
      <c r="J41575" s="63"/>
    </row>
    <row r="41576" spans="9:10" x14ac:dyDescent="0.35">
      <c r="I41576" s="63"/>
      <c r="J41576" s="63"/>
    </row>
    <row r="41577" spans="9:10" x14ac:dyDescent="0.35">
      <c r="I41577" s="63"/>
      <c r="J41577" s="63"/>
    </row>
    <row r="41578" spans="9:10" x14ac:dyDescent="0.35">
      <c r="I41578" s="63"/>
      <c r="J41578" s="63"/>
    </row>
    <row r="41579" spans="9:10" x14ac:dyDescent="0.35">
      <c r="I41579" s="63"/>
      <c r="J41579" s="63"/>
    </row>
    <row r="41580" spans="9:10" x14ac:dyDescent="0.35">
      <c r="I41580" s="63"/>
      <c r="J41580" s="63"/>
    </row>
    <row r="41581" spans="9:10" x14ac:dyDescent="0.35">
      <c r="I41581" s="63"/>
      <c r="J41581" s="63"/>
    </row>
    <row r="41582" spans="9:10" x14ac:dyDescent="0.35">
      <c r="I41582" s="63"/>
      <c r="J41582" s="63"/>
    </row>
    <row r="41583" spans="9:10" x14ac:dyDescent="0.35">
      <c r="I41583" s="63"/>
      <c r="J41583" s="63"/>
    </row>
    <row r="41584" spans="9:10" x14ac:dyDescent="0.35">
      <c r="I41584" s="63"/>
      <c r="J41584" s="63"/>
    </row>
    <row r="41585" spans="9:10" x14ac:dyDescent="0.35">
      <c r="I41585" s="63"/>
      <c r="J41585" s="63"/>
    </row>
    <row r="41586" spans="9:10" x14ac:dyDescent="0.35">
      <c r="I41586" s="63"/>
      <c r="J41586" s="63"/>
    </row>
    <row r="41587" spans="9:10" x14ac:dyDescent="0.35">
      <c r="I41587" s="63"/>
      <c r="J41587" s="63"/>
    </row>
    <row r="41588" spans="9:10" x14ac:dyDescent="0.35">
      <c r="I41588" s="63"/>
      <c r="J41588" s="63"/>
    </row>
    <row r="41589" spans="9:10" x14ac:dyDescent="0.35">
      <c r="I41589" s="63"/>
      <c r="J41589" s="63"/>
    </row>
    <row r="41590" spans="9:10" x14ac:dyDescent="0.35">
      <c r="I41590" s="63"/>
      <c r="J41590" s="63"/>
    </row>
    <row r="41591" spans="9:10" x14ac:dyDescent="0.35">
      <c r="I41591" s="63"/>
      <c r="J41591" s="63"/>
    </row>
    <row r="41592" spans="9:10" x14ac:dyDescent="0.35">
      <c r="I41592" s="63"/>
      <c r="J41592" s="63"/>
    </row>
    <row r="41593" spans="9:10" x14ac:dyDescent="0.35">
      <c r="I41593" s="63"/>
      <c r="J41593" s="63"/>
    </row>
    <row r="41594" spans="9:10" x14ac:dyDescent="0.35">
      <c r="I41594" s="63"/>
      <c r="J41594" s="63"/>
    </row>
    <row r="41595" spans="9:10" x14ac:dyDescent="0.35">
      <c r="I41595" s="63"/>
      <c r="J41595" s="63"/>
    </row>
    <row r="41596" spans="9:10" x14ac:dyDescent="0.35">
      <c r="I41596" s="63"/>
      <c r="J41596" s="63"/>
    </row>
    <row r="41597" spans="9:10" x14ac:dyDescent="0.35">
      <c r="I41597" s="63"/>
      <c r="J41597" s="63"/>
    </row>
    <row r="41598" spans="9:10" x14ac:dyDescent="0.35">
      <c r="I41598" s="63"/>
      <c r="J41598" s="63"/>
    </row>
    <row r="41599" spans="9:10" x14ac:dyDescent="0.35">
      <c r="I41599" s="63"/>
      <c r="J41599" s="63"/>
    </row>
    <row r="41600" spans="9:10" x14ac:dyDescent="0.35">
      <c r="I41600" s="63"/>
      <c r="J41600" s="63"/>
    </row>
    <row r="41601" spans="9:10" x14ac:dyDescent="0.35">
      <c r="I41601" s="63"/>
      <c r="J41601" s="63"/>
    </row>
    <row r="41602" spans="9:10" x14ac:dyDescent="0.35">
      <c r="I41602" s="63"/>
      <c r="J41602" s="63"/>
    </row>
    <row r="41603" spans="9:10" x14ac:dyDescent="0.35">
      <c r="I41603" s="63"/>
      <c r="J41603" s="63"/>
    </row>
    <row r="41604" spans="9:10" x14ac:dyDescent="0.35">
      <c r="I41604" s="63"/>
      <c r="J41604" s="63"/>
    </row>
    <row r="41605" spans="9:10" x14ac:dyDescent="0.35">
      <c r="I41605" s="63"/>
      <c r="J41605" s="63"/>
    </row>
    <row r="41606" spans="9:10" x14ac:dyDescent="0.35">
      <c r="I41606" s="63"/>
      <c r="J41606" s="63"/>
    </row>
    <row r="41607" spans="9:10" x14ac:dyDescent="0.35">
      <c r="I41607" s="63"/>
      <c r="J41607" s="63"/>
    </row>
    <row r="41608" spans="9:10" x14ac:dyDescent="0.35">
      <c r="I41608" s="63"/>
      <c r="J41608" s="63"/>
    </row>
    <row r="41609" spans="9:10" x14ac:dyDescent="0.35">
      <c r="I41609" s="63"/>
      <c r="J41609" s="63"/>
    </row>
    <row r="41610" spans="9:10" x14ac:dyDescent="0.35">
      <c r="I41610" s="63"/>
      <c r="J41610" s="63"/>
    </row>
    <row r="41611" spans="9:10" x14ac:dyDescent="0.35">
      <c r="I41611" s="63"/>
      <c r="J41611" s="63"/>
    </row>
    <row r="41612" spans="9:10" x14ac:dyDescent="0.35">
      <c r="I41612" s="63"/>
      <c r="J41612" s="63"/>
    </row>
    <row r="41613" spans="9:10" x14ac:dyDescent="0.35">
      <c r="I41613" s="63"/>
      <c r="J41613" s="63"/>
    </row>
    <row r="41614" spans="9:10" x14ac:dyDescent="0.35">
      <c r="I41614" s="63"/>
      <c r="J41614" s="63"/>
    </row>
    <row r="41615" spans="9:10" x14ac:dyDescent="0.35">
      <c r="I41615" s="63"/>
      <c r="J41615" s="63"/>
    </row>
    <row r="41616" spans="9:10" x14ac:dyDescent="0.35">
      <c r="I41616" s="63"/>
      <c r="J41616" s="63"/>
    </row>
    <row r="41617" spans="9:10" x14ac:dyDescent="0.35">
      <c r="I41617" s="63"/>
      <c r="J41617" s="63"/>
    </row>
    <row r="41618" spans="9:10" x14ac:dyDescent="0.35">
      <c r="I41618" s="63"/>
      <c r="J41618" s="63"/>
    </row>
    <row r="41619" spans="9:10" x14ac:dyDescent="0.35">
      <c r="I41619" s="63"/>
      <c r="J41619" s="63"/>
    </row>
    <row r="41620" spans="9:10" x14ac:dyDescent="0.35">
      <c r="I41620" s="63"/>
      <c r="J41620" s="63"/>
    </row>
    <row r="41621" spans="9:10" x14ac:dyDescent="0.35">
      <c r="I41621" s="63"/>
      <c r="J41621" s="63"/>
    </row>
    <row r="41622" spans="9:10" x14ac:dyDescent="0.35">
      <c r="I41622" s="63"/>
      <c r="J41622" s="63"/>
    </row>
    <row r="41623" spans="9:10" x14ac:dyDescent="0.35">
      <c r="I41623" s="63"/>
      <c r="J41623" s="63"/>
    </row>
    <row r="41624" spans="9:10" x14ac:dyDescent="0.35">
      <c r="I41624" s="63"/>
      <c r="J41624" s="63"/>
    </row>
    <row r="41625" spans="9:10" x14ac:dyDescent="0.35">
      <c r="I41625" s="63"/>
      <c r="J41625" s="63"/>
    </row>
    <row r="41626" spans="9:10" x14ac:dyDescent="0.35">
      <c r="I41626" s="63"/>
      <c r="J41626" s="63"/>
    </row>
    <row r="41627" spans="9:10" x14ac:dyDescent="0.35">
      <c r="I41627" s="63"/>
      <c r="J41627" s="63"/>
    </row>
    <row r="41628" spans="9:10" x14ac:dyDescent="0.35">
      <c r="I41628" s="63"/>
      <c r="J41628" s="63"/>
    </row>
    <row r="41629" spans="9:10" x14ac:dyDescent="0.35">
      <c r="I41629" s="63"/>
      <c r="J41629" s="63"/>
    </row>
    <row r="41630" spans="9:10" x14ac:dyDescent="0.35">
      <c r="I41630" s="63"/>
      <c r="J41630" s="63"/>
    </row>
    <row r="41631" spans="9:10" x14ac:dyDescent="0.35">
      <c r="I41631" s="63"/>
      <c r="J41631" s="63"/>
    </row>
    <row r="41632" spans="9:10" x14ac:dyDescent="0.35">
      <c r="I41632" s="63"/>
      <c r="J41632" s="63"/>
    </row>
    <row r="41633" spans="9:10" x14ac:dyDescent="0.35">
      <c r="I41633" s="63"/>
      <c r="J41633" s="63"/>
    </row>
    <row r="41634" spans="9:10" x14ac:dyDescent="0.35">
      <c r="I41634" s="63"/>
      <c r="J41634" s="63"/>
    </row>
    <row r="41635" spans="9:10" x14ac:dyDescent="0.35">
      <c r="I41635" s="63"/>
      <c r="J41635" s="63"/>
    </row>
    <row r="41636" spans="9:10" x14ac:dyDescent="0.35">
      <c r="I41636" s="63"/>
      <c r="J41636" s="63"/>
    </row>
    <row r="41637" spans="9:10" x14ac:dyDescent="0.35">
      <c r="I41637" s="63"/>
      <c r="J41637" s="63"/>
    </row>
    <row r="41638" spans="9:10" x14ac:dyDescent="0.35">
      <c r="I41638" s="63"/>
      <c r="J41638" s="63"/>
    </row>
    <row r="41639" spans="9:10" x14ac:dyDescent="0.35">
      <c r="I41639" s="63"/>
      <c r="J41639" s="63"/>
    </row>
    <row r="41640" spans="9:10" x14ac:dyDescent="0.35">
      <c r="I41640" s="63"/>
      <c r="J41640" s="63"/>
    </row>
    <row r="41641" spans="9:10" x14ac:dyDescent="0.35">
      <c r="I41641" s="63"/>
      <c r="J41641" s="63"/>
    </row>
    <row r="41642" spans="9:10" x14ac:dyDescent="0.35">
      <c r="I41642" s="63"/>
      <c r="J41642" s="63"/>
    </row>
    <row r="41643" spans="9:10" x14ac:dyDescent="0.35">
      <c r="I41643" s="63"/>
      <c r="J41643" s="63"/>
    </row>
    <row r="41644" spans="9:10" x14ac:dyDescent="0.35">
      <c r="I41644" s="63"/>
      <c r="J41644" s="63"/>
    </row>
    <row r="41645" spans="9:10" x14ac:dyDescent="0.35">
      <c r="I41645" s="63"/>
      <c r="J41645" s="63"/>
    </row>
    <row r="41646" spans="9:10" x14ac:dyDescent="0.35">
      <c r="I41646" s="63"/>
      <c r="J41646" s="63"/>
    </row>
    <row r="41647" spans="9:10" x14ac:dyDescent="0.35">
      <c r="I41647" s="63"/>
      <c r="J41647" s="63"/>
    </row>
    <row r="41648" spans="9:10" x14ac:dyDescent="0.35">
      <c r="I41648" s="63"/>
      <c r="J41648" s="63"/>
    </row>
    <row r="41649" spans="9:10" x14ac:dyDescent="0.35">
      <c r="I41649" s="63"/>
      <c r="J41649" s="63"/>
    </row>
    <row r="41650" spans="9:10" x14ac:dyDescent="0.35">
      <c r="I41650" s="63"/>
      <c r="J41650" s="63"/>
    </row>
    <row r="41651" spans="9:10" x14ac:dyDescent="0.35">
      <c r="I41651" s="63"/>
      <c r="J41651" s="63"/>
    </row>
    <row r="41652" spans="9:10" x14ac:dyDescent="0.35">
      <c r="I41652" s="63"/>
      <c r="J41652" s="63"/>
    </row>
    <row r="41653" spans="9:10" x14ac:dyDescent="0.35">
      <c r="I41653" s="63"/>
      <c r="J41653" s="63"/>
    </row>
    <row r="41654" spans="9:10" x14ac:dyDescent="0.35">
      <c r="I41654" s="63"/>
      <c r="J41654" s="63"/>
    </row>
    <row r="41655" spans="9:10" x14ac:dyDescent="0.35">
      <c r="I41655" s="63"/>
      <c r="J41655" s="63"/>
    </row>
    <row r="41656" spans="9:10" x14ac:dyDescent="0.35">
      <c r="I41656" s="63"/>
      <c r="J41656" s="63"/>
    </row>
    <row r="41657" spans="9:10" x14ac:dyDescent="0.35">
      <c r="I41657" s="63"/>
      <c r="J41657" s="63"/>
    </row>
    <row r="41658" spans="9:10" x14ac:dyDescent="0.35">
      <c r="I41658" s="63"/>
      <c r="J41658" s="63"/>
    </row>
    <row r="41659" spans="9:10" x14ac:dyDescent="0.35">
      <c r="I41659" s="63"/>
      <c r="J41659" s="63"/>
    </row>
    <row r="41660" spans="9:10" x14ac:dyDescent="0.35">
      <c r="I41660" s="63"/>
      <c r="J41660" s="63"/>
    </row>
    <row r="41661" spans="9:10" x14ac:dyDescent="0.35">
      <c r="I41661" s="63"/>
      <c r="J41661" s="63"/>
    </row>
    <row r="41662" spans="9:10" x14ac:dyDescent="0.35">
      <c r="I41662" s="63"/>
      <c r="J41662" s="63"/>
    </row>
    <row r="41663" spans="9:10" x14ac:dyDescent="0.35">
      <c r="I41663" s="63"/>
      <c r="J41663" s="63"/>
    </row>
    <row r="41664" spans="9:10" x14ac:dyDescent="0.35">
      <c r="I41664" s="63"/>
      <c r="J41664" s="63"/>
    </row>
    <row r="41665" spans="9:10" x14ac:dyDescent="0.35">
      <c r="I41665" s="63"/>
      <c r="J41665" s="63"/>
    </row>
    <row r="41666" spans="9:10" x14ac:dyDescent="0.35">
      <c r="I41666" s="63"/>
      <c r="J41666" s="63"/>
    </row>
    <row r="41667" spans="9:10" x14ac:dyDescent="0.35">
      <c r="I41667" s="63"/>
      <c r="J41667" s="63"/>
    </row>
    <row r="41668" spans="9:10" x14ac:dyDescent="0.35">
      <c r="I41668" s="63"/>
      <c r="J41668" s="63"/>
    </row>
    <row r="41669" spans="9:10" x14ac:dyDescent="0.35">
      <c r="I41669" s="63"/>
      <c r="J41669" s="63"/>
    </row>
    <row r="41670" spans="9:10" x14ac:dyDescent="0.35">
      <c r="I41670" s="63"/>
      <c r="J41670" s="63"/>
    </row>
    <row r="41671" spans="9:10" x14ac:dyDescent="0.35">
      <c r="I41671" s="63"/>
      <c r="J41671" s="63"/>
    </row>
    <row r="41672" spans="9:10" x14ac:dyDescent="0.35">
      <c r="I41672" s="63"/>
      <c r="J41672" s="63"/>
    </row>
    <row r="41673" spans="9:10" x14ac:dyDescent="0.35">
      <c r="I41673" s="63"/>
      <c r="J41673" s="63"/>
    </row>
    <row r="41674" spans="9:10" x14ac:dyDescent="0.35">
      <c r="I41674" s="63"/>
      <c r="J41674" s="63"/>
    </row>
    <row r="41675" spans="9:10" x14ac:dyDescent="0.35">
      <c r="I41675" s="63"/>
      <c r="J41675" s="63"/>
    </row>
    <row r="41676" spans="9:10" x14ac:dyDescent="0.35">
      <c r="I41676" s="63"/>
      <c r="J41676" s="63"/>
    </row>
    <row r="41677" spans="9:10" x14ac:dyDescent="0.35">
      <c r="I41677" s="63"/>
      <c r="J41677" s="63"/>
    </row>
    <row r="41678" spans="9:10" x14ac:dyDescent="0.35">
      <c r="I41678" s="63"/>
      <c r="J41678" s="63"/>
    </row>
    <row r="41679" spans="9:10" x14ac:dyDescent="0.35">
      <c r="I41679" s="63"/>
      <c r="J41679" s="63"/>
    </row>
    <row r="41680" spans="9:10" x14ac:dyDescent="0.35">
      <c r="I41680" s="63"/>
      <c r="J41680" s="63"/>
    </row>
    <row r="41681" spans="9:10" x14ac:dyDescent="0.35">
      <c r="I41681" s="63"/>
      <c r="J41681" s="63"/>
    </row>
    <row r="41682" spans="9:10" x14ac:dyDescent="0.35">
      <c r="I41682" s="63"/>
      <c r="J41682" s="63"/>
    </row>
    <row r="41683" spans="9:10" x14ac:dyDescent="0.35">
      <c r="I41683" s="63"/>
      <c r="J41683" s="63"/>
    </row>
    <row r="41684" spans="9:10" x14ac:dyDescent="0.35">
      <c r="I41684" s="63"/>
      <c r="J41684" s="63"/>
    </row>
    <row r="41685" spans="9:10" x14ac:dyDescent="0.35">
      <c r="I41685" s="63"/>
      <c r="J41685" s="63"/>
    </row>
    <row r="41686" spans="9:10" x14ac:dyDescent="0.35">
      <c r="I41686" s="63"/>
      <c r="J41686" s="63"/>
    </row>
    <row r="41687" spans="9:10" x14ac:dyDescent="0.35">
      <c r="I41687" s="63"/>
      <c r="J41687" s="63"/>
    </row>
    <row r="41688" spans="9:10" x14ac:dyDescent="0.35">
      <c r="I41688" s="63"/>
      <c r="J41688" s="63"/>
    </row>
    <row r="41689" spans="9:10" x14ac:dyDescent="0.35">
      <c r="I41689" s="63"/>
      <c r="J41689" s="63"/>
    </row>
    <row r="41690" spans="9:10" x14ac:dyDescent="0.35">
      <c r="I41690" s="63"/>
      <c r="J41690" s="63"/>
    </row>
    <row r="41691" spans="9:10" x14ac:dyDescent="0.35">
      <c r="I41691" s="63"/>
      <c r="J41691" s="63"/>
    </row>
    <row r="41692" spans="9:10" x14ac:dyDescent="0.35">
      <c r="I41692" s="63"/>
      <c r="J41692" s="63"/>
    </row>
    <row r="41693" spans="9:10" x14ac:dyDescent="0.35">
      <c r="I41693" s="63"/>
      <c r="J41693" s="63"/>
    </row>
    <row r="41694" spans="9:10" x14ac:dyDescent="0.35">
      <c r="I41694" s="63"/>
      <c r="J41694" s="63"/>
    </row>
    <row r="41695" spans="9:10" x14ac:dyDescent="0.35">
      <c r="I41695" s="63"/>
      <c r="J41695" s="63"/>
    </row>
    <row r="41696" spans="9:10" x14ac:dyDescent="0.35">
      <c r="I41696" s="63"/>
      <c r="J41696" s="63"/>
    </row>
    <row r="41697" spans="9:10" x14ac:dyDescent="0.35">
      <c r="I41697" s="63"/>
      <c r="J41697" s="63"/>
    </row>
    <row r="41698" spans="9:10" x14ac:dyDescent="0.35">
      <c r="I41698" s="63"/>
      <c r="J41698" s="63"/>
    </row>
    <row r="41699" spans="9:10" x14ac:dyDescent="0.35">
      <c r="I41699" s="63"/>
      <c r="J41699" s="63"/>
    </row>
    <row r="41700" spans="9:10" x14ac:dyDescent="0.35">
      <c r="I41700" s="63"/>
      <c r="J41700" s="63"/>
    </row>
    <row r="41701" spans="9:10" x14ac:dyDescent="0.35">
      <c r="I41701" s="63"/>
      <c r="J41701" s="63"/>
    </row>
    <row r="41702" spans="9:10" x14ac:dyDescent="0.35">
      <c r="I41702" s="63"/>
      <c r="J41702" s="63"/>
    </row>
    <row r="41703" spans="9:10" x14ac:dyDescent="0.35">
      <c r="I41703" s="63"/>
      <c r="J41703" s="63"/>
    </row>
    <row r="41704" spans="9:10" x14ac:dyDescent="0.35">
      <c r="I41704" s="63"/>
      <c r="J41704" s="63"/>
    </row>
    <row r="41705" spans="9:10" x14ac:dyDescent="0.35">
      <c r="I41705" s="63"/>
      <c r="J41705" s="63"/>
    </row>
    <row r="41706" spans="9:10" x14ac:dyDescent="0.35">
      <c r="I41706" s="63"/>
      <c r="J41706" s="63"/>
    </row>
    <row r="41707" spans="9:10" x14ac:dyDescent="0.35">
      <c r="I41707" s="63"/>
      <c r="J41707" s="63"/>
    </row>
    <row r="41708" spans="9:10" x14ac:dyDescent="0.35">
      <c r="I41708" s="63"/>
      <c r="J41708" s="63"/>
    </row>
    <row r="41709" spans="9:10" x14ac:dyDescent="0.35">
      <c r="I41709" s="63"/>
      <c r="J41709" s="63"/>
    </row>
    <row r="41710" spans="9:10" x14ac:dyDescent="0.35">
      <c r="I41710" s="63"/>
      <c r="J41710" s="63"/>
    </row>
    <row r="41711" spans="9:10" x14ac:dyDescent="0.35">
      <c r="I41711" s="63"/>
      <c r="J41711" s="63"/>
    </row>
    <row r="41712" spans="9:10" x14ac:dyDescent="0.35">
      <c r="I41712" s="63"/>
      <c r="J41712" s="63"/>
    </row>
    <row r="41713" spans="9:10" x14ac:dyDescent="0.35">
      <c r="I41713" s="63"/>
      <c r="J41713" s="63"/>
    </row>
    <row r="41714" spans="9:10" x14ac:dyDescent="0.35">
      <c r="I41714" s="63"/>
      <c r="J41714" s="63"/>
    </row>
    <row r="41715" spans="9:10" x14ac:dyDescent="0.35">
      <c r="I41715" s="63"/>
      <c r="J41715" s="63"/>
    </row>
    <row r="41716" spans="9:10" x14ac:dyDescent="0.35">
      <c r="I41716" s="63"/>
      <c r="J41716" s="63"/>
    </row>
    <row r="41717" spans="9:10" x14ac:dyDescent="0.35">
      <c r="I41717" s="63"/>
      <c r="J41717" s="63"/>
    </row>
    <row r="41718" spans="9:10" x14ac:dyDescent="0.35">
      <c r="I41718" s="63"/>
      <c r="J41718" s="63"/>
    </row>
    <row r="41719" spans="9:10" x14ac:dyDescent="0.35">
      <c r="I41719" s="63"/>
      <c r="J41719" s="63"/>
    </row>
    <row r="41720" spans="9:10" x14ac:dyDescent="0.35">
      <c r="I41720" s="63"/>
      <c r="J41720" s="63"/>
    </row>
    <row r="41721" spans="9:10" x14ac:dyDescent="0.35">
      <c r="I41721" s="63"/>
      <c r="J41721" s="63"/>
    </row>
    <row r="41722" spans="9:10" x14ac:dyDescent="0.35">
      <c r="I41722" s="63"/>
      <c r="J41722" s="63"/>
    </row>
    <row r="41723" spans="9:10" x14ac:dyDescent="0.35">
      <c r="I41723" s="63"/>
      <c r="J41723" s="63"/>
    </row>
    <row r="41724" spans="9:10" x14ac:dyDescent="0.35">
      <c r="I41724" s="63"/>
      <c r="J41724" s="63"/>
    </row>
    <row r="41725" spans="9:10" x14ac:dyDescent="0.35">
      <c r="I41725" s="63"/>
      <c r="J41725" s="63"/>
    </row>
    <row r="41726" spans="9:10" x14ac:dyDescent="0.35">
      <c r="I41726" s="63"/>
      <c r="J41726" s="63"/>
    </row>
    <row r="41727" spans="9:10" x14ac:dyDescent="0.35">
      <c r="I41727" s="63"/>
      <c r="J41727" s="63"/>
    </row>
    <row r="41728" spans="9:10" x14ac:dyDescent="0.35">
      <c r="I41728" s="63"/>
      <c r="J41728" s="63"/>
    </row>
    <row r="41729" spans="9:10" x14ac:dyDescent="0.35">
      <c r="I41729" s="63"/>
      <c r="J41729" s="63"/>
    </row>
    <row r="41730" spans="9:10" x14ac:dyDescent="0.35">
      <c r="I41730" s="63"/>
      <c r="J41730" s="63"/>
    </row>
    <row r="41731" spans="9:10" x14ac:dyDescent="0.35">
      <c r="I41731" s="63"/>
      <c r="J41731" s="63"/>
    </row>
    <row r="41732" spans="9:10" x14ac:dyDescent="0.35">
      <c r="I41732" s="63"/>
      <c r="J41732" s="63"/>
    </row>
    <row r="41733" spans="9:10" x14ac:dyDescent="0.35">
      <c r="I41733" s="63"/>
      <c r="J41733" s="63"/>
    </row>
    <row r="41734" spans="9:10" x14ac:dyDescent="0.35">
      <c r="I41734" s="63"/>
      <c r="J41734" s="63"/>
    </row>
    <row r="41735" spans="9:10" x14ac:dyDescent="0.35">
      <c r="I41735" s="63"/>
      <c r="J41735" s="63"/>
    </row>
    <row r="41736" spans="9:10" x14ac:dyDescent="0.35">
      <c r="I41736" s="63"/>
      <c r="J41736" s="63"/>
    </row>
    <row r="41737" spans="9:10" x14ac:dyDescent="0.35">
      <c r="I41737" s="63"/>
      <c r="J41737" s="63"/>
    </row>
    <row r="41738" spans="9:10" x14ac:dyDescent="0.35">
      <c r="I41738" s="63"/>
      <c r="J41738" s="63"/>
    </row>
    <row r="41739" spans="9:10" x14ac:dyDescent="0.35">
      <c r="I41739" s="63"/>
      <c r="J41739" s="63"/>
    </row>
    <row r="41740" spans="9:10" x14ac:dyDescent="0.35">
      <c r="I41740" s="63"/>
      <c r="J41740" s="63"/>
    </row>
    <row r="41741" spans="9:10" x14ac:dyDescent="0.35">
      <c r="I41741" s="63"/>
      <c r="J41741" s="63"/>
    </row>
    <row r="41742" spans="9:10" x14ac:dyDescent="0.35">
      <c r="I41742" s="63"/>
      <c r="J41742" s="63"/>
    </row>
    <row r="41743" spans="9:10" x14ac:dyDescent="0.35">
      <c r="I41743" s="63"/>
      <c r="J41743" s="63"/>
    </row>
    <row r="41744" spans="9:10" x14ac:dyDescent="0.35">
      <c r="I41744" s="63"/>
      <c r="J41744" s="63"/>
    </row>
    <row r="41745" spans="9:10" x14ac:dyDescent="0.35">
      <c r="I41745" s="63"/>
      <c r="J41745" s="63"/>
    </row>
    <row r="41746" spans="9:10" x14ac:dyDescent="0.35">
      <c r="I41746" s="63"/>
      <c r="J41746" s="63"/>
    </row>
    <row r="41747" spans="9:10" x14ac:dyDescent="0.35">
      <c r="I41747" s="63"/>
      <c r="J41747" s="63"/>
    </row>
    <row r="41748" spans="9:10" x14ac:dyDescent="0.35">
      <c r="I41748" s="63"/>
      <c r="J41748" s="63"/>
    </row>
    <row r="41749" spans="9:10" x14ac:dyDescent="0.35">
      <c r="I41749" s="63"/>
      <c r="J41749" s="63"/>
    </row>
    <row r="41750" spans="9:10" x14ac:dyDescent="0.35">
      <c r="I41750" s="63"/>
      <c r="J41750" s="63"/>
    </row>
    <row r="41751" spans="9:10" x14ac:dyDescent="0.35">
      <c r="I41751" s="63"/>
      <c r="J41751" s="63"/>
    </row>
    <row r="41752" spans="9:10" x14ac:dyDescent="0.35">
      <c r="I41752" s="63"/>
      <c r="J41752" s="63"/>
    </row>
    <row r="41753" spans="9:10" x14ac:dyDescent="0.35">
      <c r="I41753" s="63"/>
      <c r="J41753" s="63"/>
    </row>
    <row r="41754" spans="9:10" x14ac:dyDescent="0.35">
      <c r="I41754" s="63"/>
      <c r="J41754" s="63"/>
    </row>
    <row r="41755" spans="9:10" x14ac:dyDescent="0.35">
      <c r="I41755" s="63"/>
      <c r="J41755" s="63"/>
    </row>
    <row r="41756" spans="9:10" x14ac:dyDescent="0.35">
      <c r="I41756" s="63"/>
      <c r="J41756" s="63"/>
    </row>
    <row r="41757" spans="9:10" x14ac:dyDescent="0.35">
      <c r="I41757" s="63"/>
      <c r="J41757" s="63"/>
    </row>
    <row r="41758" spans="9:10" x14ac:dyDescent="0.35">
      <c r="I41758" s="63"/>
      <c r="J41758" s="63"/>
    </row>
    <row r="41759" spans="9:10" x14ac:dyDescent="0.35">
      <c r="I41759" s="63"/>
      <c r="J41759" s="63"/>
    </row>
    <row r="41760" spans="9:10" x14ac:dyDescent="0.35">
      <c r="I41760" s="63"/>
      <c r="J41760" s="63"/>
    </row>
    <row r="41761" spans="9:10" x14ac:dyDescent="0.35">
      <c r="I41761" s="63"/>
      <c r="J41761" s="63"/>
    </row>
    <row r="41762" spans="9:10" x14ac:dyDescent="0.35">
      <c r="I41762" s="63"/>
      <c r="J41762" s="63"/>
    </row>
    <row r="41763" spans="9:10" x14ac:dyDescent="0.35">
      <c r="I41763" s="63"/>
      <c r="J41763" s="63"/>
    </row>
    <row r="41764" spans="9:10" x14ac:dyDescent="0.35">
      <c r="I41764" s="63"/>
      <c r="J41764" s="63"/>
    </row>
    <row r="41765" spans="9:10" x14ac:dyDescent="0.35">
      <c r="I41765" s="63"/>
      <c r="J41765" s="63"/>
    </row>
    <row r="41766" spans="9:10" x14ac:dyDescent="0.35">
      <c r="I41766" s="63"/>
      <c r="J41766" s="63"/>
    </row>
    <row r="41767" spans="9:10" x14ac:dyDescent="0.35">
      <c r="I41767" s="63"/>
      <c r="J41767" s="63"/>
    </row>
    <row r="41768" spans="9:10" x14ac:dyDescent="0.35">
      <c r="I41768" s="63"/>
      <c r="J41768" s="63"/>
    </row>
    <row r="41769" spans="9:10" x14ac:dyDescent="0.35">
      <c r="I41769" s="63"/>
      <c r="J41769" s="63"/>
    </row>
    <row r="41770" spans="9:10" x14ac:dyDescent="0.35">
      <c r="I41770" s="63"/>
      <c r="J41770" s="63"/>
    </row>
    <row r="41771" spans="9:10" x14ac:dyDescent="0.35">
      <c r="I41771" s="63"/>
      <c r="J41771" s="63"/>
    </row>
    <row r="41772" spans="9:10" x14ac:dyDescent="0.35">
      <c r="I41772" s="63"/>
      <c r="J41772" s="63"/>
    </row>
    <row r="41773" spans="9:10" x14ac:dyDescent="0.35">
      <c r="I41773" s="63"/>
      <c r="J41773" s="63"/>
    </row>
    <row r="41774" spans="9:10" x14ac:dyDescent="0.35">
      <c r="I41774" s="63"/>
      <c r="J41774" s="63"/>
    </row>
    <row r="41775" spans="9:10" x14ac:dyDescent="0.35">
      <c r="I41775" s="63"/>
      <c r="J41775" s="63"/>
    </row>
    <row r="41776" spans="9:10" x14ac:dyDescent="0.35">
      <c r="I41776" s="63"/>
      <c r="J41776" s="63"/>
    </row>
    <row r="41777" spans="9:10" x14ac:dyDescent="0.35">
      <c r="I41777" s="63"/>
      <c r="J41777" s="63"/>
    </row>
    <row r="41778" spans="9:10" x14ac:dyDescent="0.35">
      <c r="I41778" s="63"/>
      <c r="J41778" s="63"/>
    </row>
    <row r="41779" spans="9:10" x14ac:dyDescent="0.35">
      <c r="I41779" s="63"/>
      <c r="J41779" s="63"/>
    </row>
    <row r="41780" spans="9:10" x14ac:dyDescent="0.35">
      <c r="I41780" s="63"/>
      <c r="J41780" s="63"/>
    </row>
    <row r="41781" spans="9:10" x14ac:dyDescent="0.35">
      <c r="I41781" s="63"/>
      <c r="J41781" s="63"/>
    </row>
    <row r="41782" spans="9:10" x14ac:dyDescent="0.35">
      <c r="I41782" s="63"/>
      <c r="J41782" s="63"/>
    </row>
    <row r="41783" spans="9:10" x14ac:dyDescent="0.35">
      <c r="I41783" s="63"/>
      <c r="J41783" s="63"/>
    </row>
    <row r="41784" spans="9:10" x14ac:dyDescent="0.35">
      <c r="I41784" s="63"/>
      <c r="J41784" s="63"/>
    </row>
    <row r="41785" spans="9:10" x14ac:dyDescent="0.35">
      <c r="I41785" s="63"/>
      <c r="J41785" s="63"/>
    </row>
    <row r="41786" spans="9:10" x14ac:dyDescent="0.35">
      <c r="I41786" s="63"/>
      <c r="J41786" s="63"/>
    </row>
    <row r="41787" spans="9:10" x14ac:dyDescent="0.35">
      <c r="I41787" s="63"/>
      <c r="J41787" s="63"/>
    </row>
    <row r="41788" spans="9:10" x14ac:dyDescent="0.35">
      <c r="I41788" s="63"/>
      <c r="J41788" s="63"/>
    </row>
    <row r="41789" spans="9:10" x14ac:dyDescent="0.35">
      <c r="I41789" s="63"/>
      <c r="J41789" s="63"/>
    </row>
    <row r="41790" spans="9:10" x14ac:dyDescent="0.35">
      <c r="I41790" s="63"/>
      <c r="J41790" s="63"/>
    </row>
    <row r="41791" spans="9:10" x14ac:dyDescent="0.35">
      <c r="I41791" s="63"/>
      <c r="J41791" s="63"/>
    </row>
    <row r="41792" spans="9:10" x14ac:dyDescent="0.35">
      <c r="I41792" s="63"/>
      <c r="J41792" s="63"/>
    </row>
    <row r="41793" spans="9:10" x14ac:dyDescent="0.35">
      <c r="I41793" s="63"/>
      <c r="J41793" s="63"/>
    </row>
    <row r="41794" spans="9:10" x14ac:dyDescent="0.35">
      <c r="I41794" s="63"/>
      <c r="J41794" s="63"/>
    </row>
    <row r="41795" spans="9:10" x14ac:dyDescent="0.35">
      <c r="I41795" s="63"/>
      <c r="J41795" s="63"/>
    </row>
    <row r="41796" spans="9:10" x14ac:dyDescent="0.35">
      <c r="I41796" s="63"/>
      <c r="J41796" s="63"/>
    </row>
    <row r="41797" spans="9:10" x14ac:dyDescent="0.35">
      <c r="I41797" s="63"/>
      <c r="J41797" s="63"/>
    </row>
    <row r="41798" spans="9:10" x14ac:dyDescent="0.35">
      <c r="I41798" s="63"/>
      <c r="J41798" s="63"/>
    </row>
    <row r="41799" spans="9:10" x14ac:dyDescent="0.35">
      <c r="I41799" s="63"/>
      <c r="J41799" s="63"/>
    </row>
    <row r="41800" spans="9:10" x14ac:dyDescent="0.35">
      <c r="I41800" s="63"/>
      <c r="J41800" s="63"/>
    </row>
    <row r="41801" spans="9:10" x14ac:dyDescent="0.35">
      <c r="I41801" s="63"/>
      <c r="J41801" s="63"/>
    </row>
    <row r="41802" spans="9:10" x14ac:dyDescent="0.35">
      <c r="I41802" s="63"/>
      <c r="J41802" s="63"/>
    </row>
    <row r="41803" spans="9:10" x14ac:dyDescent="0.35">
      <c r="I41803" s="63"/>
      <c r="J41803" s="63"/>
    </row>
    <row r="41804" spans="9:10" x14ac:dyDescent="0.35">
      <c r="I41804" s="63"/>
      <c r="J41804" s="63"/>
    </row>
    <row r="41805" spans="9:10" x14ac:dyDescent="0.35">
      <c r="I41805" s="63"/>
      <c r="J41805" s="63"/>
    </row>
    <row r="41806" spans="9:10" x14ac:dyDescent="0.35">
      <c r="I41806" s="63"/>
      <c r="J41806" s="63"/>
    </row>
    <row r="41807" spans="9:10" x14ac:dyDescent="0.35">
      <c r="I41807" s="63"/>
      <c r="J41807" s="63"/>
    </row>
    <row r="41808" spans="9:10" x14ac:dyDescent="0.35">
      <c r="I41808" s="63"/>
      <c r="J41808" s="63"/>
    </row>
    <row r="41809" spans="9:10" x14ac:dyDescent="0.35">
      <c r="I41809" s="63"/>
      <c r="J41809" s="63"/>
    </row>
    <row r="41810" spans="9:10" x14ac:dyDescent="0.35">
      <c r="I41810" s="63"/>
      <c r="J41810" s="63"/>
    </row>
    <row r="41811" spans="9:10" x14ac:dyDescent="0.35">
      <c r="I41811" s="63"/>
      <c r="J41811" s="63"/>
    </row>
    <row r="41812" spans="9:10" x14ac:dyDescent="0.35">
      <c r="I41812" s="63"/>
      <c r="J41812" s="63"/>
    </row>
    <row r="41813" spans="9:10" x14ac:dyDescent="0.35">
      <c r="I41813" s="63"/>
      <c r="J41813" s="63"/>
    </row>
    <row r="41814" spans="9:10" x14ac:dyDescent="0.35">
      <c r="I41814" s="63"/>
      <c r="J41814" s="63"/>
    </row>
    <row r="41815" spans="9:10" x14ac:dyDescent="0.35">
      <c r="I41815" s="63"/>
      <c r="J41815" s="63"/>
    </row>
    <row r="41816" spans="9:10" x14ac:dyDescent="0.35">
      <c r="I41816" s="63"/>
      <c r="J41816" s="63"/>
    </row>
    <row r="41817" spans="9:10" x14ac:dyDescent="0.35">
      <c r="I41817" s="63"/>
      <c r="J41817" s="63"/>
    </row>
    <row r="41818" spans="9:10" x14ac:dyDescent="0.35">
      <c r="I41818" s="63"/>
      <c r="J41818" s="63"/>
    </row>
    <row r="41819" spans="9:10" x14ac:dyDescent="0.35">
      <c r="I41819" s="63"/>
      <c r="J41819" s="63"/>
    </row>
    <row r="41820" spans="9:10" x14ac:dyDescent="0.35">
      <c r="I41820" s="63"/>
      <c r="J41820" s="63"/>
    </row>
    <row r="41821" spans="9:10" x14ac:dyDescent="0.35">
      <c r="I41821" s="63"/>
      <c r="J41821" s="63"/>
    </row>
    <row r="41822" spans="9:10" x14ac:dyDescent="0.35">
      <c r="I41822" s="63"/>
      <c r="J41822" s="63"/>
    </row>
    <row r="41823" spans="9:10" x14ac:dyDescent="0.35">
      <c r="I41823" s="63"/>
      <c r="J41823" s="63"/>
    </row>
    <row r="41824" spans="9:10" x14ac:dyDescent="0.35">
      <c r="I41824" s="63"/>
      <c r="J41824" s="63"/>
    </row>
    <row r="41825" spans="9:10" x14ac:dyDescent="0.35">
      <c r="I41825" s="63"/>
      <c r="J41825" s="63"/>
    </row>
    <row r="41826" spans="9:10" x14ac:dyDescent="0.35">
      <c r="I41826" s="63"/>
      <c r="J41826" s="63"/>
    </row>
    <row r="41827" spans="9:10" x14ac:dyDescent="0.35">
      <c r="I41827" s="63"/>
      <c r="J41827" s="63"/>
    </row>
    <row r="41828" spans="9:10" x14ac:dyDescent="0.35">
      <c r="I41828" s="63"/>
      <c r="J41828" s="63"/>
    </row>
    <row r="41829" spans="9:10" x14ac:dyDescent="0.35">
      <c r="I41829" s="63"/>
      <c r="J41829" s="63"/>
    </row>
    <row r="41830" spans="9:10" x14ac:dyDescent="0.35">
      <c r="I41830" s="63"/>
      <c r="J41830" s="63"/>
    </row>
    <row r="41831" spans="9:10" x14ac:dyDescent="0.35">
      <c r="I41831" s="63"/>
      <c r="J41831" s="63"/>
    </row>
    <row r="41832" spans="9:10" x14ac:dyDescent="0.35">
      <c r="I41832" s="63"/>
      <c r="J41832" s="63"/>
    </row>
    <row r="41833" spans="9:10" x14ac:dyDescent="0.35">
      <c r="I41833" s="63"/>
      <c r="J41833" s="63"/>
    </row>
    <row r="41834" spans="9:10" x14ac:dyDescent="0.35">
      <c r="I41834" s="63"/>
      <c r="J41834" s="63"/>
    </row>
    <row r="41835" spans="9:10" x14ac:dyDescent="0.35">
      <c r="I41835" s="63"/>
      <c r="J41835" s="63"/>
    </row>
    <row r="41836" spans="9:10" x14ac:dyDescent="0.35">
      <c r="I41836" s="63"/>
      <c r="J41836" s="63"/>
    </row>
    <row r="41837" spans="9:10" x14ac:dyDescent="0.35">
      <c r="I41837" s="63"/>
      <c r="J41837" s="63"/>
    </row>
    <row r="41838" spans="9:10" x14ac:dyDescent="0.35">
      <c r="I41838" s="63"/>
      <c r="J41838" s="63"/>
    </row>
    <row r="41839" spans="9:10" x14ac:dyDescent="0.35">
      <c r="I41839" s="63"/>
      <c r="J41839" s="63"/>
    </row>
    <row r="41840" spans="9:10" x14ac:dyDescent="0.35">
      <c r="I41840" s="63"/>
      <c r="J41840" s="63"/>
    </row>
    <row r="41841" spans="9:10" x14ac:dyDescent="0.35">
      <c r="I41841" s="63"/>
      <c r="J41841" s="63"/>
    </row>
    <row r="41842" spans="9:10" x14ac:dyDescent="0.35">
      <c r="I41842" s="63"/>
      <c r="J41842" s="63"/>
    </row>
    <row r="41843" spans="9:10" x14ac:dyDescent="0.35">
      <c r="I41843" s="63"/>
      <c r="J41843" s="63"/>
    </row>
    <row r="41844" spans="9:10" x14ac:dyDescent="0.35">
      <c r="I41844" s="63"/>
      <c r="J41844" s="63"/>
    </row>
    <row r="41845" spans="9:10" x14ac:dyDescent="0.35">
      <c r="I41845" s="63"/>
      <c r="J41845" s="63"/>
    </row>
    <row r="41846" spans="9:10" x14ac:dyDescent="0.35">
      <c r="I41846" s="63"/>
      <c r="J41846" s="63"/>
    </row>
    <row r="41847" spans="9:10" x14ac:dyDescent="0.35">
      <c r="I41847" s="63"/>
      <c r="J41847" s="63"/>
    </row>
    <row r="41848" spans="9:10" x14ac:dyDescent="0.35">
      <c r="I41848" s="63"/>
      <c r="J41848" s="63"/>
    </row>
    <row r="41849" spans="9:10" x14ac:dyDescent="0.35">
      <c r="I41849" s="63"/>
      <c r="J41849" s="63"/>
    </row>
    <row r="41850" spans="9:10" x14ac:dyDescent="0.35">
      <c r="I41850" s="63"/>
      <c r="J41850" s="63"/>
    </row>
    <row r="41851" spans="9:10" x14ac:dyDescent="0.35">
      <c r="I41851" s="63"/>
      <c r="J41851" s="63"/>
    </row>
    <row r="41852" spans="9:10" x14ac:dyDescent="0.35">
      <c r="I41852" s="63"/>
      <c r="J41852" s="63"/>
    </row>
    <row r="41853" spans="9:10" x14ac:dyDescent="0.35">
      <c r="I41853" s="63"/>
      <c r="J41853" s="63"/>
    </row>
    <row r="41854" spans="9:10" x14ac:dyDescent="0.35">
      <c r="I41854" s="63"/>
      <c r="J41854" s="63"/>
    </row>
    <row r="41855" spans="9:10" x14ac:dyDescent="0.35">
      <c r="I41855" s="63"/>
      <c r="J41855" s="63"/>
    </row>
    <row r="41856" spans="9:10" x14ac:dyDescent="0.35">
      <c r="I41856" s="63"/>
      <c r="J41856" s="63"/>
    </row>
    <row r="41857" spans="9:10" x14ac:dyDescent="0.35">
      <c r="I41857" s="63"/>
      <c r="J41857" s="63"/>
    </row>
    <row r="41858" spans="9:10" x14ac:dyDescent="0.35">
      <c r="I41858" s="63"/>
      <c r="J41858" s="63"/>
    </row>
    <row r="41859" spans="9:10" x14ac:dyDescent="0.35">
      <c r="I41859" s="63"/>
      <c r="J41859" s="63"/>
    </row>
    <row r="41860" spans="9:10" x14ac:dyDescent="0.35">
      <c r="I41860" s="63"/>
      <c r="J41860" s="63"/>
    </row>
    <row r="41861" spans="9:10" x14ac:dyDescent="0.35">
      <c r="I41861" s="63"/>
      <c r="J41861" s="63"/>
    </row>
    <row r="41862" spans="9:10" x14ac:dyDescent="0.35">
      <c r="I41862" s="63"/>
      <c r="J41862" s="63"/>
    </row>
    <row r="41863" spans="9:10" x14ac:dyDescent="0.35">
      <c r="I41863" s="63"/>
      <c r="J41863" s="63"/>
    </row>
    <row r="41864" spans="9:10" x14ac:dyDescent="0.35">
      <c r="I41864" s="63"/>
      <c r="J41864" s="63"/>
    </row>
    <row r="41865" spans="9:10" x14ac:dyDescent="0.35">
      <c r="I41865" s="63"/>
      <c r="J41865" s="63"/>
    </row>
    <row r="41866" spans="9:10" x14ac:dyDescent="0.35">
      <c r="I41866" s="63"/>
      <c r="J41866" s="63"/>
    </row>
    <row r="41867" spans="9:10" x14ac:dyDescent="0.35">
      <c r="I41867" s="63"/>
      <c r="J41867" s="63"/>
    </row>
    <row r="41868" spans="9:10" x14ac:dyDescent="0.35">
      <c r="I41868" s="63"/>
      <c r="J41868" s="63"/>
    </row>
    <row r="41869" spans="9:10" x14ac:dyDescent="0.35">
      <c r="I41869" s="63"/>
      <c r="J41869" s="63"/>
    </row>
    <row r="41870" spans="9:10" x14ac:dyDescent="0.35">
      <c r="I41870" s="63"/>
      <c r="J41870" s="63"/>
    </row>
    <row r="41871" spans="9:10" x14ac:dyDescent="0.35">
      <c r="I41871" s="63"/>
      <c r="J41871" s="63"/>
    </row>
    <row r="41872" spans="9:10" x14ac:dyDescent="0.35">
      <c r="I41872" s="63"/>
      <c r="J41872" s="63"/>
    </row>
    <row r="41873" spans="9:10" x14ac:dyDescent="0.35">
      <c r="I41873" s="63"/>
      <c r="J41873" s="63"/>
    </row>
    <row r="41874" spans="9:10" x14ac:dyDescent="0.35">
      <c r="I41874" s="63"/>
      <c r="J41874" s="63"/>
    </row>
    <row r="41875" spans="9:10" x14ac:dyDescent="0.35">
      <c r="I41875" s="63"/>
      <c r="J41875" s="63"/>
    </row>
    <row r="41876" spans="9:10" x14ac:dyDescent="0.35">
      <c r="I41876" s="63"/>
      <c r="J41876" s="63"/>
    </row>
    <row r="41877" spans="9:10" x14ac:dyDescent="0.35">
      <c r="I41877" s="63"/>
      <c r="J41877" s="63"/>
    </row>
    <row r="41878" spans="9:10" x14ac:dyDescent="0.35">
      <c r="I41878" s="63"/>
      <c r="J41878" s="63"/>
    </row>
    <row r="41879" spans="9:10" x14ac:dyDescent="0.35">
      <c r="I41879" s="63"/>
      <c r="J41879" s="63"/>
    </row>
    <row r="41880" spans="9:10" x14ac:dyDescent="0.35">
      <c r="I41880" s="63"/>
      <c r="J41880" s="63"/>
    </row>
    <row r="41881" spans="9:10" x14ac:dyDescent="0.35">
      <c r="I41881" s="63"/>
      <c r="J41881" s="63"/>
    </row>
    <row r="41882" spans="9:10" x14ac:dyDescent="0.35">
      <c r="I41882" s="63"/>
      <c r="J41882" s="63"/>
    </row>
    <row r="41883" spans="9:10" x14ac:dyDescent="0.35">
      <c r="I41883" s="63"/>
      <c r="J41883" s="63"/>
    </row>
    <row r="41884" spans="9:10" x14ac:dyDescent="0.35">
      <c r="I41884" s="63"/>
      <c r="J41884" s="63"/>
    </row>
    <row r="41885" spans="9:10" x14ac:dyDescent="0.35">
      <c r="I41885" s="63"/>
      <c r="J41885" s="63"/>
    </row>
    <row r="41886" spans="9:10" x14ac:dyDescent="0.35">
      <c r="I41886" s="63"/>
      <c r="J41886" s="63"/>
    </row>
    <row r="41887" spans="9:10" x14ac:dyDescent="0.35">
      <c r="I41887" s="63"/>
      <c r="J41887" s="63"/>
    </row>
    <row r="41888" spans="9:10" x14ac:dyDescent="0.35">
      <c r="I41888" s="63"/>
      <c r="J41888" s="63"/>
    </row>
    <row r="41889" spans="9:10" x14ac:dyDescent="0.35">
      <c r="I41889" s="63"/>
      <c r="J41889" s="63"/>
    </row>
    <row r="41890" spans="9:10" x14ac:dyDescent="0.35">
      <c r="I41890" s="63"/>
      <c r="J41890" s="63"/>
    </row>
    <row r="41891" spans="9:10" x14ac:dyDescent="0.35">
      <c r="I41891" s="63"/>
      <c r="J41891" s="63"/>
    </row>
    <row r="41892" spans="9:10" x14ac:dyDescent="0.35">
      <c r="I41892" s="63"/>
      <c r="J41892" s="63"/>
    </row>
    <row r="41893" spans="9:10" x14ac:dyDescent="0.35">
      <c r="I41893" s="63"/>
      <c r="J41893" s="63"/>
    </row>
    <row r="41894" spans="9:10" x14ac:dyDescent="0.35">
      <c r="I41894" s="63"/>
      <c r="J41894" s="63"/>
    </row>
    <row r="41895" spans="9:10" x14ac:dyDescent="0.35">
      <c r="I41895" s="63"/>
      <c r="J41895" s="63"/>
    </row>
    <row r="41896" spans="9:10" x14ac:dyDescent="0.35">
      <c r="I41896" s="63"/>
      <c r="J41896" s="63"/>
    </row>
    <row r="41897" spans="9:10" x14ac:dyDescent="0.35">
      <c r="I41897" s="63"/>
      <c r="J41897" s="63"/>
    </row>
    <row r="41898" spans="9:10" x14ac:dyDescent="0.35">
      <c r="I41898" s="63"/>
      <c r="J41898" s="63"/>
    </row>
    <row r="41899" spans="9:10" x14ac:dyDescent="0.35">
      <c r="I41899" s="63"/>
      <c r="J41899" s="63"/>
    </row>
    <row r="41900" spans="9:10" x14ac:dyDescent="0.35">
      <c r="I41900" s="63"/>
      <c r="J41900" s="63"/>
    </row>
    <row r="41901" spans="9:10" x14ac:dyDescent="0.35">
      <c r="I41901" s="63"/>
      <c r="J41901" s="63"/>
    </row>
    <row r="41902" spans="9:10" x14ac:dyDescent="0.35">
      <c r="I41902" s="63"/>
      <c r="J41902" s="63"/>
    </row>
    <row r="41903" spans="9:10" x14ac:dyDescent="0.35">
      <c r="I41903" s="63"/>
      <c r="J41903" s="63"/>
    </row>
    <row r="41904" spans="9:10" x14ac:dyDescent="0.35">
      <c r="I41904" s="63"/>
      <c r="J41904" s="63"/>
    </row>
    <row r="41905" spans="9:10" x14ac:dyDescent="0.35">
      <c r="I41905" s="63"/>
      <c r="J41905" s="63"/>
    </row>
    <row r="41906" spans="9:10" x14ac:dyDescent="0.35">
      <c r="I41906" s="63"/>
      <c r="J41906" s="63"/>
    </row>
    <row r="41907" spans="9:10" x14ac:dyDescent="0.35">
      <c r="I41907" s="63"/>
      <c r="J41907" s="63"/>
    </row>
    <row r="41908" spans="9:10" x14ac:dyDescent="0.35">
      <c r="I41908" s="63"/>
      <c r="J41908" s="63"/>
    </row>
    <row r="41909" spans="9:10" x14ac:dyDescent="0.35">
      <c r="I41909" s="63"/>
      <c r="J41909" s="63"/>
    </row>
    <row r="41910" spans="9:10" x14ac:dyDescent="0.35">
      <c r="I41910" s="63"/>
      <c r="J41910" s="63"/>
    </row>
    <row r="41911" spans="9:10" x14ac:dyDescent="0.35">
      <c r="I41911" s="63"/>
      <c r="J41911" s="63"/>
    </row>
    <row r="41912" spans="9:10" x14ac:dyDescent="0.35">
      <c r="I41912" s="63"/>
      <c r="J41912" s="63"/>
    </row>
    <row r="41913" spans="9:10" x14ac:dyDescent="0.35">
      <c r="I41913" s="63"/>
      <c r="J41913" s="63"/>
    </row>
    <row r="41914" spans="9:10" x14ac:dyDescent="0.35">
      <c r="I41914" s="63"/>
      <c r="J41914" s="63"/>
    </row>
    <row r="41915" spans="9:10" x14ac:dyDescent="0.35">
      <c r="I41915" s="63"/>
      <c r="J41915" s="63"/>
    </row>
    <row r="41916" spans="9:10" x14ac:dyDescent="0.35">
      <c r="I41916" s="63"/>
      <c r="J41916" s="63"/>
    </row>
    <row r="41917" spans="9:10" x14ac:dyDescent="0.35">
      <c r="I41917" s="63"/>
      <c r="J41917" s="63"/>
    </row>
    <row r="41918" spans="9:10" x14ac:dyDescent="0.35">
      <c r="I41918" s="63"/>
      <c r="J41918" s="63"/>
    </row>
    <row r="41919" spans="9:10" x14ac:dyDescent="0.35">
      <c r="I41919" s="63"/>
      <c r="J41919" s="63"/>
    </row>
    <row r="41920" spans="9:10" x14ac:dyDescent="0.35">
      <c r="I41920" s="63"/>
      <c r="J41920" s="63"/>
    </row>
    <row r="41921" spans="9:10" x14ac:dyDescent="0.35">
      <c r="I41921" s="63"/>
      <c r="J41921" s="63"/>
    </row>
    <row r="41922" spans="9:10" x14ac:dyDescent="0.35">
      <c r="I41922" s="63"/>
      <c r="J41922" s="63"/>
    </row>
    <row r="41923" spans="9:10" x14ac:dyDescent="0.35">
      <c r="I41923" s="63"/>
      <c r="J41923" s="63"/>
    </row>
    <row r="41924" spans="9:10" x14ac:dyDescent="0.35">
      <c r="I41924" s="63"/>
      <c r="J41924" s="63"/>
    </row>
    <row r="41925" spans="9:10" x14ac:dyDescent="0.35">
      <c r="I41925" s="63"/>
      <c r="J41925" s="63"/>
    </row>
    <row r="41926" spans="9:10" x14ac:dyDescent="0.35">
      <c r="I41926" s="63"/>
      <c r="J41926" s="63"/>
    </row>
    <row r="41927" spans="9:10" x14ac:dyDescent="0.35">
      <c r="I41927" s="63"/>
      <c r="J41927" s="63"/>
    </row>
    <row r="41928" spans="9:10" x14ac:dyDescent="0.35">
      <c r="I41928" s="63"/>
      <c r="J41928" s="63"/>
    </row>
    <row r="41929" spans="9:10" x14ac:dyDescent="0.35">
      <c r="I41929" s="63"/>
      <c r="J41929" s="63"/>
    </row>
    <row r="41930" spans="9:10" x14ac:dyDescent="0.35">
      <c r="I41930" s="63"/>
      <c r="J41930" s="63"/>
    </row>
    <row r="41931" spans="9:10" x14ac:dyDescent="0.35">
      <c r="I41931" s="63"/>
      <c r="J41931" s="63"/>
    </row>
    <row r="41932" spans="9:10" x14ac:dyDescent="0.35">
      <c r="I41932" s="63"/>
      <c r="J41932" s="63"/>
    </row>
    <row r="41933" spans="9:10" x14ac:dyDescent="0.35">
      <c r="I41933" s="63"/>
      <c r="J41933" s="63"/>
    </row>
    <row r="41934" spans="9:10" x14ac:dyDescent="0.35">
      <c r="I41934" s="63"/>
      <c r="J41934" s="63"/>
    </row>
    <row r="41935" spans="9:10" x14ac:dyDescent="0.35">
      <c r="I41935" s="63"/>
      <c r="J41935" s="63"/>
    </row>
    <row r="41936" spans="9:10" x14ac:dyDescent="0.35">
      <c r="I41936" s="63"/>
      <c r="J41936" s="63"/>
    </row>
    <row r="41937" spans="9:10" x14ac:dyDescent="0.35">
      <c r="I41937" s="63"/>
      <c r="J41937" s="63"/>
    </row>
    <row r="41938" spans="9:10" x14ac:dyDescent="0.35">
      <c r="I41938" s="63"/>
      <c r="J41938" s="63"/>
    </row>
    <row r="41939" spans="9:10" x14ac:dyDescent="0.35">
      <c r="I41939" s="63"/>
      <c r="J41939" s="63"/>
    </row>
    <row r="41940" spans="9:10" x14ac:dyDescent="0.35">
      <c r="I41940" s="63"/>
      <c r="J41940" s="63"/>
    </row>
    <row r="41941" spans="9:10" x14ac:dyDescent="0.35">
      <c r="I41941" s="63"/>
      <c r="J41941" s="63"/>
    </row>
    <row r="41942" spans="9:10" x14ac:dyDescent="0.35">
      <c r="I41942" s="63"/>
      <c r="J41942" s="63"/>
    </row>
    <row r="41943" spans="9:10" x14ac:dyDescent="0.35">
      <c r="I41943" s="63"/>
      <c r="J41943" s="63"/>
    </row>
    <row r="41944" spans="9:10" x14ac:dyDescent="0.35">
      <c r="I41944" s="63"/>
      <c r="J41944" s="63"/>
    </row>
    <row r="41945" spans="9:10" x14ac:dyDescent="0.35">
      <c r="I41945" s="63"/>
      <c r="J41945" s="63"/>
    </row>
    <row r="41946" spans="9:10" x14ac:dyDescent="0.35">
      <c r="I41946" s="63"/>
      <c r="J41946" s="63"/>
    </row>
    <row r="41947" spans="9:10" x14ac:dyDescent="0.35">
      <c r="I41947" s="63"/>
      <c r="J41947" s="63"/>
    </row>
    <row r="41948" spans="9:10" x14ac:dyDescent="0.35">
      <c r="I41948" s="63"/>
      <c r="J41948" s="63"/>
    </row>
    <row r="41949" spans="9:10" x14ac:dyDescent="0.35">
      <c r="I41949" s="63"/>
      <c r="J41949" s="63"/>
    </row>
    <row r="41950" spans="9:10" x14ac:dyDescent="0.35">
      <c r="I41950" s="63"/>
      <c r="J41950" s="63"/>
    </row>
    <row r="41951" spans="9:10" x14ac:dyDescent="0.35">
      <c r="I41951" s="63"/>
      <c r="J41951" s="63"/>
    </row>
    <row r="41952" spans="9:10" x14ac:dyDescent="0.35">
      <c r="I41952" s="63"/>
      <c r="J41952" s="63"/>
    </row>
    <row r="41953" spans="9:10" x14ac:dyDescent="0.35">
      <c r="I41953" s="63"/>
      <c r="J41953" s="63"/>
    </row>
    <row r="41954" spans="9:10" x14ac:dyDescent="0.35">
      <c r="I41954" s="63"/>
      <c r="J41954" s="63"/>
    </row>
    <row r="41955" spans="9:10" x14ac:dyDescent="0.35">
      <c r="I41955" s="63"/>
      <c r="J41955" s="63"/>
    </row>
    <row r="41956" spans="9:10" x14ac:dyDescent="0.35">
      <c r="I41956" s="63"/>
      <c r="J41956" s="63"/>
    </row>
    <row r="41957" spans="9:10" x14ac:dyDescent="0.35">
      <c r="I41957" s="63"/>
      <c r="J41957" s="63"/>
    </row>
    <row r="41958" spans="9:10" x14ac:dyDescent="0.35">
      <c r="I41958" s="63"/>
      <c r="J41958" s="63"/>
    </row>
    <row r="41959" spans="9:10" x14ac:dyDescent="0.35">
      <c r="I41959" s="63"/>
      <c r="J41959" s="63"/>
    </row>
    <row r="41960" spans="9:10" x14ac:dyDescent="0.35">
      <c r="I41960" s="63"/>
      <c r="J41960" s="63"/>
    </row>
    <row r="41961" spans="9:10" x14ac:dyDescent="0.35">
      <c r="I41961" s="63"/>
      <c r="J41961" s="63"/>
    </row>
    <row r="41962" spans="9:10" x14ac:dyDescent="0.35">
      <c r="I41962" s="63"/>
      <c r="J41962" s="63"/>
    </row>
    <row r="41963" spans="9:10" x14ac:dyDescent="0.35">
      <c r="I41963" s="63"/>
      <c r="J41963" s="63"/>
    </row>
    <row r="41964" spans="9:10" x14ac:dyDescent="0.35">
      <c r="I41964" s="63"/>
      <c r="J41964" s="63"/>
    </row>
    <row r="41965" spans="9:10" x14ac:dyDescent="0.35">
      <c r="I41965" s="63"/>
      <c r="J41965" s="63"/>
    </row>
    <row r="41966" spans="9:10" x14ac:dyDescent="0.35">
      <c r="I41966" s="63"/>
      <c r="J41966" s="63"/>
    </row>
    <row r="41967" spans="9:10" x14ac:dyDescent="0.35">
      <c r="I41967" s="63"/>
      <c r="J41967" s="63"/>
    </row>
    <row r="41968" spans="9:10" x14ac:dyDescent="0.35">
      <c r="I41968" s="63"/>
      <c r="J41968" s="63"/>
    </row>
    <row r="41969" spans="9:10" x14ac:dyDescent="0.35">
      <c r="I41969" s="63"/>
      <c r="J41969" s="63"/>
    </row>
    <row r="41970" spans="9:10" x14ac:dyDescent="0.35">
      <c r="I41970" s="63"/>
      <c r="J41970" s="63"/>
    </row>
    <row r="41971" spans="9:10" x14ac:dyDescent="0.35">
      <c r="I41971" s="63"/>
      <c r="J41971" s="63"/>
    </row>
    <row r="41972" spans="9:10" x14ac:dyDescent="0.35">
      <c r="I41972" s="63"/>
      <c r="J41972" s="63"/>
    </row>
    <row r="41973" spans="9:10" x14ac:dyDescent="0.35">
      <c r="I41973" s="63"/>
      <c r="J41973" s="63"/>
    </row>
    <row r="41974" spans="9:10" x14ac:dyDescent="0.35">
      <c r="I41974" s="63"/>
      <c r="J41974" s="63"/>
    </row>
    <row r="41975" spans="9:10" x14ac:dyDescent="0.35">
      <c r="I41975" s="63"/>
      <c r="J41975" s="63"/>
    </row>
    <row r="41976" spans="9:10" x14ac:dyDescent="0.35">
      <c r="I41976" s="63"/>
      <c r="J41976" s="63"/>
    </row>
    <row r="41977" spans="9:10" x14ac:dyDescent="0.35">
      <c r="I41977" s="63"/>
      <c r="J41977" s="63"/>
    </row>
    <row r="41978" spans="9:10" x14ac:dyDescent="0.35">
      <c r="I41978" s="63"/>
      <c r="J41978" s="63"/>
    </row>
    <row r="41979" spans="9:10" x14ac:dyDescent="0.35">
      <c r="I41979" s="63"/>
      <c r="J41979" s="63"/>
    </row>
    <row r="41980" spans="9:10" x14ac:dyDescent="0.35">
      <c r="I41980" s="63"/>
      <c r="J41980" s="63"/>
    </row>
    <row r="41981" spans="9:10" x14ac:dyDescent="0.35">
      <c r="I41981" s="63"/>
      <c r="J41981" s="63"/>
    </row>
    <row r="41982" spans="9:10" x14ac:dyDescent="0.35">
      <c r="I41982" s="63"/>
      <c r="J41982" s="63"/>
    </row>
    <row r="41983" spans="9:10" x14ac:dyDescent="0.35">
      <c r="I41983" s="63"/>
      <c r="J41983" s="63"/>
    </row>
    <row r="41984" spans="9:10" x14ac:dyDescent="0.35">
      <c r="I41984" s="63"/>
      <c r="J41984" s="63"/>
    </row>
    <row r="41985" spans="9:10" x14ac:dyDescent="0.35">
      <c r="I41985" s="63"/>
      <c r="J41985" s="63"/>
    </row>
    <row r="41986" spans="9:10" x14ac:dyDescent="0.35">
      <c r="I41986" s="63"/>
      <c r="J41986" s="63"/>
    </row>
    <row r="41987" spans="9:10" x14ac:dyDescent="0.35">
      <c r="I41987" s="63"/>
      <c r="J41987" s="63"/>
    </row>
    <row r="41988" spans="9:10" x14ac:dyDescent="0.35">
      <c r="I41988" s="63"/>
      <c r="J41988" s="63"/>
    </row>
    <row r="41989" spans="9:10" x14ac:dyDescent="0.35">
      <c r="I41989" s="63"/>
      <c r="J41989" s="63"/>
    </row>
    <row r="41990" spans="9:10" x14ac:dyDescent="0.35">
      <c r="I41990" s="63"/>
      <c r="J41990" s="63"/>
    </row>
    <row r="41991" spans="9:10" x14ac:dyDescent="0.35">
      <c r="I41991" s="63"/>
      <c r="J41991" s="63"/>
    </row>
    <row r="41992" spans="9:10" x14ac:dyDescent="0.35">
      <c r="I41992" s="63"/>
      <c r="J41992" s="63"/>
    </row>
    <row r="41993" spans="9:10" x14ac:dyDescent="0.35">
      <c r="I41993" s="63"/>
      <c r="J41993" s="63"/>
    </row>
    <row r="41994" spans="9:10" x14ac:dyDescent="0.35">
      <c r="I41994" s="63"/>
      <c r="J41994" s="63"/>
    </row>
    <row r="41995" spans="9:10" x14ac:dyDescent="0.35">
      <c r="I41995" s="63"/>
      <c r="J41995" s="63"/>
    </row>
    <row r="41996" spans="9:10" x14ac:dyDescent="0.35">
      <c r="I41996" s="63"/>
      <c r="J41996" s="63"/>
    </row>
    <row r="41997" spans="9:10" x14ac:dyDescent="0.35">
      <c r="I41997" s="63"/>
      <c r="J41997" s="63"/>
    </row>
    <row r="41998" spans="9:10" x14ac:dyDescent="0.35">
      <c r="I41998" s="63"/>
      <c r="J41998" s="63"/>
    </row>
    <row r="41999" spans="9:10" x14ac:dyDescent="0.35">
      <c r="I41999" s="63"/>
      <c r="J41999" s="63"/>
    </row>
    <row r="42000" spans="9:10" x14ac:dyDescent="0.35">
      <c r="I42000" s="63"/>
      <c r="J42000" s="63"/>
    </row>
    <row r="42001" spans="9:10" x14ac:dyDescent="0.35">
      <c r="I42001" s="63"/>
      <c r="J42001" s="63"/>
    </row>
    <row r="42002" spans="9:10" x14ac:dyDescent="0.35">
      <c r="I42002" s="63"/>
      <c r="J42002" s="63"/>
    </row>
    <row r="42003" spans="9:10" x14ac:dyDescent="0.35">
      <c r="I42003" s="63"/>
      <c r="J42003" s="63"/>
    </row>
    <row r="42004" spans="9:10" x14ac:dyDescent="0.35">
      <c r="I42004" s="63"/>
      <c r="J42004" s="63"/>
    </row>
    <row r="42005" spans="9:10" x14ac:dyDescent="0.35">
      <c r="I42005" s="63"/>
      <c r="J42005" s="63"/>
    </row>
    <row r="42006" spans="9:10" x14ac:dyDescent="0.35">
      <c r="I42006" s="63"/>
      <c r="J42006" s="63"/>
    </row>
    <row r="42007" spans="9:10" x14ac:dyDescent="0.35">
      <c r="I42007" s="63"/>
      <c r="J42007" s="63"/>
    </row>
    <row r="42008" spans="9:10" x14ac:dyDescent="0.35">
      <c r="I42008" s="63"/>
      <c r="J42008" s="63"/>
    </row>
    <row r="42009" spans="9:10" x14ac:dyDescent="0.35">
      <c r="I42009" s="63"/>
      <c r="J42009" s="63"/>
    </row>
    <row r="42010" spans="9:10" x14ac:dyDescent="0.35">
      <c r="I42010" s="63"/>
      <c r="J42010" s="63"/>
    </row>
    <row r="42011" spans="9:10" x14ac:dyDescent="0.35">
      <c r="I42011" s="63"/>
      <c r="J42011" s="63"/>
    </row>
    <row r="42012" spans="9:10" x14ac:dyDescent="0.35">
      <c r="I42012" s="63"/>
      <c r="J42012" s="63"/>
    </row>
    <row r="42013" spans="9:10" x14ac:dyDescent="0.35">
      <c r="I42013" s="63"/>
      <c r="J42013" s="63"/>
    </row>
    <row r="42014" spans="9:10" x14ac:dyDescent="0.35">
      <c r="I42014" s="63"/>
      <c r="J42014" s="63"/>
    </row>
    <row r="42015" spans="9:10" x14ac:dyDescent="0.35">
      <c r="I42015" s="63"/>
      <c r="J42015" s="63"/>
    </row>
    <row r="42016" spans="9:10" x14ac:dyDescent="0.35">
      <c r="I42016" s="63"/>
      <c r="J42016" s="63"/>
    </row>
    <row r="42017" spans="9:10" x14ac:dyDescent="0.35">
      <c r="I42017" s="63"/>
      <c r="J42017" s="63"/>
    </row>
    <row r="42018" spans="9:10" x14ac:dyDescent="0.35">
      <c r="I42018" s="63"/>
      <c r="J42018" s="63"/>
    </row>
    <row r="42019" spans="9:10" x14ac:dyDescent="0.35">
      <c r="I42019" s="63"/>
      <c r="J42019" s="63"/>
    </row>
    <row r="42020" spans="9:10" x14ac:dyDescent="0.35">
      <c r="I42020" s="63"/>
      <c r="J42020" s="63"/>
    </row>
    <row r="42021" spans="9:10" x14ac:dyDescent="0.35">
      <c r="I42021" s="63"/>
      <c r="J42021" s="63"/>
    </row>
    <row r="42022" spans="9:10" x14ac:dyDescent="0.35">
      <c r="I42022" s="63"/>
      <c r="J42022" s="63"/>
    </row>
    <row r="42023" spans="9:10" x14ac:dyDescent="0.35">
      <c r="I42023" s="63"/>
      <c r="J42023" s="63"/>
    </row>
    <row r="42024" spans="9:10" x14ac:dyDescent="0.35">
      <c r="I42024" s="63"/>
      <c r="J42024" s="63"/>
    </row>
    <row r="42025" spans="9:10" x14ac:dyDescent="0.35">
      <c r="I42025" s="63"/>
      <c r="J42025" s="63"/>
    </row>
    <row r="42026" spans="9:10" x14ac:dyDescent="0.35">
      <c r="I42026" s="63"/>
      <c r="J42026" s="63"/>
    </row>
    <row r="42027" spans="9:10" x14ac:dyDescent="0.35">
      <c r="I42027" s="63"/>
      <c r="J42027" s="63"/>
    </row>
    <row r="42028" spans="9:10" x14ac:dyDescent="0.35">
      <c r="I42028" s="63"/>
      <c r="J42028" s="63"/>
    </row>
    <row r="42029" spans="9:10" x14ac:dyDescent="0.35">
      <c r="I42029" s="63"/>
      <c r="J42029" s="63"/>
    </row>
    <row r="42030" spans="9:10" x14ac:dyDescent="0.35">
      <c r="I42030" s="63"/>
      <c r="J42030" s="63"/>
    </row>
    <row r="42031" spans="9:10" x14ac:dyDescent="0.35">
      <c r="I42031" s="63"/>
      <c r="J42031" s="63"/>
    </row>
    <row r="42032" spans="9:10" x14ac:dyDescent="0.35">
      <c r="I42032" s="63"/>
      <c r="J42032" s="63"/>
    </row>
    <row r="42033" spans="9:10" x14ac:dyDescent="0.35">
      <c r="I42033" s="63"/>
      <c r="J42033" s="63"/>
    </row>
    <row r="42034" spans="9:10" x14ac:dyDescent="0.35">
      <c r="I42034" s="63"/>
      <c r="J42034" s="63"/>
    </row>
    <row r="42035" spans="9:10" x14ac:dyDescent="0.35">
      <c r="I42035" s="63"/>
      <c r="J42035" s="63"/>
    </row>
    <row r="42036" spans="9:10" x14ac:dyDescent="0.35">
      <c r="I42036" s="63"/>
      <c r="J42036" s="63"/>
    </row>
    <row r="42037" spans="9:10" x14ac:dyDescent="0.35">
      <c r="I42037" s="63"/>
      <c r="J42037" s="63"/>
    </row>
    <row r="42038" spans="9:10" x14ac:dyDescent="0.35">
      <c r="I42038" s="63"/>
      <c r="J42038" s="63"/>
    </row>
    <row r="42039" spans="9:10" x14ac:dyDescent="0.35">
      <c r="I42039" s="63"/>
      <c r="J42039" s="63"/>
    </row>
    <row r="42040" spans="9:10" x14ac:dyDescent="0.35">
      <c r="I42040" s="63"/>
      <c r="J42040" s="63"/>
    </row>
    <row r="42041" spans="9:10" x14ac:dyDescent="0.35">
      <c r="I42041" s="63"/>
      <c r="J42041" s="63"/>
    </row>
    <row r="42042" spans="9:10" x14ac:dyDescent="0.35">
      <c r="I42042" s="63"/>
      <c r="J42042" s="63"/>
    </row>
    <row r="42043" spans="9:10" x14ac:dyDescent="0.35">
      <c r="I42043" s="63"/>
      <c r="J42043" s="63"/>
    </row>
    <row r="42044" spans="9:10" x14ac:dyDescent="0.35">
      <c r="I42044" s="63"/>
      <c r="J42044" s="63"/>
    </row>
    <row r="42045" spans="9:10" x14ac:dyDescent="0.35">
      <c r="I42045" s="63"/>
      <c r="J42045" s="63"/>
    </row>
    <row r="42046" spans="9:10" x14ac:dyDescent="0.35">
      <c r="I42046" s="63"/>
      <c r="J42046" s="63"/>
    </row>
    <row r="42047" spans="9:10" x14ac:dyDescent="0.35">
      <c r="I42047" s="63"/>
      <c r="J42047" s="63"/>
    </row>
    <row r="42048" spans="9:10" x14ac:dyDescent="0.35">
      <c r="I42048" s="63"/>
      <c r="J42048" s="63"/>
    </row>
    <row r="42049" spans="9:10" x14ac:dyDescent="0.35">
      <c r="I42049" s="63"/>
      <c r="J42049" s="63"/>
    </row>
    <row r="42050" spans="9:10" x14ac:dyDescent="0.35">
      <c r="I42050" s="63"/>
      <c r="J42050" s="63"/>
    </row>
    <row r="42051" spans="9:10" x14ac:dyDescent="0.35">
      <c r="I42051" s="63"/>
      <c r="J42051" s="63"/>
    </row>
    <row r="42052" spans="9:10" x14ac:dyDescent="0.35">
      <c r="I42052" s="63"/>
      <c r="J42052" s="63"/>
    </row>
    <row r="42053" spans="9:10" x14ac:dyDescent="0.35">
      <c r="I42053" s="63"/>
      <c r="J42053" s="63"/>
    </row>
    <row r="42054" spans="9:10" x14ac:dyDescent="0.35">
      <c r="I42054" s="63"/>
      <c r="J42054" s="63"/>
    </row>
    <row r="42055" spans="9:10" x14ac:dyDescent="0.35">
      <c r="I42055" s="63"/>
      <c r="J42055" s="63"/>
    </row>
    <row r="42056" spans="9:10" x14ac:dyDescent="0.35">
      <c r="I42056" s="63"/>
      <c r="J42056" s="63"/>
    </row>
    <row r="42057" spans="9:10" x14ac:dyDescent="0.35">
      <c r="I42057" s="63"/>
      <c r="J42057" s="63"/>
    </row>
    <row r="42058" spans="9:10" x14ac:dyDescent="0.35">
      <c r="I42058" s="63"/>
      <c r="J42058" s="63"/>
    </row>
    <row r="42059" spans="9:10" x14ac:dyDescent="0.35">
      <c r="I42059" s="63"/>
      <c r="J42059" s="63"/>
    </row>
    <row r="42060" spans="9:10" x14ac:dyDescent="0.35">
      <c r="I42060" s="63"/>
      <c r="J42060" s="63"/>
    </row>
    <row r="42061" spans="9:10" x14ac:dyDescent="0.35">
      <c r="I42061" s="63"/>
      <c r="J42061" s="63"/>
    </row>
    <row r="42062" spans="9:10" x14ac:dyDescent="0.35">
      <c r="I42062" s="63"/>
      <c r="J42062" s="63"/>
    </row>
    <row r="42063" spans="9:10" x14ac:dyDescent="0.35">
      <c r="I42063" s="63"/>
      <c r="J42063" s="63"/>
    </row>
    <row r="42064" spans="9:10" x14ac:dyDescent="0.35">
      <c r="I42064" s="63"/>
      <c r="J42064" s="63"/>
    </row>
    <row r="42065" spans="9:10" x14ac:dyDescent="0.35">
      <c r="I42065" s="63"/>
      <c r="J42065" s="63"/>
    </row>
    <row r="42066" spans="9:10" x14ac:dyDescent="0.35">
      <c r="I42066" s="63"/>
      <c r="J42066" s="63"/>
    </row>
    <row r="42067" spans="9:10" x14ac:dyDescent="0.35">
      <c r="I42067" s="63"/>
      <c r="J42067" s="63"/>
    </row>
    <row r="42068" spans="9:10" x14ac:dyDescent="0.35">
      <c r="I42068" s="63"/>
      <c r="J42068" s="63"/>
    </row>
    <row r="42069" spans="9:10" x14ac:dyDescent="0.35">
      <c r="I42069" s="63"/>
      <c r="J42069" s="63"/>
    </row>
    <row r="42070" spans="9:10" x14ac:dyDescent="0.35">
      <c r="I42070" s="63"/>
      <c r="J42070" s="63"/>
    </row>
    <row r="42071" spans="9:10" x14ac:dyDescent="0.35">
      <c r="I42071" s="63"/>
      <c r="J42071" s="63"/>
    </row>
    <row r="42072" spans="9:10" x14ac:dyDescent="0.35">
      <c r="I42072" s="63"/>
      <c r="J42072" s="63"/>
    </row>
    <row r="42073" spans="9:10" x14ac:dyDescent="0.35">
      <c r="I42073" s="63"/>
      <c r="J42073" s="63"/>
    </row>
    <row r="42074" spans="9:10" x14ac:dyDescent="0.35">
      <c r="I42074" s="63"/>
      <c r="J42074" s="63"/>
    </row>
    <row r="42075" spans="9:10" x14ac:dyDescent="0.35">
      <c r="I42075" s="63"/>
      <c r="J42075" s="63"/>
    </row>
    <row r="42076" spans="9:10" x14ac:dyDescent="0.35">
      <c r="I42076" s="63"/>
      <c r="J42076" s="63"/>
    </row>
    <row r="42077" spans="9:10" x14ac:dyDescent="0.35">
      <c r="I42077" s="63"/>
      <c r="J42077" s="63"/>
    </row>
    <row r="42078" spans="9:10" x14ac:dyDescent="0.35">
      <c r="I42078" s="63"/>
      <c r="J42078" s="63"/>
    </row>
    <row r="42079" spans="9:10" x14ac:dyDescent="0.35">
      <c r="I42079" s="63"/>
      <c r="J42079" s="63"/>
    </row>
    <row r="42080" spans="9:10" x14ac:dyDescent="0.35">
      <c r="I42080" s="63"/>
      <c r="J42080" s="63"/>
    </row>
    <row r="42081" spans="9:10" x14ac:dyDescent="0.35">
      <c r="I42081" s="63"/>
      <c r="J42081" s="63"/>
    </row>
    <row r="42082" spans="9:10" x14ac:dyDescent="0.35">
      <c r="I42082" s="63"/>
      <c r="J42082" s="63"/>
    </row>
    <row r="42083" spans="9:10" x14ac:dyDescent="0.35">
      <c r="I42083" s="63"/>
      <c r="J42083" s="63"/>
    </row>
    <row r="42084" spans="9:10" x14ac:dyDescent="0.35">
      <c r="I42084" s="63"/>
      <c r="J42084" s="63"/>
    </row>
    <row r="42085" spans="9:10" x14ac:dyDescent="0.35">
      <c r="I42085" s="63"/>
      <c r="J42085" s="63"/>
    </row>
    <row r="42086" spans="9:10" x14ac:dyDescent="0.35">
      <c r="I42086" s="63"/>
      <c r="J42086" s="63"/>
    </row>
    <row r="42087" spans="9:10" x14ac:dyDescent="0.35">
      <c r="I42087" s="63"/>
      <c r="J42087" s="63"/>
    </row>
    <row r="42088" spans="9:10" x14ac:dyDescent="0.35">
      <c r="I42088" s="63"/>
      <c r="J42088" s="63"/>
    </row>
    <row r="42089" spans="9:10" x14ac:dyDescent="0.35">
      <c r="I42089" s="63"/>
      <c r="J42089" s="63"/>
    </row>
    <row r="42090" spans="9:10" x14ac:dyDescent="0.35">
      <c r="I42090" s="63"/>
      <c r="J42090" s="63"/>
    </row>
    <row r="42091" spans="9:10" x14ac:dyDescent="0.35">
      <c r="I42091" s="63"/>
      <c r="J42091" s="63"/>
    </row>
    <row r="42092" spans="9:10" x14ac:dyDescent="0.35">
      <c r="I42092" s="63"/>
      <c r="J42092" s="63"/>
    </row>
    <row r="42093" spans="9:10" x14ac:dyDescent="0.35">
      <c r="I42093" s="63"/>
      <c r="J42093" s="63"/>
    </row>
    <row r="42094" spans="9:10" x14ac:dyDescent="0.35">
      <c r="I42094" s="63"/>
      <c r="J42094" s="63"/>
    </row>
    <row r="42095" spans="9:10" x14ac:dyDescent="0.35">
      <c r="I42095" s="63"/>
      <c r="J42095" s="63"/>
    </row>
    <row r="42096" spans="9:10" x14ac:dyDescent="0.35">
      <c r="I42096" s="63"/>
      <c r="J42096" s="63"/>
    </row>
    <row r="42097" spans="9:10" x14ac:dyDescent="0.35">
      <c r="I42097" s="63"/>
      <c r="J42097" s="63"/>
    </row>
    <row r="42098" spans="9:10" x14ac:dyDescent="0.35">
      <c r="I42098" s="63"/>
      <c r="J42098" s="63"/>
    </row>
    <row r="42099" spans="9:10" x14ac:dyDescent="0.35">
      <c r="I42099" s="63"/>
      <c r="J42099" s="63"/>
    </row>
    <row r="42100" spans="9:10" x14ac:dyDescent="0.35">
      <c r="I42100" s="63"/>
      <c r="J42100" s="63"/>
    </row>
    <row r="42101" spans="9:10" x14ac:dyDescent="0.35">
      <c r="I42101" s="63"/>
      <c r="J42101" s="63"/>
    </row>
    <row r="42102" spans="9:10" x14ac:dyDescent="0.35">
      <c r="I42102" s="63"/>
      <c r="J42102" s="63"/>
    </row>
    <row r="42103" spans="9:10" x14ac:dyDescent="0.35">
      <c r="I42103" s="63"/>
      <c r="J42103" s="63"/>
    </row>
    <row r="42104" spans="9:10" x14ac:dyDescent="0.35">
      <c r="I42104" s="63"/>
      <c r="J42104" s="63"/>
    </row>
    <row r="42105" spans="9:10" x14ac:dyDescent="0.35">
      <c r="I42105" s="63"/>
      <c r="J42105" s="63"/>
    </row>
    <row r="42106" spans="9:10" x14ac:dyDescent="0.35">
      <c r="I42106" s="63"/>
      <c r="J42106" s="63"/>
    </row>
    <row r="42107" spans="9:10" x14ac:dyDescent="0.35">
      <c r="I42107" s="63"/>
      <c r="J42107" s="63"/>
    </row>
    <row r="42108" spans="9:10" x14ac:dyDescent="0.35">
      <c r="I42108" s="63"/>
      <c r="J42108" s="63"/>
    </row>
    <row r="42109" spans="9:10" x14ac:dyDescent="0.35">
      <c r="I42109" s="63"/>
      <c r="J42109" s="63"/>
    </row>
    <row r="42110" spans="9:10" x14ac:dyDescent="0.35">
      <c r="I42110" s="63"/>
      <c r="J42110" s="63"/>
    </row>
    <row r="42111" spans="9:10" x14ac:dyDescent="0.35">
      <c r="I42111" s="63"/>
      <c r="J42111" s="63"/>
    </row>
    <row r="42112" spans="9:10" x14ac:dyDescent="0.35">
      <c r="I42112" s="63"/>
      <c r="J42112" s="63"/>
    </row>
    <row r="42113" spans="9:10" x14ac:dyDescent="0.35">
      <c r="I42113" s="63"/>
      <c r="J42113" s="63"/>
    </row>
    <row r="42114" spans="9:10" x14ac:dyDescent="0.35">
      <c r="I42114" s="63"/>
      <c r="J42114" s="63"/>
    </row>
    <row r="42115" spans="9:10" x14ac:dyDescent="0.35">
      <c r="I42115" s="63"/>
      <c r="J42115" s="63"/>
    </row>
    <row r="42116" spans="9:10" x14ac:dyDescent="0.35">
      <c r="I42116" s="63"/>
      <c r="J42116" s="63"/>
    </row>
    <row r="42117" spans="9:10" x14ac:dyDescent="0.35">
      <c r="I42117" s="63"/>
      <c r="J42117" s="63"/>
    </row>
    <row r="42118" spans="9:10" x14ac:dyDescent="0.35">
      <c r="I42118" s="63"/>
      <c r="J42118" s="63"/>
    </row>
    <row r="42119" spans="9:10" x14ac:dyDescent="0.35">
      <c r="I42119" s="63"/>
      <c r="J42119" s="63"/>
    </row>
    <row r="42120" spans="9:10" x14ac:dyDescent="0.35">
      <c r="I42120" s="63"/>
      <c r="J42120" s="63"/>
    </row>
    <row r="42121" spans="9:10" x14ac:dyDescent="0.35">
      <c r="I42121" s="63"/>
      <c r="J42121" s="63"/>
    </row>
    <row r="42122" spans="9:10" x14ac:dyDescent="0.35">
      <c r="I42122" s="63"/>
      <c r="J42122" s="63"/>
    </row>
    <row r="42123" spans="9:10" x14ac:dyDescent="0.35">
      <c r="I42123" s="63"/>
      <c r="J42123" s="63"/>
    </row>
    <row r="42124" spans="9:10" x14ac:dyDescent="0.35">
      <c r="I42124" s="63"/>
      <c r="J42124" s="63"/>
    </row>
    <row r="42125" spans="9:10" x14ac:dyDescent="0.35">
      <c r="I42125" s="63"/>
      <c r="J42125" s="63"/>
    </row>
    <row r="42126" spans="9:10" x14ac:dyDescent="0.35">
      <c r="I42126" s="63"/>
      <c r="J42126" s="63"/>
    </row>
    <row r="42127" spans="9:10" x14ac:dyDescent="0.35">
      <c r="I42127" s="63"/>
      <c r="J42127" s="63"/>
    </row>
    <row r="42128" spans="9:10" x14ac:dyDescent="0.35">
      <c r="I42128" s="63"/>
      <c r="J42128" s="63"/>
    </row>
    <row r="42129" spans="9:10" x14ac:dyDescent="0.35">
      <c r="I42129" s="63"/>
      <c r="J42129" s="63"/>
    </row>
    <row r="42130" spans="9:10" x14ac:dyDescent="0.35">
      <c r="I42130" s="63"/>
      <c r="J42130" s="63"/>
    </row>
    <row r="42131" spans="9:10" x14ac:dyDescent="0.35">
      <c r="I42131" s="63"/>
      <c r="J42131" s="63"/>
    </row>
    <row r="42132" spans="9:10" x14ac:dyDescent="0.35">
      <c r="I42132" s="63"/>
      <c r="J42132" s="63"/>
    </row>
    <row r="42133" spans="9:10" x14ac:dyDescent="0.35">
      <c r="I42133" s="63"/>
      <c r="J42133" s="63"/>
    </row>
    <row r="42134" spans="9:10" x14ac:dyDescent="0.35">
      <c r="I42134" s="63"/>
      <c r="J42134" s="63"/>
    </row>
    <row r="42135" spans="9:10" x14ac:dyDescent="0.35">
      <c r="I42135" s="63"/>
      <c r="J42135" s="63"/>
    </row>
    <row r="42136" spans="9:10" x14ac:dyDescent="0.35">
      <c r="I42136" s="63"/>
      <c r="J42136" s="63"/>
    </row>
    <row r="42137" spans="9:10" x14ac:dyDescent="0.35">
      <c r="I42137" s="63"/>
      <c r="J42137" s="63"/>
    </row>
    <row r="42138" spans="9:10" x14ac:dyDescent="0.35">
      <c r="I42138" s="63"/>
      <c r="J42138" s="63"/>
    </row>
    <row r="42139" spans="9:10" x14ac:dyDescent="0.35">
      <c r="I42139" s="63"/>
      <c r="J42139" s="63"/>
    </row>
    <row r="42140" spans="9:10" x14ac:dyDescent="0.35">
      <c r="I42140" s="63"/>
      <c r="J42140" s="63"/>
    </row>
    <row r="42141" spans="9:10" x14ac:dyDescent="0.35">
      <c r="I42141" s="63"/>
      <c r="J42141" s="63"/>
    </row>
    <row r="42142" spans="9:10" x14ac:dyDescent="0.35">
      <c r="I42142" s="63"/>
      <c r="J42142" s="63"/>
    </row>
    <row r="42143" spans="9:10" x14ac:dyDescent="0.35">
      <c r="I42143" s="63"/>
      <c r="J42143" s="63"/>
    </row>
    <row r="42144" spans="9:10" x14ac:dyDescent="0.35">
      <c r="I42144" s="63"/>
      <c r="J42144" s="63"/>
    </row>
    <row r="42145" spans="9:10" x14ac:dyDescent="0.35">
      <c r="I42145" s="63"/>
      <c r="J42145" s="63"/>
    </row>
    <row r="42146" spans="9:10" x14ac:dyDescent="0.35">
      <c r="I42146" s="63"/>
      <c r="J42146" s="63"/>
    </row>
    <row r="42147" spans="9:10" x14ac:dyDescent="0.35">
      <c r="I42147" s="63"/>
      <c r="J42147" s="63"/>
    </row>
    <row r="42148" spans="9:10" x14ac:dyDescent="0.35">
      <c r="I42148" s="63"/>
      <c r="J42148" s="63"/>
    </row>
    <row r="42149" spans="9:10" x14ac:dyDescent="0.35">
      <c r="I42149" s="63"/>
      <c r="J42149" s="63"/>
    </row>
    <row r="42150" spans="9:10" x14ac:dyDescent="0.35">
      <c r="I42150" s="63"/>
      <c r="J42150" s="63"/>
    </row>
    <row r="42151" spans="9:10" x14ac:dyDescent="0.35">
      <c r="I42151" s="63"/>
      <c r="J42151" s="63"/>
    </row>
    <row r="42152" spans="9:10" x14ac:dyDescent="0.35">
      <c r="I42152" s="63"/>
      <c r="J42152" s="63"/>
    </row>
    <row r="42153" spans="9:10" x14ac:dyDescent="0.35">
      <c r="I42153" s="63"/>
      <c r="J42153" s="63"/>
    </row>
    <row r="42154" spans="9:10" x14ac:dyDescent="0.35">
      <c r="I42154" s="63"/>
      <c r="J42154" s="63"/>
    </row>
    <row r="42155" spans="9:10" x14ac:dyDescent="0.35">
      <c r="I42155" s="63"/>
      <c r="J42155" s="63"/>
    </row>
    <row r="42156" spans="9:10" x14ac:dyDescent="0.35">
      <c r="I42156" s="63"/>
      <c r="J42156" s="63"/>
    </row>
    <row r="42157" spans="9:10" x14ac:dyDescent="0.35">
      <c r="I42157" s="63"/>
      <c r="J42157" s="63"/>
    </row>
    <row r="42158" spans="9:10" x14ac:dyDescent="0.35">
      <c r="I42158" s="63"/>
      <c r="J42158" s="63"/>
    </row>
    <row r="42159" spans="9:10" x14ac:dyDescent="0.35">
      <c r="I42159" s="63"/>
      <c r="J42159" s="63"/>
    </row>
    <row r="42160" spans="9:10" x14ac:dyDescent="0.35">
      <c r="I42160" s="63"/>
      <c r="J42160" s="63"/>
    </row>
    <row r="42161" spans="9:10" x14ac:dyDescent="0.35">
      <c r="I42161" s="63"/>
      <c r="J42161" s="63"/>
    </row>
    <row r="42162" spans="9:10" x14ac:dyDescent="0.35">
      <c r="I42162" s="63"/>
      <c r="J42162" s="63"/>
    </row>
    <row r="42163" spans="9:10" x14ac:dyDescent="0.35">
      <c r="I42163" s="63"/>
      <c r="J42163" s="63"/>
    </row>
    <row r="42164" spans="9:10" x14ac:dyDescent="0.35">
      <c r="I42164" s="63"/>
      <c r="J42164" s="63"/>
    </row>
    <row r="42165" spans="9:10" x14ac:dyDescent="0.35">
      <c r="I42165" s="63"/>
      <c r="J42165" s="63"/>
    </row>
    <row r="42166" spans="9:10" x14ac:dyDescent="0.35">
      <c r="I42166" s="63"/>
      <c r="J42166" s="63"/>
    </row>
    <row r="42167" spans="9:10" x14ac:dyDescent="0.35">
      <c r="I42167" s="63"/>
      <c r="J42167" s="63"/>
    </row>
    <row r="42168" spans="9:10" x14ac:dyDescent="0.35">
      <c r="I42168" s="63"/>
      <c r="J42168" s="63"/>
    </row>
    <row r="42169" spans="9:10" x14ac:dyDescent="0.35">
      <c r="I42169" s="63"/>
      <c r="J42169" s="63"/>
    </row>
    <row r="42170" spans="9:10" x14ac:dyDescent="0.35">
      <c r="I42170" s="63"/>
      <c r="J42170" s="63"/>
    </row>
    <row r="42171" spans="9:10" x14ac:dyDescent="0.35">
      <c r="I42171" s="63"/>
      <c r="J42171" s="63"/>
    </row>
    <row r="42172" spans="9:10" x14ac:dyDescent="0.35">
      <c r="I42172" s="63"/>
      <c r="J42172" s="63"/>
    </row>
    <row r="42173" spans="9:10" x14ac:dyDescent="0.35">
      <c r="I42173" s="63"/>
      <c r="J42173" s="63"/>
    </row>
    <row r="42174" spans="9:10" x14ac:dyDescent="0.35">
      <c r="I42174" s="63"/>
      <c r="J42174" s="63"/>
    </row>
    <row r="42175" spans="9:10" x14ac:dyDescent="0.35">
      <c r="I42175" s="63"/>
      <c r="J42175" s="63"/>
    </row>
    <row r="42176" spans="9:10" x14ac:dyDescent="0.35">
      <c r="I42176" s="63"/>
      <c r="J42176" s="63"/>
    </row>
    <row r="42177" spans="9:10" x14ac:dyDescent="0.35">
      <c r="I42177" s="63"/>
      <c r="J42177" s="63"/>
    </row>
    <row r="42178" spans="9:10" x14ac:dyDescent="0.35">
      <c r="I42178" s="63"/>
      <c r="J42178" s="63"/>
    </row>
    <row r="42179" spans="9:10" x14ac:dyDescent="0.35">
      <c r="I42179" s="63"/>
      <c r="J42179" s="63"/>
    </row>
    <row r="42180" spans="9:10" x14ac:dyDescent="0.35">
      <c r="I42180" s="63"/>
      <c r="J42180" s="63"/>
    </row>
    <row r="42181" spans="9:10" x14ac:dyDescent="0.35">
      <c r="I42181" s="63"/>
      <c r="J42181" s="63"/>
    </row>
    <row r="42182" spans="9:10" x14ac:dyDescent="0.35">
      <c r="I42182" s="63"/>
      <c r="J42182" s="63"/>
    </row>
    <row r="42183" spans="9:10" x14ac:dyDescent="0.35">
      <c r="I42183" s="63"/>
      <c r="J42183" s="63"/>
    </row>
    <row r="42184" spans="9:10" x14ac:dyDescent="0.35">
      <c r="I42184" s="63"/>
      <c r="J42184" s="63"/>
    </row>
    <row r="42185" spans="9:10" x14ac:dyDescent="0.35">
      <c r="I42185" s="63"/>
      <c r="J42185" s="63"/>
    </row>
    <row r="42186" spans="9:10" x14ac:dyDescent="0.35">
      <c r="I42186" s="63"/>
      <c r="J42186" s="63"/>
    </row>
    <row r="42187" spans="9:10" x14ac:dyDescent="0.35">
      <c r="I42187" s="63"/>
      <c r="J42187" s="63"/>
    </row>
    <row r="42188" spans="9:10" x14ac:dyDescent="0.35">
      <c r="I42188" s="63"/>
      <c r="J42188" s="63"/>
    </row>
    <row r="42189" spans="9:10" x14ac:dyDescent="0.35">
      <c r="I42189" s="63"/>
      <c r="J42189" s="63"/>
    </row>
    <row r="42190" spans="9:10" x14ac:dyDescent="0.35">
      <c r="I42190" s="63"/>
      <c r="J42190" s="63"/>
    </row>
    <row r="42191" spans="9:10" x14ac:dyDescent="0.35">
      <c r="I42191" s="63"/>
      <c r="J42191" s="63"/>
    </row>
    <row r="42192" spans="9:10" x14ac:dyDescent="0.35">
      <c r="I42192" s="63"/>
      <c r="J42192" s="63"/>
    </row>
    <row r="42193" spans="9:10" x14ac:dyDescent="0.35">
      <c r="I42193" s="63"/>
      <c r="J42193" s="63"/>
    </row>
    <row r="42194" spans="9:10" x14ac:dyDescent="0.35">
      <c r="I42194" s="63"/>
      <c r="J42194" s="63"/>
    </row>
    <row r="42195" spans="9:10" x14ac:dyDescent="0.35">
      <c r="I42195" s="63"/>
      <c r="J42195" s="63"/>
    </row>
    <row r="42196" spans="9:10" x14ac:dyDescent="0.35">
      <c r="I42196" s="63"/>
      <c r="J42196" s="63"/>
    </row>
    <row r="42197" spans="9:10" x14ac:dyDescent="0.35">
      <c r="I42197" s="63"/>
      <c r="J42197" s="63"/>
    </row>
    <row r="42198" spans="9:10" x14ac:dyDescent="0.35">
      <c r="I42198" s="63"/>
      <c r="J42198" s="63"/>
    </row>
    <row r="42199" spans="9:10" x14ac:dyDescent="0.35">
      <c r="I42199" s="63"/>
      <c r="J42199" s="63"/>
    </row>
    <row r="42200" spans="9:10" x14ac:dyDescent="0.35">
      <c r="I42200" s="63"/>
      <c r="J42200" s="63"/>
    </row>
    <row r="42201" spans="9:10" x14ac:dyDescent="0.35">
      <c r="I42201" s="63"/>
      <c r="J42201" s="63"/>
    </row>
    <row r="42202" spans="9:10" x14ac:dyDescent="0.35">
      <c r="I42202" s="63"/>
      <c r="J42202" s="63"/>
    </row>
    <row r="42203" spans="9:10" x14ac:dyDescent="0.35">
      <c r="I42203" s="63"/>
      <c r="J42203" s="63"/>
    </row>
    <row r="42204" spans="9:10" x14ac:dyDescent="0.35">
      <c r="I42204" s="63"/>
      <c r="J42204" s="63"/>
    </row>
    <row r="42205" spans="9:10" x14ac:dyDescent="0.35">
      <c r="I42205" s="63"/>
      <c r="J42205" s="63"/>
    </row>
    <row r="42206" spans="9:10" x14ac:dyDescent="0.35">
      <c r="I42206" s="63"/>
      <c r="J42206" s="63"/>
    </row>
    <row r="42207" spans="9:10" x14ac:dyDescent="0.35">
      <c r="I42207" s="63"/>
      <c r="J42207" s="63"/>
    </row>
    <row r="42208" spans="9:10" x14ac:dyDescent="0.35">
      <c r="I42208" s="63"/>
      <c r="J42208" s="63"/>
    </row>
    <row r="42209" spans="9:10" x14ac:dyDescent="0.35">
      <c r="I42209" s="63"/>
      <c r="J42209" s="63"/>
    </row>
    <row r="42210" spans="9:10" x14ac:dyDescent="0.35">
      <c r="I42210" s="63"/>
      <c r="J42210" s="63"/>
    </row>
    <row r="42211" spans="9:10" x14ac:dyDescent="0.35">
      <c r="I42211" s="63"/>
      <c r="J42211" s="63"/>
    </row>
    <row r="42212" spans="9:10" x14ac:dyDescent="0.35">
      <c r="I42212" s="63"/>
      <c r="J42212" s="63"/>
    </row>
    <row r="42213" spans="9:10" x14ac:dyDescent="0.35">
      <c r="I42213" s="63"/>
      <c r="J42213" s="63"/>
    </row>
    <row r="42214" spans="9:10" x14ac:dyDescent="0.35">
      <c r="I42214" s="63"/>
      <c r="J42214" s="63"/>
    </row>
    <row r="42215" spans="9:10" x14ac:dyDescent="0.35">
      <c r="I42215" s="63"/>
      <c r="J42215" s="63"/>
    </row>
    <row r="42216" spans="9:10" x14ac:dyDescent="0.35">
      <c r="I42216" s="63"/>
      <c r="J42216" s="63"/>
    </row>
    <row r="42217" spans="9:10" x14ac:dyDescent="0.35">
      <c r="I42217" s="63"/>
      <c r="J42217" s="63"/>
    </row>
    <row r="42218" spans="9:10" x14ac:dyDescent="0.35">
      <c r="I42218" s="63"/>
      <c r="J42218" s="63"/>
    </row>
    <row r="42219" spans="9:10" x14ac:dyDescent="0.35">
      <c r="I42219" s="63"/>
      <c r="J42219" s="63"/>
    </row>
    <row r="42220" spans="9:10" x14ac:dyDescent="0.35">
      <c r="I42220" s="63"/>
      <c r="J42220" s="63"/>
    </row>
    <row r="42221" spans="9:10" x14ac:dyDescent="0.35">
      <c r="I42221" s="63"/>
      <c r="J42221" s="63"/>
    </row>
    <row r="42222" spans="9:10" x14ac:dyDescent="0.35">
      <c r="I42222" s="63"/>
      <c r="J42222" s="63"/>
    </row>
    <row r="42223" spans="9:10" x14ac:dyDescent="0.35">
      <c r="I42223" s="63"/>
      <c r="J42223" s="63"/>
    </row>
    <row r="42224" spans="9:10" x14ac:dyDescent="0.35">
      <c r="I42224" s="63"/>
      <c r="J42224" s="63"/>
    </row>
    <row r="42225" spans="9:10" x14ac:dyDescent="0.35">
      <c r="I42225" s="63"/>
      <c r="J42225" s="63"/>
    </row>
    <row r="42226" spans="9:10" x14ac:dyDescent="0.35">
      <c r="I42226" s="63"/>
      <c r="J42226" s="63"/>
    </row>
    <row r="42227" spans="9:10" x14ac:dyDescent="0.35">
      <c r="I42227" s="63"/>
      <c r="J42227" s="63"/>
    </row>
    <row r="42228" spans="9:10" x14ac:dyDescent="0.35">
      <c r="I42228" s="63"/>
      <c r="J42228" s="63"/>
    </row>
    <row r="42229" spans="9:10" x14ac:dyDescent="0.35">
      <c r="I42229" s="63"/>
      <c r="J42229" s="63"/>
    </row>
    <row r="42230" spans="9:10" x14ac:dyDescent="0.35">
      <c r="I42230" s="63"/>
      <c r="J42230" s="63"/>
    </row>
    <row r="42231" spans="9:10" x14ac:dyDescent="0.35">
      <c r="I42231" s="63"/>
      <c r="J42231" s="63"/>
    </row>
    <row r="42232" spans="9:10" x14ac:dyDescent="0.35">
      <c r="I42232" s="63"/>
      <c r="J42232" s="63"/>
    </row>
    <row r="42233" spans="9:10" x14ac:dyDescent="0.35">
      <c r="I42233" s="63"/>
      <c r="J42233" s="63"/>
    </row>
    <row r="42234" spans="9:10" x14ac:dyDescent="0.35">
      <c r="I42234" s="63"/>
      <c r="J42234" s="63"/>
    </row>
    <row r="42235" spans="9:10" x14ac:dyDescent="0.35">
      <c r="I42235" s="63"/>
      <c r="J42235" s="63"/>
    </row>
    <row r="42236" spans="9:10" x14ac:dyDescent="0.35">
      <c r="I42236" s="63"/>
      <c r="J42236" s="63"/>
    </row>
    <row r="42237" spans="9:10" x14ac:dyDescent="0.35">
      <c r="I42237" s="63"/>
      <c r="J42237" s="63"/>
    </row>
    <row r="42238" spans="9:10" x14ac:dyDescent="0.35">
      <c r="I42238" s="63"/>
      <c r="J42238" s="63"/>
    </row>
    <row r="42239" spans="9:10" x14ac:dyDescent="0.35">
      <c r="I42239" s="63"/>
      <c r="J42239" s="63"/>
    </row>
    <row r="42240" spans="9:10" x14ac:dyDescent="0.35">
      <c r="I42240" s="63"/>
      <c r="J42240" s="63"/>
    </row>
    <row r="42241" spans="9:10" x14ac:dyDescent="0.35">
      <c r="I42241" s="63"/>
      <c r="J42241" s="63"/>
    </row>
    <row r="42242" spans="9:10" x14ac:dyDescent="0.35">
      <c r="I42242" s="63"/>
      <c r="J42242" s="63"/>
    </row>
    <row r="42243" spans="9:10" x14ac:dyDescent="0.35">
      <c r="I42243" s="63"/>
      <c r="J42243" s="63"/>
    </row>
    <row r="42244" spans="9:10" x14ac:dyDescent="0.35">
      <c r="I42244" s="63"/>
      <c r="J42244" s="63"/>
    </row>
    <row r="42245" spans="9:10" x14ac:dyDescent="0.35">
      <c r="I42245" s="63"/>
      <c r="J42245" s="63"/>
    </row>
    <row r="42246" spans="9:10" x14ac:dyDescent="0.35">
      <c r="I42246" s="63"/>
      <c r="J42246" s="63"/>
    </row>
    <row r="42247" spans="9:10" x14ac:dyDescent="0.35">
      <c r="I42247" s="63"/>
      <c r="J42247" s="63"/>
    </row>
    <row r="42248" spans="9:10" x14ac:dyDescent="0.35">
      <c r="I42248" s="63"/>
      <c r="J42248" s="63"/>
    </row>
    <row r="42249" spans="9:10" x14ac:dyDescent="0.35">
      <c r="I42249" s="63"/>
      <c r="J42249" s="63"/>
    </row>
    <row r="42250" spans="9:10" x14ac:dyDescent="0.35">
      <c r="I42250" s="63"/>
      <c r="J42250" s="63"/>
    </row>
    <row r="42251" spans="9:10" x14ac:dyDescent="0.35">
      <c r="I42251" s="63"/>
      <c r="J42251" s="63"/>
    </row>
    <row r="42252" spans="9:10" x14ac:dyDescent="0.35">
      <c r="I42252" s="63"/>
      <c r="J42252" s="63"/>
    </row>
    <row r="42253" spans="9:10" x14ac:dyDescent="0.35">
      <c r="I42253" s="63"/>
      <c r="J42253" s="63"/>
    </row>
    <row r="42254" spans="9:10" x14ac:dyDescent="0.35">
      <c r="I42254" s="63"/>
      <c r="J42254" s="63"/>
    </row>
    <row r="42255" spans="9:10" x14ac:dyDescent="0.35">
      <c r="I42255" s="63"/>
      <c r="J42255" s="63"/>
    </row>
    <row r="42256" spans="9:10" x14ac:dyDescent="0.35">
      <c r="I42256" s="63"/>
      <c r="J42256" s="63"/>
    </row>
    <row r="42257" spans="9:10" x14ac:dyDescent="0.35">
      <c r="I42257" s="63"/>
      <c r="J42257" s="63"/>
    </row>
    <row r="42258" spans="9:10" x14ac:dyDescent="0.35">
      <c r="I42258" s="63"/>
      <c r="J42258" s="63"/>
    </row>
    <row r="42259" spans="9:10" x14ac:dyDescent="0.35">
      <c r="I42259" s="63"/>
      <c r="J42259" s="63"/>
    </row>
    <row r="42260" spans="9:10" x14ac:dyDescent="0.35">
      <c r="I42260" s="63"/>
      <c r="J42260" s="63"/>
    </row>
    <row r="42261" spans="9:10" x14ac:dyDescent="0.35">
      <c r="I42261" s="63"/>
      <c r="J42261" s="63"/>
    </row>
    <row r="42262" spans="9:10" x14ac:dyDescent="0.35">
      <c r="I42262" s="63"/>
      <c r="J42262" s="63"/>
    </row>
    <row r="42263" spans="9:10" x14ac:dyDescent="0.35">
      <c r="I42263" s="63"/>
      <c r="J42263" s="63"/>
    </row>
    <row r="42264" spans="9:10" x14ac:dyDescent="0.35">
      <c r="I42264" s="63"/>
      <c r="J42264" s="63"/>
    </row>
    <row r="42265" spans="9:10" x14ac:dyDescent="0.35">
      <c r="I42265" s="63"/>
      <c r="J42265" s="63"/>
    </row>
    <row r="42266" spans="9:10" x14ac:dyDescent="0.35">
      <c r="I42266" s="63"/>
      <c r="J42266" s="63"/>
    </row>
    <row r="42267" spans="9:10" x14ac:dyDescent="0.35">
      <c r="I42267" s="63"/>
      <c r="J42267" s="63"/>
    </row>
    <row r="42268" spans="9:10" x14ac:dyDescent="0.35">
      <c r="I42268" s="63"/>
      <c r="J42268" s="63"/>
    </row>
    <row r="42269" spans="9:10" x14ac:dyDescent="0.35">
      <c r="I42269" s="63"/>
      <c r="J42269" s="63"/>
    </row>
    <row r="42270" spans="9:10" x14ac:dyDescent="0.35">
      <c r="I42270" s="63"/>
      <c r="J42270" s="63"/>
    </row>
    <row r="42271" spans="9:10" x14ac:dyDescent="0.35">
      <c r="I42271" s="63"/>
      <c r="J42271" s="63"/>
    </row>
    <row r="42272" spans="9:10" x14ac:dyDescent="0.35">
      <c r="I42272" s="63"/>
      <c r="J42272" s="63"/>
    </row>
    <row r="42273" spans="9:10" x14ac:dyDescent="0.35">
      <c r="I42273" s="63"/>
      <c r="J42273" s="63"/>
    </row>
    <row r="42274" spans="9:10" x14ac:dyDescent="0.35">
      <c r="I42274" s="63"/>
      <c r="J42274" s="63"/>
    </row>
    <row r="42275" spans="9:10" x14ac:dyDescent="0.35">
      <c r="I42275" s="63"/>
      <c r="J42275" s="63"/>
    </row>
    <row r="42276" spans="9:10" x14ac:dyDescent="0.35">
      <c r="I42276" s="63"/>
      <c r="J42276" s="63"/>
    </row>
    <row r="42277" spans="9:10" x14ac:dyDescent="0.35">
      <c r="I42277" s="63"/>
      <c r="J42277" s="63"/>
    </row>
    <row r="42278" spans="9:10" x14ac:dyDescent="0.35">
      <c r="I42278" s="63"/>
      <c r="J42278" s="63"/>
    </row>
    <row r="42279" spans="9:10" x14ac:dyDescent="0.35">
      <c r="I42279" s="63"/>
      <c r="J42279" s="63"/>
    </row>
    <row r="42280" spans="9:10" x14ac:dyDescent="0.35">
      <c r="I42280" s="63"/>
      <c r="J42280" s="63"/>
    </row>
    <row r="42281" spans="9:10" x14ac:dyDescent="0.35">
      <c r="I42281" s="63"/>
      <c r="J42281" s="63"/>
    </row>
    <row r="42282" spans="9:10" x14ac:dyDescent="0.35">
      <c r="I42282" s="63"/>
      <c r="J42282" s="63"/>
    </row>
    <row r="42283" spans="9:10" x14ac:dyDescent="0.35">
      <c r="I42283" s="63"/>
      <c r="J42283" s="63"/>
    </row>
    <row r="42284" spans="9:10" x14ac:dyDescent="0.35">
      <c r="I42284" s="63"/>
      <c r="J42284" s="63"/>
    </row>
    <row r="42285" spans="9:10" x14ac:dyDescent="0.35">
      <c r="I42285" s="63"/>
      <c r="J42285" s="63"/>
    </row>
    <row r="42286" spans="9:10" x14ac:dyDescent="0.35">
      <c r="I42286" s="63"/>
      <c r="J42286" s="63"/>
    </row>
    <row r="42287" spans="9:10" x14ac:dyDescent="0.35">
      <c r="I42287" s="63"/>
      <c r="J42287" s="63"/>
    </row>
    <row r="42288" spans="9:10" x14ac:dyDescent="0.35">
      <c r="I42288" s="63"/>
      <c r="J42288" s="63"/>
    </row>
    <row r="42289" spans="9:10" x14ac:dyDescent="0.35">
      <c r="I42289" s="63"/>
      <c r="J42289" s="63"/>
    </row>
    <row r="42290" spans="9:10" x14ac:dyDescent="0.35">
      <c r="I42290" s="63"/>
      <c r="J42290" s="63"/>
    </row>
    <row r="42291" spans="9:10" x14ac:dyDescent="0.35">
      <c r="I42291" s="63"/>
      <c r="J42291" s="63"/>
    </row>
    <row r="42292" spans="9:10" x14ac:dyDescent="0.35">
      <c r="I42292" s="63"/>
      <c r="J42292" s="63"/>
    </row>
    <row r="42293" spans="9:10" x14ac:dyDescent="0.35">
      <c r="I42293" s="63"/>
      <c r="J42293" s="63"/>
    </row>
    <row r="42294" spans="9:10" x14ac:dyDescent="0.35">
      <c r="I42294" s="63"/>
      <c r="J42294" s="63"/>
    </row>
    <row r="42295" spans="9:10" x14ac:dyDescent="0.35">
      <c r="I42295" s="63"/>
      <c r="J42295" s="63"/>
    </row>
    <row r="42296" spans="9:10" x14ac:dyDescent="0.35">
      <c r="I42296" s="63"/>
      <c r="J42296" s="63"/>
    </row>
    <row r="42297" spans="9:10" x14ac:dyDescent="0.35">
      <c r="I42297" s="63"/>
      <c r="J42297" s="63"/>
    </row>
    <row r="42298" spans="9:10" x14ac:dyDescent="0.35">
      <c r="I42298" s="63"/>
      <c r="J42298" s="63"/>
    </row>
    <row r="42299" spans="9:10" x14ac:dyDescent="0.35">
      <c r="I42299" s="63"/>
      <c r="J42299" s="63"/>
    </row>
    <row r="42300" spans="9:10" x14ac:dyDescent="0.35">
      <c r="I42300" s="63"/>
      <c r="J42300" s="63"/>
    </row>
    <row r="42301" spans="9:10" x14ac:dyDescent="0.35">
      <c r="I42301" s="63"/>
      <c r="J42301" s="63"/>
    </row>
    <row r="42302" spans="9:10" x14ac:dyDescent="0.35">
      <c r="I42302" s="63"/>
      <c r="J42302" s="63"/>
    </row>
    <row r="42303" spans="9:10" x14ac:dyDescent="0.35">
      <c r="I42303" s="63"/>
      <c r="J42303" s="63"/>
    </row>
    <row r="42304" spans="9:10" x14ac:dyDescent="0.35">
      <c r="I42304" s="63"/>
      <c r="J42304" s="63"/>
    </row>
    <row r="42305" spans="9:10" x14ac:dyDescent="0.35">
      <c r="I42305" s="63"/>
      <c r="J42305" s="63"/>
    </row>
    <row r="42306" spans="9:10" x14ac:dyDescent="0.35">
      <c r="I42306" s="63"/>
      <c r="J42306" s="63"/>
    </row>
    <row r="42307" spans="9:10" x14ac:dyDescent="0.35">
      <c r="I42307" s="63"/>
      <c r="J42307" s="63"/>
    </row>
    <row r="42308" spans="9:10" x14ac:dyDescent="0.35">
      <c r="I42308" s="63"/>
      <c r="J42308" s="63"/>
    </row>
    <row r="42309" spans="9:10" x14ac:dyDescent="0.35">
      <c r="I42309" s="63"/>
      <c r="J42309" s="63"/>
    </row>
    <row r="42310" spans="9:10" x14ac:dyDescent="0.35">
      <c r="I42310" s="63"/>
      <c r="J42310" s="63"/>
    </row>
    <row r="42311" spans="9:10" x14ac:dyDescent="0.35">
      <c r="I42311" s="63"/>
      <c r="J42311" s="63"/>
    </row>
    <row r="42312" spans="9:10" x14ac:dyDescent="0.35">
      <c r="I42312" s="63"/>
      <c r="J42312" s="63"/>
    </row>
    <row r="42313" spans="9:10" x14ac:dyDescent="0.35">
      <c r="I42313" s="63"/>
      <c r="J42313" s="63"/>
    </row>
    <row r="42314" spans="9:10" x14ac:dyDescent="0.35">
      <c r="I42314" s="63"/>
      <c r="J42314" s="63"/>
    </row>
    <row r="42315" spans="9:10" x14ac:dyDescent="0.35">
      <c r="I42315" s="63"/>
      <c r="J42315" s="63"/>
    </row>
    <row r="42316" spans="9:10" x14ac:dyDescent="0.35">
      <c r="I42316" s="63"/>
      <c r="J42316" s="63"/>
    </row>
    <row r="42317" spans="9:10" x14ac:dyDescent="0.35">
      <c r="I42317" s="63"/>
      <c r="J42317" s="63"/>
    </row>
    <row r="42318" spans="9:10" x14ac:dyDescent="0.35">
      <c r="I42318" s="63"/>
      <c r="J42318" s="63"/>
    </row>
    <row r="42319" spans="9:10" x14ac:dyDescent="0.35">
      <c r="I42319" s="63"/>
      <c r="J42319" s="63"/>
    </row>
    <row r="42320" spans="9:10" x14ac:dyDescent="0.35">
      <c r="I42320" s="63"/>
      <c r="J42320" s="63"/>
    </row>
    <row r="42321" spans="9:10" x14ac:dyDescent="0.35">
      <c r="I42321" s="63"/>
      <c r="J42321" s="63"/>
    </row>
    <row r="42322" spans="9:10" x14ac:dyDescent="0.35">
      <c r="I42322" s="63"/>
      <c r="J42322" s="63"/>
    </row>
    <row r="42323" spans="9:10" x14ac:dyDescent="0.35">
      <c r="I42323" s="63"/>
      <c r="J42323" s="63"/>
    </row>
    <row r="42324" spans="9:10" x14ac:dyDescent="0.35">
      <c r="I42324" s="63"/>
      <c r="J42324" s="63"/>
    </row>
    <row r="42325" spans="9:10" x14ac:dyDescent="0.35">
      <c r="I42325" s="63"/>
      <c r="J42325" s="63"/>
    </row>
    <row r="42326" spans="9:10" x14ac:dyDescent="0.35">
      <c r="I42326" s="63"/>
      <c r="J42326" s="63"/>
    </row>
    <row r="42327" spans="9:10" x14ac:dyDescent="0.35">
      <c r="I42327" s="63"/>
      <c r="J42327" s="63"/>
    </row>
    <row r="42328" spans="9:10" x14ac:dyDescent="0.35">
      <c r="I42328" s="63"/>
      <c r="J42328" s="63"/>
    </row>
    <row r="42329" spans="9:10" x14ac:dyDescent="0.35">
      <c r="I42329" s="63"/>
      <c r="J42329" s="63"/>
    </row>
    <row r="42330" spans="9:10" x14ac:dyDescent="0.35">
      <c r="I42330" s="63"/>
      <c r="J42330" s="63"/>
    </row>
    <row r="42331" spans="9:10" x14ac:dyDescent="0.35">
      <c r="I42331" s="63"/>
      <c r="J42331" s="63"/>
    </row>
    <row r="42332" spans="9:10" x14ac:dyDescent="0.35">
      <c r="I42332" s="63"/>
      <c r="J42332" s="63"/>
    </row>
    <row r="42333" spans="9:10" x14ac:dyDescent="0.35">
      <c r="I42333" s="63"/>
      <c r="J42333" s="63"/>
    </row>
    <row r="42334" spans="9:10" x14ac:dyDescent="0.35">
      <c r="I42334" s="63"/>
      <c r="J42334" s="63"/>
    </row>
    <row r="42335" spans="9:10" x14ac:dyDescent="0.35">
      <c r="I42335" s="63"/>
      <c r="J42335" s="63"/>
    </row>
    <row r="42336" spans="9:10" x14ac:dyDescent="0.35">
      <c r="I42336" s="63"/>
      <c r="J42336" s="63"/>
    </row>
    <row r="42337" spans="9:10" x14ac:dyDescent="0.35">
      <c r="I42337" s="63"/>
      <c r="J42337" s="63"/>
    </row>
    <row r="42338" spans="9:10" x14ac:dyDescent="0.35">
      <c r="I42338" s="63"/>
      <c r="J42338" s="63"/>
    </row>
    <row r="42339" spans="9:10" x14ac:dyDescent="0.35">
      <c r="I42339" s="63"/>
      <c r="J42339" s="63"/>
    </row>
    <row r="42340" spans="9:10" x14ac:dyDescent="0.35">
      <c r="I42340" s="63"/>
      <c r="J42340" s="63"/>
    </row>
    <row r="42341" spans="9:10" x14ac:dyDescent="0.35">
      <c r="I42341" s="63"/>
      <c r="J42341" s="63"/>
    </row>
    <row r="42342" spans="9:10" x14ac:dyDescent="0.35">
      <c r="I42342" s="63"/>
      <c r="J42342" s="63"/>
    </row>
    <row r="42343" spans="9:10" x14ac:dyDescent="0.35">
      <c r="I42343" s="63"/>
      <c r="J42343" s="63"/>
    </row>
    <row r="42344" spans="9:10" x14ac:dyDescent="0.35">
      <c r="I42344" s="63"/>
      <c r="J42344" s="63"/>
    </row>
    <row r="42345" spans="9:10" x14ac:dyDescent="0.35">
      <c r="I42345" s="63"/>
      <c r="J42345" s="63"/>
    </row>
    <row r="42346" spans="9:10" x14ac:dyDescent="0.35">
      <c r="I42346" s="63"/>
      <c r="J42346" s="63"/>
    </row>
    <row r="42347" spans="9:10" x14ac:dyDescent="0.35">
      <c r="I42347" s="63"/>
      <c r="J42347" s="63"/>
    </row>
    <row r="42348" spans="9:10" x14ac:dyDescent="0.35">
      <c r="I42348" s="63"/>
      <c r="J42348" s="63"/>
    </row>
    <row r="42349" spans="9:10" x14ac:dyDescent="0.35">
      <c r="I42349" s="63"/>
      <c r="J42349" s="63"/>
    </row>
    <row r="42350" spans="9:10" x14ac:dyDescent="0.35">
      <c r="I42350" s="63"/>
      <c r="J42350" s="63"/>
    </row>
    <row r="42351" spans="9:10" x14ac:dyDescent="0.35">
      <c r="I42351" s="63"/>
      <c r="J42351" s="63"/>
    </row>
    <row r="42352" spans="9:10" x14ac:dyDescent="0.35">
      <c r="I42352" s="63"/>
      <c r="J42352" s="63"/>
    </row>
    <row r="42353" spans="9:10" x14ac:dyDescent="0.35">
      <c r="I42353" s="63"/>
      <c r="J42353" s="63"/>
    </row>
    <row r="42354" spans="9:10" x14ac:dyDescent="0.35">
      <c r="I42354" s="63"/>
      <c r="J42354" s="63"/>
    </row>
    <row r="42355" spans="9:10" x14ac:dyDescent="0.35">
      <c r="I42355" s="63"/>
      <c r="J42355" s="63"/>
    </row>
    <row r="42356" spans="9:10" x14ac:dyDescent="0.35">
      <c r="I42356" s="63"/>
      <c r="J42356" s="63"/>
    </row>
    <row r="42357" spans="9:10" x14ac:dyDescent="0.35">
      <c r="I42357" s="63"/>
      <c r="J42357" s="63"/>
    </row>
    <row r="42358" spans="9:10" x14ac:dyDescent="0.35">
      <c r="I42358" s="63"/>
      <c r="J42358" s="63"/>
    </row>
    <row r="42359" spans="9:10" x14ac:dyDescent="0.35">
      <c r="I42359" s="63"/>
      <c r="J42359" s="63"/>
    </row>
    <row r="42360" spans="9:10" x14ac:dyDescent="0.35">
      <c r="I42360" s="63"/>
      <c r="J42360" s="63"/>
    </row>
    <row r="42361" spans="9:10" x14ac:dyDescent="0.35">
      <c r="I42361" s="63"/>
      <c r="J42361" s="63"/>
    </row>
    <row r="42362" spans="9:10" x14ac:dyDescent="0.35">
      <c r="I42362" s="63"/>
      <c r="J42362" s="63"/>
    </row>
    <row r="42363" spans="9:10" x14ac:dyDescent="0.35">
      <c r="I42363" s="63"/>
      <c r="J42363" s="63"/>
    </row>
    <row r="42364" spans="9:10" x14ac:dyDescent="0.35">
      <c r="I42364" s="63"/>
      <c r="J42364" s="63"/>
    </row>
    <row r="42365" spans="9:10" x14ac:dyDescent="0.35">
      <c r="I42365" s="63"/>
      <c r="J42365" s="63"/>
    </row>
    <row r="42366" spans="9:10" x14ac:dyDescent="0.35">
      <c r="I42366" s="63"/>
      <c r="J42366" s="63"/>
    </row>
    <row r="42367" spans="9:10" x14ac:dyDescent="0.35">
      <c r="I42367" s="63"/>
      <c r="J42367" s="63"/>
    </row>
    <row r="42368" spans="9:10" x14ac:dyDescent="0.35">
      <c r="I42368" s="63"/>
      <c r="J42368" s="63"/>
    </row>
    <row r="42369" spans="9:10" x14ac:dyDescent="0.35">
      <c r="I42369" s="63"/>
      <c r="J42369" s="63"/>
    </row>
    <row r="42370" spans="9:10" x14ac:dyDescent="0.35">
      <c r="I42370" s="63"/>
      <c r="J42370" s="63"/>
    </row>
    <row r="42371" spans="9:10" x14ac:dyDescent="0.35">
      <c r="I42371" s="63"/>
      <c r="J42371" s="63"/>
    </row>
    <row r="42372" spans="9:10" x14ac:dyDescent="0.35">
      <c r="I42372" s="63"/>
      <c r="J42372" s="63"/>
    </row>
    <row r="42373" spans="9:10" x14ac:dyDescent="0.35">
      <c r="I42373" s="63"/>
      <c r="J42373" s="63"/>
    </row>
    <row r="42374" spans="9:10" x14ac:dyDescent="0.35">
      <c r="I42374" s="63"/>
      <c r="J42374" s="63"/>
    </row>
    <row r="42375" spans="9:10" x14ac:dyDescent="0.35">
      <c r="I42375" s="63"/>
      <c r="J42375" s="63"/>
    </row>
    <row r="42376" spans="9:10" x14ac:dyDescent="0.35">
      <c r="I42376" s="63"/>
      <c r="J42376" s="63"/>
    </row>
    <row r="42377" spans="9:10" x14ac:dyDescent="0.35">
      <c r="I42377" s="63"/>
      <c r="J42377" s="63"/>
    </row>
    <row r="42378" spans="9:10" x14ac:dyDescent="0.35">
      <c r="I42378" s="63"/>
      <c r="J42378" s="63"/>
    </row>
    <row r="42379" spans="9:10" x14ac:dyDescent="0.35">
      <c r="I42379" s="63"/>
      <c r="J42379" s="63"/>
    </row>
    <row r="42380" spans="9:10" x14ac:dyDescent="0.35">
      <c r="I42380" s="63"/>
      <c r="J42380" s="63"/>
    </row>
    <row r="42381" spans="9:10" x14ac:dyDescent="0.35">
      <c r="I42381" s="63"/>
      <c r="J42381" s="63"/>
    </row>
    <row r="42382" spans="9:10" x14ac:dyDescent="0.35">
      <c r="I42382" s="63"/>
      <c r="J42382" s="63"/>
    </row>
    <row r="42383" spans="9:10" x14ac:dyDescent="0.35">
      <c r="I42383" s="63"/>
      <c r="J42383" s="63"/>
    </row>
    <row r="42384" spans="9:10" x14ac:dyDescent="0.35">
      <c r="I42384" s="63"/>
      <c r="J42384" s="63"/>
    </row>
    <row r="42385" spans="9:10" x14ac:dyDescent="0.35">
      <c r="I42385" s="63"/>
      <c r="J42385" s="63"/>
    </row>
    <row r="42386" spans="9:10" x14ac:dyDescent="0.35">
      <c r="I42386" s="63"/>
      <c r="J42386" s="63"/>
    </row>
    <row r="42387" spans="9:10" x14ac:dyDescent="0.35">
      <c r="I42387" s="63"/>
      <c r="J42387" s="63"/>
    </row>
    <row r="42388" spans="9:10" x14ac:dyDescent="0.35">
      <c r="I42388" s="63"/>
      <c r="J42388" s="63"/>
    </row>
    <row r="42389" spans="9:10" x14ac:dyDescent="0.35">
      <c r="I42389" s="63"/>
      <c r="J42389" s="63"/>
    </row>
    <row r="42390" spans="9:10" x14ac:dyDescent="0.35">
      <c r="I42390" s="63"/>
      <c r="J42390" s="63"/>
    </row>
    <row r="42391" spans="9:10" x14ac:dyDescent="0.35">
      <c r="I42391" s="63"/>
      <c r="J42391" s="63"/>
    </row>
    <row r="42392" spans="9:10" x14ac:dyDescent="0.35">
      <c r="I42392" s="63"/>
      <c r="J42392" s="63"/>
    </row>
    <row r="42393" spans="9:10" x14ac:dyDescent="0.35">
      <c r="I42393" s="63"/>
      <c r="J42393" s="63"/>
    </row>
    <row r="42394" spans="9:10" x14ac:dyDescent="0.35">
      <c r="I42394" s="63"/>
      <c r="J42394" s="63"/>
    </row>
    <row r="42395" spans="9:10" x14ac:dyDescent="0.35">
      <c r="I42395" s="63"/>
      <c r="J42395" s="63"/>
    </row>
    <row r="42396" spans="9:10" x14ac:dyDescent="0.35">
      <c r="I42396" s="63"/>
      <c r="J42396" s="63"/>
    </row>
    <row r="42397" spans="9:10" x14ac:dyDescent="0.35">
      <c r="I42397" s="63"/>
      <c r="J42397" s="63"/>
    </row>
    <row r="42398" spans="9:10" x14ac:dyDescent="0.35">
      <c r="I42398" s="63"/>
      <c r="J42398" s="63"/>
    </row>
    <row r="42399" spans="9:10" x14ac:dyDescent="0.35">
      <c r="I42399" s="63"/>
      <c r="J42399" s="63"/>
    </row>
    <row r="42400" spans="9:10" x14ac:dyDescent="0.35">
      <c r="I42400" s="63"/>
      <c r="J42400" s="63"/>
    </row>
    <row r="42401" spans="9:10" x14ac:dyDescent="0.35">
      <c r="I42401" s="63"/>
      <c r="J42401" s="63"/>
    </row>
    <row r="42402" spans="9:10" x14ac:dyDescent="0.35">
      <c r="I42402" s="63"/>
      <c r="J42402" s="63"/>
    </row>
    <row r="42403" spans="9:10" x14ac:dyDescent="0.35">
      <c r="I42403" s="63"/>
      <c r="J42403" s="63"/>
    </row>
    <row r="42404" spans="9:10" x14ac:dyDescent="0.35">
      <c r="I42404" s="63"/>
      <c r="J42404" s="63"/>
    </row>
    <row r="42405" spans="9:10" x14ac:dyDescent="0.35">
      <c r="I42405" s="63"/>
      <c r="J42405" s="63"/>
    </row>
    <row r="42406" spans="9:10" x14ac:dyDescent="0.35">
      <c r="I42406" s="63"/>
      <c r="J42406" s="63"/>
    </row>
    <row r="42407" spans="9:10" x14ac:dyDescent="0.35">
      <c r="I42407" s="63"/>
      <c r="J42407" s="63"/>
    </row>
    <row r="42408" spans="9:10" x14ac:dyDescent="0.35">
      <c r="I42408" s="63"/>
      <c r="J42408" s="63"/>
    </row>
    <row r="42409" spans="9:10" x14ac:dyDescent="0.35">
      <c r="I42409" s="63"/>
      <c r="J42409" s="63"/>
    </row>
    <row r="42410" spans="9:10" x14ac:dyDescent="0.35">
      <c r="I42410" s="63"/>
      <c r="J42410" s="63"/>
    </row>
    <row r="42411" spans="9:10" x14ac:dyDescent="0.35">
      <c r="I42411" s="63"/>
      <c r="J42411" s="63"/>
    </row>
    <row r="42412" spans="9:10" x14ac:dyDescent="0.35">
      <c r="I42412" s="63"/>
      <c r="J42412" s="63"/>
    </row>
    <row r="42413" spans="9:10" x14ac:dyDescent="0.35">
      <c r="I42413" s="63"/>
      <c r="J42413" s="63"/>
    </row>
    <row r="42414" spans="9:10" x14ac:dyDescent="0.35">
      <c r="I42414" s="63"/>
      <c r="J42414" s="63"/>
    </row>
    <row r="42415" spans="9:10" x14ac:dyDescent="0.35">
      <c r="I42415" s="63"/>
      <c r="J42415" s="63"/>
    </row>
    <row r="42416" spans="9:10" x14ac:dyDescent="0.35">
      <c r="I42416" s="63"/>
      <c r="J42416" s="63"/>
    </row>
    <row r="42417" spans="9:10" x14ac:dyDescent="0.35">
      <c r="I42417" s="63"/>
      <c r="J42417" s="63"/>
    </row>
    <row r="42418" spans="9:10" x14ac:dyDescent="0.35">
      <c r="I42418" s="63"/>
      <c r="J42418" s="63"/>
    </row>
    <row r="42419" spans="9:10" x14ac:dyDescent="0.35">
      <c r="I42419" s="63"/>
      <c r="J42419" s="63"/>
    </row>
    <row r="42420" spans="9:10" x14ac:dyDescent="0.35">
      <c r="I42420" s="63"/>
      <c r="J42420" s="63"/>
    </row>
    <row r="42421" spans="9:10" x14ac:dyDescent="0.35">
      <c r="I42421" s="63"/>
      <c r="J42421" s="63"/>
    </row>
    <row r="42422" spans="9:10" x14ac:dyDescent="0.35">
      <c r="I42422" s="63"/>
      <c r="J42422" s="63"/>
    </row>
    <row r="42423" spans="9:10" x14ac:dyDescent="0.35">
      <c r="I42423" s="63"/>
      <c r="J42423" s="63"/>
    </row>
    <row r="42424" spans="9:10" x14ac:dyDescent="0.35">
      <c r="I42424" s="63"/>
      <c r="J42424" s="63"/>
    </row>
    <row r="42425" spans="9:10" x14ac:dyDescent="0.35">
      <c r="I42425" s="63"/>
      <c r="J42425" s="63"/>
    </row>
    <row r="42426" spans="9:10" x14ac:dyDescent="0.35">
      <c r="I42426" s="63"/>
      <c r="J42426" s="63"/>
    </row>
    <row r="42427" spans="9:10" x14ac:dyDescent="0.35">
      <c r="I42427" s="63"/>
      <c r="J42427" s="63"/>
    </row>
    <row r="42428" spans="9:10" x14ac:dyDescent="0.35">
      <c r="I42428" s="63"/>
      <c r="J42428" s="63"/>
    </row>
    <row r="42429" spans="9:10" x14ac:dyDescent="0.35">
      <c r="I42429" s="63"/>
      <c r="J42429" s="63"/>
    </row>
    <row r="42430" spans="9:10" x14ac:dyDescent="0.35">
      <c r="I42430" s="63"/>
      <c r="J42430" s="63"/>
    </row>
    <row r="42431" spans="9:10" x14ac:dyDescent="0.35">
      <c r="I42431" s="63"/>
      <c r="J42431" s="63"/>
    </row>
    <row r="42432" spans="9:10" x14ac:dyDescent="0.35">
      <c r="I42432" s="63"/>
      <c r="J42432" s="63"/>
    </row>
    <row r="42433" spans="9:10" x14ac:dyDescent="0.35">
      <c r="I42433" s="63"/>
      <c r="J42433" s="63"/>
    </row>
    <row r="42434" spans="9:10" x14ac:dyDescent="0.35">
      <c r="I42434" s="63"/>
      <c r="J42434" s="63"/>
    </row>
    <row r="42435" spans="9:10" x14ac:dyDescent="0.35">
      <c r="I42435" s="63"/>
      <c r="J42435" s="63"/>
    </row>
    <row r="42436" spans="9:10" x14ac:dyDescent="0.35">
      <c r="I42436" s="63"/>
      <c r="J42436" s="63"/>
    </row>
    <row r="42437" spans="9:10" x14ac:dyDescent="0.35">
      <c r="I42437" s="63"/>
      <c r="J42437" s="63"/>
    </row>
    <row r="42438" spans="9:10" x14ac:dyDescent="0.35">
      <c r="I42438" s="63"/>
      <c r="J42438" s="63"/>
    </row>
    <row r="42439" spans="9:10" x14ac:dyDescent="0.35">
      <c r="I42439" s="63"/>
      <c r="J42439" s="63"/>
    </row>
    <row r="42440" spans="9:10" x14ac:dyDescent="0.35">
      <c r="I42440" s="63"/>
      <c r="J42440" s="63"/>
    </row>
    <row r="42441" spans="9:10" x14ac:dyDescent="0.35">
      <c r="I42441" s="63"/>
      <c r="J42441" s="63"/>
    </row>
    <row r="42442" spans="9:10" x14ac:dyDescent="0.35">
      <c r="I42442" s="63"/>
      <c r="J42442" s="63"/>
    </row>
    <row r="42443" spans="9:10" x14ac:dyDescent="0.35">
      <c r="I42443" s="63"/>
      <c r="J42443" s="63"/>
    </row>
    <row r="42444" spans="9:10" x14ac:dyDescent="0.35">
      <c r="I42444" s="63"/>
      <c r="J42444" s="63"/>
    </row>
    <row r="42445" spans="9:10" x14ac:dyDescent="0.35">
      <c r="I42445" s="63"/>
      <c r="J42445" s="63"/>
    </row>
    <row r="42446" spans="9:10" x14ac:dyDescent="0.35">
      <c r="I42446" s="63"/>
      <c r="J42446" s="63"/>
    </row>
    <row r="42447" spans="9:10" x14ac:dyDescent="0.35">
      <c r="I42447" s="63"/>
      <c r="J42447" s="63"/>
    </row>
    <row r="42448" spans="9:10" x14ac:dyDescent="0.35">
      <c r="I42448" s="63"/>
      <c r="J42448" s="63"/>
    </row>
    <row r="42449" spans="9:10" x14ac:dyDescent="0.35">
      <c r="I42449" s="63"/>
      <c r="J42449" s="63"/>
    </row>
    <row r="42450" spans="9:10" x14ac:dyDescent="0.35">
      <c r="I42450" s="63"/>
      <c r="J42450" s="63"/>
    </row>
    <row r="42451" spans="9:10" x14ac:dyDescent="0.35">
      <c r="I42451" s="63"/>
      <c r="J42451" s="63"/>
    </row>
    <row r="42452" spans="9:10" x14ac:dyDescent="0.35">
      <c r="I42452" s="63"/>
      <c r="J42452" s="63"/>
    </row>
    <row r="42453" spans="9:10" x14ac:dyDescent="0.35">
      <c r="I42453" s="63"/>
      <c r="J42453" s="63"/>
    </row>
    <row r="42454" spans="9:10" x14ac:dyDescent="0.35">
      <c r="I42454" s="63"/>
      <c r="J42454" s="63"/>
    </row>
    <row r="42455" spans="9:10" x14ac:dyDescent="0.35">
      <c r="I42455" s="63"/>
      <c r="J42455" s="63"/>
    </row>
    <row r="42456" spans="9:10" x14ac:dyDescent="0.35">
      <c r="I42456" s="63"/>
      <c r="J42456" s="63"/>
    </row>
    <row r="42457" spans="9:10" x14ac:dyDescent="0.35">
      <c r="I42457" s="63"/>
      <c r="J42457" s="63"/>
    </row>
    <row r="42458" spans="9:10" x14ac:dyDescent="0.35">
      <c r="I42458" s="63"/>
      <c r="J42458" s="63"/>
    </row>
    <row r="42459" spans="9:10" x14ac:dyDescent="0.35">
      <c r="I42459" s="63"/>
      <c r="J42459" s="63"/>
    </row>
    <row r="42460" spans="9:10" x14ac:dyDescent="0.35">
      <c r="I42460" s="63"/>
      <c r="J42460" s="63"/>
    </row>
    <row r="42461" spans="9:10" x14ac:dyDescent="0.35">
      <c r="I42461" s="63"/>
      <c r="J42461" s="63"/>
    </row>
    <row r="42462" spans="9:10" x14ac:dyDescent="0.35">
      <c r="I42462" s="63"/>
      <c r="J42462" s="63"/>
    </row>
    <row r="42463" spans="9:10" x14ac:dyDescent="0.35">
      <c r="I42463" s="63"/>
      <c r="J42463" s="63"/>
    </row>
    <row r="42464" spans="9:10" x14ac:dyDescent="0.35">
      <c r="I42464" s="63"/>
      <c r="J42464" s="63"/>
    </row>
    <row r="42465" spans="9:10" x14ac:dyDescent="0.35">
      <c r="I42465" s="63"/>
      <c r="J42465" s="63"/>
    </row>
    <row r="42466" spans="9:10" x14ac:dyDescent="0.35">
      <c r="I42466" s="63"/>
      <c r="J42466" s="63"/>
    </row>
    <row r="42467" spans="9:10" x14ac:dyDescent="0.35">
      <c r="I42467" s="63"/>
      <c r="J42467" s="63"/>
    </row>
    <row r="42468" spans="9:10" x14ac:dyDescent="0.35">
      <c r="I42468" s="63"/>
      <c r="J42468" s="63"/>
    </row>
    <row r="42469" spans="9:10" x14ac:dyDescent="0.35">
      <c r="I42469" s="63"/>
      <c r="J42469" s="63"/>
    </row>
    <row r="42470" spans="9:10" x14ac:dyDescent="0.35">
      <c r="I42470" s="63"/>
      <c r="J42470" s="63"/>
    </row>
    <row r="42471" spans="9:10" x14ac:dyDescent="0.35">
      <c r="I42471" s="63"/>
      <c r="J42471" s="63"/>
    </row>
    <row r="42472" spans="9:10" x14ac:dyDescent="0.35">
      <c r="I42472" s="63"/>
      <c r="J42472" s="63"/>
    </row>
    <row r="42473" spans="9:10" x14ac:dyDescent="0.35">
      <c r="I42473" s="63"/>
      <c r="J42473" s="63"/>
    </row>
    <row r="42474" spans="9:10" x14ac:dyDescent="0.35">
      <c r="I42474" s="63"/>
      <c r="J42474" s="63"/>
    </row>
    <row r="42475" spans="9:10" x14ac:dyDescent="0.35">
      <c r="I42475" s="63"/>
      <c r="J42475" s="63"/>
    </row>
    <row r="42476" spans="9:10" x14ac:dyDescent="0.35">
      <c r="I42476" s="63"/>
      <c r="J42476" s="63"/>
    </row>
    <row r="42477" spans="9:10" x14ac:dyDescent="0.35">
      <c r="I42477" s="63"/>
      <c r="J42477" s="63"/>
    </row>
    <row r="42478" spans="9:10" x14ac:dyDescent="0.35">
      <c r="I42478" s="63"/>
      <c r="J42478" s="63"/>
    </row>
    <row r="42479" spans="9:10" x14ac:dyDescent="0.35">
      <c r="I42479" s="63"/>
      <c r="J42479" s="63"/>
    </row>
    <row r="42480" spans="9:10" x14ac:dyDescent="0.35">
      <c r="I42480" s="63"/>
      <c r="J42480" s="63"/>
    </row>
    <row r="42481" spans="9:10" x14ac:dyDescent="0.35">
      <c r="I42481" s="63"/>
      <c r="J42481" s="63"/>
    </row>
    <row r="42482" spans="9:10" x14ac:dyDescent="0.35">
      <c r="I42482" s="63"/>
      <c r="J42482" s="63"/>
    </row>
    <row r="42483" spans="9:10" x14ac:dyDescent="0.35">
      <c r="I42483" s="63"/>
      <c r="J42483" s="63"/>
    </row>
    <row r="42484" spans="9:10" x14ac:dyDescent="0.35">
      <c r="I42484" s="63"/>
      <c r="J42484" s="63"/>
    </row>
    <row r="42485" spans="9:10" x14ac:dyDescent="0.35">
      <c r="I42485" s="63"/>
      <c r="J42485" s="63"/>
    </row>
    <row r="42486" spans="9:10" x14ac:dyDescent="0.35">
      <c r="I42486" s="63"/>
      <c r="J42486" s="63"/>
    </row>
    <row r="42487" spans="9:10" x14ac:dyDescent="0.35">
      <c r="I42487" s="63"/>
      <c r="J42487" s="63"/>
    </row>
    <row r="42488" spans="9:10" x14ac:dyDescent="0.35">
      <c r="I42488" s="63"/>
      <c r="J42488" s="63"/>
    </row>
    <row r="42489" spans="9:10" x14ac:dyDescent="0.35">
      <c r="I42489" s="63"/>
      <c r="J42489" s="63"/>
    </row>
    <row r="42490" spans="9:10" x14ac:dyDescent="0.35">
      <c r="I42490" s="63"/>
      <c r="J42490" s="63"/>
    </row>
    <row r="42491" spans="9:10" x14ac:dyDescent="0.35">
      <c r="I42491" s="63"/>
      <c r="J42491" s="63"/>
    </row>
    <row r="42492" spans="9:10" x14ac:dyDescent="0.35">
      <c r="I42492" s="63"/>
      <c r="J42492" s="63"/>
    </row>
    <row r="42493" spans="9:10" x14ac:dyDescent="0.35">
      <c r="I42493" s="63"/>
      <c r="J42493" s="63"/>
    </row>
    <row r="42494" spans="9:10" x14ac:dyDescent="0.35">
      <c r="I42494" s="63"/>
      <c r="J42494" s="63"/>
    </row>
    <row r="42495" spans="9:10" x14ac:dyDescent="0.35">
      <c r="I42495" s="63"/>
      <c r="J42495" s="63"/>
    </row>
    <row r="42496" spans="9:10" x14ac:dyDescent="0.35">
      <c r="I42496" s="63"/>
      <c r="J42496" s="63"/>
    </row>
    <row r="42497" spans="9:10" x14ac:dyDescent="0.35">
      <c r="I42497" s="63"/>
      <c r="J42497" s="63"/>
    </row>
    <row r="42498" spans="9:10" x14ac:dyDescent="0.35">
      <c r="I42498" s="63"/>
      <c r="J42498" s="63"/>
    </row>
    <row r="42499" spans="9:10" x14ac:dyDescent="0.35">
      <c r="I42499" s="63"/>
      <c r="J42499" s="63"/>
    </row>
    <row r="42500" spans="9:10" x14ac:dyDescent="0.35">
      <c r="I42500" s="63"/>
      <c r="J42500" s="63"/>
    </row>
    <row r="42501" spans="9:10" x14ac:dyDescent="0.35">
      <c r="I42501" s="63"/>
      <c r="J42501" s="63"/>
    </row>
    <row r="42502" spans="9:10" x14ac:dyDescent="0.35">
      <c r="I42502" s="63"/>
      <c r="J42502" s="63"/>
    </row>
    <row r="42503" spans="9:10" x14ac:dyDescent="0.35">
      <c r="I42503" s="63"/>
      <c r="J42503" s="63"/>
    </row>
    <row r="42504" spans="9:10" x14ac:dyDescent="0.35">
      <c r="I42504" s="63"/>
      <c r="J42504" s="63"/>
    </row>
    <row r="42505" spans="9:10" x14ac:dyDescent="0.35">
      <c r="I42505" s="63"/>
      <c r="J42505" s="63"/>
    </row>
    <row r="42506" spans="9:10" x14ac:dyDescent="0.35">
      <c r="I42506" s="63"/>
      <c r="J42506" s="63"/>
    </row>
    <row r="42507" spans="9:10" x14ac:dyDescent="0.35">
      <c r="I42507" s="63"/>
      <c r="J42507" s="63"/>
    </row>
    <row r="42508" spans="9:10" x14ac:dyDescent="0.35">
      <c r="I42508" s="63"/>
      <c r="J42508" s="63"/>
    </row>
    <row r="42509" spans="9:10" x14ac:dyDescent="0.35">
      <c r="I42509" s="63"/>
      <c r="J42509" s="63"/>
    </row>
    <row r="42510" spans="9:10" x14ac:dyDescent="0.35">
      <c r="I42510" s="63"/>
      <c r="J42510" s="63"/>
    </row>
    <row r="42511" spans="9:10" x14ac:dyDescent="0.35">
      <c r="I42511" s="63"/>
      <c r="J42511" s="63"/>
    </row>
    <row r="42512" spans="9:10" x14ac:dyDescent="0.35">
      <c r="I42512" s="63"/>
      <c r="J42512" s="63"/>
    </row>
    <row r="42513" spans="9:10" x14ac:dyDescent="0.35">
      <c r="I42513" s="63"/>
      <c r="J42513" s="63"/>
    </row>
    <row r="42514" spans="9:10" x14ac:dyDescent="0.35">
      <c r="I42514" s="63"/>
      <c r="J42514" s="63"/>
    </row>
    <row r="42515" spans="9:10" x14ac:dyDescent="0.35">
      <c r="I42515" s="63"/>
      <c r="J42515" s="63"/>
    </row>
    <row r="42516" spans="9:10" x14ac:dyDescent="0.35">
      <c r="I42516" s="63"/>
      <c r="J42516" s="63"/>
    </row>
    <row r="42517" spans="9:10" x14ac:dyDescent="0.35">
      <c r="I42517" s="63"/>
      <c r="J42517" s="63"/>
    </row>
    <row r="42518" spans="9:10" x14ac:dyDescent="0.35">
      <c r="I42518" s="63"/>
      <c r="J42518" s="63"/>
    </row>
    <row r="42519" spans="9:10" x14ac:dyDescent="0.35">
      <c r="I42519" s="63"/>
      <c r="J42519" s="63"/>
    </row>
    <row r="42520" spans="9:10" x14ac:dyDescent="0.35">
      <c r="I42520" s="63"/>
      <c r="J42520" s="63"/>
    </row>
    <row r="42521" spans="9:10" x14ac:dyDescent="0.35">
      <c r="I42521" s="63"/>
      <c r="J42521" s="63"/>
    </row>
    <row r="42522" spans="9:10" x14ac:dyDescent="0.35">
      <c r="I42522" s="63"/>
      <c r="J42522" s="63"/>
    </row>
    <row r="42523" spans="9:10" x14ac:dyDescent="0.35">
      <c r="I42523" s="63"/>
      <c r="J42523" s="63"/>
    </row>
    <row r="42524" spans="9:10" x14ac:dyDescent="0.35">
      <c r="I42524" s="63"/>
      <c r="J42524" s="63"/>
    </row>
    <row r="42525" spans="9:10" x14ac:dyDescent="0.35">
      <c r="I42525" s="63"/>
      <c r="J42525" s="63"/>
    </row>
    <row r="42526" spans="9:10" x14ac:dyDescent="0.35">
      <c r="I42526" s="63"/>
      <c r="J42526" s="63"/>
    </row>
    <row r="42527" spans="9:10" x14ac:dyDescent="0.35">
      <c r="I42527" s="63"/>
      <c r="J42527" s="63"/>
    </row>
    <row r="42528" spans="9:10" x14ac:dyDescent="0.35">
      <c r="I42528" s="63"/>
      <c r="J42528" s="63"/>
    </row>
    <row r="42529" spans="9:10" x14ac:dyDescent="0.35">
      <c r="I42529" s="63"/>
      <c r="J42529" s="63"/>
    </row>
    <row r="42530" spans="9:10" x14ac:dyDescent="0.35">
      <c r="I42530" s="63"/>
      <c r="J42530" s="63"/>
    </row>
    <row r="42531" spans="9:10" x14ac:dyDescent="0.35">
      <c r="I42531" s="63"/>
      <c r="J42531" s="63"/>
    </row>
    <row r="42532" spans="9:10" x14ac:dyDescent="0.35">
      <c r="I42532" s="63"/>
      <c r="J42532" s="63"/>
    </row>
    <row r="42533" spans="9:10" x14ac:dyDescent="0.35">
      <c r="I42533" s="63"/>
      <c r="J42533" s="63"/>
    </row>
    <row r="42534" spans="9:10" x14ac:dyDescent="0.35">
      <c r="I42534" s="63"/>
      <c r="J42534" s="63"/>
    </row>
    <row r="42535" spans="9:10" x14ac:dyDescent="0.35">
      <c r="I42535" s="63"/>
      <c r="J42535" s="63"/>
    </row>
    <row r="42536" spans="9:10" x14ac:dyDescent="0.35">
      <c r="I42536" s="63"/>
      <c r="J42536" s="63"/>
    </row>
    <row r="42537" spans="9:10" x14ac:dyDescent="0.35">
      <c r="I42537" s="63"/>
      <c r="J42537" s="63"/>
    </row>
    <row r="42538" spans="9:10" x14ac:dyDescent="0.35">
      <c r="I42538" s="63"/>
      <c r="J42538" s="63"/>
    </row>
    <row r="42539" spans="9:10" x14ac:dyDescent="0.35">
      <c r="I42539" s="63"/>
      <c r="J42539" s="63"/>
    </row>
    <row r="42540" spans="9:10" x14ac:dyDescent="0.35">
      <c r="I42540" s="63"/>
      <c r="J42540" s="63"/>
    </row>
    <row r="42541" spans="9:10" x14ac:dyDescent="0.35">
      <c r="I42541" s="63"/>
      <c r="J42541" s="63"/>
    </row>
    <row r="42542" spans="9:10" x14ac:dyDescent="0.35">
      <c r="I42542" s="63"/>
      <c r="J42542" s="63"/>
    </row>
    <row r="42543" spans="9:10" x14ac:dyDescent="0.35">
      <c r="I42543" s="63"/>
      <c r="J42543" s="63"/>
    </row>
    <row r="42544" spans="9:10" x14ac:dyDescent="0.35">
      <c r="I42544" s="63"/>
      <c r="J42544" s="63"/>
    </row>
    <row r="42545" spans="9:10" x14ac:dyDescent="0.35">
      <c r="I42545" s="63"/>
      <c r="J42545" s="63"/>
    </row>
    <row r="42546" spans="9:10" x14ac:dyDescent="0.35">
      <c r="I42546" s="63"/>
      <c r="J42546" s="63"/>
    </row>
    <row r="42547" spans="9:10" x14ac:dyDescent="0.35">
      <c r="I42547" s="63"/>
      <c r="J42547" s="63"/>
    </row>
    <row r="42548" spans="9:10" x14ac:dyDescent="0.35">
      <c r="I42548" s="63"/>
      <c r="J42548" s="63"/>
    </row>
    <row r="42549" spans="9:10" x14ac:dyDescent="0.35">
      <c r="I42549" s="63"/>
      <c r="J42549" s="63"/>
    </row>
    <row r="42550" spans="9:10" x14ac:dyDescent="0.35">
      <c r="I42550" s="63"/>
      <c r="J42550" s="63"/>
    </row>
    <row r="42551" spans="9:10" x14ac:dyDescent="0.35">
      <c r="I42551" s="63"/>
      <c r="J42551" s="63"/>
    </row>
    <row r="42552" spans="9:10" x14ac:dyDescent="0.35">
      <c r="I42552" s="63"/>
      <c r="J42552" s="63"/>
    </row>
    <row r="42553" spans="9:10" x14ac:dyDescent="0.35">
      <c r="I42553" s="63"/>
      <c r="J42553" s="63"/>
    </row>
    <row r="42554" spans="9:10" x14ac:dyDescent="0.35">
      <c r="I42554" s="63"/>
      <c r="J42554" s="63"/>
    </row>
    <row r="42555" spans="9:10" x14ac:dyDescent="0.35">
      <c r="I42555" s="63"/>
      <c r="J42555" s="63"/>
    </row>
    <row r="42556" spans="9:10" x14ac:dyDescent="0.35">
      <c r="I42556" s="63"/>
      <c r="J42556" s="63"/>
    </row>
    <row r="42557" spans="9:10" x14ac:dyDescent="0.35">
      <c r="I42557" s="63"/>
      <c r="J42557" s="63"/>
    </row>
    <row r="42558" spans="9:10" x14ac:dyDescent="0.35">
      <c r="I42558" s="63"/>
      <c r="J42558" s="63"/>
    </row>
    <row r="42559" spans="9:10" x14ac:dyDescent="0.35">
      <c r="I42559" s="63"/>
      <c r="J42559" s="63"/>
    </row>
    <row r="42560" spans="9:10" x14ac:dyDescent="0.35">
      <c r="I42560" s="63"/>
      <c r="J42560" s="63"/>
    </row>
    <row r="42561" spans="9:10" x14ac:dyDescent="0.35">
      <c r="I42561" s="63"/>
      <c r="J42561" s="63"/>
    </row>
    <row r="42562" spans="9:10" x14ac:dyDescent="0.35">
      <c r="I42562" s="63"/>
      <c r="J42562" s="63"/>
    </row>
    <row r="42563" spans="9:10" x14ac:dyDescent="0.35">
      <c r="I42563" s="63"/>
      <c r="J42563" s="63"/>
    </row>
    <row r="42564" spans="9:10" x14ac:dyDescent="0.35">
      <c r="I42564" s="63"/>
      <c r="J42564" s="63"/>
    </row>
    <row r="42565" spans="9:10" x14ac:dyDescent="0.35">
      <c r="I42565" s="63"/>
      <c r="J42565" s="63"/>
    </row>
    <row r="42566" spans="9:10" x14ac:dyDescent="0.35">
      <c r="I42566" s="63"/>
      <c r="J42566" s="63"/>
    </row>
    <row r="42567" spans="9:10" x14ac:dyDescent="0.35">
      <c r="I42567" s="63"/>
      <c r="J42567" s="63"/>
    </row>
    <row r="42568" spans="9:10" x14ac:dyDescent="0.35">
      <c r="I42568" s="63"/>
      <c r="J42568" s="63"/>
    </row>
    <row r="42569" spans="9:10" x14ac:dyDescent="0.35">
      <c r="I42569" s="63"/>
      <c r="J42569" s="63"/>
    </row>
    <row r="42570" spans="9:10" x14ac:dyDescent="0.35">
      <c r="I42570" s="63"/>
      <c r="J42570" s="63"/>
    </row>
    <row r="42571" spans="9:10" x14ac:dyDescent="0.35">
      <c r="I42571" s="63"/>
      <c r="J42571" s="63"/>
    </row>
    <row r="42572" spans="9:10" x14ac:dyDescent="0.35">
      <c r="I42572" s="63"/>
      <c r="J42572" s="63"/>
    </row>
    <row r="42573" spans="9:10" x14ac:dyDescent="0.35">
      <c r="I42573" s="63"/>
      <c r="J42573" s="63"/>
    </row>
    <row r="42574" spans="9:10" x14ac:dyDescent="0.35">
      <c r="I42574" s="63"/>
      <c r="J42574" s="63"/>
    </row>
    <row r="42575" spans="9:10" x14ac:dyDescent="0.35">
      <c r="I42575" s="63"/>
      <c r="J42575" s="63"/>
    </row>
    <row r="42576" spans="9:10" x14ac:dyDescent="0.35">
      <c r="I42576" s="63"/>
      <c r="J42576" s="63"/>
    </row>
    <row r="42577" spans="9:10" x14ac:dyDescent="0.35">
      <c r="I42577" s="63"/>
      <c r="J42577" s="63"/>
    </row>
    <row r="42578" spans="9:10" x14ac:dyDescent="0.35">
      <c r="I42578" s="63"/>
      <c r="J42578" s="63"/>
    </row>
    <row r="42579" spans="9:10" x14ac:dyDescent="0.35">
      <c r="I42579" s="63"/>
      <c r="J42579" s="63"/>
    </row>
    <row r="42580" spans="9:10" x14ac:dyDescent="0.35">
      <c r="I42580" s="63"/>
      <c r="J42580" s="63"/>
    </row>
    <row r="42581" spans="9:10" x14ac:dyDescent="0.35">
      <c r="I42581" s="63"/>
      <c r="J42581" s="63"/>
    </row>
    <row r="42582" spans="9:10" x14ac:dyDescent="0.35">
      <c r="I42582" s="63"/>
      <c r="J42582" s="63"/>
    </row>
    <row r="42583" spans="9:10" x14ac:dyDescent="0.35">
      <c r="I42583" s="63"/>
      <c r="J42583" s="63"/>
    </row>
    <row r="42584" spans="9:10" x14ac:dyDescent="0.35">
      <c r="I42584" s="63"/>
      <c r="J42584" s="63"/>
    </row>
    <row r="42585" spans="9:10" x14ac:dyDescent="0.35">
      <c r="I42585" s="63"/>
      <c r="J42585" s="63"/>
    </row>
    <row r="42586" spans="9:10" x14ac:dyDescent="0.35">
      <c r="I42586" s="63"/>
      <c r="J42586" s="63"/>
    </row>
    <row r="42587" spans="9:10" x14ac:dyDescent="0.35">
      <c r="I42587" s="63"/>
      <c r="J42587" s="63"/>
    </row>
    <row r="42588" spans="9:10" x14ac:dyDescent="0.35">
      <c r="I42588" s="63"/>
      <c r="J42588" s="63"/>
    </row>
    <row r="42589" spans="9:10" x14ac:dyDescent="0.35">
      <c r="I42589" s="63"/>
      <c r="J42589" s="63"/>
    </row>
    <row r="42590" spans="9:10" x14ac:dyDescent="0.35">
      <c r="I42590" s="63"/>
      <c r="J42590" s="63"/>
    </row>
    <row r="42591" spans="9:10" x14ac:dyDescent="0.35">
      <c r="I42591" s="63"/>
      <c r="J42591" s="63"/>
    </row>
    <row r="42592" spans="9:10" x14ac:dyDescent="0.35">
      <c r="I42592" s="63"/>
      <c r="J42592" s="63"/>
    </row>
    <row r="42593" spans="9:10" x14ac:dyDescent="0.35">
      <c r="I42593" s="63"/>
      <c r="J42593" s="63"/>
    </row>
    <row r="42594" spans="9:10" x14ac:dyDescent="0.35">
      <c r="I42594" s="63"/>
      <c r="J42594" s="63"/>
    </row>
    <row r="42595" spans="9:10" x14ac:dyDescent="0.35">
      <c r="I42595" s="63"/>
      <c r="J42595" s="63"/>
    </row>
    <row r="42596" spans="9:10" x14ac:dyDescent="0.35">
      <c r="I42596" s="63"/>
      <c r="J42596" s="63"/>
    </row>
    <row r="42597" spans="9:10" x14ac:dyDescent="0.35">
      <c r="I42597" s="63"/>
      <c r="J42597" s="63"/>
    </row>
    <row r="42598" spans="9:10" x14ac:dyDescent="0.35">
      <c r="I42598" s="63"/>
      <c r="J42598" s="63"/>
    </row>
    <row r="42599" spans="9:10" x14ac:dyDescent="0.35">
      <c r="I42599" s="63"/>
      <c r="J42599" s="63"/>
    </row>
    <row r="42600" spans="9:10" x14ac:dyDescent="0.35">
      <c r="I42600" s="63"/>
      <c r="J42600" s="63"/>
    </row>
    <row r="42601" spans="9:10" x14ac:dyDescent="0.35">
      <c r="I42601" s="63"/>
      <c r="J42601" s="63"/>
    </row>
    <row r="42602" spans="9:10" x14ac:dyDescent="0.35">
      <c r="I42602" s="63"/>
      <c r="J42602" s="63"/>
    </row>
    <row r="42603" spans="9:10" x14ac:dyDescent="0.35">
      <c r="I42603" s="63"/>
      <c r="J42603" s="63"/>
    </row>
    <row r="42604" spans="9:10" x14ac:dyDescent="0.35">
      <c r="I42604" s="63"/>
      <c r="J42604" s="63"/>
    </row>
    <row r="42605" spans="9:10" x14ac:dyDescent="0.35">
      <c r="I42605" s="63"/>
      <c r="J42605" s="63"/>
    </row>
    <row r="42606" spans="9:10" x14ac:dyDescent="0.35">
      <c r="I42606" s="63"/>
      <c r="J42606" s="63"/>
    </row>
    <row r="42607" spans="9:10" x14ac:dyDescent="0.35">
      <c r="I42607" s="63"/>
      <c r="J42607" s="63"/>
    </row>
    <row r="42608" spans="9:10" x14ac:dyDescent="0.35">
      <c r="I42608" s="63"/>
      <c r="J42608" s="63"/>
    </row>
    <row r="42609" spans="9:10" x14ac:dyDescent="0.35">
      <c r="I42609" s="63"/>
      <c r="J42609" s="63"/>
    </row>
    <row r="42610" spans="9:10" x14ac:dyDescent="0.35">
      <c r="I42610" s="63"/>
      <c r="J42610" s="63"/>
    </row>
    <row r="42611" spans="9:10" x14ac:dyDescent="0.35">
      <c r="I42611" s="63"/>
      <c r="J42611" s="63"/>
    </row>
    <row r="42612" spans="9:10" x14ac:dyDescent="0.35">
      <c r="I42612" s="63"/>
      <c r="J42612" s="63"/>
    </row>
    <row r="42613" spans="9:10" x14ac:dyDescent="0.35">
      <c r="I42613" s="63"/>
      <c r="J42613" s="63"/>
    </row>
    <row r="42614" spans="9:10" x14ac:dyDescent="0.35">
      <c r="I42614" s="63"/>
      <c r="J42614" s="63"/>
    </row>
    <row r="42615" spans="9:10" x14ac:dyDescent="0.35">
      <c r="I42615" s="63"/>
      <c r="J42615" s="63"/>
    </row>
    <row r="42616" spans="9:10" x14ac:dyDescent="0.35">
      <c r="I42616" s="63"/>
      <c r="J42616" s="63"/>
    </row>
    <row r="42617" spans="9:10" x14ac:dyDescent="0.35">
      <c r="I42617" s="63"/>
      <c r="J42617" s="63"/>
    </row>
    <row r="42618" spans="9:10" x14ac:dyDescent="0.35">
      <c r="I42618" s="63"/>
      <c r="J42618" s="63"/>
    </row>
    <row r="42619" spans="9:10" x14ac:dyDescent="0.35">
      <c r="I42619" s="63"/>
      <c r="J42619" s="63"/>
    </row>
    <row r="42620" spans="9:10" x14ac:dyDescent="0.35">
      <c r="I42620" s="63"/>
      <c r="J42620" s="63"/>
    </row>
    <row r="42621" spans="9:10" x14ac:dyDescent="0.35">
      <c r="I42621" s="63"/>
      <c r="J42621" s="63"/>
    </row>
    <row r="42622" spans="9:10" x14ac:dyDescent="0.35">
      <c r="I42622" s="63"/>
      <c r="J42622" s="63"/>
    </row>
    <row r="42623" spans="9:10" x14ac:dyDescent="0.35">
      <c r="I42623" s="63"/>
      <c r="J42623" s="63"/>
    </row>
    <row r="42624" spans="9:10" x14ac:dyDescent="0.35">
      <c r="I42624" s="63"/>
      <c r="J42624" s="63"/>
    </row>
    <row r="42625" spans="9:10" x14ac:dyDescent="0.35">
      <c r="I42625" s="63"/>
      <c r="J42625" s="63"/>
    </row>
    <row r="42626" spans="9:10" x14ac:dyDescent="0.35">
      <c r="I42626" s="63"/>
      <c r="J42626" s="63"/>
    </row>
    <row r="42627" spans="9:10" x14ac:dyDescent="0.35">
      <c r="I42627" s="63"/>
      <c r="J42627" s="63"/>
    </row>
    <row r="42628" spans="9:10" x14ac:dyDescent="0.35">
      <c r="I42628" s="63"/>
      <c r="J42628" s="63"/>
    </row>
    <row r="42629" spans="9:10" x14ac:dyDescent="0.35">
      <c r="I42629" s="63"/>
      <c r="J42629" s="63"/>
    </row>
    <row r="42630" spans="9:10" x14ac:dyDescent="0.35">
      <c r="I42630" s="63"/>
      <c r="J42630" s="63"/>
    </row>
    <row r="42631" spans="9:10" x14ac:dyDescent="0.35">
      <c r="I42631" s="63"/>
      <c r="J42631" s="63"/>
    </row>
    <row r="42632" spans="9:10" x14ac:dyDescent="0.35">
      <c r="I42632" s="63"/>
      <c r="J42632" s="63"/>
    </row>
    <row r="42633" spans="9:10" x14ac:dyDescent="0.35">
      <c r="I42633" s="63"/>
      <c r="J42633" s="63"/>
    </row>
    <row r="42634" spans="9:10" x14ac:dyDescent="0.35">
      <c r="I42634" s="63"/>
      <c r="J42634" s="63"/>
    </row>
    <row r="42635" spans="9:10" x14ac:dyDescent="0.35">
      <c r="I42635" s="63"/>
      <c r="J42635" s="63"/>
    </row>
    <row r="42636" spans="9:10" x14ac:dyDescent="0.35">
      <c r="I42636" s="63"/>
      <c r="J42636" s="63"/>
    </row>
    <row r="42637" spans="9:10" x14ac:dyDescent="0.35">
      <c r="I42637" s="63"/>
      <c r="J42637" s="63"/>
    </row>
    <row r="42638" spans="9:10" x14ac:dyDescent="0.35">
      <c r="I42638" s="63"/>
      <c r="J42638" s="63"/>
    </row>
    <row r="42639" spans="9:10" x14ac:dyDescent="0.35">
      <c r="I42639" s="63"/>
      <c r="J42639" s="63"/>
    </row>
    <row r="42640" spans="9:10" x14ac:dyDescent="0.35">
      <c r="I42640" s="63"/>
      <c r="J42640" s="63"/>
    </row>
    <row r="42641" spans="9:10" x14ac:dyDescent="0.35">
      <c r="I42641" s="63"/>
      <c r="J42641" s="63"/>
    </row>
    <row r="42642" spans="9:10" x14ac:dyDescent="0.35">
      <c r="I42642" s="63"/>
      <c r="J42642" s="63"/>
    </row>
    <row r="42643" spans="9:10" x14ac:dyDescent="0.35">
      <c r="I42643" s="63"/>
      <c r="J42643" s="63"/>
    </row>
    <row r="42644" spans="9:10" x14ac:dyDescent="0.35">
      <c r="I42644" s="63"/>
      <c r="J42644" s="63"/>
    </row>
    <row r="42645" spans="9:10" x14ac:dyDescent="0.35">
      <c r="I42645" s="63"/>
      <c r="J42645" s="63"/>
    </row>
    <row r="42646" spans="9:10" x14ac:dyDescent="0.35">
      <c r="I42646" s="63"/>
      <c r="J42646" s="63"/>
    </row>
    <row r="42647" spans="9:10" x14ac:dyDescent="0.35">
      <c r="I42647" s="63"/>
      <c r="J42647" s="63"/>
    </row>
    <row r="42648" spans="9:10" x14ac:dyDescent="0.35">
      <c r="I42648" s="63"/>
      <c r="J42648" s="63"/>
    </row>
    <row r="42649" spans="9:10" x14ac:dyDescent="0.35">
      <c r="I42649" s="63"/>
      <c r="J42649" s="63"/>
    </row>
    <row r="42650" spans="9:10" x14ac:dyDescent="0.35">
      <c r="I42650" s="63"/>
      <c r="J42650" s="63"/>
    </row>
    <row r="42651" spans="9:10" x14ac:dyDescent="0.35">
      <c r="I42651" s="63"/>
      <c r="J42651" s="63"/>
    </row>
    <row r="42652" spans="9:10" x14ac:dyDescent="0.35">
      <c r="I42652" s="63"/>
      <c r="J42652" s="63"/>
    </row>
    <row r="42653" spans="9:10" x14ac:dyDescent="0.35">
      <c r="I42653" s="63"/>
      <c r="J42653" s="63"/>
    </row>
    <row r="42654" spans="9:10" x14ac:dyDescent="0.35">
      <c r="I42654" s="63"/>
      <c r="J42654" s="63"/>
    </row>
    <row r="42655" spans="9:10" x14ac:dyDescent="0.35">
      <c r="I42655" s="63"/>
      <c r="J42655" s="63"/>
    </row>
    <row r="42656" spans="9:10" x14ac:dyDescent="0.35">
      <c r="I42656" s="63"/>
      <c r="J42656" s="63"/>
    </row>
    <row r="42657" spans="9:10" x14ac:dyDescent="0.35">
      <c r="I42657" s="63"/>
      <c r="J42657" s="63"/>
    </row>
    <row r="42658" spans="9:10" x14ac:dyDescent="0.35">
      <c r="I42658" s="63"/>
      <c r="J42658" s="63"/>
    </row>
    <row r="42659" spans="9:10" x14ac:dyDescent="0.35">
      <c r="I42659" s="63"/>
      <c r="J42659" s="63"/>
    </row>
    <row r="42660" spans="9:10" x14ac:dyDescent="0.35">
      <c r="I42660" s="63"/>
      <c r="J42660" s="63"/>
    </row>
    <row r="42661" spans="9:10" x14ac:dyDescent="0.35">
      <c r="I42661" s="63"/>
      <c r="J42661" s="63"/>
    </row>
    <row r="42662" spans="9:10" x14ac:dyDescent="0.35">
      <c r="I42662" s="63"/>
      <c r="J42662" s="63"/>
    </row>
    <row r="42663" spans="9:10" x14ac:dyDescent="0.35">
      <c r="I42663" s="63"/>
      <c r="J42663" s="63"/>
    </row>
    <row r="42664" spans="9:10" x14ac:dyDescent="0.35">
      <c r="I42664" s="63"/>
      <c r="J42664" s="63"/>
    </row>
    <row r="42665" spans="9:10" x14ac:dyDescent="0.35">
      <c r="I42665" s="63"/>
      <c r="J42665" s="63"/>
    </row>
    <row r="42666" spans="9:10" x14ac:dyDescent="0.35">
      <c r="I42666" s="63"/>
      <c r="J42666" s="63"/>
    </row>
    <row r="42667" spans="9:10" x14ac:dyDescent="0.35">
      <c r="I42667" s="63"/>
      <c r="J42667" s="63"/>
    </row>
    <row r="42668" spans="9:10" x14ac:dyDescent="0.35">
      <c r="I42668" s="63"/>
      <c r="J42668" s="63"/>
    </row>
    <row r="42669" spans="9:10" x14ac:dyDescent="0.35">
      <c r="I42669" s="63"/>
      <c r="J42669" s="63"/>
    </row>
    <row r="42670" spans="9:10" x14ac:dyDescent="0.35">
      <c r="I42670" s="63"/>
      <c r="J42670" s="63"/>
    </row>
    <row r="42671" spans="9:10" x14ac:dyDescent="0.35">
      <c r="I42671" s="63"/>
      <c r="J42671" s="63"/>
    </row>
    <row r="42672" spans="9:10" x14ac:dyDescent="0.35">
      <c r="I42672" s="63"/>
      <c r="J42672" s="63"/>
    </row>
    <row r="42673" spans="9:10" x14ac:dyDescent="0.35">
      <c r="I42673" s="63"/>
      <c r="J42673" s="63"/>
    </row>
    <row r="42674" spans="9:10" x14ac:dyDescent="0.35">
      <c r="I42674" s="63"/>
      <c r="J42674" s="63"/>
    </row>
    <row r="42675" spans="9:10" x14ac:dyDescent="0.35">
      <c r="I42675" s="63"/>
      <c r="J42675" s="63"/>
    </row>
    <row r="42676" spans="9:10" x14ac:dyDescent="0.35">
      <c r="I42676" s="63"/>
      <c r="J42676" s="63"/>
    </row>
    <row r="42677" spans="9:10" x14ac:dyDescent="0.35">
      <c r="I42677" s="63"/>
      <c r="J42677" s="63"/>
    </row>
    <row r="42678" spans="9:10" x14ac:dyDescent="0.35">
      <c r="I42678" s="63"/>
      <c r="J42678" s="63"/>
    </row>
    <row r="42679" spans="9:10" x14ac:dyDescent="0.35">
      <c r="I42679" s="63"/>
      <c r="J42679" s="63"/>
    </row>
    <row r="42680" spans="9:10" x14ac:dyDescent="0.35">
      <c r="I42680" s="63"/>
      <c r="J42680" s="63"/>
    </row>
    <row r="42681" spans="9:10" x14ac:dyDescent="0.35">
      <c r="I42681" s="63"/>
      <c r="J42681" s="63"/>
    </row>
    <row r="42682" spans="9:10" x14ac:dyDescent="0.35">
      <c r="I42682" s="63"/>
      <c r="J42682" s="63"/>
    </row>
    <row r="42683" spans="9:10" x14ac:dyDescent="0.35">
      <c r="I42683" s="63"/>
      <c r="J42683" s="63"/>
    </row>
    <row r="42684" spans="9:10" x14ac:dyDescent="0.35">
      <c r="I42684" s="63"/>
      <c r="J42684" s="63"/>
    </row>
    <row r="42685" spans="9:10" x14ac:dyDescent="0.35">
      <c r="I42685" s="63"/>
      <c r="J42685" s="63"/>
    </row>
    <row r="42686" spans="9:10" x14ac:dyDescent="0.35">
      <c r="I42686" s="63"/>
      <c r="J42686" s="63"/>
    </row>
    <row r="42687" spans="9:10" x14ac:dyDescent="0.35">
      <c r="I42687" s="63"/>
      <c r="J42687" s="63"/>
    </row>
    <row r="42688" spans="9:10" x14ac:dyDescent="0.35">
      <c r="I42688" s="63"/>
      <c r="J42688" s="63"/>
    </row>
    <row r="42689" spans="9:10" x14ac:dyDescent="0.35">
      <c r="I42689" s="63"/>
      <c r="J42689" s="63"/>
    </row>
    <row r="42690" spans="9:10" x14ac:dyDescent="0.35">
      <c r="I42690" s="63"/>
      <c r="J42690" s="63"/>
    </row>
    <row r="42691" spans="9:10" x14ac:dyDescent="0.35">
      <c r="I42691" s="63"/>
      <c r="J42691" s="63"/>
    </row>
    <row r="42692" spans="9:10" x14ac:dyDescent="0.35">
      <c r="I42692" s="63"/>
      <c r="J42692" s="63"/>
    </row>
    <row r="42693" spans="9:10" x14ac:dyDescent="0.35">
      <c r="I42693" s="63"/>
      <c r="J42693" s="63"/>
    </row>
    <row r="42694" spans="9:10" x14ac:dyDescent="0.35">
      <c r="I42694" s="63"/>
      <c r="J42694" s="63"/>
    </row>
    <row r="42695" spans="9:10" x14ac:dyDescent="0.35">
      <c r="I42695" s="63"/>
      <c r="J42695" s="63"/>
    </row>
    <row r="42696" spans="9:10" x14ac:dyDescent="0.35">
      <c r="I42696" s="63"/>
      <c r="J42696" s="63"/>
    </row>
    <row r="42697" spans="9:10" x14ac:dyDescent="0.35">
      <c r="I42697" s="63"/>
      <c r="J42697" s="63"/>
    </row>
    <row r="42698" spans="9:10" x14ac:dyDescent="0.35">
      <c r="I42698" s="63"/>
      <c r="J42698" s="63"/>
    </row>
    <row r="42699" spans="9:10" x14ac:dyDescent="0.35">
      <c r="I42699" s="63"/>
      <c r="J42699" s="63"/>
    </row>
    <row r="42700" spans="9:10" x14ac:dyDescent="0.35">
      <c r="I42700" s="63"/>
      <c r="J42700" s="63"/>
    </row>
    <row r="42701" spans="9:10" x14ac:dyDescent="0.35">
      <c r="I42701" s="63"/>
      <c r="J42701" s="63"/>
    </row>
    <row r="42702" spans="9:10" x14ac:dyDescent="0.35">
      <c r="I42702" s="63"/>
      <c r="J42702" s="63"/>
    </row>
    <row r="42703" spans="9:10" x14ac:dyDescent="0.35">
      <c r="I42703" s="63"/>
      <c r="J42703" s="63"/>
    </row>
    <row r="42704" spans="9:10" x14ac:dyDescent="0.35">
      <c r="I42704" s="63"/>
      <c r="J42704" s="63"/>
    </row>
    <row r="42705" spans="9:10" x14ac:dyDescent="0.35">
      <c r="I42705" s="63"/>
      <c r="J42705" s="63"/>
    </row>
    <row r="42706" spans="9:10" x14ac:dyDescent="0.35">
      <c r="I42706" s="63"/>
      <c r="J42706" s="63"/>
    </row>
    <row r="42707" spans="9:10" x14ac:dyDescent="0.35">
      <c r="I42707" s="63"/>
      <c r="J42707" s="63"/>
    </row>
    <row r="42708" spans="9:10" x14ac:dyDescent="0.35">
      <c r="I42708" s="63"/>
      <c r="J42708" s="63"/>
    </row>
    <row r="42709" spans="9:10" x14ac:dyDescent="0.35">
      <c r="I42709" s="63"/>
      <c r="J42709" s="63"/>
    </row>
    <row r="42710" spans="9:10" x14ac:dyDescent="0.35">
      <c r="I42710" s="63"/>
      <c r="J42710" s="63"/>
    </row>
    <row r="42711" spans="9:10" x14ac:dyDescent="0.35">
      <c r="I42711" s="63"/>
      <c r="J42711" s="63"/>
    </row>
    <row r="42712" spans="9:10" x14ac:dyDescent="0.35">
      <c r="I42712" s="63"/>
      <c r="J42712" s="63"/>
    </row>
    <row r="42713" spans="9:10" x14ac:dyDescent="0.35">
      <c r="I42713" s="63"/>
      <c r="J42713" s="63"/>
    </row>
    <row r="42714" spans="9:10" x14ac:dyDescent="0.35">
      <c r="I42714" s="63"/>
      <c r="J42714" s="63"/>
    </row>
    <row r="42715" spans="9:10" x14ac:dyDescent="0.35">
      <c r="I42715" s="63"/>
      <c r="J42715" s="63"/>
    </row>
    <row r="42716" spans="9:10" x14ac:dyDescent="0.35">
      <c r="I42716" s="63"/>
      <c r="J42716" s="63"/>
    </row>
    <row r="42717" spans="9:10" x14ac:dyDescent="0.35">
      <c r="I42717" s="63"/>
      <c r="J42717" s="63"/>
    </row>
    <row r="42718" spans="9:10" x14ac:dyDescent="0.35">
      <c r="I42718" s="63"/>
      <c r="J42718" s="63"/>
    </row>
    <row r="42719" spans="9:10" x14ac:dyDescent="0.35">
      <c r="I42719" s="63"/>
      <c r="J42719" s="63"/>
    </row>
    <row r="42720" spans="9:10" x14ac:dyDescent="0.35">
      <c r="I42720" s="63"/>
      <c r="J42720" s="63"/>
    </row>
    <row r="42721" spans="9:10" x14ac:dyDescent="0.35">
      <c r="I42721" s="63"/>
      <c r="J42721" s="63"/>
    </row>
    <row r="42722" spans="9:10" x14ac:dyDescent="0.35">
      <c r="I42722" s="63"/>
      <c r="J42722" s="63"/>
    </row>
    <row r="42723" spans="9:10" x14ac:dyDescent="0.35">
      <c r="I42723" s="63"/>
      <c r="J42723" s="63"/>
    </row>
    <row r="42724" spans="9:10" x14ac:dyDescent="0.35">
      <c r="I42724" s="63"/>
      <c r="J42724" s="63"/>
    </row>
    <row r="42725" spans="9:10" x14ac:dyDescent="0.35">
      <c r="I42725" s="63"/>
      <c r="J42725" s="63"/>
    </row>
    <row r="42726" spans="9:10" x14ac:dyDescent="0.35">
      <c r="I42726" s="63"/>
      <c r="J42726" s="63"/>
    </row>
    <row r="42727" spans="9:10" x14ac:dyDescent="0.35">
      <c r="I42727" s="63"/>
      <c r="J42727" s="63"/>
    </row>
    <row r="42728" spans="9:10" x14ac:dyDescent="0.35">
      <c r="I42728" s="63"/>
      <c r="J42728" s="63"/>
    </row>
    <row r="42729" spans="9:10" x14ac:dyDescent="0.35">
      <c r="I42729" s="63"/>
      <c r="J42729" s="63"/>
    </row>
    <row r="42730" spans="9:10" x14ac:dyDescent="0.35">
      <c r="I42730" s="63"/>
      <c r="J42730" s="63"/>
    </row>
    <row r="42731" spans="9:10" x14ac:dyDescent="0.35">
      <c r="I42731" s="63"/>
      <c r="J42731" s="63"/>
    </row>
    <row r="42732" spans="9:10" x14ac:dyDescent="0.35">
      <c r="I42732" s="63"/>
      <c r="J42732" s="63"/>
    </row>
    <row r="42733" spans="9:10" x14ac:dyDescent="0.35">
      <c r="I42733" s="63"/>
      <c r="J42733" s="63"/>
    </row>
    <row r="42734" spans="9:10" x14ac:dyDescent="0.35">
      <c r="I42734" s="63"/>
      <c r="J42734" s="63"/>
    </row>
    <row r="42735" spans="9:10" x14ac:dyDescent="0.35">
      <c r="I42735" s="63"/>
      <c r="J42735" s="63"/>
    </row>
    <row r="42736" spans="9:10" x14ac:dyDescent="0.35">
      <c r="I42736" s="63"/>
      <c r="J42736" s="63"/>
    </row>
    <row r="42737" spans="9:10" x14ac:dyDescent="0.35">
      <c r="I42737" s="63"/>
      <c r="J42737" s="63"/>
    </row>
    <row r="42738" spans="9:10" x14ac:dyDescent="0.35">
      <c r="I42738" s="63"/>
      <c r="J42738" s="63"/>
    </row>
    <row r="42739" spans="9:10" x14ac:dyDescent="0.35">
      <c r="I42739" s="63"/>
      <c r="J42739" s="63"/>
    </row>
    <row r="42740" spans="9:10" x14ac:dyDescent="0.35">
      <c r="I42740" s="63"/>
      <c r="J42740" s="63"/>
    </row>
    <row r="42741" spans="9:10" x14ac:dyDescent="0.35">
      <c r="I42741" s="63"/>
      <c r="J42741" s="63"/>
    </row>
    <row r="42742" spans="9:10" x14ac:dyDescent="0.35">
      <c r="I42742" s="63"/>
      <c r="J42742" s="63"/>
    </row>
    <row r="42743" spans="9:10" x14ac:dyDescent="0.35">
      <c r="I42743" s="63"/>
      <c r="J42743" s="63"/>
    </row>
    <row r="42744" spans="9:10" x14ac:dyDescent="0.35">
      <c r="I42744" s="63"/>
      <c r="J42744" s="63"/>
    </row>
    <row r="42745" spans="9:10" x14ac:dyDescent="0.35">
      <c r="I42745" s="63"/>
      <c r="J42745" s="63"/>
    </row>
    <row r="42746" spans="9:10" x14ac:dyDescent="0.35">
      <c r="I42746" s="63"/>
      <c r="J42746" s="63"/>
    </row>
    <row r="42747" spans="9:10" x14ac:dyDescent="0.35">
      <c r="I42747" s="63"/>
      <c r="J42747" s="63"/>
    </row>
    <row r="42748" spans="9:10" x14ac:dyDescent="0.35">
      <c r="I42748" s="63"/>
      <c r="J42748" s="63"/>
    </row>
    <row r="42749" spans="9:10" x14ac:dyDescent="0.35">
      <c r="I42749" s="63"/>
      <c r="J42749" s="63"/>
    </row>
    <row r="42750" spans="9:10" x14ac:dyDescent="0.35">
      <c r="I42750" s="63"/>
      <c r="J42750" s="63"/>
    </row>
    <row r="42751" spans="9:10" x14ac:dyDescent="0.35">
      <c r="I42751" s="63"/>
      <c r="J42751" s="63"/>
    </row>
    <row r="42752" spans="9:10" x14ac:dyDescent="0.35">
      <c r="I42752" s="63"/>
      <c r="J42752" s="63"/>
    </row>
    <row r="42753" spans="9:10" x14ac:dyDescent="0.35">
      <c r="I42753" s="63"/>
      <c r="J42753" s="63"/>
    </row>
    <row r="42754" spans="9:10" x14ac:dyDescent="0.35">
      <c r="I42754" s="63"/>
      <c r="J42754" s="63"/>
    </row>
    <row r="42755" spans="9:10" x14ac:dyDescent="0.35">
      <c r="I42755" s="63"/>
      <c r="J42755" s="63"/>
    </row>
    <row r="42756" spans="9:10" x14ac:dyDescent="0.35">
      <c r="I42756" s="63"/>
      <c r="J42756" s="63"/>
    </row>
    <row r="42757" spans="9:10" x14ac:dyDescent="0.35">
      <c r="I42757" s="63"/>
      <c r="J42757" s="63"/>
    </row>
    <row r="42758" spans="9:10" x14ac:dyDescent="0.35">
      <c r="I42758" s="63"/>
      <c r="J42758" s="63"/>
    </row>
    <row r="42759" spans="9:10" x14ac:dyDescent="0.35">
      <c r="I42759" s="63"/>
      <c r="J42759" s="63"/>
    </row>
    <row r="42760" spans="9:10" x14ac:dyDescent="0.35">
      <c r="I42760" s="63"/>
      <c r="J42760" s="63"/>
    </row>
    <row r="42761" spans="9:10" x14ac:dyDescent="0.35">
      <c r="I42761" s="63"/>
      <c r="J42761" s="63"/>
    </row>
    <row r="42762" spans="9:10" x14ac:dyDescent="0.35">
      <c r="I42762" s="63"/>
      <c r="J42762" s="63"/>
    </row>
    <row r="42763" spans="9:10" x14ac:dyDescent="0.35">
      <c r="I42763" s="63"/>
      <c r="J42763" s="63"/>
    </row>
    <row r="42764" spans="9:10" x14ac:dyDescent="0.35">
      <c r="I42764" s="63"/>
      <c r="J42764" s="63"/>
    </row>
    <row r="42765" spans="9:10" x14ac:dyDescent="0.35">
      <c r="I42765" s="63"/>
      <c r="J42765" s="63"/>
    </row>
    <row r="42766" spans="9:10" x14ac:dyDescent="0.35">
      <c r="I42766" s="63"/>
      <c r="J42766" s="63"/>
    </row>
    <row r="42767" spans="9:10" x14ac:dyDescent="0.35">
      <c r="I42767" s="63"/>
      <c r="J42767" s="63"/>
    </row>
    <row r="42768" spans="9:10" x14ac:dyDescent="0.35">
      <c r="I42768" s="63"/>
      <c r="J42768" s="63"/>
    </row>
    <row r="42769" spans="9:10" x14ac:dyDescent="0.35">
      <c r="I42769" s="63"/>
      <c r="J42769" s="63"/>
    </row>
    <row r="42770" spans="9:10" x14ac:dyDescent="0.35">
      <c r="I42770" s="63"/>
      <c r="J42770" s="63"/>
    </row>
    <row r="42771" spans="9:10" x14ac:dyDescent="0.35">
      <c r="I42771" s="63"/>
      <c r="J42771" s="63"/>
    </row>
    <row r="42772" spans="9:10" x14ac:dyDescent="0.35">
      <c r="I42772" s="63"/>
      <c r="J42772" s="63"/>
    </row>
    <row r="42773" spans="9:10" x14ac:dyDescent="0.35">
      <c r="I42773" s="63"/>
      <c r="J42773" s="63"/>
    </row>
    <row r="42774" spans="9:10" x14ac:dyDescent="0.35">
      <c r="I42774" s="63"/>
      <c r="J42774" s="63"/>
    </row>
    <row r="42775" spans="9:10" x14ac:dyDescent="0.35">
      <c r="I42775" s="63"/>
      <c r="J42775" s="63"/>
    </row>
    <row r="42776" spans="9:10" x14ac:dyDescent="0.35">
      <c r="I42776" s="63"/>
      <c r="J42776" s="63"/>
    </row>
    <row r="42777" spans="9:10" x14ac:dyDescent="0.35">
      <c r="I42777" s="63"/>
      <c r="J42777" s="63"/>
    </row>
    <row r="42778" spans="9:10" x14ac:dyDescent="0.35">
      <c r="I42778" s="63"/>
      <c r="J42778" s="63"/>
    </row>
    <row r="42779" spans="9:10" x14ac:dyDescent="0.35">
      <c r="I42779" s="63"/>
      <c r="J42779" s="63"/>
    </row>
    <row r="42780" spans="9:10" x14ac:dyDescent="0.35">
      <c r="I42780" s="63"/>
      <c r="J42780" s="63"/>
    </row>
    <row r="42781" spans="9:10" x14ac:dyDescent="0.35">
      <c r="I42781" s="63"/>
      <c r="J42781" s="63"/>
    </row>
    <row r="42782" spans="9:10" x14ac:dyDescent="0.35">
      <c r="I42782" s="63"/>
      <c r="J42782" s="63"/>
    </row>
    <row r="42783" spans="9:10" x14ac:dyDescent="0.35">
      <c r="I42783" s="63"/>
      <c r="J42783" s="63"/>
    </row>
    <row r="42784" spans="9:10" x14ac:dyDescent="0.35">
      <c r="I42784" s="63"/>
      <c r="J42784" s="63"/>
    </row>
    <row r="42785" spans="9:10" x14ac:dyDescent="0.35">
      <c r="I42785" s="63"/>
      <c r="J42785" s="63"/>
    </row>
    <row r="42786" spans="9:10" x14ac:dyDescent="0.35">
      <c r="I42786" s="63"/>
      <c r="J42786" s="63"/>
    </row>
    <row r="42787" spans="9:10" x14ac:dyDescent="0.35">
      <c r="I42787" s="63"/>
      <c r="J42787" s="63"/>
    </row>
    <row r="42788" spans="9:10" x14ac:dyDescent="0.35">
      <c r="I42788" s="63"/>
      <c r="J42788" s="63"/>
    </row>
    <row r="42789" spans="9:10" x14ac:dyDescent="0.35">
      <c r="I42789" s="63"/>
      <c r="J42789" s="63"/>
    </row>
    <row r="42790" spans="9:10" x14ac:dyDescent="0.35">
      <c r="I42790" s="63"/>
      <c r="J42790" s="63"/>
    </row>
    <row r="42791" spans="9:10" x14ac:dyDescent="0.35">
      <c r="I42791" s="63"/>
      <c r="J42791" s="63"/>
    </row>
    <row r="42792" spans="9:10" x14ac:dyDescent="0.35">
      <c r="I42792" s="63"/>
      <c r="J42792" s="63"/>
    </row>
    <row r="42793" spans="9:10" x14ac:dyDescent="0.35">
      <c r="I42793" s="63"/>
      <c r="J42793" s="63"/>
    </row>
    <row r="42794" spans="9:10" x14ac:dyDescent="0.35">
      <c r="I42794" s="63"/>
      <c r="J42794" s="63"/>
    </row>
    <row r="42795" spans="9:10" x14ac:dyDescent="0.35">
      <c r="I42795" s="63"/>
      <c r="J42795" s="63"/>
    </row>
    <row r="42796" spans="9:10" x14ac:dyDescent="0.35">
      <c r="I42796" s="63"/>
      <c r="J42796" s="63"/>
    </row>
    <row r="42797" spans="9:10" x14ac:dyDescent="0.35">
      <c r="I42797" s="63"/>
      <c r="J42797" s="63"/>
    </row>
    <row r="42798" spans="9:10" x14ac:dyDescent="0.35">
      <c r="I42798" s="63"/>
      <c r="J42798" s="63"/>
    </row>
    <row r="42799" spans="9:10" x14ac:dyDescent="0.35">
      <c r="I42799" s="63"/>
      <c r="J42799" s="63"/>
    </row>
    <row r="42800" spans="9:10" x14ac:dyDescent="0.35">
      <c r="I42800" s="63"/>
      <c r="J42800" s="63"/>
    </row>
    <row r="42801" spans="9:10" x14ac:dyDescent="0.35">
      <c r="I42801" s="63"/>
      <c r="J42801" s="63"/>
    </row>
    <row r="42802" spans="9:10" x14ac:dyDescent="0.35">
      <c r="I42802" s="63"/>
      <c r="J42802" s="63"/>
    </row>
    <row r="42803" spans="9:10" x14ac:dyDescent="0.35">
      <c r="I42803" s="63"/>
      <c r="J42803" s="63"/>
    </row>
    <row r="42804" spans="9:10" x14ac:dyDescent="0.35">
      <c r="I42804" s="63"/>
      <c r="J42804" s="63"/>
    </row>
    <row r="42805" spans="9:10" x14ac:dyDescent="0.35">
      <c r="I42805" s="63"/>
      <c r="J42805" s="63"/>
    </row>
    <row r="42806" spans="9:10" x14ac:dyDescent="0.35">
      <c r="I42806" s="63"/>
      <c r="J42806" s="63"/>
    </row>
    <row r="42807" spans="9:10" x14ac:dyDescent="0.35">
      <c r="I42807" s="63"/>
      <c r="J42807" s="63"/>
    </row>
    <row r="42808" spans="9:10" x14ac:dyDescent="0.35">
      <c r="I42808" s="63"/>
      <c r="J42808" s="63"/>
    </row>
    <row r="42809" spans="9:10" x14ac:dyDescent="0.35">
      <c r="I42809" s="63"/>
      <c r="J42809" s="63"/>
    </row>
    <row r="42810" spans="9:10" x14ac:dyDescent="0.35">
      <c r="I42810" s="63"/>
      <c r="J42810" s="63"/>
    </row>
    <row r="42811" spans="9:10" x14ac:dyDescent="0.35">
      <c r="I42811" s="63"/>
      <c r="J42811" s="63"/>
    </row>
    <row r="42812" spans="9:10" x14ac:dyDescent="0.35">
      <c r="I42812" s="63"/>
      <c r="J42812" s="63"/>
    </row>
    <row r="42813" spans="9:10" x14ac:dyDescent="0.35">
      <c r="I42813" s="63"/>
      <c r="J42813" s="63"/>
    </row>
    <row r="42814" spans="9:10" x14ac:dyDescent="0.35">
      <c r="I42814" s="63"/>
      <c r="J42814" s="63"/>
    </row>
    <row r="42815" spans="9:10" x14ac:dyDescent="0.35">
      <c r="I42815" s="63"/>
      <c r="J42815" s="63"/>
    </row>
    <row r="42816" spans="9:10" x14ac:dyDescent="0.35">
      <c r="I42816" s="63"/>
      <c r="J42816" s="63"/>
    </row>
    <row r="42817" spans="9:10" x14ac:dyDescent="0.35">
      <c r="I42817" s="63"/>
      <c r="J42817" s="63"/>
    </row>
    <row r="42818" spans="9:10" x14ac:dyDescent="0.35">
      <c r="I42818" s="63"/>
      <c r="J42818" s="63"/>
    </row>
    <row r="42819" spans="9:10" x14ac:dyDescent="0.35">
      <c r="I42819" s="63"/>
      <c r="J42819" s="63"/>
    </row>
    <row r="42820" spans="9:10" x14ac:dyDescent="0.35">
      <c r="I42820" s="63"/>
      <c r="J42820" s="63"/>
    </row>
    <row r="42821" spans="9:10" x14ac:dyDescent="0.35">
      <c r="I42821" s="63"/>
      <c r="J42821" s="63"/>
    </row>
    <row r="42822" spans="9:10" x14ac:dyDescent="0.35">
      <c r="I42822" s="63"/>
      <c r="J42822" s="63"/>
    </row>
    <row r="42823" spans="9:10" x14ac:dyDescent="0.35">
      <c r="I42823" s="63"/>
      <c r="J42823" s="63"/>
    </row>
    <row r="42824" spans="9:10" x14ac:dyDescent="0.35">
      <c r="I42824" s="63"/>
      <c r="J42824" s="63"/>
    </row>
    <row r="42825" spans="9:10" x14ac:dyDescent="0.35">
      <c r="I42825" s="63"/>
      <c r="J42825" s="63"/>
    </row>
    <row r="42826" spans="9:10" x14ac:dyDescent="0.35">
      <c r="I42826" s="63"/>
      <c r="J42826" s="63"/>
    </row>
    <row r="42827" spans="9:10" x14ac:dyDescent="0.35">
      <c r="I42827" s="63"/>
      <c r="J42827" s="63"/>
    </row>
    <row r="42828" spans="9:10" x14ac:dyDescent="0.35">
      <c r="I42828" s="63"/>
      <c r="J42828" s="63"/>
    </row>
    <row r="42829" spans="9:10" x14ac:dyDescent="0.35">
      <c r="I42829" s="63"/>
      <c r="J42829" s="63"/>
    </row>
    <row r="42830" spans="9:10" x14ac:dyDescent="0.35">
      <c r="I42830" s="63"/>
      <c r="J42830" s="63"/>
    </row>
    <row r="42831" spans="9:10" x14ac:dyDescent="0.35">
      <c r="I42831" s="63"/>
      <c r="J42831" s="63"/>
    </row>
    <row r="42832" spans="9:10" x14ac:dyDescent="0.35">
      <c r="I42832" s="63"/>
      <c r="J42832" s="63"/>
    </row>
    <row r="42833" spans="9:10" x14ac:dyDescent="0.35">
      <c r="I42833" s="63"/>
      <c r="J42833" s="63"/>
    </row>
    <row r="42834" spans="9:10" x14ac:dyDescent="0.35">
      <c r="I42834" s="63"/>
      <c r="J42834" s="63"/>
    </row>
    <row r="42835" spans="9:10" x14ac:dyDescent="0.35">
      <c r="I42835" s="63"/>
      <c r="J42835" s="63"/>
    </row>
    <row r="42836" spans="9:10" x14ac:dyDescent="0.35">
      <c r="I42836" s="63"/>
      <c r="J42836" s="63"/>
    </row>
    <row r="42837" spans="9:10" x14ac:dyDescent="0.35">
      <c r="I42837" s="63"/>
      <c r="J42837" s="63"/>
    </row>
    <row r="42838" spans="9:10" x14ac:dyDescent="0.35">
      <c r="I42838" s="63"/>
      <c r="J42838" s="63"/>
    </row>
    <row r="42839" spans="9:10" x14ac:dyDescent="0.35">
      <c r="I42839" s="63"/>
      <c r="J42839" s="63"/>
    </row>
    <row r="42840" spans="9:10" x14ac:dyDescent="0.35">
      <c r="I42840" s="63"/>
      <c r="J42840" s="63"/>
    </row>
    <row r="42841" spans="9:10" x14ac:dyDescent="0.35">
      <c r="I42841" s="63"/>
      <c r="J42841" s="63"/>
    </row>
    <row r="42842" spans="9:10" x14ac:dyDescent="0.35">
      <c r="I42842" s="63"/>
      <c r="J42842" s="63"/>
    </row>
    <row r="42843" spans="9:10" x14ac:dyDescent="0.35">
      <c r="I42843" s="63"/>
      <c r="J42843" s="63"/>
    </row>
    <row r="42844" spans="9:10" x14ac:dyDescent="0.35">
      <c r="I42844" s="63"/>
      <c r="J42844" s="63"/>
    </row>
    <row r="42845" spans="9:10" x14ac:dyDescent="0.35">
      <c r="I42845" s="63"/>
      <c r="J42845" s="63"/>
    </row>
    <row r="42846" spans="9:10" x14ac:dyDescent="0.35">
      <c r="I42846" s="63"/>
      <c r="J42846" s="63"/>
    </row>
    <row r="42847" spans="9:10" x14ac:dyDescent="0.35">
      <c r="I42847" s="63"/>
      <c r="J42847" s="63"/>
    </row>
    <row r="42848" spans="9:10" x14ac:dyDescent="0.35">
      <c r="I42848" s="63"/>
      <c r="J42848" s="63"/>
    </row>
    <row r="42849" spans="9:10" x14ac:dyDescent="0.35">
      <c r="I42849" s="63"/>
      <c r="J42849" s="63"/>
    </row>
    <row r="42850" spans="9:10" x14ac:dyDescent="0.35">
      <c r="I42850" s="63"/>
      <c r="J42850" s="63"/>
    </row>
    <row r="42851" spans="9:10" x14ac:dyDescent="0.35">
      <c r="I42851" s="63"/>
      <c r="J42851" s="63"/>
    </row>
    <row r="42852" spans="9:10" x14ac:dyDescent="0.35">
      <c r="I42852" s="63"/>
      <c r="J42852" s="63"/>
    </row>
    <row r="42853" spans="9:10" x14ac:dyDescent="0.35">
      <c r="I42853" s="63"/>
      <c r="J42853" s="63"/>
    </row>
    <row r="42854" spans="9:10" x14ac:dyDescent="0.35">
      <c r="I42854" s="63"/>
      <c r="J42854" s="63"/>
    </row>
    <row r="42855" spans="9:10" x14ac:dyDescent="0.35">
      <c r="I42855" s="63"/>
      <c r="J42855" s="63"/>
    </row>
    <row r="42856" spans="9:10" x14ac:dyDescent="0.35">
      <c r="I42856" s="63"/>
      <c r="J42856" s="63"/>
    </row>
    <row r="42857" spans="9:10" x14ac:dyDescent="0.35">
      <c r="I42857" s="63"/>
      <c r="J42857" s="63"/>
    </row>
    <row r="42858" spans="9:10" x14ac:dyDescent="0.35">
      <c r="I42858" s="63"/>
      <c r="J42858" s="63"/>
    </row>
    <row r="42859" spans="9:10" x14ac:dyDescent="0.35">
      <c r="I42859" s="63"/>
      <c r="J42859" s="63"/>
    </row>
    <row r="42860" spans="9:10" x14ac:dyDescent="0.35">
      <c r="I42860" s="63"/>
      <c r="J42860" s="63"/>
    </row>
    <row r="42861" spans="9:10" x14ac:dyDescent="0.35">
      <c r="I42861" s="63"/>
      <c r="J42861" s="63"/>
    </row>
    <row r="42862" spans="9:10" x14ac:dyDescent="0.35">
      <c r="I42862" s="63"/>
      <c r="J42862" s="63"/>
    </row>
    <row r="42863" spans="9:10" x14ac:dyDescent="0.35">
      <c r="I42863" s="63"/>
      <c r="J42863" s="63"/>
    </row>
    <row r="42864" spans="9:10" x14ac:dyDescent="0.35">
      <c r="I42864" s="63"/>
      <c r="J42864" s="63"/>
    </row>
    <row r="42865" spans="9:10" x14ac:dyDescent="0.35">
      <c r="I42865" s="63"/>
      <c r="J42865" s="63"/>
    </row>
    <row r="42866" spans="9:10" x14ac:dyDescent="0.35">
      <c r="I42866" s="63"/>
      <c r="J42866" s="63"/>
    </row>
    <row r="42867" spans="9:10" x14ac:dyDescent="0.35">
      <c r="I42867" s="63"/>
      <c r="J42867" s="63"/>
    </row>
    <row r="42868" spans="9:10" x14ac:dyDescent="0.35">
      <c r="I42868" s="63"/>
      <c r="J42868" s="63"/>
    </row>
    <row r="42869" spans="9:10" x14ac:dyDescent="0.35">
      <c r="I42869" s="63"/>
      <c r="J42869" s="63"/>
    </row>
    <row r="42870" spans="9:10" x14ac:dyDescent="0.35">
      <c r="I42870" s="63"/>
      <c r="J42870" s="63"/>
    </row>
    <row r="42871" spans="9:10" x14ac:dyDescent="0.35">
      <c r="I42871" s="63"/>
      <c r="J42871" s="63"/>
    </row>
    <row r="42872" spans="9:10" x14ac:dyDescent="0.35">
      <c r="I42872" s="63"/>
      <c r="J42872" s="63"/>
    </row>
    <row r="42873" spans="9:10" x14ac:dyDescent="0.35">
      <c r="I42873" s="63"/>
      <c r="J42873" s="63"/>
    </row>
    <row r="42874" spans="9:10" x14ac:dyDescent="0.35">
      <c r="I42874" s="63"/>
      <c r="J42874" s="63"/>
    </row>
    <row r="42875" spans="9:10" x14ac:dyDescent="0.35">
      <c r="I42875" s="63"/>
      <c r="J42875" s="63"/>
    </row>
    <row r="42876" spans="9:10" x14ac:dyDescent="0.35">
      <c r="I42876" s="63"/>
      <c r="J42876" s="63"/>
    </row>
    <row r="42877" spans="9:10" x14ac:dyDescent="0.35">
      <c r="I42877" s="63"/>
      <c r="J42877" s="63"/>
    </row>
    <row r="42878" spans="9:10" x14ac:dyDescent="0.35">
      <c r="I42878" s="63"/>
      <c r="J42878" s="63"/>
    </row>
    <row r="42879" spans="9:10" x14ac:dyDescent="0.35">
      <c r="I42879" s="63"/>
      <c r="J42879" s="63"/>
    </row>
    <row r="42880" spans="9:10" x14ac:dyDescent="0.35">
      <c r="I42880" s="63"/>
      <c r="J42880" s="63"/>
    </row>
    <row r="42881" spans="9:10" x14ac:dyDescent="0.35">
      <c r="I42881" s="63"/>
      <c r="J42881" s="63"/>
    </row>
    <row r="42882" spans="9:10" x14ac:dyDescent="0.35">
      <c r="I42882" s="63"/>
      <c r="J42882" s="63"/>
    </row>
    <row r="42883" spans="9:10" x14ac:dyDescent="0.35">
      <c r="I42883" s="63"/>
      <c r="J42883" s="63"/>
    </row>
    <row r="42884" spans="9:10" x14ac:dyDescent="0.35">
      <c r="I42884" s="63"/>
      <c r="J42884" s="63"/>
    </row>
    <row r="42885" spans="9:10" x14ac:dyDescent="0.35">
      <c r="I42885" s="63"/>
      <c r="J42885" s="63"/>
    </row>
    <row r="42886" spans="9:10" x14ac:dyDescent="0.35">
      <c r="I42886" s="63"/>
      <c r="J42886" s="63"/>
    </row>
    <row r="42887" spans="9:10" x14ac:dyDescent="0.35">
      <c r="I42887" s="63"/>
      <c r="J42887" s="63"/>
    </row>
    <row r="42888" spans="9:10" x14ac:dyDescent="0.35">
      <c r="I42888" s="63"/>
      <c r="J42888" s="63"/>
    </row>
    <row r="42889" spans="9:10" x14ac:dyDescent="0.35">
      <c r="I42889" s="63"/>
      <c r="J42889" s="63"/>
    </row>
    <row r="42890" spans="9:10" x14ac:dyDescent="0.35">
      <c r="I42890" s="63"/>
      <c r="J42890" s="63"/>
    </row>
    <row r="42891" spans="9:10" x14ac:dyDescent="0.35">
      <c r="I42891" s="63"/>
      <c r="J42891" s="63"/>
    </row>
    <row r="42892" spans="9:10" x14ac:dyDescent="0.35">
      <c r="I42892" s="63"/>
      <c r="J42892" s="63"/>
    </row>
    <row r="42893" spans="9:10" x14ac:dyDescent="0.35">
      <c r="I42893" s="63"/>
      <c r="J42893" s="63"/>
    </row>
    <row r="42894" spans="9:10" x14ac:dyDescent="0.35">
      <c r="I42894" s="63"/>
      <c r="J42894" s="63"/>
    </row>
    <row r="42895" spans="9:10" x14ac:dyDescent="0.35">
      <c r="I42895" s="63"/>
      <c r="J42895" s="63"/>
    </row>
    <row r="42896" spans="9:10" x14ac:dyDescent="0.35">
      <c r="I42896" s="63"/>
      <c r="J42896" s="63"/>
    </row>
    <row r="42897" spans="9:10" x14ac:dyDescent="0.35">
      <c r="I42897" s="63"/>
      <c r="J42897" s="63"/>
    </row>
    <row r="42898" spans="9:10" x14ac:dyDescent="0.35">
      <c r="I42898" s="63"/>
      <c r="J42898" s="63"/>
    </row>
    <row r="42899" spans="9:10" x14ac:dyDescent="0.35">
      <c r="I42899" s="63"/>
      <c r="J42899" s="63"/>
    </row>
    <row r="42900" spans="9:10" x14ac:dyDescent="0.35">
      <c r="I42900" s="63"/>
      <c r="J42900" s="63"/>
    </row>
    <row r="42901" spans="9:10" x14ac:dyDescent="0.35">
      <c r="I42901" s="63"/>
      <c r="J42901" s="63"/>
    </row>
    <row r="42902" spans="9:10" x14ac:dyDescent="0.35">
      <c r="I42902" s="63"/>
      <c r="J42902" s="63"/>
    </row>
    <row r="42903" spans="9:10" x14ac:dyDescent="0.35">
      <c r="I42903" s="63"/>
      <c r="J42903" s="63"/>
    </row>
    <row r="42904" spans="9:10" x14ac:dyDescent="0.35">
      <c r="I42904" s="63"/>
      <c r="J42904" s="63"/>
    </row>
    <row r="42905" spans="9:10" x14ac:dyDescent="0.35">
      <c r="I42905" s="63"/>
      <c r="J42905" s="63"/>
    </row>
    <row r="42906" spans="9:10" x14ac:dyDescent="0.35">
      <c r="I42906" s="63"/>
      <c r="J42906" s="63"/>
    </row>
    <row r="42907" spans="9:10" x14ac:dyDescent="0.35">
      <c r="I42907" s="63"/>
      <c r="J42907" s="63"/>
    </row>
    <row r="42908" spans="9:10" x14ac:dyDescent="0.35">
      <c r="I42908" s="63"/>
      <c r="J42908" s="63"/>
    </row>
    <row r="42909" spans="9:10" x14ac:dyDescent="0.35">
      <c r="I42909" s="63"/>
      <c r="J42909" s="63"/>
    </row>
    <row r="42910" spans="9:10" x14ac:dyDescent="0.35">
      <c r="I42910" s="63"/>
      <c r="J42910" s="63"/>
    </row>
    <row r="42911" spans="9:10" x14ac:dyDescent="0.35">
      <c r="I42911" s="63"/>
      <c r="J42911" s="63"/>
    </row>
    <row r="42912" spans="9:10" x14ac:dyDescent="0.35">
      <c r="I42912" s="63"/>
      <c r="J42912" s="63"/>
    </row>
    <row r="42913" spans="9:10" x14ac:dyDescent="0.35">
      <c r="I42913" s="63"/>
      <c r="J42913" s="63"/>
    </row>
    <row r="42914" spans="9:10" x14ac:dyDescent="0.35">
      <c r="I42914" s="63"/>
      <c r="J42914" s="63"/>
    </row>
    <row r="42915" spans="9:10" x14ac:dyDescent="0.35">
      <c r="I42915" s="63"/>
      <c r="J42915" s="63"/>
    </row>
    <row r="42916" spans="9:10" x14ac:dyDescent="0.35">
      <c r="I42916" s="63"/>
      <c r="J42916" s="63"/>
    </row>
    <row r="42917" spans="9:10" x14ac:dyDescent="0.35">
      <c r="I42917" s="63"/>
      <c r="J42917" s="63"/>
    </row>
    <row r="42918" spans="9:10" x14ac:dyDescent="0.35">
      <c r="I42918" s="63"/>
      <c r="J42918" s="63"/>
    </row>
    <row r="42919" spans="9:10" x14ac:dyDescent="0.35">
      <c r="I42919" s="63"/>
      <c r="J42919" s="63"/>
    </row>
    <row r="42920" spans="9:10" x14ac:dyDescent="0.35">
      <c r="I42920" s="63"/>
      <c r="J42920" s="63"/>
    </row>
    <row r="42921" spans="9:10" x14ac:dyDescent="0.35">
      <c r="I42921" s="63"/>
      <c r="J42921" s="63"/>
    </row>
    <row r="42922" spans="9:10" x14ac:dyDescent="0.35">
      <c r="I42922" s="63"/>
      <c r="J42922" s="63"/>
    </row>
    <row r="42923" spans="9:10" x14ac:dyDescent="0.35">
      <c r="I42923" s="63"/>
      <c r="J42923" s="63"/>
    </row>
    <row r="42924" spans="9:10" x14ac:dyDescent="0.35">
      <c r="I42924" s="63"/>
      <c r="J42924" s="63"/>
    </row>
    <row r="42925" spans="9:10" x14ac:dyDescent="0.35">
      <c r="I42925" s="63"/>
      <c r="J42925" s="63"/>
    </row>
    <row r="42926" spans="9:10" x14ac:dyDescent="0.35">
      <c r="I42926" s="63"/>
      <c r="J42926" s="63"/>
    </row>
    <row r="42927" spans="9:10" x14ac:dyDescent="0.35">
      <c r="I42927" s="63"/>
      <c r="J42927" s="63"/>
    </row>
    <row r="42928" spans="9:10" x14ac:dyDescent="0.35">
      <c r="I42928" s="63"/>
      <c r="J42928" s="63"/>
    </row>
    <row r="42929" spans="9:10" x14ac:dyDescent="0.35">
      <c r="I42929" s="63"/>
      <c r="J42929" s="63"/>
    </row>
    <row r="42930" spans="9:10" x14ac:dyDescent="0.35">
      <c r="I42930" s="63"/>
      <c r="J42930" s="63"/>
    </row>
    <row r="42931" spans="9:10" x14ac:dyDescent="0.35">
      <c r="I42931" s="63"/>
      <c r="J42931" s="63"/>
    </row>
    <row r="42932" spans="9:10" x14ac:dyDescent="0.35">
      <c r="I42932" s="63"/>
      <c r="J42932" s="63"/>
    </row>
    <row r="42933" spans="9:10" x14ac:dyDescent="0.35">
      <c r="I42933" s="63"/>
      <c r="J42933" s="63"/>
    </row>
    <row r="42934" spans="9:10" x14ac:dyDescent="0.35">
      <c r="I42934" s="63"/>
      <c r="J42934" s="63"/>
    </row>
    <row r="42935" spans="9:10" x14ac:dyDescent="0.35">
      <c r="I42935" s="63"/>
      <c r="J42935" s="63"/>
    </row>
    <row r="42936" spans="9:10" x14ac:dyDescent="0.35">
      <c r="I42936" s="63"/>
      <c r="J42936" s="63"/>
    </row>
    <row r="42937" spans="9:10" x14ac:dyDescent="0.35">
      <c r="I42937" s="63"/>
      <c r="J42937" s="63"/>
    </row>
    <row r="42938" spans="9:10" x14ac:dyDescent="0.35">
      <c r="I42938" s="63"/>
      <c r="J42938" s="63"/>
    </row>
    <row r="42939" spans="9:10" x14ac:dyDescent="0.35">
      <c r="I42939" s="63"/>
      <c r="J42939" s="63"/>
    </row>
    <row r="42940" spans="9:10" x14ac:dyDescent="0.35">
      <c r="I42940" s="63"/>
      <c r="J42940" s="63"/>
    </row>
    <row r="42941" spans="9:10" x14ac:dyDescent="0.35">
      <c r="I42941" s="63"/>
      <c r="J42941" s="63"/>
    </row>
    <row r="42942" spans="9:10" x14ac:dyDescent="0.35">
      <c r="I42942" s="63"/>
      <c r="J42942" s="63"/>
    </row>
    <row r="42943" spans="9:10" x14ac:dyDescent="0.35">
      <c r="I42943" s="63"/>
      <c r="J42943" s="63"/>
    </row>
    <row r="42944" spans="9:10" x14ac:dyDescent="0.35">
      <c r="I42944" s="63"/>
      <c r="J42944" s="63"/>
    </row>
    <row r="42945" spans="9:10" x14ac:dyDescent="0.35">
      <c r="I42945" s="63"/>
      <c r="J42945" s="63"/>
    </row>
    <row r="42946" spans="9:10" x14ac:dyDescent="0.35">
      <c r="I42946" s="63"/>
      <c r="J42946" s="63"/>
    </row>
    <row r="42947" spans="9:10" x14ac:dyDescent="0.35">
      <c r="I42947" s="63"/>
      <c r="J42947" s="63"/>
    </row>
    <row r="42948" spans="9:10" x14ac:dyDescent="0.35">
      <c r="I42948" s="63"/>
      <c r="J42948" s="63"/>
    </row>
    <row r="42949" spans="9:10" x14ac:dyDescent="0.35">
      <c r="I42949" s="63"/>
      <c r="J42949" s="63"/>
    </row>
    <row r="42950" spans="9:10" x14ac:dyDescent="0.35">
      <c r="I42950" s="63"/>
      <c r="J42950" s="63"/>
    </row>
    <row r="42951" spans="9:10" x14ac:dyDescent="0.35">
      <c r="I42951" s="63"/>
      <c r="J42951" s="63"/>
    </row>
    <row r="42952" spans="9:10" x14ac:dyDescent="0.35">
      <c r="I42952" s="63"/>
      <c r="J42952" s="63"/>
    </row>
    <row r="42953" spans="9:10" x14ac:dyDescent="0.35">
      <c r="I42953" s="63"/>
      <c r="J42953" s="63"/>
    </row>
    <row r="42954" spans="9:10" x14ac:dyDescent="0.35">
      <c r="I42954" s="63"/>
      <c r="J42954" s="63"/>
    </row>
    <row r="42955" spans="9:10" x14ac:dyDescent="0.35">
      <c r="I42955" s="63"/>
      <c r="J42955" s="63"/>
    </row>
    <row r="42956" spans="9:10" x14ac:dyDescent="0.35">
      <c r="I42956" s="63"/>
      <c r="J42956" s="63"/>
    </row>
    <row r="42957" spans="9:10" x14ac:dyDescent="0.35">
      <c r="I42957" s="63"/>
      <c r="J42957" s="63"/>
    </row>
    <row r="42958" spans="9:10" x14ac:dyDescent="0.35">
      <c r="I42958" s="63"/>
      <c r="J42958" s="63"/>
    </row>
    <row r="42959" spans="9:10" x14ac:dyDescent="0.35">
      <c r="I42959" s="63"/>
      <c r="J42959" s="63"/>
    </row>
    <row r="42960" spans="9:10" x14ac:dyDescent="0.35">
      <c r="I42960" s="63"/>
      <c r="J42960" s="63"/>
    </row>
    <row r="42961" spans="9:10" x14ac:dyDescent="0.35">
      <c r="I42961" s="63"/>
      <c r="J42961" s="63"/>
    </row>
    <row r="42962" spans="9:10" x14ac:dyDescent="0.35">
      <c r="I42962" s="63"/>
      <c r="J42962" s="63"/>
    </row>
    <row r="42963" spans="9:10" x14ac:dyDescent="0.35">
      <c r="I42963" s="63"/>
      <c r="J42963" s="63"/>
    </row>
    <row r="42964" spans="9:10" x14ac:dyDescent="0.35">
      <c r="I42964" s="63"/>
      <c r="J42964" s="63"/>
    </row>
    <row r="42965" spans="9:10" x14ac:dyDescent="0.35">
      <c r="I42965" s="63"/>
      <c r="J42965" s="63"/>
    </row>
    <row r="42966" spans="9:10" x14ac:dyDescent="0.35">
      <c r="I42966" s="63"/>
      <c r="J42966" s="63"/>
    </row>
    <row r="42967" spans="9:10" x14ac:dyDescent="0.35">
      <c r="I42967" s="63"/>
      <c r="J42967" s="63"/>
    </row>
    <row r="42968" spans="9:10" x14ac:dyDescent="0.35">
      <c r="I42968" s="63"/>
      <c r="J42968" s="63"/>
    </row>
    <row r="42969" spans="9:10" x14ac:dyDescent="0.35">
      <c r="I42969" s="63"/>
      <c r="J42969" s="63"/>
    </row>
    <row r="42970" spans="9:10" x14ac:dyDescent="0.35">
      <c r="I42970" s="63"/>
      <c r="J42970" s="63"/>
    </row>
    <row r="42971" spans="9:10" x14ac:dyDescent="0.35">
      <c r="I42971" s="63"/>
      <c r="J42971" s="63"/>
    </row>
    <row r="42972" spans="9:10" x14ac:dyDescent="0.35">
      <c r="I42972" s="63"/>
      <c r="J42972" s="63"/>
    </row>
    <row r="42973" spans="9:10" x14ac:dyDescent="0.35">
      <c r="I42973" s="63"/>
      <c r="J42973" s="63"/>
    </row>
    <row r="42974" spans="9:10" x14ac:dyDescent="0.35">
      <c r="I42974" s="63"/>
      <c r="J42974" s="63"/>
    </row>
    <row r="42975" spans="9:10" x14ac:dyDescent="0.35">
      <c r="I42975" s="63"/>
      <c r="J42975" s="63"/>
    </row>
    <row r="42976" spans="9:10" x14ac:dyDescent="0.35">
      <c r="I42976" s="63"/>
      <c r="J42976" s="63"/>
    </row>
    <row r="42977" spans="9:10" x14ac:dyDescent="0.35">
      <c r="I42977" s="63"/>
      <c r="J42977" s="63"/>
    </row>
    <row r="42978" spans="9:10" x14ac:dyDescent="0.35">
      <c r="I42978" s="63"/>
      <c r="J42978" s="63"/>
    </row>
    <row r="42979" spans="9:10" x14ac:dyDescent="0.35">
      <c r="I42979" s="63"/>
      <c r="J42979" s="63"/>
    </row>
    <row r="42980" spans="9:10" x14ac:dyDescent="0.35">
      <c r="I42980" s="63"/>
      <c r="J42980" s="63"/>
    </row>
    <row r="42981" spans="9:10" x14ac:dyDescent="0.35">
      <c r="I42981" s="63"/>
      <c r="J42981" s="63"/>
    </row>
    <row r="42982" spans="9:10" x14ac:dyDescent="0.35">
      <c r="I42982" s="63"/>
      <c r="J42982" s="63"/>
    </row>
    <row r="42983" spans="9:10" x14ac:dyDescent="0.35">
      <c r="I42983" s="63"/>
      <c r="J42983" s="63"/>
    </row>
    <row r="42984" spans="9:10" x14ac:dyDescent="0.35">
      <c r="I42984" s="63"/>
      <c r="J42984" s="63"/>
    </row>
    <row r="42985" spans="9:10" x14ac:dyDescent="0.35">
      <c r="I42985" s="63"/>
      <c r="J42985" s="63"/>
    </row>
    <row r="42986" spans="9:10" x14ac:dyDescent="0.35">
      <c r="I42986" s="63"/>
      <c r="J42986" s="63"/>
    </row>
    <row r="42987" spans="9:10" x14ac:dyDescent="0.35">
      <c r="I42987" s="63"/>
      <c r="J42987" s="63"/>
    </row>
    <row r="42988" spans="9:10" x14ac:dyDescent="0.35">
      <c r="I42988" s="63"/>
      <c r="J42988" s="63"/>
    </row>
    <row r="42989" spans="9:10" x14ac:dyDescent="0.35">
      <c r="I42989" s="63"/>
      <c r="J42989" s="63"/>
    </row>
    <row r="42990" spans="9:10" x14ac:dyDescent="0.35">
      <c r="I42990" s="63"/>
      <c r="J42990" s="63"/>
    </row>
    <row r="42991" spans="9:10" x14ac:dyDescent="0.35">
      <c r="I42991" s="63"/>
      <c r="J42991" s="63"/>
    </row>
    <row r="42992" spans="9:10" x14ac:dyDescent="0.35">
      <c r="I42992" s="63"/>
      <c r="J42992" s="63"/>
    </row>
    <row r="42993" spans="9:10" x14ac:dyDescent="0.35">
      <c r="I42993" s="63"/>
      <c r="J42993" s="63"/>
    </row>
    <row r="42994" spans="9:10" x14ac:dyDescent="0.35">
      <c r="I42994" s="63"/>
      <c r="J42994" s="63"/>
    </row>
    <row r="42995" spans="9:10" x14ac:dyDescent="0.35">
      <c r="I42995" s="63"/>
      <c r="J42995" s="63"/>
    </row>
    <row r="42996" spans="9:10" x14ac:dyDescent="0.35">
      <c r="I42996" s="63"/>
      <c r="J42996" s="63"/>
    </row>
    <row r="42997" spans="9:10" x14ac:dyDescent="0.35">
      <c r="I42997" s="63"/>
      <c r="J42997" s="63"/>
    </row>
    <row r="42998" spans="9:10" x14ac:dyDescent="0.35">
      <c r="I42998" s="63"/>
      <c r="J42998" s="63"/>
    </row>
    <row r="42999" spans="9:10" x14ac:dyDescent="0.35">
      <c r="I42999" s="63"/>
      <c r="J42999" s="63"/>
    </row>
    <row r="43000" spans="9:10" x14ac:dyDescent="0.35">
      <c r="I43000" s="63"/>
      <c r="J43000" s="63"/>
    </row>
    <row r="43001" spans="9:10" x14ac:dyDescent="0.35">
      <c r="I43001" s="63"/>
      <c r="J43001" s="63"/>
    </row>
    <row r="43002" spans="9:10" x14ac:dyDescent="0.35">
      <c r="I43002" s="63"/>
      <c r="J43002" s="63"/>
    </row>
    <row r="43003" spans="9:10" x14ac:dyDescent="0.35">
      <c r="I43003" s="63"/>
      <c r="J43003" s="63"/>
    </row>
    <row r="43004" spans="9:10" x14ac:dyDescent="0.35">
      <c r="I43004" s="63"/>
      <c r="J43004" s="63"/>
    </row>
    <row r="43005" spans="9:10" x14ac:dyDescent="0.35">
      <c r="I43005" s="63"/>
      <c r="J43005" s="63"/>
    </row>
    <row r="43006" spans="9:10" x14ac:dyDescent="0.35">
      <c r="I43006" s="63"/>
      <c r="J43006" s="63"/>
    </row>
    <row r="43007" spans="9:10" x14ac:dyDescent="0.35">
      <c r="I43007" s="63"/>
      <c r="J43007" s="63"/>
    </row>
    <row r="43008" spans="9:10" x14ac:dyDescent="0.35">
      <c r="I43008" s="63"/>
      <c r="J43008" s="63"/>
    </row>
    <row r="43009" spans="9:10" x14ac:dyDescent="0.35">
      <c r="I43009" s="63"/>
      <c r="J43009" s="63"/>
    </row>
    <row r="43010" spans="9:10" x14ac:dyDescent="0.35">
      <c r="I43010" s="63"/>
      <c r="J43010" s="63"/>
    </row>
    <row r="43011" spans="9:10" x14ac:dyDescent="0.35">
      <c r="I43011" s="63"/>
      <c r="J43011" s="63"/>
    </row>
    <row r="43012" spans="9:10" x14ac:dyDescent="0.35">
      <c r="I43012" s="63"/>
      <c r="J43012" s="63"/>
    </row>
    <row r="43013" spans="9:10" x14ac:dyDescent="0.35">
      <c r="I43013" s="63"/>
      <c r="J43013" s="63"/>
    </row>
    <row r="43014" spans="9:10" x14ac:dyDescent="0.35">
      <c r="I43014" s="63"/>
      <c r="J43014" s="63"/>
    </row>
    <row r="43015" spans="9:10" x14ac:dyDescent="0.35">
      <c r="I43015" s="63"/>
      <c r="J43015" s="63"/>
    </row>
    <row r="43016" spans="9:10" x14ac:dyDescent="0.35">
      <c r="I43016" s="63"/>
      <c r="J43016" s="63"/>
    </row>
    <row r="43017" spans="9:10" x14ac:dyDescent="0.35">
      <c r="I43017" s="63"/>
      <c r="J43017" s="63"/>
    </row>
    <row r="43018" spans="9:10" x14ac:dyDescent="0.35">
      <c r="I43018" s="63"/>
      <c r="J43018" s="63"/>
    </row>
    <row r="43019" spans="9:10" x14ac:dyDescent="0.35">
      <c r="I43019" s="63"/>
      <c r="J43019" s="63"/>
    </row>
    <row r="43020" spans="9:10" x14ac:dyDescent="0.35">
      <c r="I43020" s="63"/>
      <c r="J43020" s="63"/>
    </row>
    <row r="43021" spans="9:10" x14ac:dyDescent="0.35">
      <c r="I43021" s="63"/>
      <c r="J43021" s="63"/>
    </row>
    <row r="43022" spans="9:10" x14ac:dyDescent="0.35">
      <c r="I43022" s="63"/>
      <c r="J43022" s="63"/>
    </row>
    <row r="43023" spans="9:10" x14ac:dyDescent="0.35">
      <c r="I43023" s="63"/>
      <c r="J43023" s="63"/>
    </row>
    <row r="43024" spans="9:10" x14ac:dyDescent="0.35">
      <c r="I43024" s="63"/>
      <c r="J43024" s="63"/>
    </row>
    <row r="43025" spans="9:10" x14ac:dyDescent="0.35">
      <c r="I43025" s="63"/>
      <c r="J43025" s="63"/>
    </row>
    <row r="43026" spans="9:10" x14ac:dyDescent="0.35">
      <c r="I43026" s="63"/>
      <c r="J43026" s="63"/>
    </row>
    <row r="43027" spans="9:10" x14ac:dyDescent="0.35">
      <c r="I43027" s="63"/>
      <c r="J43027" s="63"/>
    </row>
    <row r="43028" spans="9:10" x14ac:dyDescent="0.35">
      <c r="I43028" s="63"/>
      <c r="J43028" s="63"/>
    </row>
    <row r="43029" spans="9:10" x14ac:dyDescent="0.35">
      <c r="I43029" s="63"/>
      <c r="J43029" s="63"/>
    </row>
    <row r="43030" spans="9:10" x14ac:dyDescent="0.35">
      <c r="I43030" s="63"/>
      <c r="J43030" s="63"/>
    </row>
    <row r="43031" spans="9:10" x14ac:dyDescent="0.35">
      <c r="I43031" s="63"/>
      <c r="J43031" s="63"/>
    </row>
    <row r="43032" spans="9:10" x14ac:dyDescent="0.35">
      <c r="I43032" s="63"/>
      <c r="J43032" s="63"/>
    </row>
    <row r="43033" spans="9:10" x14ac:dyDescent="0.35">
      <c r="I43033" s="63"/>
      <c r="J43033" s="63"/>
    </row>
    <row r="43034" spans="9:10" x14ac:dyDescent="0.35">
      <c r="I43034" s="63"/>
      <c r="J43034" s="63"/>
    </row>
    <row r="43035" spans="9:10" x14ac:dyDescent="0.35">
      <c r="I43035" s="63"/>
      <c r="J43035" s="63"/>
    </row>
    <row r="43036" spans="9:10" x14ac:dyDescent="0.35">
      <c r="I43036" s="63"/>
      <c r="J43036" s="63"/>
    </row>
    <row r="43037" spans="9:10" x14ac:dyDescent="0.35">
      <c r="I43037" s="63"/>
      <c r="J43037" s="63"/>
    </row>
    <row r="43038" spans="9:10" x14ac:dyDescent="0.35">
      <c r="I43038" s="63"/>
      <c r="J43038" s="63"/>
    </row>
    <row r="43039" spans="9:10" x14ac:dyDescent="0.35">
      <c r="I43039" s="63"/>
      <c r="J43039" s="63"/>
    </row>
    <row r="43040" spans="9:10" x14ac:dyDescent="0.35">
      <c r="I43040" s="63"/>
      <c r="J43040" s="63"/>
    </row>
    <row r="43041" spans="9:10" x14ac:dyDescent="0.35">
      <c r="I43041" s="63"/>
      <c r="J43041" s="63"/>
    </row>
    <row r="43042" spans="9:10" x14ac:dyDescent="0.35">
      <c r="I43042" s="63"/>
      <c r="J43042" s="63"/>
    </row>
    <row r="43043" spans="9:10" x14ac:dyDescent="0.35">
      <c r="I43043" s="63"/>
      <c r="J43043" s="63"/>
    </row>
    <row r="43044" spans="9:10" x14ac:dyDescent="0.35">
      <c r="I43044" s="63"/>
      <c r="J43044" s="63"/>
    </row>
    <row r="43045" spans="9:10" x14ac:dyDescent="0.35">
      <c r="I43045" s="63"/>
      <c r="J43045" s="63"/>
    </row>
    <row r="43046" spans="9:10" x14ac:dyDescent="0.35">
      <c r="I43046" s="63"/>
      <c r="J43046" s="63"/>
    </row>
    <row r="43047" spans="9:10" x14ac:dyDescent="0.35">
      <c r="I43047" s="63"/>
      <c r="J43047" s="63"/>
    </row>
    <row r="43048" spans="9:10" x14ac:dyDescent="0.35">
      <c r="I43048" s="63"/>
      <c r="J43048" s="63"/>
    </row>
    <row r="43049" spans="9:10" x14ac:dyDescent="0.35">
      <c r="I43049" s="63"/>
      <c r="J43049" s="63"/>
    </row>
    <row r="43050" spans="9:10" x14ac:dyDescent="0.35">
      <c r="I43050" s="63"/>
      <c r="J43050" s="63"/>
    </row>
    <row r="43051" spans="9:10" x14ac:dyDescent="0.35">
      <c r="I43051" s="63"/>
      <c r="J43051" s="63"/>
    </row>
    <row r="43052" spans="9:10" x14ac:dyDescent="0.35">
      <c r="I43052" s="63"/>
      <c r="J43052" s="63"/>
    </row>
    <row r="43053" spans="9:10" x14ac:dyDescent="0.35">
      <c r="I43053" s="63"/>
      <c r="J43053" s="63"/>
    </row>
    <row r="43054" spans="9:10" x14ac:dyDescent="0.35">
      <c r="I43054" s="63"/>
      <c r="J43054" s="63"/>
    </row>
    <row r="43055" spans="9:10" x14ac:dyDescent="0.35">
      <c r="I43055" s="63"/>
      <c r="J43055" s="63"/>
    </row>
    <row r="43056" spans="9:10" x14ac:dyDescent="0.35">
      <c r="I43056" s="63"/>
      <c r="J43056" s="63"/>
    </row>
    <row r="43057" spans="9:10" x14ac:dyDescent="0.35">
      <c r="I43057" s="63"/>
      <c r="J43057" s="63"/>
    </row>
    <row r="43058" spans="9:10" x14ac:dyDescent="0.35">
      <c r="I43058" s="63"/>
      <c r="J43058" s="63"/>
    </row>
    <row r="43059" spans="9:10" x14ac:dyDescent="0.35">
      <c r="I43059" s="63"/>
      <c r="J43059" s="63"/>
    </row>
    <row r="43060" spans="9:10" x14ac:dyDescent="0.35">
      <c r="I43060" s="63"/>
      <c r="J43060" s="63"/>
    </row>
    <row r="43061" spans="9:10" x14ac:dyDescent="0.35">
      <c r="I43061" s="63"/>
      <c r="J43061" s="63"/>
    </row>
    <row r="43062" spans="9:10" x14ac:dyDescent="0.35">
      <c r="I43062" s="63"/>
      <c r="J43062" s="63"/>
    </row>
    <row r="43063" spans="9:10" x14ac:dyDescent="0.35">
      <c r="I43063" s="63"/>
      <c r="J43063" s="63"/>
    </row>
    <row r="43064" spans="9:10" x14ac:dyDescent="0.35">
      <c r="I43064" s="63"/>
      <c r="J43064" s="63"/>
    </row>
    <row r="43065" spans="9:10" x14ac:dyDescent="0.35">
      <c r="I43065" s="63"/>
      <c r="J43065" s="63"/>
    </row>
    <row r="43066" spans="9:10" x14ac:dyDescent="0.35">
      <c r="I43066" s="63"/>
      <c r="J43066" s="63"/>
    </row>
    <row r="43067" spans="9:10" x14ac:dyDescent="0.35">
      <c r="I43067" s="63"/>
      <c r="J43067" s="63"/>
    </row>
    <row r="43068" spans="9:10" x14ac:dyDescent="0.35">
      <c r="I43068" s="63"/>
      <c r="J43068" s="63"/>
    </row>
    <row r="43069" spans="9:10" x14ac:dyDescent="0.35">
      <c r="I43069" s="63"/>
      <c r="J43069" s="63"/>
    </row>
    <row r="43070" spans="9:10" x14ac:dyDescent="0.35">
      <c r="I43070" s="63"/>
      <c r="J43070" s="63"/>
    </row>
    <row r="43071" spans="9:10" x14ac:dyDescent="0.35">
      <c r="I43071" s="63"/>
      <c r="J43071" s="63"/>
    </row>
    <row r="43072" spans="9:10" x14ac:dyDescent="0.35">
      <c r="I43072" s="63"/>
      <c r="J43072" s="63"/>
    </row>
    <row r="43073" spans="9:10" x14ac:dyDescent="0.35">
      <c r="I43073" s="63"/>
      <c r="J43073" s="63"/>
    </row>
    <row r="43074" spans="9:10" x14ac:dyDescent="0.35">
      <c r="I43074" s="63"/>
      <c r="J43074" s="63"/>
    </row>
    <row r="43075" spans="9:10" x14ac:dyDescent="0.35">
      <c r="I43075" s="63"/>
      <c r="J43075" s="63"/>
    </row>
    <row r="43076" spans="9:10" x14ac:dyDescent="0.35">
      <c r="I43076" s="63"/>
      <c r="J43076" s="63"/>
    </row>
    <row r="43077" spans="9:10" x14ac:dyDescent="0.35">
      <c r="I43077" s="63"/>
      <c r="J43077" s="63"/>
    </row>
    <row r="43078" spans="9:10" x14ac:dyDescent="0.35">
      <c r="I43078" s="63"/>
      <c r="J43078" s="63"/>
    </row>
    <row r="43079" spans="9:10" x14ac:dyDescent="0.35">
      <c r="I43079" s="63"/>
      <c r="J43079" s="63"/>
    </row>
    <row r="43080" spans="9:10" x14ac:dyDescent="0.35">
      <c r="I43080" s="63"/>
      <c r="J43080" s="63"/>
    </row>
    <row r="43081" spans="9:10" x14ac:dyDescent="0.35">
      <c r="I43081" s="63"/>
      <c r="J43081" s="63"/>
    </row>
    <row r="43082" spans="9:10" x14ac:dyDescent="0.35">
      <c r="I43082" s="63"/>
      <c r="J43082" s="63"/>
    </row>
    <row r="43083" spans="9:10" x14ac:dyDescent="0.35">
      <c r="I43083" s="63"/>
      <c r="J43083" s="63"/>
    </row>
    <row r="43084" spans="9:10" x14ac:dyDescent="0.35">
      <c r="I43084" s="63"/>
      <c r="J43084" s="63"/>
    </row>
    <row r="43085" spans="9:10" x14ac:dyDescent="0.35">
      <c r="I43085" s="63"/>
      <c r="J43085" s="63"/>
    </row>
    <row r="43086" spans="9:10" x14ac:dyDescent="0.35">
      <c r="I43086" s="63"/>
      <c r="J43086" s="63"/>
    </row>
    <row r="43087" spans="9:10" x14ac:dyDescent="0.35">
      <c r="I43087" s="63"/>
      <c r="J43087" s="63"/>
    </row>
    <row r="43088" spans="9:10" x14ac:dyDescent="0.35">
      <c r="I43088" s="63"/>
      <c r="J43088" s="63"/>
    </row>
    <row r="43089" spans="9:10" x14ac:dyDescent="0.35">
      <c r="I43089" s="63"/>
      <c r="J43089" s="63"/>
    </row>
    <row r="43090" spans="9:10" x14ac:dyDescent="0.35">
      <c r="I43090" s="63"/>
      <c r="J43090" s="63"/>
    </row>
    <row r="43091" spans="9:10" x14ac:dyDescent="0.35">
      <c r="I43091" s="63"/>
      <c r="J43091" s="63"/>
    </row>
    <row r="43092" spans="9:10" x14ac:dyDescent="0.35">
      <c r="I43092" s="63"/>
      <c r="J43092" s="63"/>
    </row>
    <row r="43093" spans="9:10" x14ac:dyDescent="0.35">
      <c r="I43093" s="63"/>
      <c r="J43093" s="63"/>
    </row>
    <row r="43094" spans="9:10" x14ac:dyDescent="0.35">
      <c r="I43094" s="63"/>
      <c r="J43094" s="63"/>
    </row>
    <row r="43095" spans="9:10" x14ac:dyDescent="0.35">
      <c r="I43095" s="63"/>
      <c r="J43095" s="63"/>
    </row>
    <row r="43096" spans="9:10" x14ac:dyDescent="0.35">
      <c r="I43096" s="63"/>
      <c r="J43096" s="63"/>
    </row>
    <row r="43097" spans="9:10" x14ac:dyDescent="0.35">
      <c r="I43097" s="63"/>
      <c r="J43097" s="63"/>
    </row>
    <row r="43098" spans="9:10" x14ac:dyDescent="0.35">
      <c r="I43098" s="63"/>
      <c r="J43098" s="63"/>
    </row>
    <row r="43099" spans="9:10" x14ac:dyDescent="0.35">
      <c r="I43099" s="63"/>
      <c r="J43099" s="63"/>
    </row>
    <row r="43100" spans="9:10" x14ac:dyDescent="0.35">
      <c r="I43100" s="63"/>
      <c r="J43100" s="63"/>
    </row>
    <row r="43101" spans="9:10" x14ac:dyDescent="0.35">
      <c r="I43101" s="63"/>
      <c r="J43101" s="63"/>
    </row>
    <row r="43102" spans="9:10" x14ac:dyDescent="0.35">
      <c r="I43102" s="63"/>
      <c r="J43102" s="63"/>
    </row>
    <row r="43103" spans="9:10" x14ac:dyDescent="0.35">
      <c r="I43103" s="63"/>
      <c r="J43103" s="63"/>
    </row>
    <row r="43104" spans="9:10" x14ac:dyDescent="0.35">
      <c r="I43104" s="63"/>
      <c r="J43104" s="63"/>
    </row>
    <row r="43105" spans="9:10" x14ac:dyDescent="0.35">
      <c r="I43105" s="63"/>
      <c r="J43105" s="63"/>
    </row>
    <row r="43106" spans="9:10" x14ac:dyDescent="0.35">
      <c r="I43106" s="63"/>
      <c r="J43106" s="63"/>
    </row>
    <row r="43107" spans="9:10" x14ac:dyDescent="0.35">
      <c r="I43107" s="63"/>
      <c r="J43107" s="63"/>
    </row>
    <row r="43108" spans="9:10" x14ac:dyDescent="0.35">
      <c r="I43108" s="63"/>
      <c r="J43108" s="63"/>
    </row>
    <row r="43109" spans="9:10" x14ac:dyDescent="0.35">
      <c r="I43109" s="63"/>
      <c r="J43109" s="63"/>
    </row>
    <row r="43110" spans="9:10" x14ac:dyDescent="0.35">
      <c r="I43110" s="63"/>
      <c r="J43110" s="63"/>
    </row>
    <row r="43111" spans="9:10" x14ac:dyDescent="0.35">
      <c r="I43111" s="63"/>
      <c r="J43111" s="63"/>
    </row>
    <row r="43112" spans="9:10" x14ac:dyDescent="0.35">
      <c r="I43112" s="63"/>
      <c r="J43112" s="63"/>
    </row>
    <row r="43113" spans="9:10" x14ac:dyDescent="0.35">
      <c r="I43113" s="63"/>
      <c r="J43113" s="63"/>
    </row>
    <row r="43114" spans="9:10" x14ac:dyDescent="0.35">
      <c r="I43114" s="63"/>
      <c r="J43114" s="63"/>
    </row>
    <row r="43115" spans="9:10" x14ac:dyDescent="0.35">
      <c r="I43115" s="63"/>
      <c r="J43115" s="63"/>
    </row>
    <row r="43116" spans="9:10" x14ac:dyDescent="0.35">
      <c r="I43116" s="63"/>
      <c r="J43116" s="63"/>
    </row>
    <row r="43117" spans="9:10" x14ac:dyDescent="0.35">
      <c r="I43117" s="63"/>
      <c r="J43117" s="63"/>
    </row>
    <row r="43118" spans="9:10" x14ac:dyDescent="0.35">
      <c r="I43118" s="63"/>
      <c r="J43118" s="63"/>
    </row>
    <row r="43119" spans="9:10" x14ac:dyDescent="0.35">
      <c r="I43119" s="63"/>
      <c r="J43119" s="63"/>
    </row>
    <row r="43120" spans="9:10" x14ac:dyDescent="0.35">
      <c r="I43120" s="63"/>
      <c r="J43120" s="63"/>
    </row>
    <row r="43121" spans="9:10" x14ac:dyDescent="0.35">
      <c r="I43121" s="63"/>
      <c r="J43121" s="63"/>
    </row>
    <row r="43122" spans="9:10" x14ac:dyDescent="0.35">
      <c r="I43122" s="63"/>
      <c r="J43122" s="63"/>
    </row>
    <row r="43123" spans="9:10" x14ac:dyDescent="0.35">
      <c r="I43123" s="63"/>
      <c r="J43123" s="63"/>
    </row>
    <row r="43124" spans="9:10" x14ac:dyDescent="0.35">
      <c r="I43124" s="63"/>
      <c r="J43124" s="63"/>
    </row>
    <row r="43125" spans="9:10" x14ac:dyDescent="0.35">
      <c r="I43125" s="63"/>
      <c r="J43125" s="63"/>
    </row>
    <row r="43126" spans="9:10" x14ac:dyDescent="0.35">
      <c r="I43126" s="63"/>
      <c r="J43126" s="63"/>
    </row>
    <row r="43127" spans="9:10" x14ac:dyDescent="0.35">
      <c r="I43127" s="63"/>
      <c r="J43127" s="63"/>
    </row>
    <row r="43128" spans="9:10" x14ac:dyDescent="0.35">
      <c r="I43128" s="63"/>
      <c r="J43128" s="63"/>
    </row>
    <row r="43129" spans="9:10" x14ac:dyDescent="0.35">
      <c r="I43129" s="63"/>
      <c r="J43129" s="63"/>
    </row>
    <row r="43130" spans="9:10" x14ac:dyDescent="0.35">
      <c r="I43130" s="63"/>
      <c r="J43130" s="63"/>
    </row>
    <row r="43131" spans="9:10" x14ac:dyDescent="0.35">
      <c r="I43131" s="63"/>
      <c r="J43131" s="63"/>
    </row>
    <row r="43132" spans="9:10" x14ac:dyDescent="0.35">
      <c r="I43132" s="63"/>
      <c r="J43132" s="63"/>
    </row>
    <row r="43133" spans="9:10" x14ac:dyDescent="0.35">
      <c r="I43133" s="63"/>
      <c r="J43133" s="63"/>
    </row>
    <row r="43134" spans="9:10" x14ac:dyDescent="0.35">
      <c r="I43134" s="63"/>
      <c r="J43134" s="63"/>
    </row>
    <row r="43135" spans="9:10" x14ac:dyDescent="0.35">
      <c r="I43135" s="63"/>
      <c r="J43135" s="63"/>
    </row>
    <row r="43136" spans="9:10" x14ac:dyDescent="0.35">
      <c r="I43136" s="63"/>
      <c r="J43136" s="63"/>
    </row>
    <row r="43137" spans="9:10" x14ac:dyDescent="0.35">
      <c r="I43137" s="63"/>
      <c r="J43137" s="63"/>
    </row>
    <row r="43138" spans="9:10" x14ac:dyDescent="0.35">
      <c r="I43138" s="63"/>
      <c r="J43138" s="63"/>
    </row>
    <row r="43139" spans="9:10" x14ac:dyDescent="0.35">
      <c r="I43139" s="63"/>
      <c r="J43139" s="63"/>
    </row>
    <row r="43140" spans="9:10" x14ac:dyDescent="0.35">
      <c r="I43140" s="63"/>
      <c r="J43140" s="63"/>
    </row>
    <row r="43141" spans="9:10" x14ac:dyDescent="0.35">
      <c r="I43141" s="63"/>
      <c r="J43141" s="63"/>
    </row>
    <row r="43142" spans="9:10" x14ac:dyDescent="0.35">
      <c r="I43142" s="63"/>
      <c r="J43142" s="63"/>
    </row>
    <row r="43143" spans="9:10" x14ac:dyDescent="0.35">
      <c r="I43143" s="63"/>
      <c r="J43143" s="63"/>
    </row>
    <row r="43144" spans="9:10" x14ac:dyDescent="0.35">
      <c r="I43144" s="63"/>
      <c r="J43144" s="63"/>
    </row>
    <row r="43145" spans="9:10" x14ac:dyDescent="0.35">
      <c r="I43145" s="63"/>
      <c r="J43145" s="63"/>
    </row>
    <row r="43146" spans="9:10" x14ac:dyDescent="0.35">
      <c r="I43146" s="63"/>
      <c r="J43146" s="63"/>
    </row>
    <row r="43147" spans="9:10" x14ac:dyDescent="0.35">
      <c r="I43147" s="63"/>
      <c r="J43147" s="63"/>
    </row>
    <row r="43148" spans="9:10" x14ac:dyDescent="0.35">
      <c r="I43148" s="63"/>
      <c r="J43148" s="63"/>
    </row>
    <row r="43149" spans="9:10" x14ac:dyDescent="0.35">
      <c r="I43149" s="63"/>
      <c r="J43149" s="63"/>
    </row>
    <row r="43150" spans="9:10" x14ac:dyDescent="0.35">
      <c r="I43150" s="63"/>
      <c r="J43150" s="63"/>
    </row>
    <row r="43151" spans="9:10" x14ac:dyDescent="0.35">
      <c r="I43151" s="63"/>
      <c r="J43151" s="63"/>
    </row>
    <row r="43152" spans="9:10" x14ac:dyDescent="0.35">
      <c r="I43152" s="63"/>
      <c r="J43152" s="63"/>
    </row>
    <row r="43153" spans="9:10" x14ac:dyDescent="0.35">
      <c r="I43153" s="63"/>
      <c r="J43153" s="63"/>
    </row>
    <row r="43154" spans="9:10" x14ac:dyDescent="0.35">
      <c r="I43154" s="63"/>
      <c r="J43154" s="63"/>
    </row>
    <row r="43155" spans="9:10" x14ac:dyDescent="0.35">
      <c r="I43155" s="63"/>
      <c r="J43155" s="63"/>
    </row>
    <row r="43156" spans="9:10" x14ac:dyDescent="0.35">
      <c r="I43156" s="63"/>
      <c r="J43156" s="63"/>
    </row>
    <row r="43157" spans="9:10" x14ac:dyDescent="0.35">
      <c r="I43157" s="63"/>
      <c r="J43157" s="63"/>
    </row>
    <row r="43158" spans="9:10" x14ac:dyDescent="0.35">
      <c r="I43158" s="63"/>
      <c r="J43158" s="63"/>
    </row>
    <row r="43159" spans="9:10" x14ac:dyDescent="0.35">
      <c r="I43159" s="63"/>
      <c r="J43159" s="63"/>
    </row>
    <row r="43160" spans="9:10" x14ac:dyDescent="0.35">
      <c r="I43160" s="63"/>
      <c r="J43160" s="63"/>
    </row>
    <row r="43161" spans="9:10" x14ac:dyDescent="0.35">
      <c r="I43161" s="63"/>
      <c r="J43161" s="63"/>
    </row>
    <row r="43162" spans="9:10" x14ac:dyDescent="0.35">
      <c r="I43162" s="63"/>
      <c r="J43162" s="63"/>
    </row>
    <row r="43163" spans="9:10" x14ac:dyDescent="0.35">
      <c r="I43163" s="63"/>
      <c r="J43163" s="63"/>
    </row>
    <row r="43164" spans="9:10" x14ac:dyDescent="0.35">
      <c r="I43164" s="63"/>
      <c r="J43164" s="63"/>
    </row>
    <row r="43165" spans="9:10" x14ac:dyDescent="0.35">
      <c r="I43165" s="63"/>
      <c r="J43165" s="63"/>
    </row>
    <row r="43166" spans="9:10" x14ac:dyDescent="0.35">
      <c r="I43166" s="63"/>
      <c r="J43166" s="63"/>
    </row>
    <row r="43167" spans="9:10" x14ac:dyDescent="0.35">
      <c r="I43167" s="63"/>
      <c r="J43167" s="63"/>
    </row>
    <row r="43168" spans="9:10" x14ac:dyDescent="0.35">
      <c r="I43168" s="63"/>
      <c r="J43168" s="63"/>
    </row>
    <row r="43169" spans="9:10" x14ac:dyDescent="0.35">
      <c r="I43169" s="63"/>
      <c r="J43169" s="63"/>
    </row>
    <row r="43170" spans="9:10" x14ac:dyDescent="0.35">
      <c r="I43170" s="63"/>
      <c r="J43170" s="63"/>
    </row>
    <row r="43171" spans="9:10" x14ac:dyDescent="0.35">
      <c r="I43171" s="63"/>
      <c r="J43171" s="63"/>
    </row>
    <row r="43172" spans="9:10" x14ac:dyDescent="0.35">
      <c r="I43172" s="63"/>
      <c r="J43172" s="63"/>
    </row>
    <row r="43173" spans="9:10" x14ac:dyDescent="0.35">
      <c r="I43173" s="63"/>
      <c r="J43173" s="63"/>
    </row>
    <row r="43174" spans="9:10" x14ac:dyDescent="0.35">
      <c r="I43174" s="63"/>
      <c r="J43174" s="63"/>
    </row>
    <row r="43175" spans="9:10" x14ac:dyDescent="0.35">
      <c r="I43175" s="63"/>
      <c r="J43175" s="63"/>
    </row>
    <row r="43176" spans="9:10" x14ac:dyDescent="0.35">
      <c r="I43176" s="63"/>
      <c r="J43176" s="63"/>
    </row>
    <row r="43177" spans="9:10" x14ac:dyDescent="0.35">
      <c r="I43177" s="63"/>
      <c r="J43177" s="63"/>
    </row>
    <row r="43178" spans="9:10" x14ac:dyDescent="0.35">
      <c r="I43178" s="63"/>
      <c r="J43178" s="63"/>
    </row>
    <row r="43179" spans="9:10" x14ac:dyDescent="0.35">
      <c r="I43179" s="63"/>
      <c r="J43179" s="63"/>
    </row>
    <row r="43180" spans="9:10" x14ac:dyDescent="0.35">
      <c r="I43180" s="63"/>
      <c r="J43180" s="63"/>
    </row>
    <row r="43181" spans="9:10" x14ac:dyDescent="0.35">
      <c r="I43181" s="63"/>
      <c r="J43181" s="63"/>
    </row>
    <row r="43182" spans="9:10" x14ac:dyDescent="0.35">
      <c r="I43182" s="63"/>
      <c r="J43182" s="63"/>
    </row>
    <row r="43183" spans="9:10" x14ac:dyDescent="0.35">
      <c r="I43183" s="63"/>
      <c r="J43183" s="63"/>
    </row>
    <row r="43184" spans="9:10" x14ac:dyDescent="0.35">
      <c r="I43184" s="63"/>
      <c r="J43184" s="63"/>
    </row>
    <row r="43185" spans="9:10" x14ac:dyDescent="0.35">
      <c r="I43185" s="63"/>
      <c r="J43185" s="63"/>
    </row>
    <row r="43186" spans="9:10" x14ac:dyDescent="0.35">
      <c r="I43186" s="63"/>
      <c r="J43186" s="63"/>
    </row>
    <row r="43187" spans="9:10" x14ac:dyDescent="0.35">
      <c r="I43187" s="63"/>
      <c r="J43187" s="63"/>
    </row>
    <row r="43188" spans="9:10" x14ac:dyDescent="0.35">
      <c r="I43188" s="63"/>
      <c r="J43188" s="63"/>
    </row>
    <row r="43189" spans="9:10" x14ac:dyDescent="0.35">
      <c r="I43189" s="63"/>
      <c r="J43189" s="63"/>
    </row>
    <row r="43190" spans="9:10" x14ac:dyDescent="0.35">
      <c r="I43190" s="63"/>
      <c r="J43190" s="63"/>
    </row>
    <row r="43191" spans="9:10" x14ac:dyDescent="0.35">
      <c r="I43191" s="63"/>
      <c r="J43191" s="63"/>
    </row>
    <row r="43192" spans="9:10" x14ac:dyDescent="0.35">
      <c r="I43192" s="63"/>
      <c r="J43192" s="63"/>
    </row>
    <row r="43193" spans="9:10" x14ac:dyDescent="0.35">
      <c r="I43193" s="63"/>
      <c r="J43193" s="63"/>
    </row>
    <row r="43194" spans="9:10" x14ac:dyDescent="0.35">
      <c r="I43194" s="63"/>
      <c r="J43194" s="63"/>
    </row>
    <row r="43195" spans="9:10" x14ac:dyDescent="0.35">
      <c r="I43195" s="63"/>
      <c r="J43195" s="63"/>
    </row>
    <row r="43196" spans="9:10" x14ac:dyDescent="0.35">
      <c r="I43196" s="63"/>
      <c r="J43196" s="63"/>
    </row>
    <row r="43197" spans="9:10" x14ac:dyDescent="0.35">
      <c r="I43197" s="63"/>
      <c r="J43197" s="63"/>
    </row>
    <row r="43198" spans="9:10" x14ac:dyDescent="0.35">
      <c r="I43198" s="63"/>
      <c r="J43198" s="63"/>
    </row>
    <row r="43199" spans="9:10" x14ac:dyDescent="0.35">
      <c r="I43199" s="63"/>
      <c r="J43199" s="63"/>
    </row>
    <row r="43200" spans="9:10" x14ac:dyDescent="0.35">
      <c r="I43200" s="63"/>
      <c r="J43200" s="63"/>
    </row>
    <row r="43201" spans="9:10" x14ac:dyDescent="0.35">
      <c r="I43201" s="63"/>
      <c r="J43201" s="63"/>
    </row>
    <row r="43202" spans="9:10" x14ac:dyDescent="0.35">
      <c r="I43202" s="63"/>
      <c r="J43202" s="63"/>
    </row>
    <row r="43203" spans="9:10" x14ac:dyDescent="0.35">
      <c r="I43203" s="63"/>
      <c r="J43203" s="63"/>
    </row>
    <row r="43204" spans="9:10" x14ac:dyDescent="0.35">
      <c r="I43204" s="63"/>
      <c r="J43204" s="63"/>
    </row>
    <row r="43205" spans="9:10" x14ac:dyDescent="0.35">
      <c r="I43205" s="63"/>
      <c r="J43205" s="63"/>
    </row>
    <row r="43206" spans="9:10" x14ac:dyDescent="0.35">
      <c r="I43206" s="63"/>
      <c r="J43206" s="63"/>
    </row>
    <row r="43207" spans="9:10" x14ac:dyDescent="0.35">
      <c r="I43207" s="63"/>
      <c r="J43207" s="63"/>
    </row>
    <row r="43208" spans="9:10" x14ac:dyDescent="0.35">
      <c r="I43208" s="63"/>
      <c r="J43208" s="63"/>
    </row>
    <row r="43209" spans="9:10" x14ac:dyDescent="0.35">
      <c r="I43209" s="63"/>
      <c r="J43209" s="63"/>
    </row>
    <row r="43210" spans="9:10" x14ac:dyDescent="0.35">
      <c r="I43210" s="63"/>
      <c r="J43210" s="63"/>
    </row>
    <row r="43211" spans="9:10" x14ac:dyDescent="0.35">
      <c r="I43211" s="63"/>
      <c r="J43211" s="63"/>
    </row>
    <row r="43212" spans="9:10" x14ac:dyDescent="0.35">
      <c r="I43212" s="63"/>
      <c r="J43212" s="63"/>
    </row>
    <row r="43213" spans="9:10" x14ac:dyDescent="0.35">
      <c r="I43213" s="63"/>
      <c r="J43213" s="63"/>
    </row>
    <row r="43214" spans="9:10" x14ac:dyDescent="0.35">
      <c r="I43214" s="63"/>
      <c r="J43214" s="63"/>
    </row>
    <row r="43215" spans="9:10" x14ac:dyDescent="0.35">
      <c r="I43215" s="63"/>
      <c r="J43215" s="63"/>
    </row>
    <row r="43216" spans="9:10" x14ac:dyDescent="0.35">
      <c r="I43216" s="63"/>
      <c r="J43216" s="63"/>
    </row>
    <row r="43217" spans="9:10" x14ac:dyDescent="0.35">
      <c r="I43217" s="63"/>
      <c r="J43217" s="63"/>
    </row>
    <row r="43218" spans="9:10" x14ac:dyDescent="0.35">
      <c r="I43218" s="63"/>
      <c r="J43218" s="63"/>
    </row>
    <row r="43219" spans="9:10" x14ac:dyDescent="0.35">
      <c r="I43219" s="63"/>
      <c r="J43219" s="63"/>
    </row>
    <row r="43220" spans="9:10" x14ac:dyDescent="0.35">
      <c r="I43220" s="63"/>
      <c r="J43220" s="63"/>
    </row>
    <row r="43221" spans="9:10" x14ac:dyDescent="0.35">
      <c r="I43221" s="63"/>
      <c r="J43221" s="63"/>
    </row>
    <row r="43222" spans="9:10" x14ac:dyDescent="0.35">
      <c r="I43222" s="63"/>
      <c r="J43222" s="63"/>
    </row>
    <row r="43223" spans="9:10" x14ac:dyDescent="0.35">
      <c r="I43223" s="63"/>
      <c r="J43223" s="63"/>
    </row>
    <row r="43224" spans="9:10" x14ac:dyDescent="0.35">
      <c r="I43224" s="63"/>
      <c r="J43224" s="63"/>
    </row>
    <row r="43225" spans="9:10" x14ac:dyDescent="0.35">
      <c r="I43225" s="63"/>
      <c r="J43225" s="63"/>
    </row>
    <row r="43226" spans="9:10" x14ac:dyDescent="0.35">
      <c r="I43226" s="63"/>
      <c r="J43226" s="63"/>
    </row>
    <row r="43227" spans="9:10" x14ac:dyDescent="0.35">
      <c r="I43227" s="63"/>
      <c r="J43227" s="63"/>
    </row>
    <row r="43228" spans="9:10" x14ac:dyDescent="0.35">
      <c r="I43228" s="63"/>
      <c r="J43228" s="63"/>
    </row>
    <row r="43229" spans="9:10" x14ac:dyDescent="0.35">
      <c r="I43229" s="63"/>
      <c r="J43229" s="63"/>
    </row>
    <row r="43230" spans="9:10" x14ac:dyDescent="0.35">
      <c r="I43230" s="63"/>
      <c r="J43230" s="63"/>
    </row>
    <row r="43231" spans="9:10" x14ac:dyDescent="0.35">
      <c r="I43231" s="63"/>
      <c r="J43231" s="63"/>
    </row>
    <row r="43232" spans="9:10" x14ac:dyDescent="0.35">
      <c r="I43232" s="63"/>
      <c r="J43232" s="63"/>
    </row>
    <row r="43233" spans="9:10" x14ac:dyDescent="0.35">
      <c r="I43233" s="63"/>
      <c r="J43233" s="63"/>
    </row>
    <row r="43234" spans="9:10" x14ac:dyDescent="0.35">
      <c r="I43234" s="63"/>
      <c r="J43234" s="63"/>
    </row>
    <row r="43235" spans="9:10" x14ac:dyDescent="0.35">
      <c r="I43235" s="63"/>
      <c r="J43235" s="63"/>
    </row>
    <row r="43236" spans="9:10" x14ac:dyDescent="0.35">
      <c r="I43236" s="63"/>
      <c r="J43236" s="63"/>
    </row>
    <row r="43237" spans="9:10" x14ac:dyDescent="0.35">
      <c r="I43237" s="63"/>
      <c r="J43237" s="63"/>
    </row>
    <row r="43238" spans="9:10" x14ac:dyDescent="0.35">
      <c r="I43238" s="63"/>
      <c r="J43238" s="63"/>
    </row>
    <row r="43239" spans="9:10" x14ac:dyDescent="0.35">
      <c r="I43239" s="63"/>
      <c r="J43239" s="63"/>
    </row>
    <row r="43240" spans="9:10" x14ac:dyDescent="0.35">
      <c r="I43240" s="63"/>
      <c r="J43240" s="63"/>
    </row>
    <row r="43241" spans="9:10" x14ac:dyDescent="0.35">
      <c r="I43241" s="63"/>
      <c r="J43241" s="63"/>
    </row>
    <row r="43242" spans="9:10" x14ac:dyDescent="0.35">
      <c r="I43242" s="63"/>
      <c r="J43242" s="63"/>
    </row>
    <row r="43243" spans="9:10" x14ac:dyDescent="0.35">
      <c r="I43243" s="63"/>
      <c r="J43243" s="63"/>
    </row>
    <row r="43244" spans="9:10" x14ac:dyDescent="0.35">
      <c r="I43244" s="63"/>
      <c r="J43244" s="63"/>
    </row>
    <row r="43245" spans="9:10" x14ac:dyDescent="0.35">
      <c r="I43245" s="63"/>
      <c r="J43245" s="63"/>
    </row>
    <row r="43246" spans="9:10" x14ac:dyDescent="0.35">
      <c r="I43246" s="63"/>
      <c r="J43246" s="63"/>
    </row>
    <row r="43247" spans="9:10" x14ac:dyDescent="0.35">
      <c r="I43247" s="63"/>
      <c r="J43247" s="63"/>
    </row>
    <row r="43248" spans="9:10" x14ac:dyDescent="0.35">
      <c r="I43248" s="63"/>
      <c r="J43248" s="63"/>
    </row>
    <row r="43249" spans="9:10" x14ac:dyDescent="0.35">
      <c r="I43249" s="63"/>
      <c r="J43249" s="63"/>
    </row>
    <row r="43250" spans="9:10" x14ac:dyDescent="0.35">
      <c r="I43250" s="63"/>
      <c r="J43250" s="63"/>
    </row>
    <row r="43251" spans="9:10" x14ac:dyDescent="0.35">
      <c r="I43251" s="63"/>
      <c r="J43251" s="63"/>
    </row>
    <row r="43252" spans="9:10" x14ac:dyDescent="0.35">
      <c r="I43252" s="63"/>
      <c r="J43252" s="63"/>
    </row>
    <row r="43253" spans="9:10" x14ac:dyDescent="0.35">
      <c r="I43253" s="63"/>
      <c r="J43253" s="63"/>
    </row>
    <row r="43254" spans="9:10" x14ac:dyDescent="0.35">
      <c r="I43254" s="63"/>
      <c r="J43254" s="63"/>
    </row>
    <row r="43255" spans="9:10" x14ac:dyDescent="0.35">
      <c r="I43255" s="63"/>
      <c r="J43255" s="63"/>
    </row>
    <row r="43256" spans="9:10" x14ac:dyDescent="0.35">
      <c r="I43256" s="63"/>
      <c r="J43256" s="63"/>
    </row>
    <row r="43257" spans="9:10" x14ac:dyDescent="0.35">
      <c r="I43257" s="63"/>
      <c r="J43257" s="63"/>
    </row>
    <row r="43258" spans="9:10" x14ac:dyDescent="0.35">
      <c r="I43258" s="63"/>
      <c r="J43258" s="63"/>
    </row>
    <row r="43259" spans="9:10" x14ac:dyDescent="0.35">
      <c r="I43259" s="63"/>
      <c r="J43259" s="63"/>
    </row>
    <row r="43260" spans="9:10" x14ac:dyDescent="0.35">
      <c r="I43260" s="63"/>
      <c r="J43260" s="63"/>
    </row>
    <row r="43261" spans="9:10" x14ac:dyDescent="0.35">
      <c r="I43261" s="63"/>
      <c r="J43261" s="63"/>
    </row>
    <row r="43262" spans="9:10" x14ac:dyDescent="0.35">
      <c r="I43262" s="63"/>
      <c r="J43262" s="63"/>
    </row>
    <row r="43263" spans="9:10" x14ac:dyDescent="0.35">
      <c r="I43263" s="63"/>
      <c r="J43263" s="63"/>
    </row>
    <row r="43264" spans="9:10" x14ac:dyDescent="0.35">
      <c r="I43264" s="63"/>
      <c r="J43264" s="63"/>
    </row>
    <row r="43265" spans="9:10" x14ac:dyDescent="0.35">
      <c r="I43265" s="63"/>
      <c r="J43265" s="63"/>
    </row>
    <row r="43266" spans="9:10" x14ac:dyDescent="0.35">
      <c r="I43266" s="63"/>
      <c r="J43266" s="63"/>
    </row>
    <row r="43267" spans="9:10" x14ac:dyDescent="0.35">
      <c r="I43267" s="63"/>
      <c r="J43267" s="63"/>
    </row>
    <row r="43268" spans="9:10" x14ac:dyDescent="0.35">
      <c r="I43268" s="63"/>
      <c r="J43268" s="63"/>
    </row>
    <row r="43269" spans="9:10" x14ac:dyDescent="0.35">
      <c r="I43269" s="63"/>
      <c r="J43269" s="63"/>
    </row>
    <row r="43270" spans="9:10" x14ac:dyDescent="0.35">
      <c r="I43270" s="63"/>
      <c r="J43270" s="63"/>
    </row>
    <row r="43271" spans="9:10" x14ac:dyDescent="0.35">
      <c r="I43271" s="63"/>
      <c r="J43271" s="63"/>
    </row>
    <row r="43272" spans="9:10" x14ac:dyDescent="0.35">
      <c r="I43272" s="63"/>
      <c r="J43272" s="63"/>
    </row>
    <row r="43273" spans="9:10" x14ac:dyDescent="0.35">
      <c r="I43273" s="63"/>
      <c r="J43273" s="63"/>
    </row>
    <row r="43274" spans="9:10" x14ac:dyDescent="0.35">
      <c r="I43274" s="63"/>
      <c r="J43274" s="63"/>
    </row>
    <row r="43275" spans="9:10" x14ac:dyDescent="0.35">
      <c r="I43275" s="63"/>
      <c r="J43275" s="63"/>
    </row>
    <row r="43276" spans="9:10" x14ac:dyDescent="0.35">
      <c r="I43276" s="63"/>
      <c r="J43276" s="63"/>
    </row>
    <row r="43277" spans="9:10" x14ac:dyDescent="0.35">
      <c r="I43277" s="63"/>
      <c r="J43277" s="63"/>
    </row>
    <row r="43278" spans="9:10" x14ac:dyDescent="0.35">
      <c r="I43278" s="63"/>
      <c r="J43278" s="63"/>
    </row>
    <row r="43279" spans="9:10" x14ac:dyDescent="0.35">
      <c r="I43279" s="63"/>
      <c r="J43279" s="63"/>
    </row>
    <row r="43280" spans="9:10" x14ac:dyDescent="0.35">
      <c r="I43280" s="63"/>
      <c r="J43280" s="63"/>
    </row>
    <row r="43281" spans="9:10" x14ac:dyDescent="0.35">
      <c r="I43281" s="63"/>
      <c r="J43281" s="63"/>
    </row>
    <row r="43282" spans="9:10" x14ac:dyDescent="0.35">
      <c r="I43282" s="63"/>
      <c r="J43282" s="63"/>
    </row>
    <row r="43283" spans="9:10" x14ac:dyDescent="0.35">
      <c r="I43283" s="63"/>
      <c r="J43283" s="63"/>
    </row>
    <row r="43284" spans="9:10" x14ac:dyDescent="0.35">
      <c r="I43284" s="63"/>
      <c r="J43284" s="63"/>
    </row>
    <row r="43285" spans="9:10" x14ac:dyDescent="0.35">
      <c r="I43285" s="63"/>
      <c r="J43285" s="63"/>
    </row>
    <row r="43286" spans="9:10" x14ac:dyDescent="0.35">
      <c r="I43286" s="63"/>
      <c r="J43286" s="63"/>
    </row>
    <row r="43287" spans="9:10" x14ac:dyDescent="0.35">
      <c r="I43287" s="63"/>
      <c r="J43287" s="63"/>
    </row>
    <row r="43288" spans="9:10" x14ac:dyDescent="0.35">
      <c r="I43288" s="63"/>
      <c r="J43288" s="63"/>
    </row>
    <row r="43289" spans="9:10" x14ac:dyDescent="0.35">
      <c r="I43289" s="63"/>
      <c r="J43289" s="63"/>
    </row>
    <row r="43290" spans="9:10" x14ac:dyDescent="0.35">
      <c r="I43290" s="63"/>
      <c r="J43290" s="63"/>
    </row>
    <row r="43291" spans="9:10" x14ac:dyDescent="0.35">
      <c r="I43291" s="63"/>
      <c r="J43291" s="63"/>
    </row>
    <row r="43292" spans="9:10" x14ac:dyDescent="0.35">
      <c r="I43292" s="63"/>
      <c r="J43292" s="63"/>
    </row>
    <row r="43293" spans="9:10" x14ac:dyDescent="0.35">
      <c r="I43293" s="63"/>
      <c r="J43293" s="63"/>
    </row>
    <row r="43294" spans="9:10" x14ac:dyDescent="0.35">
      <c r="I43294" s="63"/>
      <c r="J43294" s="63"/>
    </row>
    <row r="43295" spans="9:10" x14ac:dyDescent="0.35">
      <c r="I43295" s="63"/>
      <c r="J43295" s="63"/>
    </row>
    <row r="43296" spans="9:10" x14ac:dyDescent="0.35">
      <c r="I43296" s="63"/>
      <c r="J43296" s="63"/>
    </row>
    <row r="43297" spans="9:10" x14ac:dyDescent="0.35">
      <c r="I43297" s="63"/>
      <c r="J43297" s="63"/>
    </row>
    <row r="43298" spans="9:10" x14ac:dyDescent="0.35">
      <c r="I43298" s="63"/>
      <c r="J43298" s="63"/>
    </row>
    <row r="43299" spans="9:10" x14ac:dyDescent="0.35">
      <c r="I43299" s="63"/>
      <c r="J43299" s="63"/>
    </row>
    <row r="43300" spans="9:10" x14ac:dyDescent="0.35">
      <c r="I43300" s="63"/>
      <c r="J43300" s="63"/>
    </row>
    <row r="43301" spans="9:10" x14ac:dyDescent="0.35">
      <c r="I43301" s="63"/>
      <c r="J43301" s="63"/>
    </row>
    <row r="43302" spans="9:10" x14ac:dyDescent="0.35">
      <c r="I43302" s="63"/>
      <c r="J43302" s="63"/>
    </row>
    <row r="43303" spans="9:10" x14ac:dyDescent="0.35">
      <c r="I43303" s="63"/>
      <c r="J43303" s="63"/>
    </row>
    <row r="43304" spans="9:10" x14ac:dyDescent="0.35">
      <c r="I43304" s="63"/>
      <c r="J43304" s="63"/>
    </row>
    <row r="43305" spans="9:10" x14ac:dyDescent="0.35">
      <c r="I43305" s="63"/>
      <c r="J43305" s="63"/>
    </row>
    <row r="43306" spans="9:10" x14ac:dyDescent="0.35">
      <c r="I43306" s="63"/>
      <c r="J43306" s="63"/>
    </row>
    <row r="43307" spans="9:10" x14ac:dyDescent="0.35">
      <c r="I43307" s="63"/>
      <c r="J43307" s="63"/>
    </row>
    <row r="43308" spans="9:10" x14ac:dyDescent="0.35">
      <c r="I43308" s="63"/>
      <c r="J43308" s="63"/>
    </row>
    <row r="43309" spans="9:10" x14ac:dyDescent="0.35">
      <c r="I43309" s="63"/>
      <c r="J43309" s="63"/>
    </row>
    <row r="43310" spans="9:10" x14ac:dyDescent="0.35">
      <c r="I43310" s="63"/>
      <c r="J43310" s="63"/>
    </row>
    <row r="43311" spans="9:10" x14ac:dyDescent="0.35">
      <c r="I43311" s="63"/>
      <c r="J43311" s="63"/>
    </row>
    <row r="43312" spans="9:10" x14ac:dyDescent="0.35">
      <c r="I43312" s="63"/>
      <c r="J43312" s="63"/>
    </row>
    <row r="43313" spans="9:10" x14ac:dyDescent="0.35">
      <c r="I43313" s="63"/>
      <c r="J43313" s="63"/>
    </row>
    <row r="43314" spans="9:10" x14ac:dyDescent="0.35">
      <c r="I43314" s="63"/>
      <c r="J43314" s="63"/>
    </row>
    <row r="43315" spans="9:10" x14ac:dyDescent="0.35">
      <c r="I43315" s="63"/>
      <c r="J43315" s="63"/>
    </row>
    <row r="43316" spans="9:10" x14ac:dyDescent="0.35">
      <c r="I43316" s="63"/>
      <c r="J43316" s="63"/>
    </row>
    <row r="43317" spans="9:10" x14ac:dyDescent="0.35">
      <c r="I43317" s="63"/>
      <c r="J43317" s="63"/>
    </row>
    <row r="43318" spans="9:10" x14ac:dyDescent="0.35">
      <c r="I43318" s="63"/>
      <c r="J43318" s="63"/>
    </row>
    <row r="43319" spans="9:10" x14ac:dyDescent="0.35">
      <c r="I43319" s="63"/>
      <c r="J43319" s="63"/>
    </row>
    <row r="43320" spans="9:10" x14ac:dyDescent="0.35">
      <c r="I43320" s="63"/>
      <c r="J43320" s="63"/>
    </row>
    <row r="43321" spans="9:10" x14ac:dyDescent="0.35">
      <c r="I43321" s="63"/>
      <c r="J43321" s="63"/>
    </row>
    <row r="43322" spans="9:10" x14ac:dyDescent="0.35">
      <c r="I43322" s="63"/>
      <c r="J43322" s="63"/>
    </row>
    <row r="43323" spans="9:10" x14ac:dyDescent="0.35">
      <c r="I43323" s="63"/>
      <c r="J43323" s="63"/>
    </row>
    <row r="43324" spans="9:10" x14ac:dyDescent="0.35">
      <c r="I43324" s="63"/>
      <c r="J43324" s="63"/>
    </row>
    <row r="43325" spans="9:10" x14ac:dyDescent="0.35">
      <c r="I43325" s="63"/>
      <c r="J43325" s="63"/>
    </row>
    <row r="43326" spans="9:10" x14ac:dyDescent="0.35">
      <c r="I43326" s="63"/>
      <c r="J43326" s="63"/>
    </row>
    <row r="43327" spans="9:10" x14ac:dyDescent="0.35">
      <c r="I43327" s="63"/>
      <c r="J43327" s="63"/>
    </row>
    <row r="43328" spans="9:10" x14ac:dyDescent="0.35">
      <c r="I43328" s="63"/>
      <c r="J43328" s="63"/>
    </row>
    <row r="43329" spans="9:10" x14ac:dyDescent="0.35">
      <c r="I43329" s="63"/>
      <c r="J43329" s="63"/>
    </row>
    <row r="43330" spans="9:10" x14ac:dyDescent="0.35">
      <c r="I43330" s="63"/>
      <c r="J43330" s="63"/>
    </row>
    <row r="43331" spans="9:10" x14ac:dyDescent="0.35">
      <c r="I43331" s="63"/>
      <c r="J43331" s="63"/>
    </row>
    <row r="43332" spans="9:10" x14ac:dyDescent="0.35">
      <c r="I43332" s="63"/>
      <c r="J43332" s="63"/>
    </row>
    <row r="43333" spans="9:10" x14ac:dyDescent="0.35">
      <c r="I43333" s="63"/>
      <c r="J43333" s="63"/>
    </row>
    <row r="43334" spans="9:10" x14ac:dyDescent="0.35">
      <c r="I43334" s="63"/>
      <c r="J43334" s="63"/>
    </row>
    <row r="43335" spans="9:10" x14ac:dyDescent="0.35">
      <c r="I43335" s="63"/>
      <c r="J43335" s="63"/>
    </row>
    <row r="43336" spans="9:10" x14ac:dyDescent="0.35">
      <c r="I43336" s="63"/>
      <c r="J43336" s="63"/>
    </row>
  </sheetData>
  <mergeCells count="31">
    <mergeCell ref="C68:C69"/>
    <mergeCell ref="C50:C51"/>
    <mergeCell ref="C48:C49"/>
    <mergeCell ref="C66:C67"/>
    <mergeCell ref="C64:C65"/>
    <mergeCell ref="C62:C63"/>
    <mergeCell ref="C60:C61"/>
    <mergeCell ref="C58:C59"/>
    <mergeCell ref="C56:C57"/>
    <mergeCell ref="C54:C55"/>
    <mergeCell ref="C52:C53"/>
    <mergeCell ref="G26:H26"/>
    <mergeCell ref="C44:C45"/>
    <mergeCell ref="C46:C47"/>
    <mergeCell ref="C42:C43"/>
    <mergeCell ref="C40:C41"/>
    <mergeCell ref="C38:C39"/>
    <mergeCell ref="C36:C37"/>
    <mergeCell ref="C34:C35"/>
    <mergeCell ref="C32:C33"/>
    <mergeCell ref="C30:C31"/>
    <mergeCell ref="C28:C29"/>
    <mergeCell ref="E26:F26"/>
    <mergeCell ref="D26:D27"/>
    <mergeCell ref="O5:R5"/>
    <mergeCell ref="C13:F13"/>
    <mergeCell ref="H13:N13"/>
    <mergeCell ref="B5:B6"/>
    <mergeCell ref="C5:F5"/>
    <mergeCell ref="G5:J5"/>
    <mergeCell ref="K5:N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5"/>
  <sheetViews>
    <sheetView topLeftCell="B1" workbookViewId="0">
      <selection activeCell="B16" sqref="B16"/>
    </sheetView>
  </sheetViews>
  <sheetFormatPr defaultColWidth="8.7265625" defaultRowHeight="14.5" x14ac:dyDescent="0.35"/>
  <cols>
    <col min="1" max="1" width="40.1796875" style="34" hidden="1" customWidth="1"/>
    <col min="2" max="2" width="40.1796875" style="34" bestFit="1" customWidth="1"/>
    <col min="3" max="3" width="48.81640625" style="34" bestFit="1" customWidth="1"/>
    <col min="4" max="16384" width="8.7265625" style="34"/>
  </cols>
  <sheetData>
    <row r="1" spans="1:3" x14ac:dyDescent="0.35">
      <c r="A1" s="99" t="s">
        <v>75</v>
      </c>
      <c r="B1" s="99" t="s">
        <v>75</v>
      </c>
      <c r="C1" s="99" t="s">
        <v>76</v>
      </c>
    </row>
    <row r="2" spans="1:3" x14ac:dyDescent="0.35">
      <c r="A2" s="34" t="s">
        <v>77</v>
      </c>
      <c r="B2" s="34" t="s">
        <v>59</v>
      </c>
      <c r="C2" s="34" t="s">
        <v>78</v>
      </c>
    </row>
    <row r="3" spans="1:3" x14ac:dyDescent="0.35">
      <c r="A3" s="34" t="s">
        <v>77</v>
      </c>
      <c r="B3" s="34" t="s">
        <v>59</v>
      </c>
      <c r="C3" s="34" t="s">
        <v>79</v>
      </c>
    </row>
    <row r="4" spans="1:3" x14ac:dyDescent="0.35">
      <c r="A4" s="34" t="s">
        <v>77</v>
      </c>
      <c r="B4" s="34" t="s">
        <v>59</v>
      </c>
      <c r="C4" s="34" t="s">
        <v>80</v>
      </c>
    </row>
    <row r="5" spans="1:3" x14ac:dyDescent="0.35">
      <c r="A5" s="34" t="s">
        <v>77</v>
      </c>
      <c r="B5" s="34" t="s">
        <v>59</v>
      </c>
      <c r="C5" s="34" t="s">
        <v>81</v>
      </c>
    </row>
    <row r="6" spans="1:3" x14ac:dyDescent="0.35">
      <c r="A6" s="34" t="s">
        <v>77</v>
      </c>
      <c r="B6" s="34" t="s">
        <v>59</v>
      </c>
      <c r="C6" s="34" t="s">
        <v>82</v>
      </c>
    </row>
    <row r="7" spans="1:3" x14ac:dyDescent="0.35">
      <c r="A7" s="34" t="s">
        <v>83</v>
      </c>
      <c r="B7" s="34" t="s">
        <v>59</v>
      </c>
      <c r="C7" s="34" t="s">
        <v>84</v>
      </c>
    </row>
    <row r="8" spans="1:3" x14ac:dyDescent="0.35">
      <c r="A8" s="34" t="s">
        <v>83</v>
      </c>
      <c r="B8" s="34" t="s">
        <v>59</v>
      </c>
      <c r="C8" s="34" t="s">
        <v>85</v>
      </c>
    </row>
    <row r="9" spans="1:3" x14ac:dyDescent="0.35">
      <c r="A9" s="34" t="s">
        <v>83</v>
      </c>
      <c r="B9" s="34" t="s">
        <v>59</v>
      </c>
      <c r="C9" s="34" t="s">
        <v>86</v>
      </c>
    </row>
    <row r="10" spans="1:3" x14ac:dyDescent="0.35">
      <c r="A10" s="34" t="s">
        <v>83</v>
      </c>
      <c r="B10" s="34" t="s">
        <v>59</v>
      </c>
      <c r="C10" s="34" t="s">
        <v>87</v>
      </c>
    </row>
    <row r="11" spans="1:3" x14ac:dyDescent="0.35">
      <c r="A11" s="34" t="s">
        <v>83</v>
      </c>
      <c r="B11" s="34" t="s">
        <v>59</v>
      </c>
      <c r="C11" s="34" t="s">
        <v>88</v>
      </c>
    </row>
    <row r="12" spans="1:3" x14ac:dyDescent="0.35">
      <c r="A12" s="34" t="s">
        <v>83</v>
      </c>
      <c r="B12" s="34" t="s">
        <v>59</v>
      </c>
      <c r="C12" s="34" t="s">
        <v>89</v>
      </c>
    </row>
    <row r="13" spans="1:3" x14ac:dyDescent="0.35">
      <c r="A13" s="34" t="s">
        <v>83</v>
      </c>
      <c r="B13" s="34" t="s">
        <v>59</v>
      </c>
      <c r="C13" s="34" t="s">
        <v>90</v>
      </c>
    </row>
    <row r="14" spans="1:3" x14ac:dyDescent="0.35">
      <c r="A14" s="34" t="s">
        <v>83</v>
      </c>
      <c r="B14" s="34" t="s">
        <v>59</v>
      </c>
      <c r="C14" s="34" t="s">
        <v>91</v>
      </c>
    </row>
    <row r="15" spans="1:3" x14ac:dyDescent="0.35">
      <c r="A15" s="34" t="s">
        <v>83</v>
      </c>
      <c r="B15" s="34" t="s">
        <v>59</v>
      </c>
      <c r="C15" s="34" t="s">
        <v>92</v>
      </c>
    </row>
    <row r="16" spans="1:3" x14ac:dyDescent="0.35">
      <c r="A16" s="34" t="s">
        <v>83</v>
      </c>
      <c r="B16" s="34" t="s">
        <v>59</v>
      </c>
      <c r="C16" s="34" t="s">
        <v>93</v>
      </c>
    </row>
    <row r="17" spans="1:3" x14ac:dyDescent="0.35">
      <c r="A17" s="34" t="s">
        <v>77</v>
      </c>
      <c r="B17" s="34" t="s">
        <v>59</v>
      </c>
      <c r="C17" s="34" t="s">
        <v>94</v>
      </c>
    </row>
    <row r="18" spans="1:3" x14ac:dyDescent="0.35">
      <c r="A18" s="34" t="s">
        <v>77</v>
      </c>
      <c r="B18" s="34" t="s">
        <v>59</v>
      </c>
      <c r="C18" s="34" t="s">
        <v>95</v>
      </c>
    </row>
    <row r="19" spans="1:3" x14ac:dyDescent="0.35">
      <c r="A19" s="34" t="s">
        <v>96</v>
      </c>
      <c r="B19" s="34" t="s">
        <v>2</v>
      </c>
      <c r="C19" s="34" t="s">
        <v>97</v>
      </c>
    </row>
    <row r="20" spans="1:3" x14ac:dyDescent="0.35">
      <c r="A20" s="34" t="s">
        <v>96</v>
      </c>
      <c r="B20" s="34" t="s">
        <v>2</v>
      </c>
      <c r="C20" s="34" t="s">
        <v>98</v>
      </c>
    </row>
    <row r="21" spans="1:3" x14ac:dyDescent="0.35">
      <c r="A21" s="34" t="s">
        <v>96</v>
      </c>
      <c r="B21" s="34" t="s">
        <v>2</v>
      </c>
      <c r="C21" s="34" t="s">
        <v>1142</v>
      </c>
    </row>
    <row r="22" spans="1:3" x14ac:dyDescent="0.35">
      <c r="A22" s="34" t="s">
        <v>96</v>
      </c>
      <c r="B22" s="34" t="s">
        <v>2</v>
      </c>
      <c r="C22" s="34" t="s">
        <v>99</v>
      </c>
    </row>
    <row r="23" spans="1:3" x14ac:dyDescent="0.35">
      <c r="A23" s="34" t="s">
        <v>77</v>
      </c>
      <c r="B23" s="34" t="s">
        <v>59</v>
      </c>
      <c r="C23" s="34" t="s">
        <v>100</v>
      </c>
    </row>
    <row r="24" spans="1:3" x14ac:dyDescent="0.35">
      <c r="A24" s="34" t="s">
        <v>77</v>
      </c>
      <c r="B24" s="34" t="s">
        <v>59</v>
      </c>
      <c r="C24" s="34" t="s">
        <v>101</v>
      </c>
    </row>
    <row r="25" spans="1:3" x14ac:dyDescent="0.35">
      <c r="A25" s="34" t="s">
        <v>77</v>
      </c>
      <c r="B25" s="34" t="s">
        <v>59</v>
      </c>
      <c r="C25" s="34" t="s">
        <v>102</v>
      </c>
    </row>
    <row r="26" spans="1:3" x14ac:dyDescent="0.35">
      <c r="A26" s="34" t="s">
        <v>77</v>
      </c>
      <c r="B26" s="34" t="s">
        <v>59</v>
      </c>
      <c r="C26" s="34" t="s">
        <v>103</v>
      </c>
    </row>
    <row r="27" spans="1:3" x14ac:dyDescent="0.35">
      <c r="A27" s="34" t="s">
        <v>83</v>
      </c>
      <c r="B27" s="34" t="s">
        <v>59</v>
      </c>
      <c r="C27" s="34" t="s">
        <v>104</v>
      </c>
    </row>
    <row r="28" spans="1:3" x14ac:dyDescent="0.35">
      <c r="A28" s="34" t="s">
        <v>83</v>
      </c>
      <c r="B28" s="34" t="s">
        <v>59</v>
      </c>
      <c r="C28" s="34" t="s">
        <v>105</v>
      </c>
    </row>
    <row r="29" spans="1:3" x14ac:dyDescent="0.35">
      <c r="A29" s="34" t="s">
        <v>83</v>
      </c>
      <c r="B29" s="34" t="s">
        <v>59</v>
      </c>
      <c r="C29" s="34" t="s">
        <v>106</v>
      </c>
    </row>
    <row r="30" spans="1:3" x14ac:dyDescent="0.35">
      <c r="A30" s="34" t="s">
        <v>83</v>
      </c>
      <c r="B30" s="34" t="s">
        <v>59</v>
      </c>
      <c r="C30" s="34" t="s">
        <v>107</v>
      </c>
    </row>
    <row r="31" spans="1:3" x14ac:dyDescent="0.35">
      <c r="A31" s="34" t="s">
        <v>83</v>
      </c>
      <c r="B31" s="34" t="s">
        <v>59</v>
      </c>
      <c r="C31" s="34" t="s">
        <v>108</v>
      </c>
    </row>
    <row r="32" spans="1:3" x14ac:dyDescent="0.35">
      <c r="A32" s="34" t="s">
        <v>83</v>
      </c>
      <c r="B32" s="34" t="s">
        <v>59</v>
      </c>
      <c r="C32" s="34" t="s">
        <v>109</v>
      </c>
    </row>
    <row r="33" spans="1:3" x14ac:dyDescent="0.35">
      <c r="A33" s="34" t="s">
        <v>83</v>
      </c>
      <c r="B33" s="34" t="s">
        <v>59</v>
      </c>
      <c r="C33" s="34" t="s">
        <v>110</v>
      </c>
    </row>
    <row r="34" spans="1:3" x14ac:dyDescent="0.35">
      <c r="A34" s="34" t="s">
        <v>77</v>
      </c>
      <c r="B34" s="34" t="s">
        <v>59</v>
      </c>
      <c r="C34" s="34" t="s">
        <v>111</v>
      </c>
    </row>
    <row r="35" spans="1:3" x14ac:dyDescent="0.35">
      <c r="A35" s="34" t="s">
        <v>77</v>
      </c>
      <c r="B35" s="34" t="s">
        <v>59</v>
      </c>
      <c r="C35" s="34" t="s">
        <v>112</v>
      </c>
    </row>
    <row r="36" spans="1:3" x14ac:dyDescent="0.35">
      <c r="A36" s="34" t="s">
        <v>83</v>
      </c>
      <c r="B36" s="34" t="s">
        <v>59</v>
      </c>
      <c r="C36" s="34" t="s">
        <v>113</v>
      </c>
    </row>
    <row r="37" spans="1:3" x14ac:dyDescent="0.35">
      <c r="A37" s="34" t="s">
        <v>83</v>
      </c>
      <c r="B37" s="34" t="s">
        <v>59</v>
      </c>
      <c r="C37" s="34" t="s">
        <v>114</v>
      </c>
    </row>
    <row r="38" spans="1:3" x14ac:dyDescent="0.35">
      <c r="A38" s="34" t="s">
        <v>83</v>
      </c>
      <c r="B38" s="34" t="s">
        <v>59</v>
      </c>
      <c r="C38" s="34" t="s">
        <v>115</v>
      </c>
    </row>
    <row r="39" spans="1:3" x14ac:dyDescent="0.35">
      <c r="A39" s="34" t="s">
        <v>83</v>
      </c>
      <c r="B39" s="34" t="s">
        <v>59</v>
      </c>
      <c r="C39" s="34" t="s">
        <v>116</v>
      </c>
    </row>
    <row r="40" spans="1:3" x14ac:dyDescent="0.35">
      <c r="A40" s="34" t="s">
        <v>83</v>
      </c>
      <c r="B40" s="34" t="s">
        <v>59</v>
      </c>
      <c r="C40" s="34" t="s">
        <v>117</v>
      </c>
    </row>
    <row r="41" spans="1:3" x14ac:dyDescent="0.35">
      <c r="A41" s="34" t="s">
        <v>83</v>
      </c>
      <c r="B41" s="34" t="s">
        <v>59</v>
      </c>
      <c r="C41" s="34" t="s">
        <v>118</v>
      </c>
    </row>
    <row r="42" spans="1:3" x14ac:dyDescent="0.35">
      <c r="A42" s="34" t="s">
        <v>83</v>
      </c>
      <c r="B42" s="34" t="s">
        <v>59</v>
      </c>
      <c r="C42" s="34" t="s">
        <v>119</v>
      </c>
    </row>
    <row r="43" spans="1:3" x14ac:dyDescent="0.35">
      <c r="A43" s="34" t="s">
        <v>83</v>
      </c>
      <c r="B43" s="34" t="s">
        <v>59</v>
      </c>
      <c r="C43" s="34" t="s">
        <v>120</v>
      </c>
    </row>
    <row r="44" spans="1:3" x14ac:dyDescent="0.35">
      <c r="A44" s="34" t="s">
        <v>77</v>
      </c>
      <c r="B44" s="34" t="s">
        <v>59</v>
      </c>
      <c r="C44" s="34" t="s">
        <v>121</v>
      </c>
    </row>
    <row r="45" spans="1:3" x14ac:dyDescent="0.35">
      <c r="A45" s="34" t="s">
        <v>83</v>
      </c>
      <c r="B45" s="34" t="s">
        <v>59</v>
      </c>
      <c r="C45" s="34" t="s">
        <v>122</v>
      </c>
    </row>
    <row r="46" spans="1:3" x14ac:dyDescent="0.35">
      <c r="A46" s="34" t="s">
        <v>83</v>
      </c>
      <c r="B46" s="34" t="s">
        <v>59</v>
      </c>
      <c r="C46" s="34" t="s">
        <v>123</v>
      </c>
    </row>
    <row r="47" spans="1:3" x14ac:dyDescent="0.35">
      <c r="A47" s="34" t="s">
        <v>96</v>
      </c>
      <c r="B47" s="34" t="s">
        <v>2</v>
      </c>
      <c r="C47" s="34" t="s">
        <v>124</v>
      </c>
    </row>
    <row r="48" spans="1:3" x14ac:dyDescent="0.35">
      <c r="A48" s="34" t="s">
        <v>96</v>
      </c>
      <c r="B48" s="34" t="s">
        <v>2</v>
      </c>
      <c r="C48" s="34" t="s">
        <v>125</v>
      </c>
    </row>
    <row r="49" spans="1:3" x14ac:dyDescent="0.35">
      <c r="A49" s="34" t="s">
        <v>96</v>
      </c>
      <c r="B49" s="34" t="s">
        <v>2</v>
      </c>
      <c r="C49" s="34" t="s">
        <v>126</v>
      </c>
    </row>
    <row r="50" spans="1:3" x14ac:dyDescent="0.35">
      <c r="A50" s="34" t="s">
        <v>96</v>
      </c>
      <c r="B50" s="34" t="s">
        <v>2</v>
      </c>
      <c r="C50" s="34" t="s">
        <v>127</v>
      </c>
    </row>
    <row r="51" spans="1:3" x14ac:dyDescent="0.35">
      <c r="A51" s="34" t="s">
        <v>96</v>
      </c>
      <c r="B51" s="34" t="s">
        <v>2</v>
      </c>
      <c r="C51" s="34" t="s">
        <v>128</v>
      </c>
    </row>
    <row r="52" spans="1:3" x14ac:dyDescent="0.35">
      <c r="A52" s="34" t="s">
        <v>96</v>
      </c>
      <c r="B52" s="34" t="s">
        <v>2</v>
      </c>
      <c r="C52" s="34" t="s">
        <v>129</v>
      </c>
    </row>
    <row r="53" spans="1:3" x14ac:dyDescent="0.35">
      <c r="A53" s="34" t="s">
        <v>96</v>
      </c>
      <c r="B53" s="34" t="s">
        <v>2</v>
      </c>
      <c r="C53" s="34" t="s">
        <v>130</v>
      </c>
    </row>
    <row r="54" spans="1:3" x14ac:dyDescent="0.35">
      <c r="A54" s="34" t="s">
        <v>96</v>
      </c>
      <c r="B54" s="34" t="s">
        <v>2</v>
      </c>
      <c r="C54" s="34" t="s">
        <v>131</v>
      </c>
    </row>
    <row r="55" spans="1:3" x14ac:dyDescent="0.35">
      <c r="A55" s="34" t="s">
        <v>96</v>
      </c>
      <c r="B55" s="34" t="s">
        <v>2</v>
      </c>
      <c r="C55" s="34" t="s">
        <v>132</v>
      </c>
    </row>
    <row r="56" spans="1:3" x14ac:dyDescent="0.35">
      <c r="A56" s="34" t="s">
        <v>96</v>
      </c>
      <c r="B56" s="34" t="s">
        <v>2</v>
      </c>
      <c r="C56" s="34" t="s">
        <v>133</v>
      </c>
    </row>
    <row r="57" spans="1:3" x14ac:dyDescent="0.35">
      <c r="A57" s="34" t="s">
        <v>96</v>
      </c>
      <c r="B57" s="34" t="s">
        <v>2</v>
      </c>
      <c r="C57" s="34" t="s">
        <v>134</v>
      </c>
    </row>
    <row r="58" spans="1:3" x14ac:dyDescent="0.35">
      <c r="A58" s="34" t="s">
        <v>96</v>
      </c>
      <c r="B58" s="34" t="s">
        <v>2</v>
      </c>
      <c r="C58" s="34" t="s">
        <v>135</v>
      </c>
    </row>
    <row r="59" spans="1:3" x14ac:dyDescent="0.35">
      <c r="A59" s="34" t="s">
        <v>96</v>
      </c>
      <c r="B59" s="34" t="s">
        <v>2</v>
      </c>
      <c r="C59" s="34" t="s">
        <v>136</v>
      </c>
    </row>
    <row r="60" spans="1:3" x14ac:dyDescent="0.35">
      <c r="A60" s="34" t="s">
        <v>96</v>
      </c>
      <c r="B60" s="34" t="s">
        <v>2</v>
      </c>
      <c r="C60" s="34" t="s">
        <v>137</v>
      </c>
    </row>
    <row r="61" spans="1:3" x14ac:dyDescent="0.35">
      <c r="A61" s="34" t="s">
        <v>96</v>
      </c>
      <c r="B61" s="34" t="s">
        <v>2</v>
      </c>
      <c r="C61" s="34" t="s">
        <v>138</v>
      </c>
    </row>
    <row r="62" spans="1:3" x14ac:dyDescent="0.35">
      <c r="A62" s="34" t="s">
        <v>96</v>
      </c>
      <c r="B62" s="34" t="s">
        <v>2</v>
      </c>
      <c r="C62" s="34" t="s">
        <v>139</v>
      </c>
    </row>
    <row r="63" spans="1:3" x14ac:dyDescent="0.35">
      <c r="A63" s="34" t="s">
        <v>96</v>
      </c>
      <c r="B63" s="34" t="s">
        <v>2</v>
      </c>
      <c r="C63" s="34" t="s">
        <v>140</v>
      </c>
    </row>
    <row r="64" spans="1:3" x14ac:dyDescent="0.35">
      <c r="A64" s="34" t="s">
        <v>96</v>
      </c>
      <c r="B64" s="34" t="s">
        <v>2</v>
      </c>
      <c r="C64" s="34" t="s">
        <v>141</v>
      </c>
    </row>
    <row r="65" spans="1:3" x14ac:dyDescent="0.35">
      <c r="A65" s="34" t="s">
        <v>96</v>
      </c>
      <c r="B65" s="34" t="s">
        <v>2</v>
      </c>
      <c r="C65" s="34" t="s">
        <v>142</v>
      </c>
    </row>
    <row r="66" spans="1:3" x14ac:dyDescent="0.35">
      <c r="A66" s="34" t="s">
        <v>96</v>
      </c>
      <c r="B66" s="34" t="s">
        <v>2</v>
      </c>
      <c r="C66" s="34" t="s">
        <v>143</v>
      </c>
    </row>
    <row r="67" spans="1:3" x14ac:dyDescent="0.35">
      <c r="A67" s="34" t="s">
        <v>96</v>
      </c>
      <c r="B67" s="34" t="s">
        <v>2</v>
      </c>
      <c r="C67" s="34" t="s">
        <v>144</v>
      </c>
    </row>
    <row r="68" spans="1:3" x14ac:dyDescent="0.35">
      <c r="A68" s="34" t="s">
        <v>96</v>
      </c>
      <c r="B68" s="34" t="s">
        <v>2</v>
      </c>
      <c r="C68" s="34" t="s">
        <v>145</v>
      </c>
    </row>
    <row r="69" spans="1:3" x14ac:dyDescent="0.35">
      <c r="A69" s="34" t="s">
        <v>96</v>
      </c>
      <c r="B69" s="34" t="s">
        <v>2</v>
      </c>
      <c r="C69" s="34" t="s">
        <v>146</v>
      </c>
    </row>
    <row r="70" spans="1:3" x14ac:dyDescent="0.35">
      <c r="A70" s="34" t="s">
        <v>96</v>
      </c>
      <c r="B70" s="34" t="s">
        <v>2</v>
      </c>
      <c r="C70" s="34" t="s">
        <v>147</v>
      </c>
    </row>
    <row r="71" spans="1:3" x14ac:dyDescent="0.35">
      <c r="A71" s="34" t="s">
        <v>96</v>
      </c>
      <c r="B71" s="34" t="s">
        <v>2</v>
      </c>
      <c r="C71" s="34" t="s">
        <v>148</v>
      </c>
    </row>
    <row r="72" spans="1:3" x14ac:dyDescent="0.35">
      <c r="A72" s="34" t="s">
        <v>96</v>
      </c>
      <c r="B72" s="34" t="s">
        <v>2</v>
      </c>
      <c r="C72" s="34" t="s">
        <v>149</v>
      </c>
    </row>
    <row r="73" spans="1:3" s="100" customFormat="1" x14ac:dyDescent="0.35">
      <c r="A73" s="100" t="s">
        <v>150</v>
      </c>
      <c r="B73" s="100" t="s">
        <v>3</v>
      </c>
      <c r="C73" s="100" t="s">
        <v>151</v>
      </c>
    </row>
    <row r="74" spans="1:3" s="100" customFormat="1" x14ac:dyDescent="0.35">
      <c r="A74" s="100" t="s">
        <v>150</v>
      </c>
      <c r="B74" s="100" t="s">
        <v>3</v>
      </c>
      <c r="C74" s="100" t="s">
        <v>152</v>
      </c>
    </row>
    <row r="75" spans="1:3" s="100" customFormat="1" x14ac:dyDescent="0.35">
      <c r="A75" s="100" t="s">
        <v>150</v>
      </c>
      <c r="B75" s="100" t="s">
        <v>3</v>
      </c>
      <c r="C75" s="100" t="s">
        <v>153</v>
      </c>
    </row>
    <row r="76" spans="1:3" s="100" customFormat="1" x14ac:dyDescent="0.35">
      <c r="A76" s="100" t="s">
        <v>150</v>
      </c>
      <c r="B76" s="100" t="s">
        <v>3</v>
      </c>
      <c r="C76" s="100" t="s">
        <v>154</v>
      </c>
    </row>
    <row r="77" spans="1:3" s="100" customFormat="1" x14ac:dyDescent="0.35">
      <c r="A77" s="100" t="s">
        <v>150</v>
      </c>
      <c r="B77" s="100" t="s">
        <v>3</v>
      </c>
      <c r="C77" s="100" t="s">
        <v>155</v>
      </c>
    </row>
    <row r="78" spans="1:3" s="100" customFormat="1" x14ac:dyDescent="0.35">
      <c r="A78" s="100" t="s">
        <v>150</v>
      </c>
      <c r="B78" s="100" t="s">
        <v>3</v>
      </c>
      <c r="C78" s="100" t="s">
        <v>156</v>
      </c>
    </row>
    <row r="79" spans="1:3" s="100" customFormat="1" x14ac:dyDescent="0.35">
      <c r="A79" s="100" t="s">
        <v>150</v>
      </c>
      <c r="B79" s="100" t="s">
        <v>3</v>
      </c>
      <c r="C79" s="100" t="s">
        <v>157</v>
      </c>
    </row>
    <row r="80" spans="1:3" s="100" customFormat="1" x14ac:dyDescent="0.35">
      <c r="A80" s="100" t="s">
        <v>150</v>
      </c>
      <c r="B80" s="100" t="s">
        <v>3</v>
      </c>
      <c r="C80" s="100" t="s">
        <v>158</v>
      </c>
    </row>
    <row r="81" spans="1:3" s="100" customFormat="1" x14ac:dyDescent="0.35">
      <c r="A81" s="100" t="s">
        <v>150</v>
      </c>
      <c r="B81" s="100" t="s">
        <v>3</v>
      </c>
      <c r="C81" s="100" t="s">
        <v>159</v>
      </c>
    </row>
    <row r="82" spans="1:3" s="100" customFormat="1" x14ac:dyDescent="0.35">
      <c r="A82" s="100" t="s">
        <v>150</v>
      </c>
      <c r="B82" s="100" t="s">
        <v>3</v>
      </c>
      <c r="C82" s="100" t="s">
        <v>160</v>
      </c>
    </row>
    <row r="83" spans="1:3" s="100" customFormat="1" x14ac:dyDescent="0.35">
      <c r="A83" s="100" t="s">
        <v>150</v>
      </c>
      <c r="B83" s="100" t="s">
        <v>3</v>
      </c>
      <c r="C83" s="100" t="s">
        <v>161</v>
      </c>
    </row>
    <row r="84" spans="1:3" s="100" customFormat="1" x14ac:dyDescent="0.35">
      <c r="A84" s="100" t="s">
        <v>150</v>
      </c>
      <c r="B84" s="100" t="s">
        <v>3</v>
      </c>
      <c r="C84" s="100" t="s">
        <v>162</v>
      </c>
    </row>
    <row r="85" spans="1:3" s="100" customFormat="1" x14ac:dyDescent="0.35">
      <c r="A85" s="100" t="s">
        <v>150</v>
      </c>
      <c r="B85" s="100" t="s">
        <v>3</v>
      </c>
      <c r="C85" s="100" t="s">
        <v>163</v>
      </c>
    </row>
    <row r="86" spans="1:3" s="100" customFormat="1" x14ac:dyDescent="0.35">
      <c r="A86" s="100" t="s">
        <v>150</v>
      </c>
      <c r="B86" s="100" t="s">
        <v>3</v>
      </c>
      <c r="C86" s="100" t="s">
        <v>164</v>
      </c>
    </row>
    <row r="87" spans="1:3" s="100" customFormat="1" x14ac:dyDescent="0.35">
      <c r="A87" s="100" t="s">
        <v>150</v>
      </c>
      <c r="B87" s="100" t="s">
        <v>3</v>
      </c>
      <c r="C87" s="100" t="s">
        <v>165</v>
      </c>
    </row>
    <row r="88" spans="1:3" s="100" customFormat="1" x14ac:dyDescent="0.35">
      <c r="A88" s="100" t="s">
        <v>150</v>
      </c>
      <c r="B88" s="100" t="s">
        <v>3</v>
      </c>
      <c r="C88" s="100" t="s">
        <v>166</v>
      </c>
    </row>
    <row r="89" spans="1:3" s="100" customFormat="1" x14ac:dyDescent="0.35">
      <c r="A89" s="100" t="s">
        <v>150</v>
      </c>
      <c r="B89" s="100" t="s">
        <v>3</v>
      </c>
      <c r="C89" s="100" t="s">
        <v>167</v>
      </c>
    </row>
    <row r="90" spans="1:3" s="100" customFormat="1" x14ac:dyDescent="0.35">
      <c r="A90" s="100" t="s">
        <v>150</v>
      </c>
      <c r="B90" s="100" t="s">
        <v>3</v>
      </c>
      <c r="C90" s="100" t="s">
        <v>168</v>
      </c>
    </row>
    <row r="91" spans="1:3" s="100" customFormat="1" x14ac:dyDescent="0.35">
      <c r="A91" s="100" t="s">
        <v>150</v>
      </c>
      <c r="B91" s="100" t="s">
        <v>3</v>
      </c>
      <c r="C91" s="100" t="s">
        <v>169</v>
      </c>
    </row>
    <row r="92" spans="1:3" s="100" customFormat="1" x14ac:dyDescent="0.35">
      <c r="A92" s="100" t="s">
        <v>150</v>
      </c>
      <c r="B92" s="100" t="s">
        <v>3</v>
      </c>
      <c r="C92" s="100" t="s">
        <v>170</v>
      </c>
    </row>
    <row r="93" spans="1:3" s="100" customFormat="1" x14ac:dyDescent="0.35">
      <c r="A93" s="100" t="s">
        <v>150</v>
      </c>
      <c r="B93" s="100" t="s">
        <v>3</v>
      </c>
      <c r="C93" s="100" t="s">
        <v>171</v>
      </c>
    </row>
    <row r="94" spans="1:3" s="100" customFormat="1" x14ac:dyDescent="0.35">
      <c r="A94" s="100" t="s">
        <v>150</v>
      </c>
      <c r="B94" s="100" t="s">
        <v>3</v>
      </c>
      <c r="C94" s="100" t="s">
        <v>172</v>
      </c>
    </row>
    <row r="95" spans="1:3" s="100" customFormat="1" x14ac:dyDescent="0.35">
      <c r="A95" s="100" t="s">
        <v>150</v>
      </c>
      <c r="B95" s="100" t="s">
        <v>3</v>
      </c>
      <c r="C95" s="100" t="s">
        <v>173</v>
      </c>
    </row>
    <row r="96" spans="1:3" s="100" customFormat="1" x14ac:dyDescent="0.35">
      <c r="A96" s="100" t="s">
        <v>150</v>
      </c>
      <c r="B96" s="100" t="s">
        <v>3</v>
      </c>
      <c r="C96" s="100" t="s">
        <v>174</v>
      </c>
    </row>
    <row r="97" spans="1:3" s="100" customFormat="1" x14ac:dyDescent="0.35">
      <c r="A97" s="100" t="s">
        <v>150</v>
      </c>
      <c r="B97" s="100" t="s">
        <v>3</v>
      </c>
      <c r="C97" s="100" t="s">
        <v>175</v>
      </c>
    </row>
    <row r="98" spans="1:3" s="100" customFormat="1" x14ac:dyDescent="0.35">
      <c r="A98" s="100" t="s">
        <v>150</v>
      </c>
      <c r="B98" s="100" t="s">
        <v>3</v>
      </c>
      <c r="C98" s="100" t="s">
        <v>176</v>
      </c>
    </row>
    <row r="99" spans="1:3" s="100" customFormat="1" x14ac:dyDescent="0.35">
      <c r="A99" s="100" t="s">
        <v>150</v>
      </c>
      <c r="B99" s="100" t="s">
        <v>3</v>
      </c>
      <c r="C99" s="100" t="s">
        <v>177</v>
      </c>
    </row>
    <row r="100" spans="1:3" s="100" customFormat="1" x14ac:dyDescent="0.35">
      <c r="A100" s="100" t="s">
        <v>150</v>
      </c>
      <c r="B100" s="100" t="s">
        <v>3</v>
      </c>
      <c r="C100" s="100" t="s">
        <v>178</v>
      </c>
    </row>
    <row r="101" spans="1:3" s="100" customFormat="1" x14ac:dyDescent="0.35">
      <c r="A101" s="100" t="s">
        <v>150</v>
      </c>
      <c r="B101" s="100" t="s">
        <v>3</v>
      </c>
      <c r="C101" s="100" t="s">
        <v>179</v>
      </c>
    </row>
    <row r="102" spans="1:3" s="100" customFormat="1" x14ac:dyDescent="0.35">
      <c r="A102" s="100" t="s">
        <v>150</v>
      </c>
      <c r="B102" s="100" t="s">
        <v>3</v>
      </c>
      <c r="C102" s="100" t="s">
        <v>180</v>
      </c>
    </row>
    <row r="103" spans="1:3" s="100" customFormat="1" x14ac:dyDescent="0.35">
      <c r="A103" s="100" t="s">
        <v>150</v>
      </c>
      <c r="B103" s="100" t="s">
        <v>3</v>
      </c>
      <c r="C103" s="100" t="s">
        <v>181</v>
      </c>
    </row>
    <row r="104" spans="1:3" s="100" customFormat="1" x14ac:dyDescent="0.35">
      <c r="A104" s="100" t="s">
        <v>150</v>
      </c>
      <c r="B104" s="100" t="s">
        <v>3</v>
      </c>
      <c r="C104" s="100" t="s">
        <v>182</v>
      </c>
    </row>
    <row r="105" spans="1:3" s="100" customFormat="1" x14ac:dyDescent="0.35">
      <c r="A105" s="100" t="s">
        <v>150</v>
      </c>
      <c r="B105" s="100" t="s">
        <v>3</v>
      </c>
      <c r="C105" s="100" t="s">
        <v>183</v>
      </c>
    </row>
    <row r="106" spans="1:3" s="100" customFormat="1" x14ac:dyDescent="0.35">
      <c r="A106" s="100" t="s">
        <v>150</v>
      </c>
      <c r="B106" s="100" t="s">
        <v>3</v>
      </c>
      <c r="C106" s="100" t="s">
        <v>184</v>
      </c>
    </row>
    <row r="107" spans="1:3" s="100" customFormat="1" x14ac:dyDescent="0.35">
      <c r="A107" s="100" t="s">
        <v>150</v>
      </c>
      <c r="B107" s="100" t="s">
        <v>3</v>
      </c>
      <c r="C107" s="100" t="s">
        <v>185</v>
      </c>
    </row>
    <row r="108" spans="1:3" s="100" customFormat="1" x14ac:dyDescent="0.35">
      <c r="A108" s="100" t="s">
        <v>150</v>
      </c>
      <c r="B108" s="100" t="s">
        <v>3</v>
      </c>
      <c r="C108" s="100" t="s">
        <v>186</v>
      </c>
    </row>
    <row r="109" spans="1:3" s="100" customFormat="1" x14ac:dyDescent="0.35">
      <c r="A109" s="100" t="s">
        <v>150</v>
      </c>
      <c r="B109" s="100" t="s">
        <v>3</v>
      </c>
      <c r="C109" s="100" t="s">
        <v>187</v>
      </c>
    </row>
    <row r="110" spans="1:3" s="100" customFormat="1" x14ac:dyDescent="0.35">
      <c r="A110" s="100" t="s">
        <v>150</v>
      </c>
      <c r="B110" s="100" t="s">
        <v>3</v>
      </c>
      <c r="C110" s="100" t="s">
        <v>188</v>
      </c>
    </row>
    <row r="111" spans="1:3" s="100" customFormat="1" x14ac:dyDescent="0.35">
      <c r="A111" s="100" t="s">
        <v>150</v>
      </c>
      <c r="B111" s="100" t="s">
        <v>3</v>
      </c>
      <c r="C111" s="100" t="s">
        <v>189</v>
      </c>
    </row>
    <row r="112" spans="1:3" s="100" customFormat="1" x14ac:dyDescent="0.35">
      <c r="A112" s="100" t="s">
        <v>150</v>
      </c>
      <c r="B112" s="100" t="s">
        <v>3</v>
      </c>
      <c r="C112" s="100" t="s">
        <v>190</v>
      </c>
    </row>
    <row r="113" spans="1:3" s="100" customFormat="1" x14ac:dyDescent="0.35">
      <c r="A113" s="100" t="s">
        <v>150</v>
      </c>
      <c r="B113" s="100" t="s">
        <v>3</v>
      </c>
      <c r="C113" s="100" t="s">
        <v>191</v>
      </c>
    </row>
    <row r="114" spans="1:3" s="100" customFormat="1" x14ac:dyDescent="0.35">
      <c r="A114" s="100" t="s">
        <v>150</v>
      </c>
      <c r="B114" s="100" t="s">
        <v>3</v>
      </c>
      <c r="C114" s="100" t="s">
        <v>192</v>
      </c>
    </row>
    <row r="115" spans="1:3" s="100" customFormat="1" x14ac:dyDescent="0.35">
      <c r="A115" s="100" t="s">
        <v>150</v>
      </c>
      <c r="B115" s="100" t="s">
        <v>3</v>
      </c>
      <c r="C115" s="100" t="s">
        <v>193</v>
      </c>
    </row>
    <row r="116" spans="1:3" s="100" customFormat="1" x14ac:dyDescent="0.35">
      <c r="A116" s="100" t="s">
        <v>150</v>
      </c>
      <c r="B116" s="100" t="s">
        <v>3</v>
      </c>
      <c r="C116" s="100" t="s">
        <v>194</v>
      </c>
    </row>
    <row r="117" spans="1:3" s="100" customFormat="1" x14ac:dyDescent="0.35">
      <c r="A117" s="100" t="s">
        <v>150</v>
      </c>
      <c r="B117" s="100" t="s">
        <v>3</v>
      </c>
      <c r="C117" s="100" t="s">
        <v>195</v>
      </c>
    </row>
    <row r="118" spans="1:3" s="100" customFormat="1" x14ac:dyDescent="0.35">
      <c r="A118" s="100" t="s">
        <v>150</v>
      </c>
      <c r="B118" s="100" t="s">
        <v>3</v>
      </c>
      <c r="C118" s="100" t="s">
        <v>196</v>
      </c>
    </row>
    <row r="119" spans="1:3" s="100" customFormat="1" x14ac:dyDescent="0.35">
      <c r="A119" s="100" t="s">
        <v>150</v>
      </c>
      <c r="B119" s="100" t="s">
        <v>3</v>
      </c>
      <c r="C119" s="100" t="s">
        <v>197</v>
      </c>
    </row>
    <row r="120" spans="1:3" s="100" customFormat="1" x14ac:dyDescent="0.35">
      <c r="A120" s="100" t="s">
        <v>150</v>
      </c>
      <c r="B120" s="100" t="s">
        <v>3</v>
      </c>
      <c r="C120" s="100" t="s">
        <v>198</v>
      </c>
    </row>
    <row r="121" spans="1:3" s="100" customFormat="1" x14ac:dyDescent="0.35">
      <c r="A121" s="100" t="s">
        <v>150</v>
      </c>
      <c r="B121" s="100" t="s">
        <v>3</v>
      </c>
      <c r="C121" s="100" t="s">
        <v>199</v>
      </c>
    </row>
    <row r="122" spans="1:3" s="100" customFormat="1" x14ac:dyDescent="0.35">
      <c r="A122" s="100" t="s">
        <v>150</v>
      </c>
      <c r="B122" s="100" t="s">
        <v>3</v>
      </c>
      <c r="C122" s="100" t="s">
        <v>200</v>
      </c>
    </row>
    <row r="123" spans="1:3" s="100" customFormat="1" x14ac:dyDescent="0.35">
      <c r="A123" s="100" t="s">
        <v>150</v>
      </c>
      <c r="B123" s="100" t="s">
        <v>3</v>
      </c>
      <c r="C123" s="100" t="s">
        <v>201</v>
      </c>
    </row>
    <row r="124" spans="1:3" s="100" customFormat="1" x14ac:dyDescent="0.35">
      <c r="A124" s="100" t="s">
        <v>150</v>
      </c>
      <c r="B124" s="100" t="s">
        <v>3</v>
      </c>
      <c r="C124" s="100" t="s">
        <v>202</v>
      </c>
    </row>
    <row r="125" spans="1:3" s="100" customFormat="1" x14ac:dyDescent="0.35">
      <c r="A125" s="100" t="s">
        <v>150</v>
      </c>
      <c r="B125" s="100" t="s">
        <v>3</v>
      </c>
      <c r="C125" s="100" t="s">
        <v>203</v>
      </c>
    </row>
    <row r="126" spans="1:3" s="100" customFormat="1" x14ac:dyDescent="0.35">
      <c r="A126" s="100" t="s">
        <v>150</v>
      </c>
      <c r="B126" s="100" t="s">
        <v>3</v>
      </c>
      <c r="C126" s="100" t="s">
        <v>204</v>
      </c>
    </row>
    <row r="127" spans="1:3" s="100" customFormat="1" x14ac:dyDescent="0.35">
      <c r="A127" s="100" t="s">
        <v>150</v>
      </c>
      <c r="B127" s="100" t="s">
        <v>3</v>
      </c>
      <c r="C127" s="100" t="s">
        <v>205</v>
      </c>
    </row>
    <row r="128" spans="1:3" s="100" customFormat="1" x14ac:dyDescent="0.35">
      <c r="A128" s="100" t="s">
        <v>150</v>
      </c>
      <c r="B128" s="100" t="s">
        <v>3</v>
      </c>
      <c r="C128" s="100" t="s">
        <v>206</v>
      </c>
    </row>
    <row r="129" spans="1:3" s="100" customFormat="1" x14ac:dyDescent="0.35">
      <c r="A129" s="100" t="s">
        <v>150</v>
      </c>
      <c r="B129" s="100" t="s">
        <v>3</v>
      </c>
      <c r="C129" s="100" t="s">
        <v>207</v>
      </c>
    </row>
    <row r="130" spans="1:3" s="100" customFormat="1" x14ac:dyDescent="0.35">
      <c r="A130" s="100" t="s">
        <v>150</v>
      </c>
      <c r="B130" s="100" t="s">
        <v>3</v>
      </c>
      <c r="C130" s="100" t="s">
        <v>208</v>
      </c>
    </row>
    <row r="131" spans="1:3" s="100" customFormat="1" x14ac:dyDescent="0.35">
      <c r="A131" s="100" t="s">
        <v>150</v>
      </c>
      <c r="B131" s="100" t="s">
        <v>3</v>
      </c>
      <c r="C131" s="100" t="s">
        <v>209</v>
      </c>
    </row>
    <row r="132" spans="1:3" s="100" customFormat="1" x14ac:dyDescent="0.35">
      <c r="A132" s="100" t="s">
        <v>150</v>
      </c>
      <c r="B132" s="100" t="s">
        <v>3</v>
      </c>
      <c r="C132" s="100" t="s">
        <v>210</v>
      </c>
    </row>
    <row r="133" spans="1:3" s="100" customFormat="1" x14ac:dyDescent="0.35">
      <c r="A133" s="100" t="s">
        <v>150</v>
      </c>
      <c r="B133" s="100" t="s">
        <v>3</v>
      </c>
      <c r="C133" s="100" t="s">
        <v>211</v>
      </c>
    </row>
    <row r="134" spans="1:3" s="100" customFormat="1" x14ac:dyDescent="0.35">
      <c r="A134" s="100" t="s">
        <v>150</v>
      </c>
      <c r="B134" s="100" t="s">
        <v>3</v>
      </c>
      <c r="C134" s="100" t="s">
        <v>212</v>
      </c>
    </row>
    <row r="135" spans="1:3" s="100" customFormat="1" x14ac:dyDescent="0.35">
      <c r="A135" s="100" t="s">
        <v>150</v>
      </c>
      <c r="B135" s="100" t="s">
        <v>3</v>
      </c>
      <c r="C135" s="100" t="s">
        <v>213</v>
      </c>
    </row>
    <row r="136" spans="1:3" s="100" customFormat="1" x14ac:dyDescent="0.35">
      <c r="A136" s="100" t="s">
        <v>150</v>
      </c>
      <c r="B136" s="100" t="s">
        <v>3</v>
      </c>
      <c r="C136" s="100" t="s">
        <v>214</v>
      </c>
    </row>
    <row r="137" spans="1:3" s="100" customFormat="1" x14ac:dyDescent="0.35">
      <c r="A137" s="100" t="s">
        <v>150</v>
      </c>
      <c r="B137" s="100" t="s">
        <v>3</v>
      </c>
      <c r="C137" s="100" t="s">
        <v>215</v>
      </c>
    </row>
    <row r="138" spans="1:3" s="100" customFormat="1" x14ac:dyDescent="0.35">
      <c r="A138" s="100" t="s">
        <v>150</v>
      </c>
      <c r="B138" s="100" t="s">
        <v>3</v>
      </c>
      <c r="C138" s="100" t="s">
        <v>216</v>
      </c>
    </row>
    <row r="139" spans="1:3" s="100" customFormat="1" x14ac:dyDescent="0.35">
      <c r="A139" s="100" t="s">
        <v>150</v>
      </c>
      <c r="B139" s="100" t="s">
        <v>3</v>
      </c>
      <c r="C139" s="100" t="s">
        <v>217</v>
      </c>
    </row>
    <row r="140" spans="1:3" s="100" customFormat="1" x14ac:dyDescent="0.35">
      <c r="A140" s="100" t="s">
        <v>150</v>
      </c>
      <c r="B140" s="100" t="s">
        <v>3</v>
      </c>
      <c r="C140" s="100" t="s">
        <v>218</v>
      </c>
    </row>
    <row r="141" spans="1:3" s="100" customFormat="1" x14ac:dyDescent="0.35">
      <c r="A141" s="100" t="s">
        <v>150</v>
      </c>
      <c r="B141" s="100" t="s">
        <v>3</v>
      </c>
      <c r="C141" s="100" t="s">
        <v>219</v>
      </c>
    </row>
    <row r="142" spans="1:3" s="100" customFormat="1" x14ac:dyDescent="0.35">
      <c r="A142" s="100" t="s">
        <v>150</v>
      </c>
      <c r="B142" s="100" t="s">
        <v>3</v>
      </c>
      <c r="C142" s="100" t="s">
        <v>220</v>
      </c>
    </row>
    <row r="143" spans="1:3" s="100" customFormat="1" x14ac:dyDescent="0.35">
      <c r="A143" s="100" t="s">
        <v>150</v>
      </c>
      <c r="B143" s="100" t="s">
        <v>3</v>
      </c>
      <c r="C143" s="100" t="s">
        <v>221</v>
      </c>
    </row>
    <row r="144" spans="1:3" s="100" customFormat="1" x14ac:dyDescent="0.35">
      <c r="A144" s="100" t="s">
        <v>150</v>
      </c>
      <c r="B144" s="100" t="s">
        <v>3</v>
      </c>
      <c r="C144" s="100" t="s">
        <v>222</v>
      </c>
    </row>
    <row r="145" spans="1:3" s="100" customFormat="1" x14ac:dyDescent="0.35">
      <c r="A145" s="100" t="s">
        <v>150</v>
      </c>
      <c r="B145" s="100" t="s">
        <v>3</v>
      </c>
      <c r="C145" s="100" t="s">
        <v>223</v>
      </c>
    </row>
    <row r="146" spans="1:3" s="100" customFormat="1" x14ac:dyDescent="0.35">
      <c r="A146" s="100" t="s">
        <v>150</v>
      </c>
      <c r="B146" s="100" t="s">
        <v>3</v>
      </c>
      <c r="C146" s="100" t="s">
        <v>224</v>
      </c>
    </row>
    <row r="147" spans="1:3" s="100" customFormat="1" x14ac:dyDescent="0.35">
      <c r="A147" s="100" t="s">
        <v>150</v>
      </c>
      <c r="B147" s="100" t="s">
        <v>3</v>
      </c>
      <c r="C147" s="100" t="s">
        <v>225</v>
      </c>
    </row>
    <row r="148" spans="1:3" s="100" customFormat="1" x14ac:dyDescent="0.35">
      <c r="A148" s="100" t="s">
        <v>150</v>
      </c>
      <c r="B148" s="100" t="s">
        <v>3</v>
      </c>
      <c r="C148" s="100" t="s">
        <v>226</v>
      </c>
    </row>
    <row r="149" spans="1:3" s="100" customFormat="1" x14ac:dyDescent="0.35">
      <c r="A149" s="100" t="s">
        <v>150</v>
      </c>
      <c r="B149" s="100" t="s">
        <v>3</v>
      </c>
      <c r="C149" s="100" t="s">
        <v>227</v>
      </c>
    </row>
    <row r="150" spans="1:3" s="100" customFormat="1" x14ac:dyDescent="0.35">
      <c r="A150" s="100" t="s">
        <v>150</v>
      </c>
      <c r="B150" s="100" t="s">
        <v>3</v>
      </c>
      <c r="C150" s="100" t="s">
        <v>228</v>
      </c>
    </row>
    <row r="151" spans="1:3" s="100" customFormat="1" x14ac:dyDescent="0.35">
      <c r="A151" s="100" t="s">
        <v>150</v>
      </c>
      <c r="B151" s="100" t="s">
        <v>3</v>
      </c>
      <c r="C151" s="100" t="s">
        <v>229</v>
      </c>
    </row>
    <row r="152" spans="1:3" s="100" customFormat="1" x14ac:dyDescent="0.35">
      <c r="A152" s="100" t="s">
        <v>150</v>
      </c>
      <c r="B152" s="100" t="s">
        <v>3</v>
      </c>
      <c r="C152" s="100" t="s">
        <v>230</v>
      </c>
    </row>
    <row r="153" spans="1:3" s="100" customFormat="1" x14ac:dyDescent="0.35">
      <c r="A153" s="100" t="s">
        <v>150</v>
      </c>
      <c r="B153" s="100" t="s">
        <v>3</v>
      </c>
      <c r="C153" s="100" t="s">
        <v>231</v>
      </c>
    </row>
    <row r="154" spans="1:3" s="100" customFormat="1" x14ac:dyDescent="0.35">
      <c r="A154" s="100" t="s">
        <v>150</v>
      </c>
      <c r="B154" s="100" t="s">
        <v>3</v>
      </c>
      <c r="C154" s="100" t="s">
        <v>232</v>
      </c>
    </row>
    <row r="155" spans="1:3" s="100" customFormat="1" x14ac:dyDescent="0.35">
      <c r="A155" s="100" t="s">
        <v>150</v>
      </c>
      <c r="B155" s="100" t="s">
        <v>3</v>
      </c>
      <c r="C155" s="100" t="s">
        <v>233</v>
      </c>
    </row>
    <row r="156" spans="1:3" s="100" customFormat="1" x14ac:dyDescent="0.35">
      <c r="A156" s="100" t="s">
        <v>150</v>
      </c>
      <c r="B156" s="100" t="s">
        <v>3</v>
      </c>
      <c r="C156" s="100" t="s">
        <v>234</v>
      </c>
    </row>
    <row r="157" spans="1:3" s="100" customFormat="1" x14ac:dyDescent="0.35">
      <c r="A157" s="100" t="s">
        <v>150</v>
      </c>
      <c r="B157" s="100" t="s">
        <v>3</v>
      </c>
      <c r="C157" s="100" t="s">
        <v>235</v>
      </c>
    </row>
    <row r="158" spans="1:3" s="100" customFormat="1" x14ac:dyDescent="0.35">
      <c r="A158" s="100" t="s">
        <v>150</v>
      </c>
      <c r="B158" s="100" t="s">
        <v>3</v>
      </c>
      <c r="C158" s="100" t="s">
        <v>236</v>
      </c>
    </row>
    <row r="159" spans="1:3" s="100" customFormat="1" x14ac:dyDescent="0.35">
      <c r="A159" s="100" t="s">
        <v>150</v>
      </c>
      <c r="B159" s="100" t="s">
        <v>3</v>
      </c>
      <c r="C159" s="100" t="s">
        <v>237</v>
      </c>
    </row>
    <row r="160" spans="1:3" s="100" customFormat="1" x14ac:dyDescent="0.35">
      <c r="A160" s="100" t="s">
        <v>150</v>
      </c>
      <c r="B160" s="100" t="s">
        <v>3</v>
      </c>
      <c r="C160" s="100" t="s">
        <v>238</v>
      </c>
    </row>
    <row r="161" spans="1:3" s="100" customFormat="1" x14ac:dyDescent="0.35">
      <c r="A161" s="100" t="s">
        <v>150</v>
      </c>
      <c r="B161" s="100" t="s">
        <v>3</v>
      </c>
      <c r="C161" s="100" t="s">
        <v>239</v>
      </c>
    </row>
    <row r="162" spans="1:3" s="100" customFormat="1" x14ac:dyDescent="0.35">
      <c r="A162" s="100" t="s">
        <v>150</v>
      </c>
      <c r="B162" s="100" t="s">
        <v>3</v>
      </c>
      <c r="C162" s="100" t="s">
        <v>240</v>
      </c>
    </row>
    <row r="163" spans="1:3" s="100" customFormat="1" x14ac:dyDescent="0.35">
      <c r="A163" s="100" t="s">
        <v>150</v>
      </c>
      <c r="B163" s="100" t="s">
        <v>3</v>
      </c>
      <c r="C163" s="100" t="s">
        <v>241</v>
      </c>
    </row>
    <row r="164" spans="1:3" s="100" customFormat="1" x14ac:dyDescent="0.35">
      <c r="A164" s="100" t="s">
        <v>150</v>
      </c>
      <c r="B164" s="100" t="s">
        <v>3</v>
      </c>
      <c r="C164" s="100" t="s">
        <v>242</v>
      </c>
    </row>
    <row r="165" spans="1:3" s="100" customFormat="1" x14ac:dyDescent="0.35">
      <c r="A165" s="100" t="s">
        <v>150</v>
      </c>
      <c r="B165" s="100" t="s">
        <v>3</v>
      </c>
      <c r="C165" s="100" t="s">
        <v>243</v>
      </c>
    </row>
    <row r="166" spans="1:3" s="100" customFormat="1" x14ac:dyDescent="0.35">
      <c r="A166" s="100" t="s">
        <v>150</v>
      </c>
      <c r="B166" s="100" t="s">
        <v>3</v>
      </c>
      <c r="C166" s="100" t="s">
        <v>244</v>
      </c>
    </row>
    <row r="167" spans="1:3" s="100" customFormat="1" x14ac:dyDescent="0.35">
      <c r="A167" s="100" t="s">
        <v>150</v>
      </c>
      <c r="B167" s="100" t="s">
        <v>3</v>
      </c>
      <c r="C167" s="100" t="s">
        <v>245</v>
      </c>
    </row>
    <row r="168" spans="1:3" s="100" customFormat="1" x14ac:dyDescent="0.35">
      <c r="A168" s="100" t="s">
        <v>150</v>
      </c>
      <c r="B168" s="100" t="s">
        <v>3</v>
      </c>
      <c r="C168" s="100" t="s">
        <v>246</v>
      </c>
    </row>
    <row r="169" spans="1:3" s="100" customFormat="1" x14ac:dyDescent="0.35">
      <c r="A169" s="100" t="s">
        <v>150</v>
      </c>
      <c r="B169" s="100" t="s">
        <v>3</v>
      </c>
      <c r="C169" s="100" t="s">
        <v>247</v>
      </c>
    </row>
    <row r="170" spans="1:3" s="100" customFormat="1" x14ac:dyDescent="0.35">
      <c r="A170" s="100" t="s">
        <v>150</v>
      </c>
      <c r="B170" s="100" t="s">
        <v>3</v>
      </c>
      <c r="C170" s="100" t="s">
        <v>248</v>
      </c>
    </row>
    <row r="171" spans="1:3" s="100" customFormat="1" x14ac:dyDescent="0.35">
      <c r="A171" s="100" t="s">
        <v>150</v>
      </c>
      <c r="B171" s="100" t="s">
        <v>3</v>
      </c>
      <c r="C171" s="100" t="s">
        <v>249</v>
      </c>
    </row>
    <row r="172" spans="1:3" s="100" customFormat="1" x14ac:dyDescent="0.35">
      <c r="A172" s="100" t="s">
        <v>150</v>
      </c>
      <c r="B172" s="100" t="s">
        <v>3</v>
      </c>
      <c r="C172" s="100" t="s">
        <v>250</v>
      </c>
    </row>
    <row r="173" spans="1:3" s="100" customFormat="1" x14ac:dyDescent="0.35">
      <c r="A173" s="100" t="s">
        <v>150</v>
      </c>
      <c r="B173" s="100" t="s">
        <v>3</v>
      </c>
      <c r="C173" s="100" t="s">
        <v>251</v>
      </c>
    </row>
    <row r="174" spans="1:3" s="100" customFormat="1" x14ac:dyDescent="0.35">
      <c r="A174" s="100" t="s">
        <v>150</v>
      </c>
      <c r="B174" s="100" t="s">
        <v>3</v>
      </c>
      <c r="C174" s="100" t="s">
        <v>252</v>
      </c>
    </row>
    <row r="175" spans="1:3" s="100" customFormat="1" x14ac:dyDescent="0.35">
      <c r="A175" s="100" t="s">
        <v>150</v>
      </c>
      <c r="B175" s="100" t="s">
        <v>3</v>
      </c>
      <c r="C175" s="100" t="s">
        <v>253</v>
      </c>
    </row>
    <row r="176" spans="1:3" s="100" customFormat="1" x14ac:dyDescent="0.35">
      <c r="A176" s="100" t="s">
        <v>150</v>
      </c>
      <c r="B176" s="100" t="s">
        <v>3</v>
      </c>
      <c r="C176" s="100" t="s">
        <v>254</v>
      </c>
    </row>
    <row r="177" spans="1:3" s="100" customFormat="1" x14ac:dyDescent="0.35">
      <c r="A177" s="100" t="s">
        <v>150</v>
      </c>
      <c r="B177" s="100" t="s">
        <v>3</v>
      </c>
      <c r="C177" s="100" t="s">
        <v>255</v>
      </c>
    </row>
    <row r="178" spans="1:3" s="100" customFormat="1" x14ac:dyDescent="0.35">
      <c r="A178" s="100" t="s">
        <v>150</v>
      </c>
      <c r="B178" s="100" t="s">
        <v>3</v>
      </c>
      <c r="C178" s="100" t="s">
        <v>256</v>
      </c>
    </row>
    <row r="179" spans="1:3" s="100" customFormat="1" x14ac:dyDescent="0.35">
      <c r="A179" s="100" t="s">
        <v>150</v>
      </c>
      <c r="B179" s="100" t="s">
        <v>3</v>
      </c>
      <c r="C179" s="100" t="s">
        <v>257</v>
      </c>
    </row>
    <row r="180" spans="1:3" s="100" customFormat="1" x14ac:dyDescent="0.35">
      <c r="A180" s="100" t="s">
        <v>150</v>
      </c>
      <c r="B180" s="100" t="s">
        <v>3</v>
      </c>
      <c r="C180" s="100" t="s">
        <v>258</v>
      </c>
    </row>
    <row r="181" spans="1:3" s="100" customFormat="1" x14ac:dyDescent="0.35">
      <c r="A181" s="100" t="s">
        <v>150</v>
      </c>
      <c r="B181" s="100" t="s">
        <v>3</v>
      </c>
      <c r="C181" s="100" t="s">
        <v>259</v>
      </c>
    </row>
    <row r="182" spans="1:3" s="100" customFormat="1" x14ac:dyDescent="0.35">
      <c r="A182" s="100" t="s">
        <v>150</v>
      </c>
      <c r="B182" s="100" t="s">
        <v>3</v>
      </c>
      <c r="C182" s="100" t="s">
        <v>260</v>
      </c>
    </row>
    <row r="183" spans="1:3" s="100" customFormat="1" x14ac:dyDescent="0.35">
      <c r="A183" s="100" t="s">
        <v>150</v>
      </c>
      <c r="B183" s="100" t="s">
        <v>3</v>
      </c>
      <c r="C183" s="100" t="s">
        <v>261</v>
      </c>
    </row>
    <row r="184" spans="1:3" s="100" customFormat="1" x14ac:dyDescent="0.35">
      <c r="A184" s="100" t="s">
        <v>150</v>
      </c>
      <c r="B184" s="100" t="s">
        <v>3</v>
      </c>
      <c r="C184" s="100" t="s">
        <v>262</v>
      </c>
    </row>
    <row r="185" spans="1:3" s="100" customFormat="1" x14ac:dyDescent="0.35">
      <c r="A185" s="100" t="s">
        <v>150</v>
      </c>
      <c r="B185" s="100" t="s">
        <v>3</v>
      </c>
      <c r="C185" s="100" t="s">
        <v>263</v>
      </c>
    </row>
    <row r="186" spans="1:3" s="100" customFormat="1" x14ac:dyDescent="0.35">
      <c r="A186" s="100" t="s">
        <v>150</v>
      </c>
      <c r="B186" s="100" t="s">
        <v>3</v>
      </c>
      <c r="C186" s="100" t="s">
        <v>264</v>
      </c>
    </row>
    <row r="187" spans="1:3" s="100" customFormat="1" x14ac:dyDescent="0.35">
      <c r="A187" s="100" t="s">
        <v>150</v>
      </c>
      <c r="B187" s="100" t="s">
        <v>3</v>
      </c>
      <c r="C187" s="100" t="s">
        <v>265</v>
      </c>
    </row>
    <row r="188" spans="1:3" s="100" customFormat="1" x14ac:dyDescent="0.35">
      <c r="A188" s="100" t="s">
        <v>150</v>
      </c>
      <c r="B188" s="100" t="s">
        <v>3</v>
      </c>
      <c r="C188" s="100" t="s">
        <v>266</v>
      </c>
    </row>
    <row r="189" spans="1:3" s="100" customFormat="1" x14ac:dyDescent="0.35">
      <c r="A189" s="100" t="s">
        <v>150</v>
      </c>
      <c r="B189" s="100" t="s">
        <v>3</v>
      </c>
      <c r="C189" s="100" t="s">
        <v>267</v>
      </c>
    </row>
    <row r="190" spans="1:3" s="100" customFormat="1" x14ac:dyDescent="0.35">
      <c r="A190" s="100" t="s">
        <v>150</v>
      </c>
      <c r="B190" s="100" t="s">
        <v>3</v>
      </c>
      <c r="C190" s="100" t="s">
        <v>268</v>
      </c>
    </row>
    <row r="191" spans="1:3" s="100" customFormat="1" x14ac:dyDescent="0.35">
      <c r="A191" s="100" t="s">
        <v>150</v>
      </c>
      <c r="B191" s="100" t="s">
        <v>3</v>
      </c>
      <c r="C191" s="100" t="s">
        <v>269</v>
      </c>
    </row>
    <row r="192" spans="1:3" s="100" customFormat="1" x14ac:dyDescent="0.35">
      <c r="A192" s="100" t="s">
        <v>150</v>
      </c>
      <c r="B192" s="100" t="s">
        <v>3</v>
      </c>
      <c r="C192" s="100" t="s">
        <v>270</v>
      </c>
    </row>
    <row r="193" spans="1:3" s="100" customFormat="1" x14ac:dyDescent="0.35">
      <c r="A193" s="100" t="s">
        <v>150</v>
      </c>
      <c r="B193" s="100" t="s">
        <v>3</v>
      </c>
      <c r="C193" s="100" t="s">
        <v>271</v>
      </c>
    </row>
    <row r="194" spans="1:3" s="100" customFormat="1" x14ac:dyDescent="0.35">
      <c r="A194" s="100" t="s">
        <v>150</v>
      </c>
      <c r="B194" s="100" t="s">
        <v>3</v>
      </c>
      <c r="C194" s="100" t="s">
        <v>272</v>
      </c>
    </row>
    <row r="195" spans="1:3" s="100" customFormat="1" x14ac:dyDescent="0.35">
      <c r="A195" s="100" t="s">
        <v>150</v>
      </c>
      <c r="B195" s="100" t="s">
        <v>3</v>
      </c>
      <c r="C195" s="100" t="s">
        <v>273</v>
      </c>
    </row>
    <row r="196" spans="1:3" s="100" customFormat="1" x14ac:dyDescent="0.35">
      <c r="A196" s="100" t="s">
        <v>150</v>
      </c>
      <c r="B196" s="100" t="s">
        <v>3</v>
      </c>
      <c r="C196" s="100" t="s">
        <v>274</v>
      </c>
    </row>
    <row r="197" spans="1:3" s="100" customFormat="1" x14ac:dyDescent="0.35">
      <c r="A197" s="100" t="s">
        <v>150</v>
      </c>
      <c r="B197" s="100" t="s">
        <v>3</v>
      </c>
      <c r="C197" s="100" t="s">
        <v>275</v>
      </c>
    </row>
    <row r="198" spans="1:3" s="100" customFormat="1" x14ac:dyDescent="0.35">
      <c r="A198" s="100" t="s">
        <v>150</v>
      </c>
      <c r="B198" s="100" t="s">
        <v>3</v>
      </c>
      <c r="C198" s="100" t="s">
        <v>276</v>
      </c>
    </row>
    <row r="199" spans="1:3" s="100" customFormat="1" x14ac:dyDescent="0.35">
      <c r="A199" s="100" t="s">
        <v>150</v>
      </c>
      <c r="B199" s="100" t="s">
        <v>3</v>
      </c>
      <c r="C199" s="100" t="s">
        <v>277</v>
      </c>
    </row>
    <row r="200" spans="1:3" s="100" customFormat="1" x14ac:dyDescent="0.35">
      <c r="A200" s="100" t="s">
        <v>150</v>
      </c>
      <c r="B200" s="100" t="s">
        <v>3</v>
      </c>
      <c r="C200" s="100" t="s">
        <v>278</v>
      </c>
    </row>
    <row r="201" spans="1:3" s="100" customFormat="1" x14ac:dyDescent="0.35">
      <c r="A201" s="100" t="s">
        <v>150</v>
      </c>
      <c r="B201" s="100" t="s">
        <v>3</v>
      </c>
      <c r="C201" s="100" t="s">
        <v>279</v>
      </c>
    </row>
    <row r="202" spans="1:3" s="100" customFormat="1" x14ac:dyDescent="0.35">
      <c r="A202" s="100" t="s">
        <v>150</v>
      </c>
      <c r="B202" s="100" t="s">
        <v>3</v>
      </c>
      <c r="C202" s="100" t="s">
        <v>280</v>
      </c>
    </row>
    <row r="203" spans="1:3" s="100" customFormat="1" x14ac:dyDescent="0.35">
      <c r="A203" s="100" t="s">
        <v>150</v>
      </c>
      <c r="B203" s="100" t="s">
        <v>3</v>
      </c>
      <c r="C203" s="100" t="s">
        <v>281</v>
      </c>
    </row>
    <row r="204" spans="1:3" s="100" customFormat="1" x14ac:dyDescent="0.35">
      <c r="A204" s="100" t="s">
        <v>150</v>
      </c>
      <c r="B204" s="100" t="s">
        <v>3</v>
      </c>
      <c r="C204" s="100" t="s">
        <v>282</v>
      </c>
    </row>
    <row r="205" spans="1:3" s="100" customFormat="1" x14ac:dyDescent="0.35">
      <c r="A205" s="100" t="s">
        <v>150</v>
      </c>
      <c r="B205" s="100" t="s">
        <v>3</v>
      </c>
      <c r="C205" s="100" t="s">
        <v>283</v>
      </c>
    </row>
    <row r="206" spans="1:3" s="100" customFormat="1" x14ac:dyDescent="0.35">
      <c r="A206" s="100" t="s">
        <v>150</v>
      </c>
      <c r="B206" s="100" t="s">
        <v>3</v>
      </c>
      <c r="C206" s="100" t="s">
        <v>284</v>
      </c>
    </row>
    <row r="207" spans="1:3" s="100" customFormat="1" x14ac:dyDescent="0.35">
      <c r="A207" s="100" t="s">
        <v>150</v>
      </c>
      <c r="B207" s="100" t="s">
        <v>3</v>
      </c>
      <c r="C207" s="100" t="s">
        <v>285</v>
      </c>
    </row>
    <row r="208" spans="1:3" s="100" customFormat="1" x14ac:dyDescent="0.35">
      <c r="A208" s="100" t="s">
        <v>150</v>
      </c>
      <c r="B208" s="100" t="s">
        <v>3</v>
      </c>
      <c r="C208" s="100" t="s">
        <v>286</v>
      </c>
    </row>
    <row r="209" spans="1:3" s="100" customFormat="1" x14ac:dyDescent="0.35">
      <c r="A209" s="100" t="s">
        <v>150</v>
      </c>
      <c r="B209" s="100" t="s">
        <v>3</v>
      </c>
      <c r="C209" s="100" t="s">
        <v>287</v>
      </c>
    </row>
    <row r="210" spans="1:3" s="100" customFormat="1" x14ac:dyDescent="0.35">
      <c r="A210" s="100" t="s">
        <v>150</v>
      </c>
      <c r="B210" s="100" t="s">
        <v>3</v>
      </c>
      <c r="C210" s="100" t="s">
        <v>288</v>
      </c>
    </row>
    <row r="211" spans="1:3" s="100" customFormat="1" x14ac:dyDescent="0.35">
      <c r="A211" s="100" t="s">
        <v>150</v>
      </c>
      <c r="B211" s="100" t="s">
        <v>3</v>
      </c>
      <c r="C211" s="100" t="s">
        <v>289</v>
      </c>
    </row>
    <row r="212" spans="1:3" s="100" customFormat="1" x14ac:dyDescent="0.35">
      <c r="A212" s="100" t="s">
        <v>150</v>
      </c>
      <c r="B212" s="100" t="s">
        <v>3</v>
      </c>
      <c r="C212" s="100" t="s">
        <v>290</v>
      </c>
    </row>
    <row r="213" spans="1:3" s="100" customFormat="1" x14ac:dyDescent="0.35">
      <c r="A213" s="100" t="s">
        <v>150</v>
      </c>
      <c r="B213" s="100" t="s">
        <v>3</v>
      </c>
      <c r="C213" s="100" t="s">
        <v>291</v>
      </c>
    </row>
    <row r="214" spans="1:3" s="100" customFormat="1" x14ac:dyDescent="0.35">
      <c r="A214" s="100" t="s">
        <v>150</v>
      </c>
      <c r="B214" s="100" t="s">
        <v>3</v>
      </c>
      <c r="C214" s="100" t="s">
        <v>292</v>
      </c>
    </row>
    <row r="215" spans="1:3" s="100" customFormat="1" x14ac:dyDescent="0.35">
      <c r="A215" s="100" t="s">
        <v>150</v>
      </c>
      <c r="B215" s="100" t="s">
        <v>3</v>
      </c>
      <c r="C215" s="100" t="s">
        <v>293</v>
      </c>
    </row>
    <row r="216" spans="1:3" s="100" customFormat="1" x14ac:dyDescent="0.35">
      <c r="A216" s="100" t="s">
        <v>150</v>
      </c>
      <c r="B216" s="100" t="s">
        <v>3</v>
      </c>
      <c r="C216" s="100" t="s">
        <v>294</v>
      </c>
    </row>
    <row r="217" spans="1:3" s="100" customFormat="1" x14ac:dyDescent="0.35">
      <c r="A217" s="100" t="s">
        <v>150</v>
      </c>
      <c r="B217" s="100" t="s">
        <v>3</v>
      </c>
      <c r="C217" s="100" t="s">
        <v>295</v>
      </c>
    </row>
    <row r="218" spans="1:3" s="100" customFormat="1" x14ac:dyDescent="0.35">
      <c r="A218" s="100" t="s">
        <v>150</v>
      </c>
      <c r="B218" s="100" t="s">
        <v>3</v>
      </c>
      <c r="C218" s="100" t="s">
        <v>296</v>
      </c>
    </row>
    <row r="219" spans="1:3" s="100" customFormat="1" x14ac:dyDescent="0.35">
      <c r="A219" s="100" t="s">
        <v>150</v>
      </c>
      <c r="B219" s="100" t="s">
        <v>3</v>
      </c>
      <c r="C219" s="100" t="s">
        <v>297</v>
      </c>
    </row>
    <row r="220" spans="1:3" s="100" customFormat="1" x14ac:dyDescent="0.35">
      <c r="A220" s="100" t="s">
        <v>150</v>
      </c>
      <c r="B220" s="100" t="s">
        <v>3</v>
      </c>
      <c r="C220" s="100" t="s">
        <v>298</v>
      </c>
    </row>
    <row r="221" spans="1:3" s="100" customFormat="1" x14ac:dyDescent="0.35">
      <c r="A221" s="100" t="s">
        <v>150</v>
      </c>
      <c r="B221" s="100" t="s">
        <v>3</v>
      </c>
      <c r="C221" s="100" t="s">
        <v>299</v>
      </c>
    </row>
    <row r="222" spans="1:3" s="100" customFormat="1" x14ac:dyDescent="0.35">
      <c r="A222" s="100" t="s">
        <v>150</v>
      </c>
      <c r="B222" s="100" t="s">
        <v>3</v>
      </c>
      <c r="C222" s="100" t="s">
        <v>300</v>
      </c>
    </row>
    <row r="223" spans="1:3" s="100" customFormat="1" x14ac:dyDescent="0.35">
      <c r="A223" s="100" t="s">
        <v>150</v>
      </c>
      <c r="B223" s="100" t="s">
        <v>3</v>
      </c>
      <c r="C223" s="100" t="s">
        <v>301</v>
      </c>
    </row>
    <row r="224" spans="1:3" s="100" customFormat="1" x14ac:dyDescent="0.35">
      <c r="A224" s="100" t="s">
        <v>150</v>
      </c>
      <c r="B224" s="100" t="s">
        <v>3</v>
      </c>
      <c r="C224" s="100" t="s">
        <v>302</v>
      </c>
    </row>
    <row r="225" spans="1:3" s="100" customFormat="1" x14ac:dyDescent="0.35">
      <c r="A225" s="100" t="s">
        <v>150</v>
      </c>
      <c r="B225" s="100" t="s">
        <v>3</v>
      </c>
      <c r="C225" s="100" t="s">
        <v>303</v>
      </c>
    </row>
    <row r="226" spans="1:3" s="100" customFormat="1" x14ac:dyDescent="0.35">
      <c r="A226" s="100" t="s">
        <v>150</v>
      </c>
      <c r="B226" s="100" t="s">
        <v>3</v>
      </c>
      <c r="C226" s="100" t="s">
        <v>304</v>
      </c>
    </row>
    <row r="227" spans="1:3" s="100" customFormat="1" x14ac:dyDescent="0.35">
      <c r="A227" s="100" t="s">
        <v>150</v>
      </c>
      <c r="B227" s="100" t="s">
        <v>3</v>
      </c>
      <c r="C227" s="100" t="s">
        <v>305</v>
      </c>
    </row>
    <row r="228" spans="1:3" s="100" customFormat="1" x14ac:dyDescent="0.35">
      <c r="A228" s="100" t="s">
        <v>150</v>
      </c>
      <c r="B228" s="100" t="s">
        <v>3</v>
      </c>
      <c r="C228" s="100" t="s">
        <v>306</v>
      </c>
    </row>
    <row r="229" spans="1:3" s="100" customFormat="1" x14ac:dyDescent="0.35">
      <c r="A229" s="100" t="s">
        <v>150</v>
      </c>
      <c r="B229" s="100" t="s">
        <v>3</v>
      </c>
      <c r="C229" s="100" t="s">
        <v>307</v>
      </c>
    </row>
    <row r="230" spans="1:3" s="100" customFormat="1" x14ac:dyDescent="0.35">
      <c r="A230" s="100" t="s">
        <v>150</v>
      </c>
      <c r="B230" s="100" t="s">
        <v>3</v>
      </c>
      <c r="C230" s="100" t="s">
        <v>308</v>
      </c>
    </row>
    <row r="231" spans="1:3" s="100" customFormat="1" x14ac:dyDescent="0.35">
      <c r="A231" s="100" t="s">
        <v>150</v>
      </c>
      <c r="B231" s="100" t="s">
        <v>3</v>
      </c>
      <c r="C231" s="100" t="s">
        <v>309</v>
      </c>
    </row>
    <row r="232" spans="1:3" s="100" customFormat="1" x14ac:dyDescent="0.35">
      <c r="A232" s="100" t="s">
        <v>150</v>
      </c>
      <c r="B232" s="100" t="s">
        <v>3</v>
      </c>
      <c r="C232" s="100" t="s">
        <v>310</v>
      </c>
    </row>
    <row r="233" spans="1:3" s="100" customFormat="1" x14ac:dyDescent="0.35">
      <c r="A233" s="100" t="s">
        <v>150</v>
      </c>
      <c r="B233" s="100" t="s">
        <v>3</v>
      </c>
      <c r="C233" s="100" t="s">
        <v>311</v>
      </c>
    </row>
    <row r="234" spans="1:3" s="100" customFormat="1" x14ac:dyDescent="0.35">
      <c r="A234" s="100" t="s">
        <v>150</v>
      </c>
      <c r="B234" s="100" t="s">
        <v>3</v>
      </c>
      <c r="C234" s="100" t="s">
        <v>312</v>
      </c>
    </row>
    <row r="235" spans="1:3" s="100" customFormat="1" x14ac:dyDescent="0.35">
      <c r="A235" s="100" t="s">
        <v>150</v>
      </c>
      <c r="B235" s="100" t="s">
        <v>3</v>
      </c>
      <c r="C235" s="100" t="s">
        <v>313</v>
      </c>
    </row>
    <row r="236" spans="1:3" s="100" customFormat="1" x14ac:dyDescent="0.35">
      <c r="A236" s="100" t="s">
        <v>150</v>
      </c>
      <c r="B236" s="100" t="s">
        <v>3</v>
      </c>
      <c r="C236" s="100" t="s">
        <v>314</v>
      </c>
    </row>
    <row r="237" spans="1:3" s="100" customFormat="1" x14ac:dyDescent="0.35">
      <c r="A237" s="100" t="s">
        <v>150</v>
      </c>
      <c r="B237" s="100" t="s">
        <v>3</v>
      </c>
      <c r="C237" s="100" t="s">
        <v>315</v>
      </c>
    </row>
    <row r="238" spans="1:3" s="100" customFormat="1" x14ac:dyDescent="0.35">
      <c r="A238" s="100" t="s">
        <v>150</v>
      </c>
      <c r="B238" s="100" t="s">
        <v>3</v>
      </c>
      <c r="C238" s="100" t="s">
        <v>316</v>
      </c>
    </row>
    <row r="239" spans="1:3" s="100" customFormat="1" x14ac:dyDescent="0.35">
      <c r="A239" s="100" t="s">
        <v>150</v>
      </c>
      <c r="B239" s="100" t="s">
        <v>3</v>
      </c>
      <c r="C239" s="100" t="s">
        <v>317</v>
      </c>
    </row>
    <row r="240" spans="1:3" s="100" customFormat="1" x14ac:dyDescent="0.35">
      <c r="A240" s="100" t="s">
        <v>150</v>
      </c>
      <c r="B240" s="100" t="s">
        <v>3</v>
      </c>
      <c r="C240" s="100" t="s">
        <v>318</v>
      </c>
    </row>
    <row r="241" spans="1:3" s="100" customFormat="1" x14ac:dyDescent="0.35">
      <c r="A241" s="100" t="s">
        <v>150</v>
      </c>
      <c r="B241" s="100" t="s">
        <v>3</v>
      </c>
      <c r="C241" s="100" t="s">
        <v>319</v>
      </c>
    </row>
    <row r="242" spans="1:3" s="100" customFormat="1" x14ac:dyDescent="0.35">
      <c r="A242" s="100" t="s">
        <v>150</v>
      </c>
      <c r="B242" s="100" t="s">
        <v>3</v>
      </c>
      <c r="C242" s="100" t="s">
        <v>320</v>
      </c>
    </row>
    <row r="243" spans="1:3" s="100" customFormat="1" x14ac:dyDescent="0.35">
      <c r="A243" s="100" t="s">
        <v>150</v>
      </c>
      <c r="B243" s="100" t="s">
        <v>3</v>
      </c>
      <c r="C243" s="100" t="s">
        <v>321</v>
      </c>
    </row>
    <row r="244" spans="1:3" s="100" customFormat="1" x14ac:dyDescent="0.35">
      <c r="A244" s="100" t="s">
        <v>150</v>
      </c>
      <c r="B244" s="100" t="s">
        <v>3</v>
      </c>
      <c r="C244" s="100" t="s">
        <v>322</v>
      </c>
    </row>
    <row r="245" spans="1:3" s="100" customFormat="1" x14ac:dyDescent="0.35">
      <c r="A245" s="100" t="s">
        <v>150</v>
      </c>
      <c r="B245" s="100" t="s">
        <v>3</v>
      </c>
      <c r="C245" s="100" t="s">
        <v>323</v>
      </c>
    </row>
    <row r="246" spans="1:3" s="100" customFormat="1" x14ac:dyDescent="0.35">
      <c r="A246" s="100" t="s">
        <v>150</v>
      </c>
      <c r="B246" s="100" t="s">
        <v>3</v>
      </c>
      <c r="C246" s="100" t="s">
        <v>324</v>
      </c>
    </row>
    <row r="247" spans="1:3" s="100" customFormat="1" x14ac:dyDescent="0.35">
      <c r="A247" s="100" t="s">
        <v>150</v>
      </c>
      <c r="B247" s="100" t="s">
        <v>3</v>
      </c>
      <c r="C247" s="100" t="s">
        <v>325</v>
      </c>
    </row>
    <row r="248" spans="1:3" s="100" customFormat="1" x14ac:dyDescent="0.35">
      <c r="A248" s="100" t="s">
        <v>150</v>
      </c>
      <c r="B248" s="100" t="s">
        <v>3</v>
      </c>
      <c r="C248" s="100" t="s">
        <v>326</v>
      </c>
    </row>
    <row r="249" spans="1:3" s="100" customFormat="1" x14ac:dyDescent="0.35">
      <c r="A249" s="100" t="s">
        <v>150</v>
      </c>
      <c r="B249" s="100" t="s">
        <v>3</v>
      </c>
      <c r="C249" s="100" t="s">
        <v>327</v>
      </c>
    </row>
    <row r="250" spans="1:3" s="100" customFormat="1" x14ac:dyDescent="0.35">
      <c r="A250" s="100" t="s">
        <v>150</v>
      </c>
      <c r="B250" s="100" t="s">
        <v>3</v>
      </c>
      <c r="C250" s="100" t="s">
        <v>328</v>
      </c>
    </row>
    <row r="251" spans="1:3" s="100" customFormat="1" x14ac:dyDescent="0.35">
      <c r="A251" s="100" t="s">
        <v>150</v>
      </c>
      <c r="B251" s="100" t="s">
        <v>3</v>
      </c>
      <c r="C251" s="100" t="s">
        <v>329</v>
      </c>
    </row>
    <row r="252" spans="1:3" s="100" customFormat="1" x14ac:dyDescent="0.35">
      <c r="A252" s="100" t="s">
        <v>150</v>
      </c>
      <c r="B252" s="100" t="s">
        <v>3</v>
      </c>
      <c r="C252" s="100" t="s">
        <v>330</v>
      </c>
    </row>
    <row r="253" spans="1:3" s="100" customFormat="1" x14ac:dyDescent="0.35">
      <c r="A253" s="100" t="s">
        <v>150</v>
      </c>
      <c r="B253" s="100" t="s">
        <v>3</v>
      </c>
      <c r="C253" s="100" t="s">
        <v>331</v>
      </c>
    </row>
    <row r="254" spans="1:3" s="100" customFormat="1" x14ac:dyDescent="0.35">
      <c r="A254" s="100" t="s">
        <v>150</v>
      </c>
      <c r="B254" s="100" t="s">
        <v>3</v>
      </c>
      <c r="C254" s="100" t="s">
        <v>332</v>
      </c>
    </row>
    <row r="255" spans="1:3" s="100" customFormat="1" x14ac:dyDescent="0.35">
      <c r="A255" s="100" t="s">
        <v>150</v>
      </c>
      <c r="B255" s="100" t="s">
        <v>3</v>
      </c>
      <c r="C255" s="100" t="s">
        <v>333</v>
      </c>
    </row>
    <row r="256" spans="1:3" s="100" customFormat="1" x14ac:dyDescent="0.35">
      <c r="A256" s="100" t="s">
        <v>150</v>
      </c>
      <c r="B256" s="100" t="s">
        <v>3</v>
      </c>
      <c r="C256" s="100" t="s">
        <v>334</v>
      </c>
    </row>
    <row r="257" spans="1:3" s="100" customFormat="1" x14ac:dyDescent="0.35">
      <c r="A257" s="100" t="s">
        <v>150</v>
      </c>
      <c r="B257" s="100" t="s">
        <v>3</v>
      </c>
      <c r="C257" s="100" t="s">
        <v>335</v>
      </c>
    </row>
    <row r="258" spans="1:3" s="100" customFormat="1" x14ac:dyDescent="0.35">
      <c r="A258" s="100" t="s">
        <v>150</v>
      </c>
      <c r="B258" s="100" t="s">
        <v>3</v>
      </c>
      <c r="C258" s="100" t="s">
        <v>336</v>
      </c>
    </row>
    <row r="259" spans="1:3" s="100" customFormat="1" x14ac:dyDescent="0.35">
      <c r="A259" s="100" t="s">
        <v>150</v>
      </c>
      <c r="B259" s="100" t="s">
        <v>3</v>
      </c>
      <c r="C259" s="100" t="s">
        <v>337</v>
      </c>
    </row>
    <row r="260" spans="1:3" s="100" customFormat="1" x14ac:dyDescent="0.35">
      <c r="A260" s="100" t="s">
        <v>150</v>
      </c>
      <c r="B260" s="100" t="s">
        <v>3</v>
      </c>
      <c r="C260" s="100" t="s">
        <v>338</v>
      </c>
    </row>
    <row r="261" spans="1:3" s="100" customFormat="1" x14ac:dyDescent="0.35">
      <c r="A261" s="100" t="s">
        <v>150</v>
      </c>
      <c r="B261" s="100" t="s">
        <v>3</v>
      </c>
      <c r="C261" s="100" t="s">
        <v>339</v>
      </c>
    </row>
    <row r="262" spans="1:3" s="100" customFormat="1" x14ac:dyDescent="0.35">
      <c r="A262" s="100" t="s">
        <v>150</v>
      </c>
      <c r="B262" s="100" t="s">
        <v>3</v>
      </c>
      <c r="C262" s="100" t="s">
        <v>340</v>
      </c>
    </row>
    <row r="263" spans="1:3" s="100" customFormat="1" x14ac:dyDescent="0.35">
      <c r="A263" s="100" t="s">
        <v>150</v>
      </c>
      <c r="B263" s="100" t="s">
        <v>3</v>
      </c>
      <c r="C263" s="100" t="s">
        <v>341</v>
      </c>
    </row>
    <row r="264" spans="1:3" s="100" customFormat="1" x14ac:dyDescent="0.35">
      <c r="A264" s="100" t="s">
        <v>150</v>
      </c>
      <c r="B264" s="100" t="s">
        <v>3</v>
      </c>
      <c r="C264" s="100" t="s">
        <v>342</v>
      </c>
    </row>
    <row r="265" spans="1:3" s="100" customFormat="1" x14ac:dyDescent="0.35">
      <c r="A265" s="100" t="s">
        <v>150</v>
      </c>
      <c r="B265" s="100" t="s">
        <v>3</v>
      </c>
      <c r="C265" s="100" t="s">
        <v>343</v>
      </c>
    </row>
    <row r="266" spans="1:3" s="100" customFormat="1" x14ac:dyDescent="0.35">
      <c r="A266" s="100" t="s">
        <v>150</v>
      </c>
      <c r="B266" s="100" t="s">
        <v>3</v>
      </c>
      <c r="C266" s="100" t="s">
        <v>344</v>
      </c>
    </row>
    <row r="267" spans="1:3" s="100" customFormat="1" x14ac:dyDescent="0.35">
      <c r="A267" s="100" t="s">
        <v>150</v>
      </c>
      <c r="B267" s="100" t="s">
        <v>3</v>
      </c>
      <c r="C267" s="100" t="s">
        <v>345</v>
      </c>
    </row>
    <row r="268" spans="1:3" s="100" customFormat="1" x14ac:dyDescent="0.35">
      <c r="A268" s="100" t="s">
        <v>150</v>
      </c>
      <c r="B268" s="100" t="s">
        <v>3</v>
      </c>
      <c r="C268" s="100" t="s">
        <v>346</v>
      </c>
    </row>
    <row r="269" spans="1:3" s="100" customFormat="1" x14ac:dyDescent="0.35">
      <c r="A269" s="100" t="s">
        <v>150</v>
      </c>
      <c r="B269" s="100" t="s">
        <v>3</v>
      </c>
      <c r="C269" s="100" t="s">
        <v>347</v>
      </c>
    </row>
    <row r="270" spans="1:3" s="100" customFormat="1" x14ac:dyDescent="0.35">
      <c r="A270" s="100" t="s">
        <v>150</v>
      </c>
      <c r="B270" s="100" t="s">
        <v>3</v>
      </c>
      <c r="C270" s="100" t="s">
        <v>348</v>
      </c>
    </row>
    <row r="271" spans="1:3" s="100" customFormat="1" x14ac:dyDescent="0.35">
      <c r="A271" s="100" t="s">
        <v>150</v>
      </c>
      <c r="B271" s="100" t="s">
        <v>3</v>
      </c>
      <c r="C271" s="100" t="s">
        <v>349</v>
      </c>
    </row>
    <row r="272" spans="1:3" s="100" customFormat="1" x14ac:dyDescent="0.35">
      <c r="A272" s="100" t="s">
        <v>150</v>
      </c>
      <c r="B272" s="100" t="s">
        <v>3</v>
      </c>
      <c r="C272" s="100" t="s">
        <v>350</v>
      </c>
    </row>
    <row r="273" spans="1:3" s="100" customFormat="1" x14ac:dyDescent="0.35">
      <c r="A273" s="100" t="s">
        <v>150</v>
      </c>
      <c r="B273" s="100" t="s">
        <v>3</v>
      </c>
      <c r="C273" s="100" t="s">
        <v>351</v>
      </c>
    </row>
    <row r="274" spans="1:3" s="100" customFormat="1" x14ac:dyDescent="0.35">
      <c r="A274" s="100" t="s">
        <v>150</v>
      </c>
      <c r="B274" s="100" t="s">
        <v>3</v>
      </c>
      <c r="C274" s="100" t="s">
        <v>352</v>
      </c>
    </row>
    <row r="275" spans="1:3" s="100" customFormat="1" x14ac:dyDescent="0.35">
      <c r="A275" s="100" t="s">
        <v>150</v>
      </c>
      <c r="B275" s="100" t="s">
        <v>3</v>
      </c>
      <c r="C275" s="100" t="s">
        <v>353</v>
      </c>
    </row>
    <row r="276" spans="1:3" s="100" customFormat="1" x14ac:dyDescent="0.35">
      <c r="A276" s="100" t="s">
        <v>150</v>
      </c>
      <c r="B276" s="100" t="s">
        <v>3</v>
      </c>
      <c r="C276" s="100" t="s">
        <v>354</v>
      </c>
    </row>
    <row r="277" spans="1:3" s="100" customFormat="1" x14ac:dyDescent="0.35">
      <c r="A277" s="100" t="s">
        <v>150</v>
      </c>
      <c r="B277" s="100" t="s">
        <v>3</v>
      </c>
      <c r="C277" s="100" t="s">
        <v>355</v>
      </c>
    </row>
    <row r="278" spans="1:3" s="100" customFormat="1" x14ac:dyDescent="0.35">
      <c r="A278" s="100" t="s">
        <v>150</v>
      </c>
      <c r="B278" s="100" t="s">
        <v>3</v>
      </c>
      <c r="C278" s="100" t="s">
        <v>356</v>
      </c>
    </row>
    <row r="279" spans="1:3" s="100" customFormat="1" x14ac:dyDescent="0.35">
      <c r="A279" s="100" t="s">
        <v>150</v>
      </c>
      <c r="B279" s="100" t="s">
        <v>3</v>
      </c>
      <c r="C279" s="100" t="s">
        <v>357</v>
      </c>
    </row>
    <row r="280" spans="1:3" s="100" customFormat="1" x14ac:dyDescent="0.35">
      <c r="A280" s="100" t="s">
        <v>150</v>
      </c>
      <c r="B280" s="100" t="s">
        <v>3</v>
      </c>
      <c r="C280" s="100" t="s">
        <v>358</v>
      </c>
    </row>
    <row r="281" spans="1:3" s="100" customFormat="1" x14ac:dyDescent="0.35">
      <c r="A281" s="100" t="s">
        <v>150</v>
      </c>
      <c r="B281" s="100" t="s">
        <v>3</v>
      </c>
      <c r="C281" s="100" t="s">
        <v>359</v>
      </c>
    </row>
    <row r="282" spans="1:3" s="100" customFormat="1" x14ac:dyDescent="0.35">
      <c r="A282" s="100" t="s">
        <v>150</v>
      </c>
      <c r="B282" s="100" t="s">
        <v>3</v>
      </c>
      <c r="C282" s="100" t="s">
        <v>360</v>
      </c>
    </row>
    <row r="283" spans="1:3" s="100" customFormat="1" x14ac:dyDescent="0.35">
      <c r="A283" s="100" t="s">
        <v>150</v>
      </c>
      <c r="B283" s="100" t="s">
        <v>3</v>
      </c>
      <c r="C283" s="100" t="s">
        <v>361</v>
      </c>
    </row>
    <row r="284" spans="1:3" s="100" customFormat="1" x14ac:dyDescent="0.35">
      <c r="A284" s="100" t="s">
        <v>150</v>
      </c>
      <c r="B284" s="100" t="s">
        <v>3</v>
      </c>
      <c r="C284" s="100" t="s">
        <v>362</v>
      </c>
    </row>
    <row r="285" spans="1:3" s="100" customFormat="1" x14ac:dyDescent="0.35">
      <c r="A285" s="100" t="s">
        <v>150</v>
      </c>
      <c r="B285" s="100" t="s">
        <v>3</v>
      </c>
      <c r="C285" s="100" t="s">
        <v>363</v>
      </c>
    </row>
    <row r="286" spans="1:3" s="100" customFormat="1" x14ac:dyDescent="0.35">
      <c r="A286" s="100" t="s">
        <v>150</v>
      </c>
      <c r="B286" s="100" t="s">
        <v>3</v>
      </c>
      <c r="C286" s="100" t="s">
        <v>364</v>
      </c>
    </row>
    <row r="287" spans="1:3" s="100" customFormat="1" x14ac:dyDescent="0.35">
      <c r="A287" s="100" t="s">
        <v>150</v>
      </c>
      <c r="B287" s="100" t="s">
        <v>3</v>
      </c>
      <c r="C287" s="100" t="s">
        <v>365</v>
      </c>
    </row>
    <row r="288" spans="1:3" s="100" customFormat="1" x14ac:dyDescent="0.35">
      <c r="A288" s="100" t="s">
        <v>150</v>
      </c>
      <c r="B288" s="100" t="s">
        <v>3</v>
      </c>
      <c r="C288" s="100" t="s">
        <v>366</v>
      </c>
    </row>
    <row r="289" spans="1:3" s="100" customFormat="1" x14ac:dyDescent="0.35">
      <c r="A289" s="100" t="s">
        <v>150</v>
      </c>
      <c r="B289" s="100" t="s">
        <v>3</v>
      </c>
      <c r="C289" s="100" t="s">
        <v>367</v>
      </c>
    </row>
    <row r="290" spans="1:3" s="100" customFormat="1" x14ac:dyDescent="0.35">
      <c r="A290" s="100" t="s">
        <v>150</v>
      </c>
      <c r="B290" s="100" t="s">
        <v>3</v>
      </c>
      <c r="C290" s="100" t="s">
        <v>368</v>
      </c>
    </row>
    <row r="291" spans="1:3" s="100" customFormat="1" x14ac:dyDescent="0.35">
      <c r="A291" s="100" t="s">
        <v>150</v>
      </c>
      <c r="B291" s="100" t="s">
        <v>3</v>
      </c>
      <c r="C291" s="100" t="s">
        <v>369</v>
      </c>
    </row>
    <row r="292" spans="1:3" s="100" customFormat="1" x14ac:dyDescent="0.35">
      <c r="A292" s="100" t="s">
        <v>150</v>
      </c>
      <c r="B292" s="100" t="s">
        <v>3</v>
      </c>
      <c r="C292" s="100" t="s">
        <v>370</v>
      </c>
    </row>
    <row r="293" spans="1:3" s="100" customFormat="1" x14ac:dyDescent="0.35">
      <c r="A293" s="100" t="s">
        <v>150</v>
      </c>
      <c r="B293" s="100" t="s">
        <v>3</v>
      </c>
      <c r="C293" s="100" t="s">
        <v>371</v>
      </c>
    </row>
    <row r="294" spans="1:3" s="100" customFormat="1" x14ac:dyDescent="0.35">
      <c r="A294" s="100" t="s">
        <v>150</v>
      </c>
      <c r="B294" s="100" t="s">
        <v>3</v>
      </c>
      <c r="C294" s="100" t="s">
        <v>372</v>
      </c>
    </row>
    <row r="295" spans="1:3" s="100" customFormat="1" x14ac:dyDescent="0.35">
      <c r="A295" s="100" t="s">
        <v>150</v>
      </c>
      <c r="B295" s="100" t="s">
        <v>3</v>
      </c>
      <c r="C295" s="100" t="s">
        <v>373</v>
      </c>
    </row>
    <row r="296" spans="1:3" s="100" customFormat="1" x14ac:dyDescent="0.35">
      <c r="A296" s="100" t="s">
        <v>150</v>
      </c>
      <c r="B296" s="100" t="s">
        <v>3</v>
      </c>
      <c r="C296" s="100" t="s">
        <v>374</v>
      </c>
    </row>
    <row r="297" spans="1:3" s="100" customFormat="1" x14ac:dyDescent="0.35">
      <c r="A297" s="100" t="s">
        <v>150</v>
      </c>
      <c r="B297" s="100" t="s">
        <v>3</v>
      </c>
      <c r="C297" s="100" t="s">
        <v>375</v>
      </c>
    </row>
    <row r="298" spans="1:3" s="100" customFormat="1" x14ac:dyDescent="0.35">
      <c r="A298" s="100" t="s">
        <v>150</v>
      </c>
      <c r="B298" s="100" t="s">
        <v>3</v>
      </c>
      <c r="C298" s="100" t="s">
        <v>376</v>
      </c>
    </row>
    <row r="299" spans="1:3" s="100" customFormat="1" x14ac:dyDescent="0.35">
      <c r="A299" s="100" t="s">
        <v>150</v>
      </c>
      <c r="B299" s="100" t="s">
        <v>3</v>
      </c>
      <c r="C299" s="100" t="s">
        <v>377</v>
      </c>
    </row>
    <row r="300" spans="1:3" s="100" customFormat="1" x14ac:dyDescent="0.35">
      <c r="A300" s="100" t="s">
        <v>150</v>
      </c>
      <c r="B300" s="100" t="s">
        <v>3</v>
      </c>
      <c r="C300" s="100" t="s">
        <v>378</v>
      </c>
    </row>
    <row r="301" spans="1:3" s="100" customFormat="1" x14ac:dyDescent="0.35">
      <c r="A301" s="100" t="s">
        <v>150</v>
      </c>
      <c r="B301" s="100" t="s">
        <v>3</v>
      </c>
      <c r="C301" s="100" t="s">
        <v>379</v>
      </c>
    </row>
    <row r="302" spans="1:3" s="100" customFormat="1" x14ac:dyDescent="0.35">
      <c r="A302" s="100" t="s">
        <v>150</v>
      </c>
      <c r="B302" s="100" t="s">
        <v>3</v>
      </c>
      <c r="C302" s="100" t="s">
        <v>380</v>
      </c>
    </row>
    <row r="303" spans="1:3" s="100" customFormat="1" x14ac:dyDescent="0.35">
      <c r="A303" s="100" t="s">
        <v>150</v>
      </c>
      <c r="B303" s="100" t="s">
        <v>3</v>
      </c>
      <c r="C303" s="100" t="s">
        <v>381</v>
      </c>
    </row>
    <row r="304" spans="1:3" s="100" customFormat="1" x14ac:dyDescent="0.35">
      <c r="A304" s="100" t="s">
        <v>150</v>
      </c>
      <c r="B304" s="100" t="s">
        <v>3</v>
      </c>
      <c r="C304" s="100" t="s">
        <v>382</v>
      </c>
    </row>
    <row r="305" spans="1:3" s="100" customFormat="1" x14ac:dyDescent="0.35">
      <c r="A305" s="100" t="s">
        <v>150</v>
      </c>
      <c r="B305" s="100" t="s">
        <v>3</v>
      </c>
      <c r="C305" s="100" t="s">
        <v>383</v>
      </c>
    </row>
    <row r="306" spans="1:3" s="100" customFormat="1" x14ac:dyDescent="0.35">
      <c r="A306" s="100" t="s">
        <v>150</v>
      </c>
      <c r="B306" s="100" t="s">
        <v>3</v>
      </c>
      <c r="C306" s="100" t="s">
        <v>384</v>
      </c>
    </row>
    <row r="307" spans="1:3" s="100" customFormat="1" x14ac:dyDescent="0.35">
      <c r="A307" s="100" t="s">
        <v>150</v>
      </c>
      <c r="B307" s="100" t="s">
        <v>3</v>
      </c>
      <c r="C307" s="100" t="s">
        <v>385</v>
      </c>
    </row>
    <row r="308" spans="1:3" s="100" customFormat="1" x14ac:dyDescent="0.35">
      <c r="A308" s="100" t="s">
        <v>150</v>
      </c>
      <c r="B308" s="100" t="s">
        <v>3</v>
      </c>
      <c r="C308" s="100" t="s">
        <v>386</v>
      </c>
    </row>
    <row r="309" spans="1:3" s="100" customFormat="1" x14ac:dyDescent="0.35">
      <c r="A309" s="100" t="s">
        <v>150</v>
      </c>
      <c r="B309" s="100" t="s">
        <v>3</v>
      </c>
      <c r="C309" s="100" t="s">
        <v>387</v>
      </c>
    </row>
    <row r="310" spans="1:3" s="100" customFormat="1" x14ac:dyDescent="0.35">
      <c r="A310" s="100" t="s">
        <v>150</v>
      </c>
      <c r="B310" s="100" t="s">
        <v>3</v>
      </c>
      <c r="C310" s="100" t="s">
        <v>388</v>
      </c>
    </row>
    <row r="311" spans="1:3" s="100" customFormat="1" x14ac:dyDescent="0.35">
      <c r="A311" s="100" t="s">
        <v>150</v>
      </c>
      <c r="B311" s="100" t="s">
        <v>3</v>
      </c>
      <c r="C311" s="100" t="s">
        <v>389</v>
      </c>
    </row>
    <row r="312" spans="1:3" s="100" customFormat="1" x14ac:dyDescent="0.35">
      <c r="A312" s="100" t="s">
        <v>150</v>
      </c>
      <c r="B312" s="100" t="s">
        <v>3</v>
      </c>
      <c r="C312" s="100" t="s">
        <v>390</v>
      </c>
    </row>
    <row r="313" spans="1:3" s="100" customFormat="1" x14ac:dyDescent="0.35">
      <c r="A313" s="100" t="s">
        <v>150</v>
      </c>
      <c r="B313" s="100" t="s">
        <v>3</v>
      </c>
      <c r="C313" s="100" t="s">
        <v>391</v>
      </c>
    </row>
    <row r="314" spans="1:3" s="100" customFormat="1" x14ac:dyDescent="0.35">
      <c r="A314" s="100" t="s">
        <v>150</v>
      </c>
      <c r="B314" s="100" t="s">
        <v>3</v>
      </c>
      <c r="C314" s="100" t="s">
        <v>392</v>
      </c>
    </row>
    <row r="315" spans="1:3" s="100" customFormat="1" x14ac:dyDescent="0.35">
      <c r="A315" s="100" t="s">
        <v>150</v>
      </c>
      <c r="B315" s="100" t="s">
        <v>3</v>
      </c>
      <c r="C315" s="100" t="s">
        <v>393</v>
      </c>
    </row>
    <row r="316" spans="1:3" s="100" customFormat="1" x14ac:dyDescent="0.35">
      <c r="A316" s="100" t="s">
        <v>150</v>
      </c>
      <c r="B316" s="100" t="s">
        <v>3</v>
      </c>
      <c r="C316" s="100" t="s">
        <v>394</v>
      </c>
    </row>
    <row r="317" spans="1:3" s="100" customFormat="1" x14ac:dyDescent="0.35">
      <c r="A317" s="100" t="s">
        <v>150</v>
      </c>
      <c r="B317" s="100" t="s">
        <v>3</v>
      </c>
      <c r="C317" s="100" t="s">
        <v>395</v>
      </c>
    </row>
    <row r="318" spans="1:3" s="100" customFormat="1" x14ac:dyDescent="0.35">
      <c r="A318" s="100" t="s">
        <v>150</v>
      </c>
      <c r="B318" s="100" t="s">
        <v>3</v>
      </c>
      <c r="C318" s="100" t="s">
        <v>396</v>
      </c>
    </row>
    <row r="319" spans="1:3" s="100" customFormat="1" x14ac:dyDescent="0.35">
      <c r="A319" s="100" t="s">
        <v>150</v>
      </c>
      <c r="B319" s="100" t="s">
        <v>3</v>
      </c>
      <c r="C319" s="100" t="s">
        <v>397</v>
      </c>
    </row>
    <row r="320" spans="1:3" s="100" customFormat="1" x14ac:dyDescent="0.35">
      <c r="A320" s="100" t="s">
        <v>150</v>
      </c>
      <c r="B320" s="100" t="s">
        <v>3</v>
      </c>
      <c r="C320" s="100" t="s">
        <v>398</v>
      </c>
    </row>
    <row r="321" spans="1:3" s="100" customFormat="1" x14ac:dyDescent="0.35">
      <c r="A321" s="100" t="s">
        <v>150</v>
      </c>
      <c r="B321" s="100" t="s">
        <v>3</v>
      </c>
      <c r="C321" s="100" t="s">
        <v>399</v>
      </c>
    </row>
    <row r="322" spans="1:3" s="100" customFormat="1" x14ac:dyDescent="0.35">
      <c r="A322" s="100" t="s">
        <v>150</v>
      </c>
      <c r="B322" s="100" t="s">
        <v>3</v>
      </c>
      <c r="C322" s="100" t="s">
        <v>400</v>
      </c>
    </row>
    <row r="323" spans="1:3" s="100" customFormat="1" x14ac:dyDescent="0.35">
      <c r="A323" s="100" t="s">
        <v>150</v>
      </c>
      <c r="B323" s="100" t="s">
        <v>3</v>
      </c>
      <c r="C323" s="100" t="s">
        <v>401</v>
      </c>
    </row>
    <row r="324" spans="1:3" s="100" customFormat="1" x14ac:dyDescent="0.35">
      <c r="A324" s="100" t="s">
        <v>150</v>
      </c>
      <c r="B324" s="100" t="s">
        <v>3</v>
      </c>
      <c r="C324" s="100" t="s">
        <v>402</v>
      </c>
    </row>
    <row r="325" spans="1:3" s="100" customFormat="1" x14ac:dyDescent="0.35">
      <c r="A325" s="100" t="s">
        <v>150</v>
      </c>
      <c r="B325" s="100" t="s">
        <v>3</v>
      </c>
      <c r="C325" s="100" t="s">
        <v>403</v>
      </c>
    </row>
    <row r="326" spans="1:3" s="100" customFormat="1" x14ac:dyDescent="0.35">
      <c r="A326" s="100" t="s">
        <v>150</v>
      </c>
      <c r="B326" s="100" t="s">
        <v>3</v>
      </c>
      <c r="C326" s="100" t="s">
        <v>404</v>
      </c>
    </row>
    <row r="327" spans="1:3" s="100" customFormat="1" x14ac:dyDescent="0.35">
      <c r="A327" s="100" t="s">
        <v>150</v>
      </c>
      <c r="B327" s="100" t="s">
        <v>3</v>
      </c>
      <c r="C327" s="100" t="s">
        <v>405</v>
      </c>
    </row>
    <row r="328" spans="1:3" s="100" customFormat="1" x14ac:dyDescent="0.35">
      <c r="A328" s="100" t="s">
        <v>150</v>
      </c>
      <c r="B328" s="100" t="s">
        <v>3</v>
      </c>
      <c r="C328" s="100" t="s">
        <v>406</v>
      </c>
    </row>
    <row r="329" spans="1:3" s="100" customFormat="1" x14ac:dyDescent="0.35">
      <c r="A329" s="100" t="s">
        <v>150</v>
      </c>
      <c r="B329" s="100" t="s">
        <v>3</v>
      </c>
      <c r="C329" s="100" t="s">
        <v>407</v>
      </c>
    </row>
    <row r="330" spans="1:3" s="100" customFormat="1" x14ac:dyDescent="0.35">
      <c r="A330" s="100" t="s">
        <v>150</v>
      </c>
      <c r="B330" s="100" t="s">
        <v>3</v>
      </c>
      <c r="C330" s="100" t="s">
        <v>408</v>
      </c>
    </row>
    <row r="331" spans="1:3" s="100" customFormat="1" x14ac:dyDescent="0.35">
      <c r="A331" s="100" t="s">
        <v>150</v>
      </c>
      <c r="B331" s="100" t="s">
        <v>3</v>
      </c>
      <c r="C331" s="100" t="s">
        <v>409</v>
      </c>
    </row>
    <row r="332" spans="1:3" s="100" customFormat="1" x14ac:dyDescent="0.35">
      <c r="A332" s="100" t="s">
        <v>150</v>
      </c>
      <c r="B332" s="100" t="s">
        <v>3</v>
      </c>
      <c r="C332" s="100" t="s">
        <v>410</v>
      </c>
    </row>
    <row r="333" spans="1:3" s="100" customFormat="1" x14ac:dyDescent="0.35">
      <c r="A333" s="100" t="s">
        <v>150</v>
      </c>
      <c r="B333" s="100" t="s">
        <v>3</v>
      </c>
      <c r="C333" s="100" t="s">
        <v>411</v>
      </c>
    </row>
    <row r="334" spans="1:3" s="100" customFormat="1" x14ac:dyDescent="0.35">
      <c r="A334" s="100" t="s">
        <v>150</v>
      </c>
      <c r="B334" s="100" t="s">
        <v>3</v>
      </c>
      <c r="C334" s="100" t="s">
        <v>412</v>
      </c>
    </row>
    <row r="335" spans="1:3" s="100" customFormat="1" x14ac:dyDescent="0.35">
      <c r="A335" s="100" t="s">
        <v>150</v>
      </c>
      <c r="B335" s="100" t="s">
        <v>3</v>
      </c>
      <c r="C335" s="100" t="s">
        <v>413</v>
      </c>
    </row>
    <row r="336" spans="1:3" s="100" customFormat="1" x14ac:dyDescent="0.35">
      <c r="A336" s="100" t="s">
        <v>150</v>
      </c>
      <c r="B336" s="100" t="s">
        <v>3</v>
      </c>
      <c r="C336" s="100" t="s">
        <v>414</v>
      </c>
    </row>
    <row r="337" spans="1:3" s="100" customFormat="1" x14ac:dyDescent="0.35">
      <c r="A337" s="100" t="s">
        <v>150</v>
      </c>
      <c r="B337" s="100" t="s">
        <v>3</v>
      </c>
      <c r="C337" s="100" t="s">
        <v>415</v>
      </c>
    </row>
    <row r="338" spans="1:3" s="100" customFormat="1" x14ac:dyDescent="0.35">
      <c r="A338" s="100" t="s">
        <v>150</v>
      </c>
      <c r="B338" s="100" t="s">
        <v>3</v>
      </c>
      <c r="C338" s="100" t="s">
        <v>416</v>
      </c>
    </row>
    <row r="339" spans="1:3" s="100" customFormat="1" x14ac:dyDescent="0.35">
      <c r="A339" s="100" t="s">
        <v>150</v>
      </c>
      <c r="B339" s="100" t="s">
        <v>3</v>
      </c>
      <c r="C339" s="100" t="s">
        <v>417</v>
      </c>
    </row>
    <row r="340" spans="1:3" s="100" customFormat="1" x14ac:dyDescent="0.35">
      <c r="A340" s="100" t="s">
        <v>150</v>
      </c>
      <c r="B340" s="100" t="s">
        <v>3</v>
      </c>
      <c r="C340" s="100" t="s">
        <v>418</v>
      </c>
    </row>
    <row r="341" spans="1:3" s="100" customFormat="1" x14ac:dyDescent="0.35">
      <c r="A341" s="100" t="s">
        <v>150</v>
      </c>
      <c r="B341" s="100" t="s">
        <v>3</v>
      </c>
      <c r="C341" s="100" t="s">
        <v>419</v>
      </c>
    </row>
    <row r="342" spans="1:3" s="100" customFormat="1" x14ac:dyDescent="0.35">
      <c r="A342" s="100" t="s">
        <v>150</v>
      </c>
      <c r="B342" s="100" t="s">
        <v>3</v>
      </c>
      <c r="C342" s="100" t="s">
        <v>420</v>
      </c>
    </row>
    <row r="343" spans="1:3" s="100" customFormat="1" x14ac:dyDescent="0.35">
      <c r="A343" s="100" t="s">
        <v>150</v>
      </c>
      <c r="B343" s="100" t="s">
        <v>3</v>
      </c>
      <c r="C343" s="100" t="s">
        <v>421</v>
      </c>
    </row>
    <row r="344" spans="1:3" s="100" customFormat="1" x14ac:dyDescent="0.35">
      <c r="A344" s="100" t="s">
        <v>150</v>
      </c>
      <c r="B344" s="100" t="s">
        <v>3</v>
      </c>
      <c r="C344" s="100" t="s">
        <v>422</v>
      </c>
    </row>
    <row r="345" spans="1:3" s="100" customFormat="1" x14ac:dyDescent="0.35">
      <c r="A345" s="100" t="s">
        <v>150</v>
      </c>
      <c r="B345" s="100" t="s">
        <v>3</v>
      </c>
      <c r="C345" s="100" t="s">
        <v>423</v>
      </c>
    </row>
    <row r="346" spans="1:3" s="100" customFormat="1" x14ac:dyDescent="0.35">
      <c r="A346" s="100" t="s">
        <v>150</v>
      </c>
      <c r="B346" s="100" t="s">
        <v>3</v>
      </c>
      <c r="C346" s="100" t="s">
        <v>424</v>
      </c>
    </row>
    <row r="347" spans="1:3" s="100" customFormat="1" x14ac:dyDescent="0.35">
      <c r="A347" s="100" t="s">
        <v>150</v>
      </c>
      <c r="B347" s="100" t="s">
        <v>3</v>
      </c>
      <c r="C347" s="100" t="s">
        <v>425</v>
      </c>
    </row>
    <row r="348" spans="1:3" s="100" customFormat="1" x14ac:dyDescent="0.35">
      <c r="A348" s="100" t="s">
        <v>150</v>
      </c>
      <c r="B348" s="100" t="s">
        <v>3</v>
      </c>
      <c r="C348" s="100" t="s">
        <v>426</v>
      </c>
    </row>
    <row r="349" spans="1:3" s="100" customFormat="1" x14ac:dyDescent="0.35">
      <c r="A349" s="100" t="s">
        <v>150</v>
      </c>
      <c r="B349" s="100" t="s">
        <v>3</v>
      </c>
      <c r="C349" s="100" t="s">
        <v>427</v>
      </c>
    </row>
    <row r="350" spans="1:3" s="100" customFormat="1" x14ac:dyDescent="0.35">
      <c r="A350" s="100" t="s">
        <v>150</v>
      </c>
      <c r="B350" s="100" t="s">
        <v>3</v>
      </c>
      <c r="C350" s="100" t="s">
        <v>428</v>
      </c>
    </row>
    <row r="351" spans="1:3" s="100" customFormat="1" x14ac:dyDescent="0.35">
      <c r="A351" s="100" t="s">
        <v>150</v>
      </c>
      <c r="B351" s="100" t="s">
        <v>3</v>
      </c>
      <c r="C351" s="100" t="s">
        <v>429</v>
      </c>
    </row>
    <row r="352" spans="1:3" s="100" customFormat="1" x14ac:dyDescent="0.35">
      <c r="A352" s="100" t="s">
        <v>150</v>
      </c>
      <c r="B352" s="100" t="s">
        <v>3</v>
      </c>
      <c r="C352" s="100" t="s">
        <v>430</v>
      </c>
    </row>
    <row r="353" spans="1:3" s="100" customFormat="1" x14ac:dyDescent="0.35">
      <c r="A353" s="100" t="s">
        <v>150</v>
      </c>
      <c r="B353" s="100" t="s">
        <v>3</v>
      </c>
      <c r="C353" s="100" t="s">
        <v>431</v>
      </c>
    </row>
    <row r="354" spans="1:3" s="100" customFormat="1" x14ac:dyDescent="0.35">
      <c r="A354" s="100" t="s">
        <v>150</v>
      </c>
      <c r="B354" s="100" t="s">
        <v>3</v>
      </c>
      <c r="C354" s="100" t="s">
        <v>432</v>
      </c>
    </row>
    <row r="355" spans="1:3" s="100" customFormat="1" x14ac:dyDescent="0.35">
      <c r="A355" s="100" t="s">
        <v>150</v>
      </c>
      <c r="B355" s="100" t="s">
        <v>3</v>
      </c>
      <c r="C355" s="100" t="s">
        <v>433</v>
      </c>
    </row>
    <row r="356" spans="1:3" s="100" customFormat="1" x14ac:dyDescent="0.35">
      <c r="A356" s="100" t="s">
        <v>150</v>
      </c>
      <c r="B356" s="100" t="s">
        <v>3</v>
      </c>
      <c r="C356" s="100" t="s">
        <v>434</v>
      </c>
    </row>
    <row r="357" spans="1:3" s="100" customFormat="1" x14ac:dyDescent="0.35">
      <c r="A357" s="100" t="s">
        <v>150</v>
      </c>
      <c r="B357" s="100" t="s">
        <v>3</v>
      </c>
      <c r="C357" s="100" t="s">
        <v>435</v>
      </c>
    </row>
    <row r="358" spans="1:3" s="100" customFormat="1" x14ac:dyDescent="0.35">
      <c r="A358" s="100" t="s">
        <v>150</v>
      </c>
      <c r="B358" s="100" t="s">
        <v>3</v>
      </c>
      <c r="C358" s="100" t="s">
        <v>436</v>
      </c>
    </row>
    <row r="359" spans="1:3" s="100" customFormat="1" x14ac:dyDescent="0.35">
      <c r="A359" s="100" t="s">
        <v>150</v>
      </c>
      <c r="B359" s="100" t="s">
        <v>3</v>
      </c>
      <c r="C359" s="100" t="s">
        <v>437</v>
      </c>
    </row>
    <row r="360" spans="1:3" s="100" customFormat="1" x14ac:dyDescent="0.35">
      <c r="A360" s="100" t="s">
        <v>150</v>
      </c>
      <c r="B360" s="100" t="s">
        <v>3</v>
      </c>
      <c r="C360" s="100" t="s">
        <v>438</v>
      </c>
    </row>
    <row r="361" spans="1:3" s="100" customFormat="1" x14ac:dyDescent="0.35">
      <c r="A361" s="100" t="s">
        <v>150</v>
      </c>
      <c r="B361" s="100" t="s">
        <v>3</v>
      </c>
      <c r="C361" s="100" t="s">
        <v>439</v>
      </c>
    </row>
    <row r="362" spans="1:3" s="100" customFormat="1" x14ac:dyDescent="0.35">
      <c r="A362" s="100" t="s">
        <v>150</v>
      </c>
      <c r="B362" s="100" t="s">
        <v>3</v>
      </c>
      <c r="C362" s="100" t="s">
        <v>440</v>
      </c>
    </row>
    <row r="363" spans="1:3" s="100" customFormat="1" x14ac:dyDescent="0.35">
      <c r="A363" s="100" t="s">
        <v>150</v>
      </c>
      <c r="B363" s="100" t="s">
        <v>3</v>
      </c>
      <c r="C363" s="100" t="s">
        <v>441</v>
      </c>
    </row>
    <row r="364" spans="1:3" s="100" customFormat="1" x14ac:dyDescent="0.35">
      <c r="A364" s="100" t="s">
        <v>150</v>
      </c>
      <c r="B364" s="100" t="s">
        <v>3</v>
      </c>
      <c r="C364" s="100" t="s">
        <v>442</v>
      </c>
    </row>
    <row r="365" spans="1:3" s="100" customFormat="1" x14ac:dyDescent="0.35">
      <c r="A365" s="100" t="s">
        <v>150</v>
      </c>
      <c r="B365" s="100" t="s">
        <v>3</v>
      </c>
      <c r="C365" s="100" t="s">
        <v>443</v>
      </c>
    </row>
    <row r="366" spans="1:3" s="100" customFormat="1" x14ac:dyDescent="0.35">
      <c r="A366" s="100" t="s">
        <v>150</v>
      </c>
      <c r="B366" s="100" t="s">
        <v>3</v>
      </c>
      <c r="C366" s="100" t="s">
        <v>444</v>
      </c>
    </row>
    <row r="367" spans="1:3" s="100" customFormat="1" x14ac:dyDescent="0.35">
      <c r="A367" s="100" t="s">
        <v>150</v>
      </c>
      <c r="B367" s="100" t="s">
        <v>3</v>
      </c>
      <c r="C367" s="100" t="s">
        <v>445</v>
      </c>
    </row>
    <row r="368" spans="1:3" s="100" customFormat="1" x14ac:dyDescent="0.35">
      <c r="A368" s="100" t="s">
        <v>150</v>
      </c>
      <c r="B368" s="100" t="s">
        <v>3</v>
      </c>
      <c r="C368" s="100" t="s">
        <v>446</v>
      </c>
    </row>
    <row r="369" spans="1:3" s="100" customFormat="1" x14ac:dyDescent="0.35">
      <c r="A369" s="100" t="s">
        <v>150</v>
      </c>
      <c r="B369" s="100" t="s">
        <v>3</v>
      </c>
      <c r="C369" s="100" t="s">
        <v>447</v>
      </c>
    </row>
    <row r="370" spans="1:3" s="100" customFormat="1" x14ac:dyDescent="0.35">
      <c r="A370" s="100" t="s">
        <v>150</v>
      </c>
      <c r="B370" s="100" t="s">
        <v>3</v>
      </c>
      <c r="C370" s="100" t="s">
        <v>448</v>
      </c>
    </row>
    <row r="371" spans="1:3" s="100" customFormat="1" x14ac:dyDescent="0.35">
      <c r="A371" s="100" t="s">
        <v>150</v>
      </c>
      <c r="B371" s="100" t="s">
        <v>3</v>
      </c>
      <c r="C371" s="100" t="s">
        <v>449</v>
      </c>
    </row>
    <row r="372" spans="1:3" s="100" customFormat="1" x14ac:dyDescent="0.35">
      <c r="A372" s="100" t="s">
        <v>150</v>
      </c>
      <c r="B372" s="100" t="s">
        <v>3</v>
      </c>
      <c r="C372" s="100" t="s">
        <v>450</v>
      </c>
    </row>
    <row r="373" spans="1:3" s="100" customFormat="1" x14ac:dyDescent="0.35">
      <c r="A373" s="100" t="s">
        <v>150</v>
      </c>
      <c r="B373" s="100" t="s">
        <v>3</v>
      </c>
      <c r="C373" s="100" t="s">
        <v>451</v>
      </c>
    </row>
    <row r="374" spans="1:3" s="100" customFormat="1" x14ac:dyDescent="0.35">
      <c r="A374" s="100" t="s">
        <v>150</v>
      </c>
      <c r="B374" s="100" t="s">
        <v>3</v>
      </c>
      <c r="C374" s="100" t="s">
        <v>452</v>
      </c>
    </row>
    <row r="375" spans="1:3" s="100" customFormat="1" x14ac:dyDescent="0.35">
      <c r="A375" s="100" t="s">
        <v>150</v>
      </c>
      <c r="B375" s="100" t="s">
        <v>3</v>
      </c>
      <c r="C375" s="100" t="s">
        <v>453</v>
      </c>
    </row>
    <row r="376" spans="1:3" s="100" customFormat="1" x14ac:dyDescent="0.35">
      <c r="A376" s="100" t="s">
        <v>150</v>
      </c>
      <c r="B376" s="100" t="s">
        <v>3</v>
      </c>
      <c r="C376" s="100" t="s">
        <v>454</v>
      </c>
    </row>
    <row r="377" spans="1:3" s="100" customFormat="1" x14ac:dyDescent="0.35">
      <c r="A377" s="100" t="s">
        <v>150</v>
      </c>
      <c r="B377" s="100" t="s">
        <v>3</v>
      </c>
      <c r="C377" s="100" t="s">
        <v>455</v>
      </c>
    </row>
    <row r="378" spans="1:3" s="100" customFormat="1" x14ac:dyDescent="0.35">
      <c r="A378" s="100" t="s">
        <v>150</v>
      </c>
      <c r="B378" s="100" t="s">
        <v>3</v>
      </c>
      <c r="C378" s="100" t="s">
        <v>456</v>
      </c>
    </row>
    <row r="379" spans="1:3" s="100" customFormat="1" x14ac:dyDescent="0.35">
      <c r="A379" s="100" t="s">
        <v>150</v>
      </c>
      <c r="B379" s="100" t="s">
        <v>3</v>
      </c>
      <c r="C379" s="100" t="s">
        <v>457</v>
      </c>
    </row>
    <row r="380" spans="1:3" s="100" customFormat="1" x14ac:dyDescent="0.35">
      <c r="A380" s="100" t="s">
        <v>150</v>
      </c>
      <c r="B380" s="100" t="s">
        <v>3</v>
      </c>
      <c r="C380" s="100" t="s">
        <v>458</v>
      </c>
    </row>
    <row r="381" spans="1:3" s="100" customFormat="1" x14ac:dyDescent="0.35">
      <c r="A381" s="100" t="s">
        <v>150</v>
      </c>
      <c r="B381" s="100" t="s">
        <v>3</v>
      </c>
      <c r="C381" s="100" t="s">
        <v>459</v>
      </c>
    </row>
    <row r="382" spans="1:3" s="100" customFormat="1" x14ac:dyDescent="0.35">
      <c r="A382" s="100" t="s">
        <v>150</v>
      </c>
      <c r="B382" s="100" t="s">
        <v>3</v>
      </c>
      <c r="C382" s="100" t="s">
        <v>460</v>
      </c>
    </row>
    <row r="383" spans="1:3" s="100" customFormat="1" x14ac:dyDescent="0.35">
      <c r="A383" s="100" t="s">
        <v>150</v>
      </c>
      <c r="B383" s="100" t="s">
        <v>3</v>
      </c>
      <c r="C383" s="100" t="s">
        <v>461</v>
      </c>
    </row>
    <row r="384" spans="1:3" s="100" customFormat="1" x14ac:dyDescent="0.35">
      <c r="A384" s="100" t="s">
        <v>150</v>
      </c>
      <c r="B384" s="100" t="s">
        <v>3</v>
      </c>
      <c r="C384" s="100" t="s">
        <v>462</v>
      </c>
    </row>
    <row r="385" spans="1:3" s="100" customFormat="1" x14ac:dyDescent="0.35">
      <c r="A385" s="100" t="s">
        <v>150</v>
      </c>
      <c r="B385" s="100" t="s">
        <v>3</v>
      </c>
      <c r="C385" s="100" t="s">
        <v>463</v>
      </c>
    </row>
    <row r="386" spans="1:3" s="100" customFormat="1" x14ac:dyDescent="0.35">
      <c r="A386" s="100" t="s">
        <v>150</v>
      </c>
      <c r="B386" s="100" t="s">
        <v>3</v>
      </c>
      <c r="C386" s="100" t="s">
        <v>464</v>
      </c>
    </row>
    <row r="387" spans="1:3" s="100" customFormat="1" x14ac:dyDescent="0.35">
      <c r="A387" s="100" t="s">
        <v>150</v>
      </c>
      <c r="B387" s="100" t="s">
        <v>3</v>
      </c>
      <c r="C387" s="100" t="s">
        <v>465</v>
      </c>
    </row>
    <row r="388" spans="1:3" s="100" customFormat="1" x14ac:dyDescent="0.35">
      <c r="A388" s="100" t="s">
        <v>150</v>
      </c>
      <c r="B388" s="100" t="s">
        <v>3</v>
      </c>
      <c r="C388" s="100" t="s">
        <v>466</v>
      </c>
    </row>
    <row r="389" spans="1:3" s="100" customFormat="1" x14ac:dyDescent="0.35">
      <c r="A389" s="100" t="s">
        <v>150</v>
      </c>
      <c r="B389" s="100" t="s">
        <v>3</v>
      </c>
      <c r="C389" s="100" t="s">
        <v>467</v>
      </c>
    </row>
    <row r="390" spans="1:3" s="100" customFormat="1" x14ac:dyDescent="0.35">
      <c r="A390" s="100" t="s">
        <v>150</v>
      </c>
      <c r="B390" s="100" t="s">
        <v>3</v>
      </c>
      <c r="C390" s="100" t="s">
        <v>468</v>
      </c>
    </row>
    <row r="391" spans="1:3" s="100" customFormat="1" x14ac:dyDescent="0.35">
      <c r="A391" s="100" t="s">
        <v>150</v>
      </c>
      <c r="B391" s="100" t="s">
        <v>3</v>
      </c>
      <c r="C391" s="100" t="s">
        <v>469</v>
      </c>
    </row>
    <row r="392" spans="1:3" s="100" customFormat="1" x14ac:dyDescent="0.35">
      <c r="A392" s="100" t="s">
        <v>150</v>
      </c>
      <c r="B392" s="100" t="s">
        <v>3</v>
      </c>
      <c r="C392" s="100" t="s">
        <v>470</v>
      </c>
    </row>
    <row r="393" spans="1:3" s="100" customFormat="1" x14ac:dyDescent="0.35">
      <c r="A393" s="100" t="s">
        <v>150</v>
      </c>
      <c r="B393" s="100" t="s">
        <v>3</v>
      </c>
      <c r="C393" s="100" t="s">
        <v>471</v>
      </c>
    </row>
    <row r="394" spans="1:3" s="100" customFormat="1" x14ac:dyDescent="0.35">
      <c r="A394" s="100" t="s">
        <v>150</v>
      </c>
      <c r="B394" s="100" t="s">
        <v>3</v>
      </c>
      <c r="C394" s="100" t="s">
        <v>472</v>
      </c>
    </row>
    <row r="395" spans="1:3" s="100" customFormat="1" x14ac:dyDescent="0.35">
      <c r="A395" s="100" t="s">
        <v>150</v>
      </c>
      <c r="B395" s="100" t="s">
        <v>3</v>
      </c>
      <c r="C395" s="100" t="s">
        <v>473</v>
      </c>
    </row>
    <row r="396" spans="1:3" s="100" customFormat="1" x14ac:dyDescent="0.35">
      <c r="A396" s="100" t="s">
        <v>150</v>
      </c>
      <c r="B396" s="100" t="s">
        <v>3</v>
      </c>
      <c r="C396" s="100" t="s">
        <v>474</v>
      </c>
    </row>
    <row r="397" spans="1:3" s="100" customFormat="1" x14ac:dyDescent="0.35">
      <c r="A397" s="100" t="s">
        <v>150</v>
      </c>
      <c r="B397" s="100" t="s">
        <v>3</v>
      </c>
      <c r="C397" s="100" t="s">
        <v>475</v>
      </c>
    </row>
    <row r="398" spans="1:3" s="100" customFormat="1" x14ac:dyDescent="0.35">
      <c r="A398" s="100" t="s">
        <v>150</v>
      </c>
      <c r="B398" s="100" t="s">
        <v>3</v>
      </c>
      <c r="C398" s="100" t="s">
        <v>476</v>
      </c>
    </row>
    <row r="399" spans="1:3" s="100" customFormat="1" x14ac:dyDescent="0.35">
      <c r="A399" s="100" t="s">
        <v>150</v>
      </c>
      <c r="B399" s="100" t="s">
        <v>3</v>
      </c>
      <c r="C399" s="100" t="s">
        <v>477</v>
      </c>
    </row>
    <row r="400" spans="1:3" s="100" customFormat="1" x14ac:dyDescent="0.35">
      <c r="A400" s="100" t="s">
        <v>150</v>
      </c>
      <c r="B400" s="100" t="s">
        <v>3</v>
      </c>
      <c r="C400" s="100" t="s">
        <v>478</v>
      </c>
    </row>
    <row r="401" spans="1:3" s="100" customFormat="1" x14ac:dyDescent="0.35">
      <c r="A401" s="100" t="s">
        <v>150</v>
      </c>
      <c r="B401" s="100" t="s">
        <v>3</v>
      </c>
      <c r="C401" s="100" t="s">
        <v>479</v>
      </c>
    </row>
    <row r="402" spans="1:3" s="100" customFormat="1" x14ac:dyDescent="0.35">
      <c r="A402" s="100" t="s">
        <v>150</v>
      </c>
      <c r="B402" s="100" t="s">
        <v>3</v>
      </c>
      <c r="C402" s="100" t="s">
        <v>480</v>
      </c>
    </row>
    <row r="403" spans="1:3" s="100" customFormat="1" x14ac:dyDescent="0.35">
      <c r="A403" s="100" t="s">
        <v>150</v>
      </c>
      <c r="B403" s="100" t="s">
        <v>3</v>
      </c>
      <c r="C403" s="100" t="s">
        <v>481</v>
      </c>
    </row>
    <row r="404" spans="1:3" s="100" customFormat="1" x14ac:dyDescent="0.35">
      <c r="A404" s="100" t="s">
        <v>150</v>
      </c>
      <c r="B404" s="100" t="s">
        <v>3</v>
      </c>
      <c r="C404" s="100" t="s">
        <v>482</v>
      </c>
    </row>
    <row r="405" spans="1:3" s="100" customFormat="1" x14ac:dyDescent="0.35">
      <c r="A405" s="100" t="s">
        <v>150</v>
      </c>
      <c r="B405" s="100" t="s">
        <v>3</v>
      </c>
      <c r="C405" s="100" t="s">
        <v>483</v>
      </c>
    </row>
    <row r="406" spans="1:3" s="100" customFormat="1" x14ac:dyDescent="0.35">
      <c r="A406" s="100" t="s">
        <v>150</v>
      </c>
      <c r="B406" s="100" t="s">
        <v>3</v>
      </c>
      <c r="C406" s="100" t="s">
        <v>484</v>
      </c>
    </row>
    <row r="407" spans="1:3" s="100" customFormat="1" x14ac:dyDescent="0.35">
      <c r="A407" s="100" t="s">
        <v>150</v>
      </c>
      <c r="B407" s="100" t="s">
        <v>3</v>
      </c>
      <c r="C407" s="100" t="s">
        <v>485</v>
      </c>
    </row>
    <row r="408" spans="1:3" s="100" customFormat="1" x14ac:dyDescent="0.35">
      <c r="A408" s="100" t="s">
        <v>150</v>
      </c>
      <c r="B408" s="100" t="s">
        <v>3</v>
      </c>
      <c r="C408" s="100" t="s">
        <v>486</v>
      </c>
    </row>
    <row r="409" spans="1:3" s="100" customFormat="1" x14ac:dyDescent="0.35">
      <c r="A409" s="100" t="s">
        <v>150</v>
      </c>
      <c r="B409" s="100" t="s">
        <v>3</v>
      </c>
      <c r="C409" s="100" t="s">
        <v>487</v>
      </c>
    </row>
    <row r="410" spans="1:3" s="100" customFormat="1" x14ac:dyDescent="0.35">
      <c r="A410" s="100" t="s">
        <v>150</v>
      </c>
      <c r="B410" s="100" t="s">
        <v>3</v>
      </c>
      <c r="C410" s="100" t="s">
        <v>488</v>
      </c>
    </row>
    <row r="411" spans="1:3" s="100" customFormat="1" x14ac:dyDescent="0.35">
      <c r="A411" s="100" t="s">
        <v>150</v>
      </c>
      <c r="B411" s="100" t="s">
        <v>3</v>
      </c>
      <c r="C411" s="100" t="s">
        <v>489</v>
      </c>
    </row>
    <row r="412" spans="1:3" s="100" customFormat="1" x14ac:dyDescent="0.35">
      <c r="A412" s="100" t="s">
        <v>150</v>
      </c>
      <c r="B412" s="100" t="s">
        <v>3</v>
      </c>
      <c r="C412" s="100" t="s">
        <v>490</v>
      </c>
    </row>
    <row r="413" spans="1:3" s="100" customFormat="1" x14ac:dyDescent="0.35">
      <c r="A413" s="100" t="s">
        <v>150</v>
      </c>
      <c r="B413" s="100" t="s">
        <v>3</v>
      </c>
      <c r="C413" s="100" t="s">
        <v>491</v>
      </c>
    </row>
    <row r="414" spans="1:3" s="100" customFormat="1" x14ac:dyDescent="0.35">
      <c r="A414" s="100" t="s">
        <v>150</v>
      </c>
      <c r="B414" s="100" t="s">
        <v>3</v>
      </c>
      <c r="C414" s="100" t="s">
        <v>492</v>
      </c>
    </row>
    <row r="415" spans="1:3" s="100" customFormat="1" x14ac:dyDescent="0.35">
      <c r="A415" s="100" t="s">
        <v>150</v>
      </c>
      <c r="B415" s="100" t="s">
        <v>3</v>
      </c>
      <c r="C415" s="100" t="s">
        <v>493</v>
      </c>
    </row>
    <row r="416" spans="1:3" s="100" customFormat="1" x14ac:dyDescent="0.35">
      <c r="A416" s="100" t="s">
        <v>150</v>
      </c>
      <c r="B416" s="100" t="s">
        <v>3</v>
      </c>
      <c r="C416" s="100" t="s">
        <v>494</v>
      </c>
    </row>
    <row r="417" spans="1:3" s="100" customFormat="1" x14ac:dyDescent="0.35">
      <c r="A417" s="100" t="s">
        <v>150</v>
      </c>
      <c r="B417" s="100" t="s">
        <v>3</v>
      </c>
      <c r="C417" s="100" t="s">
        <v>495</v>
      </c>
    </row>
    <row r="418" spans="1:3" s="100" customFormat="1" x14ac:dyDescent="0.35">
      <c r="A418" s="100" t="s">
        <v>150</v>
      </c>
      <c r="B418" s="100" t="s">
        <v>3</v>
      </c>
      <c r="C418" s="100" t="s">
        <v>496</v>
      </c>
    </row>
    <row r="419" spans="1:3" s="100" customFormat="1" x14ac:dyDescent="0.35">
      <c r="A419" s="100" t="s">
        <v>150</v>
      </c>
      <c r="B419" s="100" t="s">
        <v>3</v>
      </c>
      <c r="C419" s="100" t="s">
        <v>497</v>
      </c>
    </row>
    <row r="420" spans="1:3" s="100" customFormat="1" x14ac:dyDescent="0.35">
      <c r="A420" s="100" t="s">
        <v>150</v>
      </c>
      <c r="B420" s="100" t="s">
        <v>3</v>
      </c>
      <c r="C420" s="100" t="s">
        <v>498</v>
      </c>
    </row>
    <row r="421" spans="1:3" s="100" customFormat="1" x14ac:dyDescent="0.35">
      <c r="A421" s="100" t="s">
        <v>150</v>
      </c>
      <c r="B421" s="100" t="s">
        <v>3</v>
      </c>
      <c r="C421" s="100" t="s">
        <v>499</v>
      </c>
    </row>
    <row r="422" spans="1:3" s="100" customFormat="1" x14ac:dyDescent="0.35">
      <c r="A422" s="100" t="s">
        <v>150</v>
      </c>
      <c r="B422" s="100" t="s">
        <v>3</v>
      </c>
      <c r="C422" s="100" t="s">
        <v>500</v>
      </c>
    </row>
    <row r="423" spans="1:3" s="100" customFormat="1" x14ac:dyDescent="0.35">
      <c r="A423" s="100" t="s">
        <v>150</v>
      </c>
      <c r="B423" s="100" t="s">
        <v>3</v>
      </c>
      <c r="C423" s="100" t="s">
        <v>501</v>
      </c>
    </row>
    <row r="424" spans="1:3" s="100" customFormat="1" x14ac:dyDescent="0.35">
      <c r="A424" s="100" t="s">
        <v>150</v>
      </c>
      <c r="B424" s="100" t="s">
        <v>3</v>
      </c>
      <c r="C424" s="100" t="s">
        <v>502</v>
      </c>
    </row>
    <row r="425" spans="1:3" s="100" customFormat="1" x14ac:dyDescent="0.35">
      <c r="A425" s="100" t="s">
        <v>150</v>
      </c>
      <c r="B425" s="100" t="s">
        <v>3</v>
      </c>
      <c r="C425" s="100" t="s">
        <v>503</v>
      </c>
    </row>
    <row r="426" spans="1:3" s="100" customFormat="1" x14ac:dyDescent="0.35">
      <c r="A426" s="100" t="s">
        <v>150</v>
      </c>
      <c r="B426" s="100" t="s">
        <v>3</v>
      </c>
      <c r="C426" s="100" t="s">
        <v>504</v>
      </c>
    </row>
    <row r="427" spans="1:3" s="100" customFormat="1" x14ac:dyDescent="0.35">
      <c r="A427" s="100" t="s">
        <v>150</v>
      </c>
      <c r="B427" s="100" t="s">
        <v>3</v>
      </c>
      <c r="C427" s="100" t="s">
        <v>505</v>
      </c>
    </row>
    <row r="428" spans="1:3" s="100" customFormat="1" x14ac:dyDescent="0.35">
      <c r="A428" s="100" t="s">
        <v>150</v>
      </c>
      <c r="B428" s="100" t="s">
        <v>3</v>
      </c>
      <c r="C428" s="100" t="s">
        <v>506</v>
      </c>
    </row>
    <row r="429" spans="1:3" s="100" customFormat="1" x14ac:dyDescent="0.35">
      <c r="A429" s="100" t="s">
        <v>150</v>
      </c>
      <c r="B429" s="100" t="s">
        <v>3</v>
      </c>
      <c r="C429" s="100" t="s">
        <v>507</v>
      </c>
    </row>
    <row r="430" spans="1:3" s="100" customFormat="1" x14ac:dyDescent="0.35">
      <c r="A430" s="100" t="s">
        <v>150</v>
      </c>
      <c r="B430" s="100" t="s">
        <v>3</v>
      </c>
      <c r="C430" s="100" t="s">
        <v>508</v>
      </c>
    </row>
    <row r="431" spans="1:3" s="100" customFormat="1" x14ac:dyDescent="0.35">
      <c r="A431" s="100" t="s">
        <v>150</v>
      </c>
      <c r="B431" s="100" t="s">
        <v>3</v>
      </c>
      <c r="C431" s="100" t="s">
        <v>509</v>
      </c>
    </row>
    <row r="432" spans="1:3" s="100" customFormat="1" x14ac:dyDescent="0.35">
      <c r="A432" s="100" t="s">
        <v>150</v>
      </c>
      <c r="B432" s="100" t="s">
        <v>3</v>
      </c>
      <c r="C432" s="100" t="s">
        <v>510</v>
      </c>
    </row>
    <row r="433" spans="1:3" s="100" customFormat="1" x14ac:dyDescent="0.35">
      <c r="A433" s="100" t="s">
        <v>150</v>
      </c>
      <c r="B433" s="100" t="s">
        <v>3</v>
      </c>
      <c r="C433" s="100" t="s">
        <v>511</v>
      </c>
    </row>
    <row r="434" spans="1:3" s="100" customFormat="1" x14ac:dyDescent="0.35">
      <c r="A434" s="100" t="s">
        <v>150</v>
      </c>
      <c r="B434" s="100" t="s">
        <v>3</v>
      </c>
      <c r="C434" s="100" t="s">
        <v>512</v>
      </c>
    </row>
    <row r="435" spans="1:3" s="100" customFormat="1" x14ac:dyDescent="0.35">
      <c r="A435" s="100" t="s">
        <v>150</v>
      </c>
      <c r="B435" s="100" t="s">
        <v>3</v>
      </c>
      <c r="C435" s="100" t="s">
        <v>513</v>
      </c>
    </row>
    <row r="436" spans="1:3" s="100" customFormat="1" x14ac:dyDescent="0.35">
      <c r="A436" s="100" t="s">
        <v>150</v>
      </c>
      <c r="B436" s="100" t="s">
        <v>3</v>
      </c>
      <c r="C436" s="100" t="s">
        <v>514</v>
      </c>
    </row>
    <row r="437" spans="1:3" s="100" customFormat="1" x14ac:dyDescent="0.35">
      <c r="A437" s="100" t="s">
        <v>150</v>
      </c>
      <c r="B437" s="100" t="s">
        <v>3</v>
      </c>
      <c r="C437" s="100" t="s">
        <v>515</v>
      </c>
    </row>
    <row r="438" spans="1:3" s="100" customFormat="1" x14ac:dyDescent="0.35">
      <c r="A438" s="100" t="s">
        <v>150</v>
      </c>
      <c r="B438" s="100" t="s">
        <v>3</v>
      </c>
      <c r="C438" s="100" t="s">
        <v>516</v>
      </c>
    </row>
    <row r="439" spans="1:3" s="100" customFormat="1" x14ac:dyDescent="0.35">
      <c r="A439" s="100" t="s">
        <v>150</v>
      </c>
      <c r="B439" s="100" t="s">
        <v>3</v>
      </c>
      <c r="C439" s="100" t="s">
        <v>517</v>
      </c>
    </row>
    <row r="440" spans="1:3" s="100" customFormat="1" x14ac:dyDescent="0.35">
      <c r="A440" s="100" t="s">
        <v>150</v>
      </c>
      <c r="B440" s="100" t="s">
        <v>3</v>
      </c>
      <c r="C440" s="100" t="s">
        <v>518</v>
      </c>
    </row>
    <row r="441" spans="1:3" s="100" customFormat="1" x14ac:dyDescent="0.35">
      <c r="A441" s="100" t="s">
        <v>150</v>
      </c>
      <c r="B441" s="100" t="s">
        <v>3</v>
      </c>
      <c r="C441" s="100" t="s">
        <v>519</v>
      </c>
    </row>
    <row r="442" spans="1:3" s="100" customFormat="1" x14ac:dyDescent="0.35">
      <c r="A442" s="100" t="s">
        <v>150</v>
      </c>
      <c r="B442" s="100" t="s">
        <v>3</v>
      </c>
      <c r="C442" s="100" t="s">
        <v>520</v>
      </c>
    </row>
    <row r="443" spans="1:3" s="100" customFormat="1" x14ac:dyDescent="0.35">
      <c r="A443" s="100" t="s">
        <v>150</v>
      </c>
      <c r="B443" s="100" t="s">
        <v>3</v>
      </c>
      <c r="C443" s="100" t="s">
        <v>521</v>
      </c>
    </row>
    <row r="444" spans="1:3" s="100" customFormat="1" x14ac:dyDescent="0.35">
      <c r="A444" s="100" t="s">
        <v>150</v>
      </c>
      <c r="B444" s="100" t="s">
        <v>3</v>
      </c>
      <c r="C444" s="100" t="s">
        <v>522</v>
      </c>
    </row>
    <row r="445" spans="1:3" s="100" customFormat="1" x14ac:dyDescent="0.35">
      <c r="A445" s="100" t="s">
        <v>150</v>
      </c>
      <c r="B445" s="100" t="s">
        <v>3</v>
      </c>
      <c r="C445" s="100" t="s">
        <v>523</v>
      </c>
    </row>
    <row r="446" spans="1:3" s="100" customFormat="1" x14ac:dyDescent="0.35">
      <c r="A446" s="100" t="s">
        <v>150</v>
      </c>
      <c r="B446" s="100" t="s">
        <v>3</v>
      </c>
      <c r="C446" s="100" t="s">
        <v>524</v>
      </c>
    </row>
    <row r="447" spans="1:3" s="100" customFormat="1" x14ac:dyDescent="0.35">
      <c r="A447" s="100" t="s">
        <v>150</v>
      </c>
      <c r="B447" s="100" t="s">
        <v>3</v>
      </c>
      <c r="C447" s="100" t="s">
        <v>525</v>
      </c>
    </row>
    <row r="448" spans="1:3" s="100" customFormat="1" x14ac:dyDescent="0.35">
      <c r="A448" s="100" t="s">
        <v>150</v>
      </c>
      <c r="B448" s="100" t="s">
        <v>3</v>
      </c>
      <c r="C448" s="100" t="s">
        <v>526</v>
      </c>
    </row>
    <row r="449" spans="1:3" s="100" customFormat="1" x14ac:dyDescent="0.35">
      <c r="A449" s="100" t="s">
        <v>150</v>
      </c>
      <c r="B449" s="100" t="s">
        <v>3</v>
      </c>
      <c r="C449" s="100" t="s">
        <v>527</v>
      </c>
    </row>
    <row r="450" spans="1:3" s="100" customFormat="1" x14ac:dyDescent="0.35">
      <c r="A450" s="100" t="s">
        <v>150</v>
      </c>
      <c r="B450" s="100" t="s">
        <v>3</v>
      </c>
      <c r="C450" s="100" t="s">
        <v>528</v>
      </c>
    </row>
    <row r="451" spans="1:3" s="100" customFormat="1" x14ac:dyDescent="0.35">
      <c r="A451" s="100" t="s">
        <v>150</v>
      </c>
      <c r="B451" s="100" t="s">
        <v>3</v>
      </c>
      <c r="C451" s="100" t="s">
        <v>529</v>
      </c>
    </row>
    <row r="452" spans="1:3" s="100" customFormat="1" x14ac:dyDescent="0.35">
      <c r="A452" s="100" t="s">
        <v>150</v>
      </c>
      <c r="B452" s="100" t="s">
        <v>3</v>
      </c>
      <c r="C452" s="100" t="s">
        <v>530</v>
      </c>
    </row>
    <row r="453" spans="1:3" s="100" customFormat="1" x14ac:dyDescent="0.35">
      <c r="A453" s="100" t="s">
        <v>150</v>
      </c>
      <c r="B453" s="100" t="s">
        <v>3</v>
      </c>
      <c r="C453" s="100" t="s">
        <v>531</v>
      </c>
    </row>
    <row r="454" spans="1:3" s="100" customFormat="1" x14ac:dyDescent="0.35">
      <c r="A454" s="100" t="s">
        <v>150</v>
      </c>
      <c r="B454" s="100" t="s">
        <v>3</v>
      </c>
      <c r="C454" s="100" t="s">
        <v>532</v>
      </c>
    </row>
    <row r="455" spans="1:3" s="100" customFormat="1" x14ac:dyDescent="0.35">
      <c r="A455" s="100" t="s">
        <v>150</v>
      </c>
      <c r="B455" s="100" t="s">
        <v>3</v>
      </c>
      <c r="C455" s="100" t="s">
        <v>533</v>
      </c>
    </row>
    <row r="456" spans="1:3" s="100" customFormat="1" x14ac:dyDescent="0.35">
      <c r="A456" s="100" t="s">
        <v>150</v>
      </c>
      <c r="B456" s="100" t="s">
        <v>3</v>
      </c>
      <c r="C456" s="100" t="s">
        <v>534</v>
      </c>
    </row>
    <row r="457" spans="1:3" s="100" customFormat="1" x14ac:dyDescent="0.35">
      <c r="A457" s="100" t="s">
        <v>150</v>
      </c>
      <c r="B457" s="100" t="s">
        <v>3</v>
      </c>
      <c r="C457" s="100" t="s">
        <v>535</v>
      </c>
    </row>
    <row r="458" spans="1:3" s="100" customFormat="1" x14ac:dyDescent="0.35">
      <c r="A458" s="100" t="s">
        <v>150</v>
      </c>
      <c r="B458" s="100" t="s">
        <v>3</v>
      </c>
      <c r="C458" s="100" t="s">
        <v>536</v>
      </c>
    </row>
    <row r="459" spans="1:3" s="100" customFormat="1" x14ac:dyDescent="0.35">
      <c r="A459" s="100" t="s">
        <v>150</v>
      </c>
      <c r="B459" s="100" t="s">
        <v>3</v>
      </c>
      <c r="C459" s="100" t="s">
        <v>537</v>
      </c>
    </row>
    <row r="460" spans="1:3" s="100" customFormat="1" x14ac:dyDescent="0.35">
      <c r="A460" s="100" t="s">
        <v>150</v>
      </c>
      <c r="B460" s="100" t="s">
        <v>3</v>
      </c>
      <c r="C460" s="100" t="s">
        <v>538</v>
      </c>
    </row>
    <row r="461" spans="1:3" s="100" customFormat="1" x14ac:dyDescent="0.35">
      <c r="A461" s="100" t="s">
        <v>150</v>
      </c>
      <c r="B461" s="100" t="s">
        <v>3</v>
      </c>
      <c r="C461" s="100" t="s">
        <v>539</v>
      </c>
    </row>
    <row r="462" spans="1:3" s="100" customFormat="1" x14ac:dyDescent="0.35">
      <c r="A462" s="100" t="s">
        <v>150</v>
      </c>
      <c r="B462" s="100" t="s">
        <v>3</v>
      </c>
      <c r="C462" s="100" t="s">
        <v>540</v>
      </c>
    </row>
    <row r="463" spans="1:3" s="100" customFormat="1" x14ac:dyDescent="0.35">
      <c r="A463" s="100" t="s">
        <v>150</v>
      </c>
      <c r="B463" s="100" t="s">
        <v>3</v>
      </c>
      <c r="C463" s="100" t="s">
        <v>541</v>
      </c>
    </row>
    <row r="464" spans="1:3" s="100" customFormat="1" x14ac:dyDescent="0.35">
      <c r="A464" s="100" t="s">
        <v>150</v>
      </c>
      <c r="B464" s="100" t="s">
        <v>3</v>
      </c>
      <c r="C464" s="100" t="s">
        <v>542</v>
      </c>
    </row>
    <row r="465" spans="1:3" s="100" customFormat="1" x14ac:dyDescent="0.35">
      <c r="A465" s="100" t="s">
        <v>150</v>
      </c>
      <c r="B465" s="100" t="s">
        <v>3</v>
      </c>
      <c r="C465" s="100" t="s">
        <v>543</v>
      </c>
    </row>
    <row r="466" spans="1:3" s="100" customFormat="1" x14ac:dyDescent="0.35">
      <c r="A466" s="100" t="s">
        <v>150</v>
      </c>
      <c r="B466" s="100" t="s">
        <v>3</v>
      </c>
      <c r="C466" s="100" t="s">
        <v>544</v>
      </c>
    </row>
    <row r="467" spans="1:3" s="100" customFormat="1" x14ac:dyDescent="0.35">
      <c r="A467" s="100" t="s">
        <v>150</v>
      </c>
      <c r="B467" s="100" t="s">
        <v>3</v>
      </c>
      <c r="C467" s="100" t="s">
        <v>545</v>
      </c>
    </row>
    <row r="468" spans="1:3" s="100" customFormat="1" x14ac:dyDescent="0.35">
      <c r="A468" s="100" t="s">
        <v>150</v>
      </c>
      <c r="B468" s="100" t="s">
        <v>3</v>
      </c>
      <c r="C468" s="100" t="s">
        <v>546</v>
      </c>
    </row>
    <row r="469" spans="1:3" s="100" customFormat="1" x14ac:dyDescent="0.35">
      <c r="A469" s="100" t="s">
        <v>150</v>
      </c>
      <c r="B469" s="100" t="s">
        <v>3</v>
      </c>
      <c r="C469" s="100" t="s">
        <v>547</v>
      </c>
    </row>
    <row r="470" spans="1:3" s="100" customFormat="1" x14ac:dyDescent="0.35">
      <c r="A470" s="100" t="s">
        <v>150</v>
      </c>
      <c r="B470" s="100" t="s">
        <v>3</v>
      </c>
      <c r="C470" s="100" t="s">
        <v>548</v>
      </c>
    </row>
    <row r="471" spans="1:3" s="100" customFormat="1" x14ac:dyDescent="0.35">
      <c r="A471" s="100" t="s">
        <v>150</v>
      </c>
      <c r="B471" s="100" t="s">
        <v>3</v>
      </c>
      <c r="C471" s="100" t="s">
        <v>549</v>
      </c>
    </row>
    <row r="472" spans="1:3" s="100" customFormat="1" x14ac:dyDescent="0.35">
      <c r="A472" s="100" t="s">
        <v>150</v>
      </c>
      <c r="B472" s="100" t="s">
        <v>3</v>
      </c>
      <c r="C472" s="100" t="s">
        <v>550</v>
      </c>
    </row>
    <row r="473" spans="1:3" s="100" customFormat="1" x14ac:dyDescent="0.35">
      <c r="A473" s="100" t="s">
        <v>150</v>
      </c>
      <c r="B473" s="100" t="s">
        <v>3</v>
      </c>
      <c r="C473" s="100" t="s">
        <v>551</v>
      </c>
    </row>
    <row r="474" spans="1:3" s="100" customFormat="1" x14ac:dyDescent="0.35">
      <c r="A474" s="100" t="s">
        <v>150</v>
      </c>
      <c r="B474" s="100" t="s">
        <v>3</v>
      </c>
      <c r="C474" s="100" t="s">
        <v>552</v>
      </c>
    </row>
    <row r="475" spans="1:3" s="100" customFormat="1" x14ac:dyDescent="0.35">
      <c r="A475" s="100" t="s">
        <v>150</v>
      </c>
      <c r="B475" s="100" t="s">
        <v>3</v>
      </c>
      <c r="C475" s="100" t="s">
        <v>553</v>
      </c>
    </row>
    <row r="476" spans="1:3" s="100" customFormat="1" x14ac:dyDescent="0.35">
      <c r="A476" s="100" t="s">
        <v>150</v>
      </c>
      <c r="B476" s="100" t="s">
        <v>3</v>
      </c>
      <c r="C476" s="100" t="s">
        <v>554</v>
      </c>
    </row>
    <row r="477" spans="1:3" s="100" customFormat="1" x14ac:dyDescent="0.35">
      <c r="A477" s="100" t="s">
        <v>150</v>
      </c>
      <c r="B477" s="100" t="s">
        <v>3</v>
      </c>
      <c r="C477" s="100" t="s">
        <v>555</v>
      </c>
    </row>
    <row r="478" spans="1:3" s="100" customFormat="1" x14ac:dyDescent="0.35">
      <c r="A478" s="100" t="s">
        <v>150</v>
      </c>
      <c r="B478" s="100" t="s">
        <v>3</v>
      </c>
      <c r="C478" s="100" t="s">
        <v>556</v>
      </c>
    </row>
    <row r="479" spans="1:3" s="100" customFormat="1" x14ac:dyDescent="0.35">
      <c r="A479" s="100" t="s">
        <v>150</v>
      </c>
      <c r="B479" s="100" t="s">
        <v>3</v>
      </c>
      <c r="C479" s="100" t="s">
        <v>557</v>
      </c>
    </row>
    <row r="480" spans="1:3" s="100" customFormat="1" x14ac:dyDescent="0.35">
      <c r="A480" s="100" t="s">
        <v>150</v>
      </c>
      <c r="B480" s="100" t="s">
        <v>3</v>
      </c>
      <c r="C480" s="100" t="s">
        <v>558</v>
      </c>
    </row>
    <row r="481" spans="1:3" s="100" customFormat="1" x14ac:dyDescent="0.35">
      <c r="A481" s="100" t="s">
        <v>150</v>
      </c>
      <c r="B481" s="100" t="s">
        <v>3</v>
      </c>
      <c r="C481" s="100" t="s">
        <v>559</v>
      </c>
    </row>
    <row r="482" spans="1:3" s="100" customFormat="1" x14ac:dyDescent="0.35">
      <c r="A482" s="100" t="s">
        <v>150</v>
      </c>
      <c r="B482" s="100" t="s">
        <v>3</v>
      </c>
      <c r="C482" s="100" t="s">
        <v>560</v>
      </c>
    </row>
    <row r="483" spans="1:3" s="100" customFormat="1" x14ac:dyDescent="0.35">
      <c r="A483" s="100" t="s">
        <v>150</v>
      </c>
      <c r="B483" s="100" t="s">
        <v>3</v>
      </c>
      <c r="C483" s="100" t="s">
        <v>561</v>
      </c>
    </row>
    <row r="484" spans="1:3" s="100" customFormat="1" x14ac:dyDescent="0.35">
      <c r="A484" s="100" t="s">
        <v>150</v>
      </c>
      <c r="B484" s="100" t="s">
        <v>3</v>
      </c>
      <c r="C484" s="100" t="s">
        <v>562</v>
      </c>
    </row>
    <row r="485" spans="1:3" s="100" customFormat="1" x14ac:dyDescent="0.35">
      <c r="A485" s="100" t="s">
        <v>150</v>
      </c>
      <c r="B485" s="100" t="s">
        <v>3</v>
      </c>
      <c r="C485" s="100" t="s">
        <v>563</v>
      </c>
    </row>
    <row r="486" spans="1:3" s="100" customFormat="1" x14ac:dyDescent="0.35">
      <c r="A486" s="100" t="s">
        <v>150</v>
      </c>
      <c r="B486" s="100" t="s">
        <v>3</v>
      </c>
      <c r="C486" s="100" t="s">
        <v>564</v>
      </c>
    </row>
    <row r="487" spans="1:3" s="100" customFormat="1" x14ac:dyDescent="0.35">
      <c r="A487" s="100" t="s">
        <v>150</v>
      </c>
      <c r="B487" s="100" t="s">
        <v>3</v>
      </c>
      <c r="C487" s="100" t="s">
        <v>565</v>
      </c>
    </row>
    <row r="488" spans="1:3" s="100" customFormat="1" x14ac:dyDescent="0.35">
      <c r="A488" s="100" t="s">
        <v>150</v>
      </c>
      <c r="B488" s="100" t="s">
        <v>3</v>
      </c>
      <c r="C488" s="100" t="s">
        <v>566</v>
      </c>
    </row>
    <row r="489" spans="1:3" s="100" customFormat="1" x14ac:dyDescent="0.35">
      <c r="A489" s="100" t="s">
        <v>150</v>
      </c>
      <c r="B489" s="100" t="s">
        <v>3</v>
      </c>
      <c r="C489" s="100" t="s">
        <v>567</v>
      </c>
    </row>
    <row r="490" spans="1:3" s="100" customFormat="1" x14ac:dyDescent="0.35">
      <c r="A490" s="100" t="s">
        <v>150</v>
      </c>
      <c r="B490" s="100" t="s">
        <v>3</v>
      </c>
      <c r="C490" s="100" t="s">
        <v>568</v>
      </c>
    </row>
    <row r="491" spans="1:3" s="100" customFormat="1" x14ac:dyDescent="0.35">
      <c r="A491" s="100" t="s">
        <v>150</v>
      </c>
      <c r="B491" s="100" t="s">
        <v>3</v>
      </c>
      <c r="C491" s="100" t="s">
        <v>569</v>
      </c>
    </row>
    <row r="492" spans="1:3" s="100" customFormat="1" x14ac:dyDescent="0.35">
      <c r="A492" s="100" t="s">
        <v>150</v>
      </c>
      <c r="B492" s="100" t="s">
        <v>3</v>
      </c>
      <c r="C492" s="100" t="s">
        <v>570</v>
      </c>
    </row>
    <row r="493" spans="1:3" s="100" customFormat="1" x14ac:dyDescent="0.35">
      <c r="A493" s="100" t="s">
        <v>150</v>
      </c>
      <c r="B493" s="100" t="s">
        <v>3</v>
      </c>
      <c r="C493" s="100" t="s">
        <v>571</v>
      </c>
    </row>
    <row r="494" spans="1:3" s="100" customFormat="1" x14ac:dyDescent="0.35">
      <c r="A494" s="100" t="s">
        <v>150</v>
      </c>
      <c r="B494" s="100" t="s">
        <v>3</v>
      </c>
      <c r="C494" s="100" t="s">
        <v>572</v>
      </c>
    </row>
    <row r="495" spans="1:3" s="100" customFormat="1" x14ac:dyDescent="0.35">
      <c r="A495" s="100" t="s">
        <v>150</v>
      </c>
      <c r="B495" s="100" t="s">
        <v>3</v>
      </c>
      <c r="C495" s="100" t="s">
        <v>573</v>
      </c>
    </row>
    <row r="496" spans="1:3" s="100" customFormat="1" x14ac:dyDescent="0.35">
      <c r="A496" s="100" t="s">
        <v>150</v>
      </c>
      <c r="B496" s="100" t="s">
        <v>3</v>
      </c>
      <c r="C496" s="100" t="s">
        <v>574</v>
      </c>
    </row>
    <row r="497" spans="1:3" s="100" customFormat="1" x14ac:dyDescent="0.35">
      <c r="A497" s="100" t="s">
        <v>150</v>
      </c>
      <c r="B497" s="100" t="s">
        <v>3</v>
      </c>
      <c r="C497" s="100" t="s">
        <v>575</v>
      </c>
    </row>
    <row r="498" spans="1:3" s="100" customFormat="1" x14ac:dyDescent="0.35">
      <c r="A498" s="100" t="s">
        <v>150</v>
      </c>
      <c r="B498" s="100" t="s">
        <v>3</v>
      </c>
      <c r="C498" s="100" t="s">
        <v>576</v>
      </c>
    </row>
    <row r="499" spans="1:3" s="100" customFormat="1" x14ac:dyDescent="0.35">
      <c r="A499" s="100" t="s">
        <v>150</v>
      </c>
      <c r="B499" s="100" t="s">
        <v>3</v>
      </c>
      <c r="C499" s="100" t="s">
        <v>577</v>
      </c>
    </row>
    <row r="500" spans="1:3" s="100" customFormat="1" x14ac:dyDescent="0.35">
      <c r="A500" s="100" t="s">
        <v>150</v>
      </c>
      <c r="B500" s="100" t="s">
        <v>3</v>
      </c>
      <c r="C500" s="100" t="s">
        <v>578</v>
      </c>
    </row>
    <row r="501" spans="1:3" s="100" customFormat="1" x14ac:dyDescent="0.35">
      <c r="A501" s="100" t="s">
        <v>150</v>
      </c>
      <c r="B501" s="100" t="s">
        <v>3</v>
      </c>
      <c r="C501" s="100" t="s">
        <v>579</v>
      </c>
    </row>
    <row r="502" spans="1:3" s="100" customFormat="1" x14ac:dyDescent="0.35">
      <c r="A502" s="100" t="s">
        <v>150</v>
      </c>
      <c r="B502" s="100" t="s">
        <v>3</v>
      </c>
      <c r="C502" s="100" t="s">
        <v>580</v>
      </c>
    </row>
    <row r="503" spans="1:3" s="100" customFormat="1" x14ac:dyDescent="0.35">
      <c r="A503" s="100" t="s">
        <v>150</v>
      </c>
      <c r="B503" s="100" t="s">
        <v>3</v>
      </c>
      <c r="C503" s="100" t="s">
        <v>581</v>
      </c>
    </row>
    <row r="504" spans="1:3" s="100" customFormat="1" x14ac:dyDescent="0.35">
      <c r="A504" s="100" t="s">
        <v>150</v>
      </c>
      <c r="B504" s="100" t="s">
        <v>3</v>
      </c>
      <c r="C504" s="100" t="s">
        <v>582</v>
      </c>
    </row>
    <row r="505" spans="1:3" s="100" customFormat="1" x14ac:dyDescent="0.35">
      <c r="A505" s="100" t="s">
        <v>150</v>
      </c>
      <c r="B505" s="100" t="s">
        <v>3</v>
      </c>
      <c r="C505" s="100" t="s">
        <v>583</v>
      </c>
    </row>
    <row r="506" spans="1:3" s="100" customFormat="1" x14ac:dyDescent="0.35">
      <c r="A506" s="100" t="s">
        <v>150</v>
      </c>
      <c r="B506" s="100" t="s">
        <v>3</v>
      </c>
      <c r="C506" s="100" t="s">
        <v>584</v>
      </c>
    </row>
    <row r="507" spans="1:3" s="100" customFormat="1" x14ac:dyDescent="0.35">
      <c r="A507" s="100" t="s">
        <v>150</v>
      </c>
      <c r="B507" s="100" t="s">
        <v>3</v>
      </c>
      <c r="C507" s="100" t="s">
        <v>585</v>
      </c>
    </row>
    <row r="508" spans="1:3" s="100" customFormat="1" x14ac:dyDescent="0.35">
      <c r="A508" s="100" t="s">
        <v>150</v>
      </c>
      <c r="B508" s="100" t="s">
        <v>3</v>
      </c>
      <c r="C508" s="100" t="s">
        <v>586</v>
      </c>
    </row>
    <row r="509" spans="1:3" s="100" customFormat="1" x14ac:dyDescent="0.35">
      <c r="A509" s="100" t="s">
        <v>150</v>
      </c>
      <c r="B509" s="100" t="s">
        <v>3</v>
      </c>
      <c r="C509" s="100" t="s">
        <v>587</v>
      </c>
    </row>
    <row r="510" spans="1:3" s="100" customFormat="1" x14ac:dyDescent="0.35">
      <c r="A510" s="100" t="s">
        <v>150</v>
      </c>
      <c r="B510" s="100" t="s">
        <v>3</v>
      </c>
      <c r="C510" s="100" t="s">
        <v>588</v>
      </c>
    </row>
    <row r="511" spans="1:3" s="100" customFormat="1" x14ac:dyDescent="0.35">
      <c r="A511" s="100" t="s">
        <v>150</v>
      </c>
      <c r="B511" s="100" t="s">
        <v>3</v>
      </c>
      <c r="C511" s="100" t="s">
        <v>589</v>
      </c>
    </row>
    <row r="512" spans="1:3" s="100" customFormat="1" x14ac:dyDescent="0.35">
      <c r="A512" s="100" t="s">
        <v>150</v>
      </c>
      <c r="B512" s="100" t="s">
        <v>3</v>
      </c>
      <c r="C512" s="100" t="s">
        <v>590</v>
      </c>
    </row>
    <row r="513" spans="1:3" s="100" customFormat="1" x14ac:dyDescent="0.35">
      <c r="A513" s="100" t="s">
        <v>150</v>
      </c>
      <c r="B513" s="100" t="s">
        <v>3</v>
      </c>
      <c r="C513" s="100" t="s">
        <v>591</v>
      </c>
    </row>
    <row r="514" spans="1:3" s="100" customFormat="1" x14ac:dyDescent="0.35">
      <c r="A514" s="100" t="s">
        <v>150</v>
      </c>
      <c r="B514" s="100" t="s">
        <v>3</v>
      </c>
      <c r="C514" s="100" t="s">
        <v>592</v>
      </c>
    </row>
    <row r="515" spans="1:3" s="100" customFormat="1" x14ac:dyDescent="0.35">
      <c r="A515" s="100" t="s">
        <v>150</v>
      </c>
      <c r="B515" s="100" t="s">
        <v>3</v>
      </c>
      <c r="C515" s="100" t="s">
        <v>593</v>
      </c>
    </row>
    <row r="516" spans="1:3" s="100" customFormat="1" x14ac:dyDescent="0.35">
      <c r="A516" s="100" t="s">
        <v>150</v>
      </c>
      <c r="B516" s="100" t="s">
        <v>3</v>
      </c>
      <c r="C516" s="100" t="s">
        <v>594</v>
      </c>
    </row>
    <row r="517" spans="1:3" s="100" customFormat="1" x14ac:dyDescent="0.35">
      <c r="A517" s="100" t="s">
        <v>150</v>
      </c>
      <c r="B517" s="100" t="s">
        <v>3</v>
      </c>
      <c r="C517" s="100" t="s">
        <v>595</v>
      </c>
    </row>
    <row r="518" spans="1:3" s="100" customFormat="1" x14ac:dyDescent="0.35">
      <c r="A518" s="100" t="s">
        <v>150</v>
      </c>
      <c r="B518" s="100" t="s">
        <v>3</v>
      </c>
      <c r="C518" s="100" t="s">
        <v>596</v>
      </c>
    </row>
    <row r="519" spans="1:3" s="100" customFormat="1" x14ac:dyDescent="0.35">
      <c r="A519" s="100" t="s">
        <v>150</v>
      </c>
      <c r="B519" s="100" t="s">
        <v>3</v>
      </c>
      <c r="C519" s="100" t="s">
        <v>597</v>
      </c>
    </row>
    <row r="520" spans="1:3" s="100" customFormat="1" x14ac:dyDescent="0.35">
      <c r="A520" s="100" t="s">
        <v>150</v>
      </c>
      <c r="B520" s="100" t="s">
        <v>3</v>
      </c>
      <c r="C520" s="100" t="s">
        <v>598</v>
      </c>
    </row>
    <row r="521" spans="1:3" s="100" customFormat="1" x14ac:dyDescent="0.35">
      <c r="A521" s="100" t="s">
        <v>150</v>
      </c>
      <c r="B521" s="100" t="s">
        <v>3</v>
      </c>
      <c r="C521" s="100" t="s">
        <v>599</v>
      </c>
    </row>
    <row r="522" spans="1:3" s="100" customFormat="1" x14ac:dyDescent="0.35">
      <c r="A522" s="100" t="s">
        <v>150</v>
      </c>
      <c r="B522" s="100" t="s">
        <v>3</v>
      </c>
      <c r="C522" s="100" t="s">
        <v>600</v>
      </c>
    </row>
    <row r="523" spans="1:3" s="100" customFormat="1" x14ac:dyDescent="0.35">
      <c r="A523" s="100" t="s">
        <v>150</v>
      </c>
      <c r="B523" s="100" t="s">
        <v>3</v>
      </c>
      <c r="C523" s="100" t="s">
        <v>601</v>
      </c>
    </row>
    <row r="524" spans="1:3" s="100" customFormat="1" x14ac:dyDescent="0.35">
      <c r="A524" s="100" t="s">
        <v>150</v>
      </c>
      <c r="B524" s="100" t="s">
        <v>3</v>
      </c>
      <c r="C524" s="100" t="s">
        <v>602</v>
      </c>
    </row>
    <row r="525" spans="1:3" s="100" customFormat="1" x14ac:dyDescent="0.35">
      <c r="A525" s="100" t="s">
        <v>150</v>
      </c>
      <c r="B525" s="100" t="s">
        <v>3</v>
      </c>
      <c r="C525" s="100" t="s">
        <v>603</v>
      </c>
    </row>
    <row r="526" spans="1:3" s="100" customFormat="1" x14ac:dyDescent="0.35">
      <c r="A526" s="100" t="s">
        <v>150</v>
      </c>
      <c r="B526" s="100" t="s">
        <v>3</v>
      </c>
      <c r="C526" s="100" t="s">
        <v>604</v>
      </c>
    </row>
    <row r="527" spans="1:3" s="100" customFormat="1" x14ac:dyDescent="0.35">
      <c r="A527" s="100" t="s">
        <v>150</v>
      </c>
      <c r="B527" s="100" t="s">
        <v>3</v>
      </c>
      <c r="C527" s="100" t="s">
        <v>605</v>
      </c>
    </row>
    <row r="528" spans="1:3" s="100" customFormat="1" x14ac:dyDescent="0.35">
      <c r="A528" s="100" t="s">
        <v>150</v>
      </c>
      <c r="B528" s="100" t="s">
        <v>3</v>
      </c>
      <c r="C528" s="100" t="s">
        <v>606</v>
      </c>
    </row>
    <row r="529" spans="1:3" s="100" customFormat="1" x14ac:dyDescent="0.35">
      <c r="A529" s="100" t="s">
        <v>150</v>
      </c>
      <c r="B529" s="100" t="s">
        <v>3</v>
      </c>
      <c r="C529" s="100" t="s">
        <v>607</v>
      </c>
    </row>
    <row r="530" spans="1:3" s="100" customFormat="1" x14ac:dyDescent="0.35">
      <c r="A530" s="100" t="s">
        <v>150</v>
      </c>
      <c r="B530" s="100" t="s">
        <v>3</v>
      </c>
      <c r="C530" s="100" t="s">
        <v>608</v>
      </c>
    </row>
    <row r="531" spans="1:3" s="100" customFormat="1" x14ac:dyDescent="0.35">
      <c r="A531" s="100" t="s">
        <v>150</v>
      </c>
      <c r="B531" s="100" t="s">
        <v>3</v>
      </c>
      <c r="C531" s="100" t="s">
        <v>609</v>
      </c>
    </row>
    <row r="532" spans="1:3" s="100" customFormat="1" x14ac:dyDescent="0.35">
      <c r="A532" s="100" t="s">
        <v>150</v>
      </c>
      <c r="B532" s="100" t="s">
        <v>3</v>
      </c>
      <c r="C532" s="100" t="s">
        <v>610</v>
      </c>
    </row>
    <row r="533" spans="1:3" s="100" customFormat="1" x14ac:dyDescent="0.35">
      <c r="A533" s="100" t="s">
        <v>150</v>
      </c>
      <c r="B533" s="100" t="s">
        <v>3</v>
      </c>
      <c r="C533" s="100" t="s">
        <v>611</v>
      </c>
    </row>
    <row r="534" spans="1:3" s="100" customFormat="1" x14ac:dyDescent="0.35">
      <c r="A534" s="100" t="s">
        <v>150</v>
      </c>
      <c r="B534" s="100" t="s">
        <v>3</v>
      </c>
      <c r="C534" s="100" t="s">
        <v>612</v>
      </c>
    </row>
    <row r="535" spans="1:3" s="100" customFormat="1" x14ac:dyDescent="0.35">
      <c r="A535" s="100" t="s">
        <v>150</v>
      </c>
      <c r="B535" s="100" t="s">
        <v>3</v>
      </c>
      <c r="C535" s="100" t="s">
        <v>613</v>
      </c>
    </row>
    <row r="536" spans="1:3" s="100" customFormat="1" x14ac:dyDescent="0.35">
      <c r="A536" s="100" t="s">
        <v>150</v>
      </c>
      <c r="B536" s="100" t="s">
        <v>3</v>
      </c>
      <c r="C536" s="100" t="s">
        <v>614</v>
      </c>
    </row>
    <row r="537" spans="1:3" s="100" customFormat="1" x14ac:dyDescent="0.35">
      <c r="A537" s="100" t="s">
        <v>150</v>
      </c>
      <c r="B537" s="100" t="s">
        <v>3</v>
      </c>
      <c r="C537" s="100" t="s">
        <v>615</v>
      </c>
    </row>
    <row r="538" spans="1:3" s="100" customFormat="1" x14ac:dyDescent="0.35">
      <c r="A538" s="100" t="s">
        <v>150</v>
      </c>
      <c r="B538" s="100" t="s">
        <v>3</v>
      </c>
      <c r="C538" s="100" t="s">
        <v>616</v>
      </c>
    </row>
    <row r="539" spans="1:3" s="100" customFormat="1" x14ac:dyDescent="0.35">
      <c r="A539" s="100" t="s">
        <v>150</v>
      </c>
      <c r="B539" s="100" t="s">
        <v>3</v>
      </c>
      <c r="C539" s="100" t="s">
        <v>617</v>
      </c>
    </row>
    <row r="540" spans="1:3" s="100" customFormat="1" x14ac:dyDescent="0.35">
      <c r="A540" s="100" t="s">
        <v>150</v>
      </c>
      <c r="B540" s="100" t="s">
        <v>3</v>
      </c>
      <c r="C540" s="100" t="s">
        <v>618</v>
      </c>
    </row>
    <row r="541" spans="1:3" s="100" customFormat="1" x14ac:dyDescent="0.35">
      <c r="A541" s="100" t="s">
        <v>150</v>
      </c>
      <c r="B541" s="100" t="s">
        <v>3</v>
      </c>
      <c r="C541" s="100" t="s">
        <v>619</v>
      </c>
    </row>
    <row r="542" spans="1:3" s="100" customFormat="1" x14ac:dyDescent="0.35">
      <c r="A542" s="100" t="s">
        <v>150</v>
      </c>
      <c r="B542" s="100" t="s">
        <v>3</v>
      </c>
      <c r="C542" s="100" t="s">
        <v>620</v>
      </c>
    </row>
    <row r="543" spans="1:3" s="100" customFormat="1" x14ac:dyDescent="0.35">
      <c r="A543" s="100" t="s">
        <v>150</v>
      </c>
      <c r="B543" s="100" t="s">
        <v>3</v>
      </c>
      <c r="C543" s="100" t="s">
        <v>621</v>
      </c>
    </row>
    <row r="544" spans="1:3" s="100" customFormat="1" x14ac:dyDescent="0.35">
      <c r="A544" s="100" t="s">
        <v>150</v>
      </c>
      <c r="B544" s="100" t="s">
        <v>3</v>
      </c>
      <c r="C544" s="100" t="s">
        <v>622</v>
      </c>
    </row>
    <row r="545" spans="1:3" s="100" customFormat="1" x14ac:dyDescent="0.35">
      <c r="A545" s="100" t="s">
        <v>150</v>
      </c>
      <c r="B545" s="100" t="s">
        <v>3</v>
      </c>
      <c r="C545" s="100" t="s">
        <v>623</v>
      </c>
    </row>
    <row r="546" spans="1:3" s="100" customFormat="1" x14ac:dyDescent="0.35">
      <c r="A546" s="100" t="s">
        <v>150</v>
      </c>
      <c r="B546" s="100" t="s">
        <v>3</v>
      </c>
      <c r="C546" s="100" t="s">
        <v>624</v>
      </c>
    </row>
    <row r="547" spans="1:3" s="100" customFormat="1" x14ac:dyDescent="0.35">
      <c r="A547" s="100" t="s">
        <v>150</v>
      </c>
      <c r="B547" s="100" t="s">
        <v>3</v>
      </c>
      <c r="C547" s="100" t="s">
        <v>625</v>
      </c>
    </row>
    <row r="548" spans="1:3" s="100" customFormat="1" x14ac:dyDescent="0.35">
      <c r="A548" s="100" t="s">
        <v>150</v>
      </c>
      <c r="B548" s="100" t="s">
        <v>3</v>
      </c>
      <c r="C548" s="100" t="s">
        <v>626</v>
      </c>
    </row>
    <row r="549" spans="1:3" s="100" customFormat="1" x14ac:dyDescent="0.35">
      <c r="A549" s="100" t="s">
        <v>150</v>
      </c>
      <c r="B549" s="100" t="s">
        <v>3</v>
      </c>
      <c r="C549" s="100" t="s">
        <v>627</v>
      </c>
    </row>
    <row r="550" spans="1:3" s="100" customFormat="1" x14ac:dyDescent="0.35">
      <c r="A550" s="100" t="s">
        <v>150</v>
      </c>
      <c r="B550" s="100" t="s">
        <v>3</v>
      </c>
      <c r="C550" s="100" t="s">
        <v>628</v>
      </c>
    </row>
    <row r="551" spans="1:3" s="100" customFormat="1" x14ac:dyDescent="0.35">
      <c r="A551" s="100" t="s">
        <v>150</v>
      </c>
      <c r="B551" s="100" t="s">
        <v>3</v>
      </c>
      <c r="C551" s="100" t="s">
        <v>629</v>
      </c>
    </row>
    <row r="552" spans="1:3" s="100" customFormat="1" x14ac:dyDescent="0.35">
      <c r="A552" s="100" t="s">
        <v>150</v>
      </c>
      <c r="B552" s="100" t="s">
        <v>3</v>
      </c>
      <c r="C552" s="100" t="s">
        <v>630</v>
      </c>
    </row>
    <row r="553" spans="1:3" s="100" customFormat="1" x14ac:dyDescent="0.35">
      <c r="A553" s="100" t="s">
        <v>150</v>
      </c>
      <c r="B553" s="100" t="s">
        <v>3</v>
      </c>
      <c r="C553" s="100" t="s">
        <v>631</v>
      </c>
    </row>
    <row r="554" spans="1:3" s="100" customFormat="1" x14ac:dyDescent="0.35">
      <c r="A554" s="100" t="s">
        <v>150</v>
      </c>
      <c r="B554" s="100" t="s">
        <v>3</v>
      </c>
      <c r="C554" s="100" t="s">
        <v>632</v>
      </c>
    </row>
    <row r="555" spans="1:3" s="100" customFormat="1" x14ac:dyDescent="0.35">
      <c r="A555" s="100" t="s">
        <v>150</v>
      </c>
      <c r="B555" s="100" t="s">
        <v>3</v>
      </c>
      <c r="C555" s="100" t="s">
        <v>633</v>
      </c>
    </row>
    <row r="556" spans="1:3" s="100" customFormat="1" x14ac:dyDescent="0.35">
      <c r="A556" s="100" t="s">
        <v>150</v>
      </c>
      <c r="B556" s="100" t="s">
        <v>3</v>
      </c>
      <c r="C556" s="100" t="s">
        <v>634</v>
      </c>
    </row>
    <row r="557" spans="1:3" s="100" customFormat="1" x14ac:dyDescent="0.35">
      <c r="A557" s="100" t="s">
        <v>150</v>
      </c>
      <c r="B557" s="100" t="s">
        <v>3</v>
      </c>
      <c r="C557" s="100" t="s">
        <v>635</v>
      </c>
    </row>
    <row r="558" spans="1:3" s="100" customFormat="1" x14ac:dyDescent="0.35">
      <c r="A558" s="100" t="s">
        <v>150</v>
      </c>
      <c r="B558" s="100" t="s">
        <v>3</v>
      </c>
      <c r="C558" s="100" t="s">
        <v>636</v>
      </c>
    </row>
    <row r="559" spans="1:3" s="100" customFormat="1" x14ac:dyDescent="0.35">
      <c r="A559" s="100" t="s">
        <v>150</v>
      </c>
      <c r="B559" s="100" t="s">
        <v>3</v>
      </c>
      <c r="C559" s="100" t="s">
        <v>637</v>
      </c>
    </row>
    <row r="560" spans="1:3" s="100" customFormat="1" x14ac:dyDescent="0.35">
      <c r="A560" s="100" t="s">
        <v>150</v>
      </c>
      <c r="B560" s="100" t="s">
        <v>3</v>
      </c>
      <c r="C560" s="100" t="s">
        <v>638</v>
      </c>
    </row>
    <row r="561" spans="1:3" s="100" customFormat="1" x14ac:dyDescent="0.35">
      <c r="A561" s="100" t="s">
        <v>150</v>
      </c>
      <c r="B561" s="100" t="s">
        <v>3</v>
      </c>
      <c r="C561" s="100" t="s">
        <v>639</v>
      </c>
    </row>
    <row r="562" spans="1:3" s="100" customFormat="1" x14ac:dyDescent="0.35">
      <c r="A562" s="100" t="s">
        <v>150</v>
      </c>
      <c r="B562" s="100" t="s">
        <v>3</v>
      </c>
      <c r="C562" s="100" t="s">
        <v>640</v>
      </c>
    </row>
    <row r="563" spans="1:3" s="100" customFormat="1" x14ac:dyDescent="0.35">
      <c r="A563" s="100" t="s">
        <v>150</v>
      </c>
      <c r="B563" s="100" t="s">
        <v>3</v>
      </c>
      <c r="C563" s="100" t="s">
        <v>641</v>
      </c>
    </row>
    <row r="564" spans="1:3" s="100" customFormat="1" x14ac:dyDescent="0.35">
      <c r="A564" s="100" t="s">
        <v>150</v>
      </c>
      <c r="B564" s="100" t="s">
        <v>3</v>
      </c>
      <c r="C564" s="100" t="s">
        <v>642</v>
      </c>
    </row>
    <row r="565" spans="1:3" s="100" customFormat="1" x14ac:dyDescent="0.35">
      <c r="A565" s="100" t="s">
        <v>150</v>
      </c>
      <c r="B565" s="100" t="s">
        <v>3</v>
      </c>
      <c r="C565" s="100" t="s">
        <v>643</v>
      </c>
    </row>
    <row r="566" spans="1:3" s="100" customFormat="1" x14ac:dyDescent="0.35">
      <c r="A566" s="100" t="s">
        <v>150</v>
      </c>
      <c r="B566" s="100" t="s">
        <v>3</v>
      </c>
      <c r="C566" s="100" t="s">
        <v>644</v>
      </c>
    </row>
    <row r="567" spans="1:3" s="100" customFormat="1" x14ac:dyDescent="0.35">
      <c r="A567" s="100" t="s">
        <v>150</v>
      </c>
      <c r="B567" s="100" t="s">
        <v>3</v>
      </c>
      <c r="C567" s="100" t="s">
        <v>645</v>
      </c>
    </row>
    <row r="568" spans="1:3" s="100" customFormat="1" x14ac:dyDescent="0.35">
      <c r="A568" s="100" t="s">
        <v>150</v>
      </c>
      <c r="B568" s="100" t="s">
        <v>3</v>
      </c>
      <c r="C568" s="100" t="s">
        <v>646</v>
      </c>
    </row>
    <row r="569" spans="1:3" s="100" customFormat="1" x14ac:dyDescent="0.35">
      <c r="A569" s="100" t="s">
        <v>150</v>
      </c>
      <c r="B569" s="100" t="s">
        <v>3</v>
      </c>
      <c r="C569" s="100" t="s">
        <v>647</v>
      </c>
    </row>
    <row r="570" spans="1:3" s="100" customFormat="1" x14ac:dyDescent="0.35">
      <c r="A570" s="100" t="s">
        <v>150</v>
      </c>
      <c r="B570" s="100" t="s">
        <v>3</v>
      </c>
      <c r="C570" s="100" t="s">
        <v>648</v>
      </c>
    </row>
    <row r="571" spans="1:3" s="100" customFormat="1" x14ac:dyDescent="0.35">
      <c r="A571" s="100" t="s">
        <v>150</v>
      </c>
      <c r="B571" s="100" t="s">
        <v>3</v>
      </c>
      <c r="C571" s="100" t="s">
        <v>649</v>
      </c>
    </row>
    <row r="572" spans="1:3" s="100" customFormat="1" x14ac:dyDescent="0.35">
      <c r="A572" s="100" t="s">
        <v>150</v>
      </c>
      <c r="B572" s="100" t="s">
        <v>3</v>
      </c>
      <c r="C572" s="100" t="s">
        <v>650</v>
      </c>
    </row>
    <row r="573" spans="1:3" s="100" customFormat="1" x14ac:dyDescent="0.35">
      <c r="A573" s="100" t="s">
        <v>150</v>
      </c>
      <c r="B573" s="100" t="s">
        <v>3</v>
      </c>
      <c r="C573" s="100" t="s">
        <v>651</v>
      </c>
    </row>
    <row r="574" spans="1:3" s="100" customFormat="1" x14ac:dyDescent="0.35">
      <c r="A574" s="100" t="s">
        <v>150</v>
      </c>
      <c r="B574" s="100" t="s">
        <v>3</v>
      </c>
      <c r="C574" s="100" t="s">
        <v>652</v>
      </c>
    </row>
    <row r="575" spans="1:3" s="100" customFormat="1" x14ac:dyDescent="0.35">
      <c r="A575" s="100" t="s">
        <v>150</v>
      </c>
      <c r="B575" s="100" t="s">
        <v>3</v>
      </c>
      <c r="C575" s="100" t="s">
        <v>653</v>
      </c>
    </row>
    <row r="576" spans="1:3" s="100" customFormat="1" x14ac:dyDescent="0.35">
      <c r="A576" s="100" t="s">
        <v>150</v>
      </c>
      <c r="B576" s="100" t="s">
        <v>3</v>
      </c>
      <c r="C576" s="100" t="s">
        <v>654</v>
      </c>
    </row>
    <row r="577" spans="1:3" s="100" customFormat="1" x14ac:dyDescent="0.35">
      <c r="A577" s="100" t="s">
        <v>150</v>
      </c>
      <c r="B577" s="100" t="s">
        <v>3</v>
      </c>
      <c r="C577" s="100" t="s">
        <v>655</v>
      </c>
    </row>
    <row r="578" spans="1:3" s="100" customFormat="1" x14ac:dyDescent="0.35">
      <c r="A578" s="100" t="s">
        <v>150</v>
      </c>
      <c r="B578" s="100" t="s">
        <v>3</v>
      </c>
      <c r="C578" s="100" t="s">
        <v>656</v>
      </c>
    </row>
    <row r="579" spans="1:3" s="100" customFormat="1" x14ac:dyDescent="0.35">
      <c r="A579" s="100" t="s">
        <v>150</v>
      </c>
      <c r="B579" s="100" t="s">
        <v>3</v>
      </c>
      <c r="C579" s="100" t="s">
        <v>657</v>
      </c>
    </row>
    <row r="580" spans="1:3" s="100" customFormat="1" x14ac:dyDescent="0.35">
      <c r="A580" s="100" t="s">
        <v>150</v>
      </c>
      <c r="B580" s="100" t="s">
        <v>3</v>
      </c>
      <c r="C580" s="100" t="s">
        <v>658</v>
      </c>
    </row>
    <row r="581" spans="1:3" s="100" customFormat="1" x14ac:dyDescent="0.35">
      <c r="A581" s="100" t="s">
        <v>150</v>
      </c>
      <c r="B581" s="100" t="s">
        <v>3</v>
      </c>
      <c r="C581" s="100" t="s">
        <v>659</v>
      </c>
    </row>
    <row r="582" spans="1:3" s="100" customFormat="1" x14ac:dyDescent="0.35">
      <c r="A582" s="100" t="s">
        <v>150</v>
      </c>
      <c r="B582" s="100" t="s">
        <v>3</v>
      </c>
      <c r="C582" s="100" t="s">
        <v>660</v>
      </c>
    </row>
    <row r="583" spans="1:3" s="100" customFormat="1" x14ac:dyDescent="0.35">
      <c r="A583" s="100" t="s">
        <v>150</v>
      </c>
      <c r="B583" s="100" t="s">
        <v>3</v>
      </c>
      <c r="C583" s="100" t="s">
        <v>661</v>
      </c>
    </row>
    <row r="584" spans="1:3" s="100" customFormat="1" x14ac:dyDescent="0.35">
      <c r="A584" s="100" t="s">
        <v>150</v>
      </c>
      <c r="B584" s="100" t="s">
        <v>3</v>
      </c>
      <c r="C584" s="100" t="s">
        <v>662</v>
      </c>
    </row>
    <row r="585" spans="1:3" s="100" customFormat="1" x14ac:dyDescent="0.35">
      <c r="A585" s="100" t="s">
        <v>150</v>
      </c>
      <c r="B585" s="100" t="s">
        <v>3</v>
      </c>
      <c r="C585" s="100" t="s">
        <v>663</v>
      </c>
    </row>
    <row r="586" spans="1:3" s="100" customFormat="1" x14ac:dyDescent="0.35">
      <c r="A586" s="100" t="s">
        <v>150</v>
      </c>
      <c r="B586" s="100" t="s">
        <v>3</v>
      </c>
      <c r="C586" s="100" t="s">
        <v>664</v>
      </c>
    </row>
    <row r="587" spans="1:3" s="100" customFormat="1" x14ac:dyDescent="0.35">
      <c r="A587" s="100" t="s">
        <v>150</v>
      </c>
      <c r="B587" s="100" t="s">
        <v>3</v>
      </c>
      <c r="C587" s="100" t="s">
        <v>665</v>
      </c>
    </row>
    <row r="588" spans="1:3" s="100" customFormat="1" x14ac:dyDescent="0.35">
      <c r="A588" s="100" t="s">
        <v>150</v>
      </c>
      <c r="B588" s="100" t="s">
        <v>3</v>
      </c>
      <c r="C588" s="100" t="s">
        <v>666</v>
      </c>
    </row>
    <row r="589" spans="1:3" s="100" customFormat="1" x14ac:dyDescent="0.35">
      <c r="A589" s="100" t="s">
        <v>150</v>
      </c>
      <c r="B589" s="100" t="s">
        <v>3</v>
      </c>
      <c r="C589" s="100" t="s">
        <v>667</v>
      </c>
    </row>
    <row r="590" spans="1:3" s="100" customFormat="1" x14ac:dyDescent="0.35">
      <c r="A590" s="100" t="s">
        <v>150</v>
      </c>
      <c r="B590" s="100" t="s">
        <v>3</v>
      </c>
      <c r="C590" s="100" t="s">
        <v>668</v>
      </c>
    </row>
    <row r="591" spans="1:3" s="100" customFormat="1" x14ac:dyDescent="0.35">
      <c r="A591" s="100" t="s">
        <v>150</v>
      </c>
      <c r="B591" s="100" t="s">
        <v>3</v>
      </c>
      <c r="C591" s="100" t="s">
        <v>669</v>
      </c>
    </row>
    <row r="592" spans="1:3" s="100" customFormat="1" x14ac:dyDescent="0.35">
      <c r="A592" s="100" t="s">
        <v>150</v>
      </c>
      <c r="B592" s="100" t="s">
        <v>3</v>
      </c>
      <c r="C592" s="100" t="s">
        <v>670</v>
      </c>
    </row>
    <row r="593" spans="1:3" s="100" customFormat="1" x14ac:dyDescent="0.35">
      <c r="A593" s="100" t="s">
        <v>150</v>
      </c>
      <c r="B593" s="100" t="s">
        <v>3</v>
      </c>
      <c r="C593" s="100" t="s">
        <v>671</v>
      </c>
    </row>
    <row r="594" spans="1:3" s="100" customFormat="1" x14ac:dyDescent="0.35">
      <c r="A594" s="100" t="s">
        <v>150</v>
      </c>
      <c r="B594" s="100" t="s">
        <v>3</v>
      </c>
      <c r="C594" s="100" t="s">
        <v>672</v>
      </c>
    </row>
    <row r="595" spans="1:3" s="100" customFormat="1" x14ac:dyDescent="0.35">
      <c r="A595" s="100" t="s">
        <v>150</v>
      </c>
      <c r="B595" s="100" t="s">
        <v>3</v>
      </c>
      <c r="C595" s="100" t="s">
        <v>673</v>
      </c>
    </row>
    <row r="596" spans="1:3" s="100" customFormat="1" x14ac:dyDescent="0.35">
      <c r="A596" s="100" t="s">
        <v>150</v>
      </c>
      <c r="B596" s="100" t="s">
        <v>3</v>
      </c>
      <c r="C596" s="100" t="s">
        <v>674</v>
      </c>
    </row>
    <row r="597" spans="1:3" s="100" customFormat="1" x14ac:dyDescent="0.35">
      <c r="A597" s="100" t="s">
        <v>150</v>
      </c>
      <c r="B597" s="100" t="s">
        <v>3</v>
      </c>
      <c r="C597" s="100" t="s">
        <v>675</v>
      </c>
    </row>
    <row r="598" spans="1:3" s="100" customFormat="1" x14ac:dyDescent="0.35">
      <c r="A598" s="100" t="s">
        <v>150</v>
      </c>
      <c r="B598" s="100" t="s">
        <v>3</v>
      </c>
      <c r="C598" s="100" t="s">
        <v>676</v>
      </c>
    </row>
    <row r="599" spans="1:3" s="100" customFormat="1" x14ac:dyDescent="0.35">
      <c r="A599" s="100" t="s">
        <v>150</v>
      </c>
      <c r="B599" s="100" t="s">
        <v>3</v>
      </c>
      <c r="C599" s="100" t="s">
        <v>677</v>
      </c>
    </row>
    <row r="600" spans="1:3" s="100" customFormat="1" x14ac:dyDescent="0.35">
      <c r="A600" s="100" t="s">
        <v>150</v>
      </c>
      <c r="B600" s="100" t="s">
        <v>3</v>
      </c>
      <c r="C600" s="100" t="s">
        <v>678</v>
      </c>
    </row>
    <row r="601" spans="1:3" s="100" customFormat="1" x14ac:dyDescent="0.35">
      <c r="A601" s="100" t="s">
        <v>150</v>
      </c>
      <c r="B601" s="100" t="s">
        <v>3</v>
      </c>
      <c r="C601" s="100" t="s">
        <v>679</v>
      </c>
    </row>
    <row r="602" spans="1:3" s="100" customFormat="1" x14ac:dyDescent="0.35">
      <c r="A602" s="100" t="s">
        <v>150</v>
      </c>
      <c r="B602" s="100" t="s">
        <v>3</v>
      </c>
      <c r="C602" s="100" t="s">
        <v>680</v>
      </c>
    </row>
    <row r="603" spans="1:3" s="100" customFormat="1" x14ac:dyDescent="0.35">
      <c r="A603" s="100" t="s">
        <v>150</v>
      </c>
      <c r="B603" s="100" t="s">
        <v>3</v>
      </c>
      <c r="C603" s="100" t="s">
        <v>681</v>
      </c>
    </row>
    <row r="604" spans="1:3" s="100" customFormat="1" x14ac:dyDescent="0.35">
      <c r="A604" s="100" t="s">
        <v>150</v>
      </c>
      <c r="B604" s="100" t="s">
        <v>3</v>
      </c>
      <c r="C604" s="100" t="s">
        <v>682</v>
      </c>
    </row>
    <row r="605" spans="1:3" s="100" customFormat="1" x14ac:dyDescent="0.35">
      <c r="A605" s="100" t="s">
        <v>150</v>
      </c>
      <c r="B605" s="100" t="s">
        <v>3</v>
      </c>
      <c r="C605" s="100" t="s">
        <v>683</v>
      </c>
    </row>
    <row r="606" spans="1:3" s="100" customFormat="1" x14ac:dyDescent="0.35">
      <c r="A606" s="100" t="s">
        <v>150</v>
      </c>
      <c r="B606" s="100" t="s">
        <v>3</v>
      </c>
      <c r="C606" s="100" t="s">
        <v>684</v>
      </c>
    </row>
    <row r="607" spans="1:3" s="100" customFormat="1" x14ac:dyDescent="0.35">
      <c r="A607" s="100" t="s">
        <v>150</v>
      </c>
      <c r="B607" s="100" t="s">
        <v>3</v>
      </c>
      <c r="C607" s="100" t="s">
        <v>685</v>
      </c>
    </row>
    <row r="608" spans="1:3" s="100" customFormat="1" x14ac:dyDescent="0.35">
      <c r="A608" s="100" t="s">
        <v>150</v>
      </c>
      <c r="B608" s="100" t="s">
        <v>3</v>
      </c>
      <c r="C608" s="100" t="s">
        <v>686</v>
      </c>
    </row>
    <row r="609" spans="1:3" s="100" customFormat="1" x14ac:dyDescent="0.35">
      <c r="A609" s="100" t="s">
        <v>150</v>
      </c>
      <c r="B609" s="100" t="s">
        <v>3</v>
      </c>
      <c r="C609" s="100" t="s">
        <v>687</v>
      </c>
    </row>
    <row r="610" spans="1:3" s="100" customFormat="1" x14ac:dyDescent="0.35">
      <c r="A610" s="100" t="s">
        <v>150</v>
      </c>
      <c r="B610" s="100" t="s">
        <v>3</v>
      </c>
      <c r="C610" s="100" t="s">
        <v>688</v>
      </c>
    </row>
    <row r="611" spans="1:3" s="100" customFormat="1" x14ac:dyDescent="0.35">
      <c r="A611" s="100" t="s">
        <v>150</v>
      </c>
      <c r="B611" s="100" t="s">
        <v>3</v>
      </c>
      <c r="C611" s="100" t="s">
        <v>689</v>
      </c>
    </row>
    <row r="612" spans="1:3" s="100" customFormat="1" x14ac:dyDescent="0.35">
      <c r="A612" s="100" t="s">
        <v>150</v>
      </c>
      <c r="B612" s="100" t="s">
        <v>3</v>
      </c>
      <c r="C612" s="100" t="s">
        <v>690</v>
      </c>
    </row>
    <row r="613" spans="1:3" s="100" customFormat="1" x14ac:dyDescent="0.35">
      <c r="A613" s="100" t="s">
        <v>150</v>
      </c>
      <c r="B613" s="100" t="s">
        <v>3</v>
      </c>
      <c r="C613" s="100" t="s">
        <v>691</v>
      </c>
    </row>
    <row r="614" spans="1:3" s="100" customFormat="1" x14ac:dyDescent="0.35">
      <c r="A614" s="100" t="s">
        <v>150</v>
      </c>
      <c r="B614" s="100" t="s">
        <v>3</v>
      </c>
      <c r="C614" s="100" t="s">
        <v>692</v>
      </c>
    </row>
    <row r="615" spans="1:3" s="100" customFormat="1" x14ac:dyDescent="0.35">
      <c r="A615" s="100" t="s">
        <v>150</v>
      </c>
      <c r="B615" s="100" t="s">
        <v>3</v>
      </c>
      <c r="C615" s="100" t="s">
        <v>693</v>
      </c>
    </row>
    <row r="616" spans="1:3" s="100" customFormat="1" x14ac:dyDescent="0.35">
      <c r="A616" s="100" t="s">
        <v>150</v>
      </c>
      <c r="B616" s="100" t="s">
        <v>3</v>
      </c>
      <c r="C616" s="100" t="s">
        <v>694</v>
      </c>
    </row>
    <row r="617" spans="1:3" s="100" customFormat="1" x14ac:dyDescent="0.35">
      <c r="A617" s="100" t="s">
        <v>150</v>
      </c>
      <c r="B617" s="100" t="s">
        <v>3</v>
      </c>
      <c r="C617" s="100" t="s">
        <v>695</v>
      </c>
    </row>
    <row r="618" spans="1:3" s="100" customFormat="1" x14ac:dyDescent="0.35">
      <c r="A618" s="100" t="s">
        <v>150</v>
      </c>
      <c r="B618" s="100" t="s">
        <v>3</v>
      </c>
      <c r="C618" s="100" t="s">
        <v>696</v>
      </c>
    </row>
    <row r="619" spans="1:3" s="100" customFormat="1" x14ac:dyDescent="0.35">
      <c r="A619" s="100" t="s">
        <v>150</v>
      </c>
      <c r="B619" s="100" t="s">
        <v>3</v>
      </c>
      <c r="C619" s="100" t="s">
        <v>697</v>
      </c>
    </row>
    <row r="620" spans="1:3" s="100" customFormat="1" x14ac:dyDescent="0.35">
      <c r="A620" s="100" t="s">
        <v>150</v>
      </c>
      <c r="B620" s="100" t="s">
        <v>3</v>
      </c>
      <c r="C620" s="100" t="s">
        <v>698</v>
      </c>
    </row>
    <row r="621" spans="1:3" s="100" customFormat="1" x14ac:dyDescent="0.35">
      <c r="A621" s="100" t="s">
        <v>150</v>
      </c>
      <c r="B621" s="100" t="s">
        <v>3</v>
      </c>
      <c r="C621" s="100" t="s">
        <v>699</v>
      </c>
    </row>
    <row r="622" spans="1:3" s="100" customFormat="1" x14ac:dyDescent="0.35">
      <c r="A622" s="100" t="s">
        <v>150</v>
      </c>
      <c r="B622" s="100" t="s">
        <v>3</v>
      </c>
      <c r="C622" s="100" t="s">
        <v>700</v>
      </c>
    </row>
    <row r="623" spans="1:3" s="100" customFormat="1" x14ac:dyDescent="0.35">
      <c r="A623" s="100" t="s">
        <v>150</v>
      </c>
      <c r="B623" s="100" t="s">
        <v>3</v>
      </c>
      <c r="C623" s="100" t="s">
        <v>701</v>
      </c>
    </row>
    <row r="624" spans="1:3" s="100" customFormat="1" x14ac:dyDescent="0.35">
      <c r="A624" s="100" t="s">
        <v>150</v>
      </c>
      <c r="B624" s="100" t="s">
        <v>3</v>
      </c>
      <c r="C624" s="100" t="s">
        <v>702</v>
      </c>
    </row>
    <row r="625" spans="1:3" s="100" customFormat="1" x14ac:dyDescent="0.35">
      <c r="A625" s="100" t="s">
        <v>150</v>
      </c>
      <c r="B625" s="100" t="s">
        <v>3</v>
      </c>
      <c r="C625" s="100" t="s">
        <v>703</v>
      </c>
    </row>
    <row r="626" spans="1:3" s="100" customFormat="1" x14ac:dyDescent="0.35">
      <c r="A626" s="100" t="s">
        <v>150</v>
      </c>
      <c r="B626" s="100" t="s">
        <v>3</v>
      </c>
      <c r="C626" s="100" t="s">
        <v>704</v>
      </c>
    </row>
    <row r="627" spans="1:3" s="100" customFormat="1" x14ac:dyDescent="0.35">
      <c r="A627" s="100" t="s">
        <v>150</v>
      </c>
      <c r="B627" s="100" t="s">
        <v>3</v>
      </c>
      <c r="C627" s="100" t="s">
        <v>705</v>
      </c>
    </row>
    <row r="628" spans="1:3" s="100" customFormat="1" x14ac:dyDescent="0.35">
      <c r="A628" s="100" t="s">
        <v>150</v>
      </c>
      <c r="B628" s="100" t="s">
        <v>3</v>
      </c>
      <c r="C628" s="100" t="s">
        <v>706</v>
      </c>
    </row>
    <row r="629" spans="1:3" s="100" customFormat="1" x14ac:dyDescent="0.35">
      <c r="A629" s="100" t="s">
        <v>150</v>
      </c>
      <c r="B629" s="100" t="s">
        <v>3</v>
      </c>
      <c r="C629" s="100" t="s">
        <v>707</v>
      </c>
    </row>
    <row r="630" spans="1:3" s="100" customFormat="1" x14ac:dyDescent="0.35">
      <c r="A630" s="100" t="s">
        <v>150</v>
      </c>
      <c r="B630" s="100" t="s">
        <v>3</v>
      </c>
      <c r="C630" s="100" t="s">
        <v>708</v>
      </c>
    </row>
    <row r="631" spans="1:3" s="100" customFormat="1" x14ac:dyDescent="0.35">
      <c r="A631" s="100" t="s">
        <v>150</v>
      </c>
      <c r="B631" s="100" t="s">
        <v>3</v>
      </c>
      <c r="C631" s="100" t="s">
        <v>709</v>
      </c>
    </row>
    <row r="632" spans="1:3" s="100" customFormat="1" x14ac:dyDescent="0.35">
      <c r="A632" s="100" t="s">
        <v>150</v>
      </c>
      <c r="B632" s="100" t="s">
        <v>3</v>
      </c>
      <c r="C632" s="100" t="s">
        <v>710</v>
      </c>
    </row>
    <row r="633" spans="1:3" s="100" customFormat="1" x14ac:dyDescent="0.35">
      <c r="A633" s="100" t="s">
        <v>150</v>
      </c>
      <c r="B633" s="100" t="s">
        <v>3</v>
      </c>
      <c r="C633" s="100" t="s">
        <v>711</v>
      </c>
    </row>
    <row r="634" spans="1:3" s="100" customFormat="1" x14ac:dyDescent="0.35">
      <c r="A634" s="100" t="s">
        <v>150</v>
      </c>
      <c r="B634" s="100" t="s">
        <v>3</v>
      </c>
      <c r="C634" s="100" t="s">
        <v>712</v>
      </c>
    </row>
    <row r="635" spans="1:3" s="100" customFormat="1" x14ac:dyDescent="0.35">
      <c r="A635" s="100" t="s">
        <v>150</v>
      </c>
      <c r="B635" s="100" t="s">
        <v>3</v>
      </c>
      <c r="C635" s="100" t="s">
        <v>713</v>
      </c>
    </row>
    <row r="636" spans="1:3" s="100" customFormat="1" x14ac:dyDescent="0.35">
      <c r="A636" s="100" t="s">
        <v>150</v>
      </c>
      <c r="B636" s="100" t="s">
        <v>3</v>
      </c>
      <c r="C636" s="100" t="s">
        <v>714</v>
      </c>
    </row>
    <row r="637" spans="1:3" s="100" customFormat="1" x14ac:dyDescent="0.35">
      <c r="A637" s="100" t="s">
        <v>150</v>
      </c>
      <c r="B637" s="100" t="s">
        <v>3</v>
      </c>
      <c r="C637" s="100" t="s">
        <v>715</v>
      </c>
    </row>
    <row r="638" spans="1:3" s="100" customFormat="1" x14ac:dyDescent="0.35">
      <c r="A638" s="100" t="s">
        <v>150</v>
      </c>
      <c r="B638" s="100" t="s">
        <v>3</v>
      </c>
      <c r="C638" s="100" t="s">
        <v>716</v>
      </c>
    </row>
    <row r="639" spans="1:3" s="100" customFormat="1" x14ac:dyDescent="0.35">
      <c r="A639" s="100" t="s">
        <v>150</v>
      </c>
      <c r="B639" s="100" t="s">
        <v>3</v>
      </c>
      <c r="C639" s="100" t="s">
        <v>717</v>
      </c>
    </row>
    <row r="640" spans="1:3" s="100" customFormat="1" x14ac:dyDescent="0.35">
      <c r="A640" s="100" t="s">
        <v>150</v>
      </c>
      <c r="B640" s="100" t="s">
        <v>3</v>
      </c>
      <c r="C640" s="100" t="s">
        <v>718</v>
      </c>
    </row>
    <row r="641" spans="1:3" s="100" customFormat="1" x14ac:dyDescent="0.35">
      <c r="A641" s="100" t="s">
        <v>150</v>
      </c>
      <c r="B641" s="100" t="s">
        <v>3</v>
      </c>
      <c r="C641" s="100" t="s">
        <v>719</v>
      </c>
    </row>
    <row r="642" spans="1:3" s="100" customFormat="1" x14ac:dyDescent="0.35">
      <c r="A642" s="100" t="s">
        <v>150</v>
      </c>
      <c r="B642" s="100" t="s">
        <v>3</v>
      </c>
      <c r="C642" s="100" t="s">
        <v>720</v>
      </c>
    </row>
    <row r="643" spans="1:3" s="100" customFormat="1" x14ac:dyDescent="0.35">
      <c r="A643" s="100" t="s">
        <v>150</v>
      </c>
      <c r="B643" s="100" t="s">
        <v>3</v>
      </c>
      <c r="C643" s="100" t="s">
        <v>721</v>
      </c>
    </row>
    <row r="644" spans="1:3" s="100" customFormat="1" x14ac:dyDescent="0.35">
      <c r="A644" s="100" t="s">
        <v>150</v>
      </c>
      <c r="B644" s="100" t="s">
        <v>3</v>
      </c>
      <c r="C644" s="100" t="s">
        <v>722</v>
      </c>
    </row>
    <row r="645" spans="1:3" s="100" customFormat="1" x14ac:dyDescent="0.35">
      <c r="A645" s="100" t="s">
        <v>150</v>
      </c>
      <c r="B645" s="100" t="s">
        <v>3</v>
      </c>
      <c r="C645" s="100" t="s">
        <v>723</v>
      </c>
    </row>
    <row r="646" spans="1:3" s="100" customFormat="1" x14ac:dyDescent="0.35">
      <c r="A646" s="100" t="s">
        <v>150</v>
      </c>
      <c r="B646" s="100" t="s">
        <v>3</v>
      </c>
      <c r="C646" s="100" t="s">
        <v>724</v>
      </c>
    </row>
    <row r="647" spans="1:3" s="100" customFormat="1" x14ac:dyDescent="0.35">
      <c r="A647" s="100" t="s">
        <v>150</v>
      </c>
      <c r="B647" s="100" t="s">
        <v>3</v>
      </c>
      <c r="C647" s="100" t="s">
        <v>725</v>
      </c>
    </row>
    <row r="648" spans="1:3" s="100" customFormat="1" x14ac:dyDescent="0.35">
      <c r="A648" s="100" t="s">
        <v>150</v>
      </c>
      <c r="B648" s="100" t="s">
        <v>3</v>
      </c>
      <c r="C648" s="100" t="s">
        <v>726</v>
      </c>
    </row>
    <row r="649" spans="1:3" s="100" customFormat="1" x14ac:dyDescent="0.35">
      <c r="A649" s="100" t="s">
        <v>150</v>
      </c>
      <c r="B649" s="100" t="s">
        <v>3</v>
      </c>
      <c r="C649" s="100" t="s">
        <v>727</v>
      </c>
    </row>
    <row r="650" spans="1:3" s="100" customFormat="1" x14ac:dyDescent="0.35">
      <c r="A650" s="100" t="s">
        <v>150</v>
      </c>
      <c r="B650" s="100" t="s">
        <v>3</v>
      </c>
      <c r="C650" s="100" t="s">
        <v>728</v>
      </c>
    </row>
    <row r="651" spans="1:3" s="100" customFormat="1" x14ac:dyDescent="0.35">
      <c r="A651" s="100" t="s">
        <v>150</v>
      </c>
      <c r="B651" s="100" t="s">
        <v>3</v>
      </c>
      <c r="C651" s="100" t="s">
        <v>729</v>
      </c>
    </row>
    <row r="652" spans="1:3" s="100" customFormat="1" x14ac:dyDescent="0.35">
      <c r="A652" s="100" t="s">
        <v>150</v>
      </c>
      <c r="B652" s="100" t="s">
        <v>3</v>
      </c>
      <c r="C652" s="100" t="s">
        <v>730</v>
      </c>
    </row>
    <row r="653" spans="1:3" s="100" customFormat="1" x14ac:dyDescent="0.35">
      <c r="A653" s="100" t="s">
        <v>150</v>
      </c>
      <c r="B653" s="100" t="s">
        <v>3</v>
      </c>
      <c r="C653" s="100" t="s">
        <v>731</v>
      </c>
    </row>
    <row r="654" spans="1:3" s="100" customFormat="1" x14ac:dyDescent="0.35">
      <c r="A654" s="100" t="s">
        <v>150</v>
      </c>
      <c r="B654" s="100" t="s">
        <v>3</v>
      </c>
      <c r="C654" s="100" t="s">
        <v>732</v>
      </c>
    </row>
    <row r="655" spans="1:3" s="100" customFormat="1" x14ac:dyDescent="0.35">
      <c r="A655" s="100" t="s">
        <v>150</v>
      </c>
      <c r="B655" s="100" t="s">
        <v>3</v>
      </c>
      <c r="C655" s="100" t="s">
        <v>733</v>
      </c>
    </row>
    <row r="656" spans="1:3" s="100" customFormat="1" x14ac:dyDescent="0.35">
      <c r="A656" s="100" t="s">
        <v>150</v>
      </c>
      <c r="B656" s="100" t="s">
        <v>3</v>
      </c>
      <c r="C656" s="100" t="s">
        <v>734</v>
      </c>
    </row>
    <row r="657" spans="1:3" s="100" customFormat="1" x14ac:dyDescent="0.35">
      <c r="A657" s="100" t="s">
        <v>150</v>
      </c>
      <c r="B657" s="100" t="s">
        <v>3</v>
      </c>
      <c r="C657" s="100" t="s">
        <v>735</v>
      </c>
    </row>
    <row r="658" spans="1:3" s="100" customFormat="1" x14ac:dyDescent="0.35">
      <c r="A658" s="100" t="s">
        <v>150</v>
      </c>
      <c r="B658" s="100" t="s">
        <v>3</v>
      </c>
      <c r="C658" s="100" t="s">
        <v>736</v>
      </c>
    </row>
    <row r="659" spans="1:3" s="100" customFormat="1" x14ac:dyDescent="0.35">
      <c r="A659" s="100" t="s">
        <v>150</v>
      </c>
      <c r="B659" s="100" t="s">
        <v>3</v>
      </c>
      <c r="C659" s="100" t="s">
        <v>737</v>
      </c>
    </row>
    <row r="660" spans="1:3" s="100" customFormat="1" x14ac:dyDescent="0.35">
      <c r="A660" s="100" t="s">
        <v>150</v>
      </c>
      <c r="B660" s="100" t="s">
        <v>3</v>
      </c>
      <c r="C660" s="100" t="s">
        <v>738</v>
      </c>
    </row>
    <row r="661" spans="1:3" s="100" customFormat="1" x14ac:dyDescent="0.35">
      <c r="A661" s="100" t="s">
        <v>150</v>
      </c>
      <c r="B661" s="100" t="s">
        <v>3</v>
      </c>
      <c r="C661" s="100" t="s">
        <v>739</v>
      </c>
    </row>
    <row r="662" spans="1:3" s="100" customFormat="1" x14ac:dyDescent="0.35">
      <c r="A662" s="100" t="s">
        <v>150</v>
      </c>
      <c r="B662" s="100" t="s">
        <v>3</v>
      </c>
      <c r="C662" s="100" t="s">
        <v>740</v>
      </c>
    </row>
    <row r="663" spans="1:3" s="100" customFormat="1" x14ac:dyDescent="0.35">
      <c r="A663" s="100" t="s">
        <v>150</v>
      </c>
      <c r="B663" s="100" t="s">
        <v>3</v>
      </c>
      <c r="C663" s="100" t="s">
        <v>741</v>
      </c>
    </row>
    <row r="664" spans="1:3" s="100" customFormat="1" x14ac:dyDescent="0.35">
      <c r="A664" s="100" t="s">
        <v>150</v>
      </c>
      <c r="B664" s="100" t="s">
        <v>3</v>
      </c>
      <c r="C664" s="100" t="s">
        <v>742</v>
      </c>
    </row>
    <row r="665" spans="1:3" s="100" customFormat="1" x14ac:dyDescent="0.35">
      <c r="A665" s="100" t="s">
        <v>150</v>
      </c>
      <c r="B665" s="100" t="s">
        <v>3</v>
      </c>
      <c r="C665" s="100" t="s">
        <v>743</v>
      </c>
    </row>
    <row r="666" spans="1:3" s="100" customFormat="1" x14ac:dyDescent="0.35">
      <c r="A666" s="100" t="s">
        <v>150</v>
      </c>
      <c r="B666" s="100" t="s">
        <v>3</v>
      </c>
      <c r="C666" s="100" t="s">
        <v>744</v>
      </c>
    </row>
    <row r="667" spans="1:3" s="100" customFormat="1" x14ac:dyDescent="0.35">
      <c r="A667" s="100" t="s">
        <v>150</v>
      </c>
      <c r="B667" s="100" t="s">
        <v>3</v>
      </c>
      <c r="C667" s="100" t="s">
        <v>745</v>
      </c>
    </row>
    <row r="668" spans="1:3" s="100" customFormat="1" x14ac:dyDescent="0.35">
      <c r="A668" s="100" t="s">
        <v>150</v>
      </c>
      <c r="B668" s="100" t="s">
        <v>3</v>
      </c>
      <c r="C668" s="100" t="s">
        <v>746</v>
      </c>
    </row>
    <row r="669" spans="1:3" s="100" customFormat="1" x14ac:dyDescent="0.35">
      <c r="A669" s="100" t="s">
        <v>150</v>
      </c>
      <c r="B669" s="100" t="s">
        <v>3</v>
      </c>
      <c r="C669" s="100" t="s">
        <v>747</v>
      </c>
    </row>
    <row r="670" spans="1:3" s="100" customFormat="1" x14ac:dyDescent="0.35">
      <c r="A670" s="100" t="s">
        <v>150</v>
      </c>
      <c r="B670" s="100" t="s">
        <v>3</v>
      </c>
      <c r="C670" s="100" t="s">
        <v>748</v>
      </c>
    </row>
    <row r="671" spans="1:3" s="100" customFormat="1" x14ac:dyDescent="0.35">
      <c r="A671" s="100" t="s">
        <v>150</v>
      </c>
      <c r="B671" s="100" t="s">
        <v>3</v>
      </c>
      <c r="C671" s="100" t="s">
        <v>749</v>
      </c>
    </row>
    <row r="672" spans="1:3" s="100" customFormat="1" x14ac:dyDescent="0.35">
      <c r="A672" s="100" t="s">
        <v>150</v>
      </c>
      <c r="B672" s="100" t="s">
        <v>3</v>
      </c>
      <c r="C672" s="100" t="s">
        <v>750</v>
      </c>
    </row>
    <row r="673" spans="1:3" s="100" customFormat="1" x14ac:dyDescent="0.35">
      <c r="A673" s="100" t="s">
        <v>150</v>
      </c>
      <c r="B673" s="100" t="s">
        <v>3</v>
      </c>
      <c r="C673" s="100" t="s">
        <v>751</v>
      </c>
    </row>
    <row r="674" spans="1:3" s="100" customFormat="1" x14ac:dyDescent="0.35">
      <c r="A674" s="100" t="s">
        <v>150</v>
      </c>
      <c r="B674" s="100" t="s">
        <v>3</v>
      </c>
      <c r="C674" s="100" t="s">
        <v>752</v>
      </c>
    </row>
    <row r="675" spans="1:3" s="100" customFormat="1" x14ac:dyDescent="0.35">
      <c r="A675" s="100" t="s">
        <v>150</v>
      </c>
      <c r="B675" s="100" t="s">
        <v>3</v>
      </c>
      <c r="C675" s="100" t="s">
        <v>753</v>
      </c>
    </row>
    <row r="676" spans="1:3" s="100" customFormat="1" x14ac:dyDescent="0.35">
      <c r="A676" s="100" t="s">
        <v>150</v>
      </c>
      <c r="B676" s="100" t="s">
        <v>3</v>
      </c>
      <c r="C676" s="100" t="s">
        <v>754</v>
      </c>
    </row>
    <row r="677" spans="1:3" s="100" customFormat="1" x14ac:dyDescent="0.35">
      <c r="A677" s="100" t="s">
        <v>150</v>
      </c>
      <c r="B677" s="100" t="s">
        <v>3</v>
      </c>
      <c r="C677" s="100" t="s">
        <v>755</v>
      </c>
    </row>
    <row r="678" spans="1:3" s="100" customFormat="1" x14ac:dyDescent="0.35">
      <c r="A678" s="100" t="s">
        <v>150</v>
      </c>
      <c r="B678" s="100" t="s">
        <v>3</v>
      </c>
      <c r="C678" s="100" t="s">
        <v>756</v>
      </c>
    </row>
    <row r="679" spans="1:3" s="100" customFormat="1" x14ac:dyDescent="0.35">
      <c r="A679" s="100" t="s">
        <v>150</v>
      </c>
      <c r="B679" s="100" t="s">
        <v>3</v>
      </c>
      <c r="C679" s="100" t="s">
        <v>757</v>
      </c>
    </row>
    <row r="680" spans="1:3" s="100" customFormat="1" x14ac:dyDescent="0.35">
      <c r="A680" s="100" t="s">
        <v>150</v>
      </c>
      <c r="B680" s="100" t="s">
        <v>3</v>
      </c>
      <c r="C680" s="100" t="s">
        <v>758</v>
      </c>
    </row>
    <row r="681" spans="1:3" s="100" customFormat="1" x14ac:dyDescent="0.35">
      <c r="A681" s="100" t="s">
        <v>150</v>
      </c>
      <c r="B681" s="100" t="s">
        <v>3</v>
      </c>
      <c r="C681" s="100" t="s">
        <v>759</v>
      </c>
    </row>
    <row r="682" spans="1:3" s="100" customFormat="1" x14ac:dyDescent="0.35">
      <c r="A682" s="100" t="s">
        <v>150</v>
      </c>
      <c r="B682" s="100" t="s">
        <v>3</v>
      </c>
      <c r="C682" s="100" t="s">
        <v>760</v>
      </c>
    </row>
    <row r="683" spans="1:3" s="100" customFormat="1" x14ac:dyDescent="0.35">
      <c r="A683" s="100" t="s">
        <v>150</v>
      </c>
      <c r="B683" s="100" t="s">
        <v>3</v>
      </c>
      <c r="C683" s="100" t="s">
        <v>761</v>
      </c>
    </row>
    <row r="684" spans="1:3" s="100" customFormat="1" x14ac:dyDescent="0.35">
      <c r="A684" s="100" t="s">
        <v>150</v>
      </c>
      <c r="B684" s="100" t="s">
        <v>3</v>
      </c>
      <c r="C684" s="100" t="s">
        <v>762</v>
      </c>
    </row>
    <row r="685" spans="1:3" s="100" customFormat="1" x14ac:dyDescent="0.35">
      <c r="A685" s="100" t="s">
        <v>150</v>
      </c>
      <c r="B685" s="100" t="s">
        <v>3</v>
      </c>
      <c r="C685" s="100" t="s">
        <v>763</v>
      </c>
    </row>
    <row r="686" spans="1:3" s="100" customFormat="1" x14ac:dyDescent="0.35">
      <c r="A686" s="100" t="s">
        <v>150</v>
      </c>
      <c r="B686" s="100" t="s">
        <v>3</v>
      </c>
      <c r="C686" s="100" t="s">
        <v>764</v>
      </c>
    </row>
    <row r="687" spans="1:3" s="100" customFormat="1" x14ac:dyDescent="0.35">
      <c r="A687" s="100" t="s">
        <v>150</v>
      </c>
      <c r="B687" s="100" t="s">
        <v>3</v>
      </c>
      <c r="C687" s="100" t="s">
        <v>765</v>
      </c>
    </row>
    <row r="688" spans="1:3" s="100" customFormat="1" x14ac:dyDescent="0.35">
      <c r="A688" s="100" t="s">
        <v>150</v>
      </c>
      <c r="B688" s="100" t="s">
        <v>3</v>
      </c>
      <c r="C688" s="100" t="s">
        <v>766</v>
      </c>
    </row>
    <row r="689" spans="1:3" s="100" customFormat="1" x14ac:dyDescent="0.35">
      <c r="A689" s="100" t="s">
        <v>150</v>
      </c>
      <c r="B689" s="100" t="s">
        <v>3</v>
      </c>
      <c r="C689" s="100" t="s">
        <v>767</v>
      </c>
    </row>
    <row r="690" spans="1:3" s="100" customFormat="1" x14ac:dyDescent="0.35">
      <c r="A690" s="100" t="s">
        <v>150</v>
      </c>
      <c r="B690" s="100" t="s">
        <v>3</v>
      </c>
      <c r="C690" s="100" t="s">
        <v>768</v>
      </c>
    </row>
    <row r="691" spans="1:3" s="100" customFormat="1" x14ac:dyDescent="0.35">
      <c r="A691" s="100" t="s">
        <v>150</v>
      </c>
      <c r="B691" s="100" t="s">
        <v>3</v>
      </c>
      <c r="C691" s="100" t="s">
        <v>769</v>
      </c>
    </row>
    <row r="692" spans="1:3" s="100" customFormat="1" x14ac:dyDescent="0.35">
      <c r="A692" s="100" t="s">
        <v>150</v>
      </c>
      <c r="B692" s="100" t="s">
        <v>3</v>
      </c>
      <c r="C692" s="100" t="s">
        <v>770</v>
      </c>
    </row>
    <row r="693" spans="1:3" s="100" customFormat="1" x14ac:dyDescent="0.35">
      <c r="A693" s="100" t="s">
        <v>150</v>
      </c>
      <c r="B693" s="100" t="s">
        <v>3</v>
      </c>
      <c r="C693" s="100" t="s">
        <v>771</v>
      </c>
    </row>
    <row r="694" spans="1:3" s="100" customFormat="1" x14ac:dyDescent="0.35">
      <c r="A694" s="100" t="s">
        <v>150</v>
      </c>
      <c r="B694" s="100" t="s">
        <v>3</v>
      </c>
      <c r="C694" s="100" t="s">
        <v>772</v>
      </c>
    </row>
    <row r="695" spans="1:3" s="100" customFormat="1" x14ac:dyDescent="0.35">
      <c r="A695" s="100" t="s">
        <v>150</v>
      </c>
      <c r="B695" s="100" t="s">
        <v>3</v>
      </c>
      <c r="C695" s="100" t="s">
        <v>773</v>
      </c>
    </row>
    <row r="696" spans="1:3" s="100" customFormat="1" x14ac:dyDescent="0.35">
      <c r="A696" s="100" t="s">
        <v>150</v>
      </c>
      <c r="B696" s="100" t="s">
        <v>3</v>
      </c>
      <c r="C696" s="100" t="s">
        <v>774</v>
      </c>
    </row>
    <row r="697" spans="1:3" s="100" customFormat="1" x14ac:dyDescent="0.35">
      <c r="A697" s="100" t="s">
        <v>150</v>
      </c>
      <c r="B697" s="100" t="s">
        <v>3</v>
      </c>
      <c r="C697" s="100" t="s">
        <v>775</v>
      </c>
    </row>
    <row r="698" spans="1:3" s="100" customFormat="1" x14ac:dyDescent="0.35">
      <c r="A698" s="100" t="s">
        <v>150</v>
      </c>
      <c r="B698" s="100" t="s">
        <v>3</v>
      </c>
      <c r="C698" s="100" t="s">
        <v>776</v>
      </c>
    </row>
    <row r="699" spans="1:3" s="100" customFormat="1" x14ac:dyDescent="0.35">
      <c r="A699" s="100" t="s">
        <v>150</v>
      </c>
      <c r="B699" s="100" t="s">
        <v>3</v>
      </c>
      <c r="C699" s="100" t="s">
        <v>777</v>
      </c>
    </row>
    <row r="700" spans="1:3" s="100" customFormat="1" x14ac:dyDescent="0.35">
      <c r="A700" s="100" t="s">
        <v>150</v>
      </c>
      <c r="B700" s="100" t="s">
        <v>3</v>
      </c>
      <c r="C700" s="100" t="s">
        <v>778</v>
      </c>
    </row>
    <row r="701" spans="1:3" s="100" customFormat="1" x14ac:dyDescent="0.35">
      <c r="A701" s="100" t="s">
        <v>150</v>
      </c>
      <c r="B701" s="100" t="s">
        <v>3</v>
      </c>
      <c r="C701" s="100" t="s">
        <v>779</v>
      </c>
    </row>
    <row r="702" spans="1:3" s="100" customFormat="1" x14ac:dyDescent="0.35">
      <c r="A702" s="100" t="s">
        <v>150</v>
      </c>
      <c r="B702" s="100" t="s">
        <v>3</v>
      </c>
      <c r="C702" s="100" t="s">
        <v>780</v>
      </c>
    </row>
    <row r="703" spans="1:3" s="100" customFormat="1" x14ac:dyDescent="0.35">
      <c r="A703" s="100" t="s">
        <v>150</v>
      </c>
      <c r="B703" s="100" t="s">
        <v>3</v>
      </c>
      <c r="C703" s="100" t="s">
        <v>781</v>
      </c>
    </row>
    <row r="704" spans="1:3" s="100" customFormat="1" x14ac:dyDescent="0.35">
      <c r="A704" s="100" t="s">
        <v>150</v>
      </c>
      <c r="B704" s="100" t="s">
        <v>3</v>
      </c>
      <c r="C704" s="100" t="s">
        <v>782</v>
      </c>
    </row>
    <row r="705" spans="1:3" s="100" customFormat="1" x14ac:dyDescent="0.35">
      <c r="A705" s="100" t="s">
        <v>150</v>
      </c>
      <c r="B705" s="100" t="s">
        <v>3</v>
      </c>
      <c r="C705" s="100" t="s">
        <v>783</v>
      </c>
    </row>
    <row r="706" spans="1:3" s="100" customFormat="1" x14ac:dyDescent="0.35">
      <c r="A706" s="100" t="s">
        <v>150</v>
      </c>
      <c r="B706" s="100" t="s">
        <v>3</v>
      </c>
      <c r="C706" s="100" t="s">
        <v>784</v>
      </c>
    </row>
    <row r="707" spans="1:3" s="100" customFormat="1" x14ac:dyDescent="0.35">
      <c r="A707" s="100" t="s">
        <v>150</v>
      </c>
      <c r="B707" s="100" t="s">
        <v>3</v>
      </c>
      <c r="C707" s="100" t="s">
        <v>785</v>
      </c>
    </row>
    <row r="708" spans="1:3" s="100" customFormat="1" x14ac:dyDescent="0.35">
      <c r="A708" s="100" t="s">
        <v>150</v>
      </c>
      <c r="B708" s="100" t="s">
        <v>3</v>
      </c>
      <c r="C708" s="100" t="s">
        <v>786</v>
      </c>
    </row>
    <row r="709" spans="1:3" s="100" customFormat="1" x14ac:dyDescent="0.35">
      <c r="A709" s="100" t="s">
        <v>150</v>
      </c>
      <c r="B709" s="100" t="s">
        <v>3</v>
      </c>
      <c r="C709" s="100" t="s">
        <v>787</v>
      </c>
    </row>
    <row r="710" spans="1:3" s="100" customFormat="1" x14ac:dyDescent="0.35">
      <c r="A710" s="100" t="s">
        <v>150</v>
      </c>
      <c r="B710" s="100" t="s">
        <v>3</v>
      </c>
      <c r="C710" s="100" t="s">
        <v>788</v>
      </c>
    </row>
    <row r="711" spans="1:3" s="100" customFormat="1" x14ac:dyDescent="0.35">
      <c r="A711" s="100" t="s">
        <v>150</v>
      </c>
      <c r="B711" s="100" t="s">
        <v>3</v>
      </c>
      <c r="C711" s="100" t="s">
        <v>789</v>
      </c>
    </row>
    <row r="712" spans="1:3" s="100" customFormat="1" x14ac:dyDescent="0.35">
      <c r="A712" s="100" t="s">
        <v>150</v>
      </c>
      <c r="B712" s="100" t="s">
        <v>3</v>
      </c>
      <c r="C712" s="100" t="s">
        <v>790</v>
      </c>
    </row>
    <row r="713" spans="1:3" s="100" customFormat="1" x14ac:dyDescent="0.35">
      <c r="A713" s="100" t="s">
        <v>150</v>
      </c>
      <c r="B713" s="100" t="s">
        <v>3</v>
      </c>
      <c r="C713" s="100" t="s">
        <v>791</v>
      </c>
    </row>
    <row r="714" spans="1:3" s="100" customFormat="1" x14ac:dyDescent="0.35">
      <c r="A714" s="100" t="s">
        <v>150</v>
      </c>
      <c r="B714" s="100" t="s">
        <v>3</v>
      </c>
      <c r="C714" s="100" t="s">
        <v>792</v>
      </c>
    </row>
    <row r="715" spans="1:3" s="100" customFormat="1" x14ac:dyDescent="0.35">
      <c r="A715" s="100" t="s">
        <v>150</v>
      </c>
      <c r="B715" s="100" t="s">
        <v>3</v>
      </c>
      <c r="C715" s="100" t="s">
        <v>793</v>
      </c>
    </row>
    <row r="716" spans="1:3" s="100" customFormat="1" x14ac:dyDescent="0.35">
      <c r="A716" s="100" t="s">
        <v>150</v>
      </c>
      <c r="B716" s="100" t="s">
        <v>3</v>
      </c>
      <c r="C716" s="100" t="s">
        <v>794</v>
      </c>
    </row>
    <row r="717" spans="1:3" s="100" customFormat="1" x14ac:dyDescent="0.35">
      <c r="A717" s="100" t="s">
        <v>150</v>
      </c>
      <c r="B717" s="100" t="s">
        <v>3</v>
      </c>
      <c r="C717" s="100" t="s">
        <v>795</v>
      </c>
    </row>
    <row r="718" spans="1:3" s="100" customFormat="1" x14ac:dyDescent="0.35">
      <c r="A718" s="100" t="s">
        <v>150</v>
      </c>
      <c r="B718" s="100" t="s">
        <v>3</v>
      </c>
      <c r="C718" s="100" t="s">
        <v>796</v>
      </c>
    </row>
    <row r="719" spans="1:3" s="100" customFormat="1" x14ac:dyDescent="0.35">
      <c r="A719" s="100" t="s">
        <v>150</v>
      </c>
      <c r="B719" s="100" t="s">
        <v>3</v>
      </c>
      <c r="C719" s="100" t="s">
        <v>797</v>
      </c>
    </row>
    <row r="720" spans="1:3" s="100" customFormat="1" x14ac:dyDescent="0.35">
      <c r="A720" s="100" t="s">
        <v>150</v>
      </c>
      <c r="B720" s="100" t="s">
        <v>3</v>
      </c>
      <c r="C720" s="100" t="s">
        <v>798</v>
      </c>
    </row>
    <row r="721" spans="1:3" s="100" customFormat="1" x14ac:dyDescent="0.35">
      <c r="A721" s="100" t="s">
        <v>150</v>
      </c>
      <c r="B721" s="100" t="s">
        <v>3</v>
      </c>
      <c r="C721" s="100" t="s">
        <v>799</v>
      </c>
    </row>
    <row r="722" spans="1:3" s="100" customFormat="1" x14ac:dyDescent="0.35">
      <c r="A722" s="100" t="s">
        <v>150</v>
      </c>
      <c r="B722" s="100" t="s">
        <v>3</v>
      </c>
      <c r="C722" s="100" t="s">
        <v>800</v>
      </c>
    </row>
    <row r="723" spans="1:3" s="100" customFormat="1" x14ac:dyDescent="0.35">
      <c r="A723" s="100" t="s">
        <v>150</v>
      </c>
      <c r="B723" s="100" t="s">
        <v>3</v>
      </c>
      <c r="C723" s="100" t="s">
        <v>801</v>
      </c>
    </row>
    <row r="724" spans="1:3" s="100" customFormat="1" x14ac:dyDescent="0.35">
      <c r="A724" s="100" t="s">
        <v>150</v>
      </c>
      <c r="B724" s="100" t="s">
        <v>3</v>
      </c>
      <c r="C724" s="100" t="s">
        <v>802</v>
      </c>
    </row>
    <row r="725" spans="1:3" s="100" customFormat="1" x14ac:dyDescent="0.35">
      <c r="A725" s="100" t="s">
        <v>150</v>
      </c>
      <c r="B725" s="100" t="s">
        <v>3</v>
      </c>
      <c r="C725" s="100" t="s">
        <v>803</v>
      </c>
    </row>
    <row r="726" spans="1:3" s="100" customFormat="1" x14ac:dyDescent="0.35">
      <c r="A726" s="100" t="s">
        <v>150</v>
      </c>
      <c r="B726" s="100" t="s">
        <v>3</v>
      </c>
      <c r="C726" s="100" t="s">
        <v>804</v>
      </c>
    </row>
    <row r="727" spans="1:3" s="100" customFormat="1" x14ac:dyDescent="0.35">
      <c r="A727" s="100" t="s">
        <v>150</v>
      </c>
      <c r="B727" s="100" t="s">
        <v>3</v>
      </c>
      <c r="C727" s="100" t="s">
        <v>805</v>
      </c>
    </row>
    <row r="728" spans="1:3" s="100" customFormat="1" x14ac:dyDescent="0.35">
      <c r="A728" s="100" t="s">
        <v>150</v>
      </c>
      <c r="B728" s="100" t="s">
        <v>3</v>
      </c>
      <c r="C728" s="100" t="s">
        <v>806</v>
      </c>
    </row>
    <row r="729" spans="1:3" s="100" customFormat="1" x14ac:dyDescent="0.35">
      <c r="A729" s="100" t="s">
        <v>150</v>
      </c>
      <c r="B729" s="100" t="s">
        <v>3</v>
      </c>
      <c r="C729" s="100" t="s">
        <v>807</v>
      </c>
    </row>
    <row r="730" spans="1:3" s="100" customFormat="1" x14ac:dyDescent="0.35">
      <c r="A730" s="100" t="s">
        <v>150</v>
      </c>
      <c r="B730" s="100" t="s">
        <v>3</v>
      </c>
      <c r="C730" s="100" t="s">
        <v>808</v>
      </c>
    </row>
    <row r="731" spans="1:3" s="100" customFormat="1" x14ac:dyDescent="0.35">
      <c r="A731" s="100" t="s">
        <v>150</v>
      </c>
      <c r="B731" s="100" t="s">
        <v>3</v>
      </c>
      <c r="C731" s="100" t="s">
        <v>809</v>
      </c>
    </row>
    <row r="732" spans="1:3" s="100" customFormat="1" x14ac:dyDescent="0.35">
      <c r="A732" s="100" t="s">
        <v>150</v>
      </c>
      <c r="B732" s="100" t="s">
        <v>3</v>
      </c>
      <c r="C732" s="100" t="s">
        <v>810</v>
      </c>
    </row>
    <row r="733" spans="1:3" s="100" customFormat="1" x14ac:dyDescent="0.35">
      <c r="A733" s="100" t="s">
        <v>150</v>
      </c>
      <c r="B733" s="100" t="s">
        <v>3</v>
      </c>
      <c r="C733" s="100" t="s">
        <v>811</v>
      </c>
    </row>
    <row r="734" spans="1:3" s="100" customFormat="1" x14ac:dyDescent="0.35">
      <c r="A734" s="100" t="s">
        <v>150</v>
      </c>
      <c r="B734" s="100" t="s">
        <v>3</v>
      </c>
      <c r="C734" s="100" t="s">
        <v>812</v>
      </c>
    </row>
    <row r="735" spans="1:3" s="100" customFormat="1" x14ac:dyDescent="0.35">
      <c r="A735" s="100" t="s">
        <v>150</v>
      </c>
      <c r="B735" s="100" t="s">
        <v>3</v>
      </c>
      <c r="C735" s="100" t="s">
        <v>813</v>
      </c>
    </row>
    <row r="736" spans="1:3" s="100" customFormat="1" x14ac:dyDescent="0.35">
      <c r="A736" s="100" t="s">
        <v>150</v>
      </c>
      <c r="B736" s="100" t="s">
        <v>3</v>
      </c>
      <c r="C736" s="100" t="s">
        <v>814</v>
      </c>
    </row>
    <row r="737" spans="1:3" s="100" customFormat="1" x14ac:dyDescent="0.35">
      <c r="A737" s="100" t="s">
        <v>150</v>
      </c>
      <c r="B737" s="100" t="s">
        <v>3</v>
      </c>
      <c r="C737" s="100" t="s">
        <v>815</v>
      </c>
    </row>
    <row r="738" spans="1:3" s="100" customFormat="1" x14ac:dyDescent="0.35">
      <c r="A738" s="100" t="s">
        <v>150</v>
      </c>
      <c r="B738" s="100" t="s">
        <v>3</v>
      </c>
      <c r="C738" s="100" t="s">
        <v>816</v>
      </c>
    </row>
    <row r="739" spans="1:3" s="100" customFormat="1" x14ac:dyDescent="0.35">
      <c r="A739" s="100" t="s">
        <v>150</v>
      </c>
      <c r="B739" s="100" t="s">
        <v>3</v>
      </c>
      <c r="C739" s="100" t="s">
        <v>817</v>
      </c>
    </row>
    <row r="740" spans="1:3" s="100" customFormat="1" x14ac:dyDescent="0.35">
      <c r="A740" s="100" t="s">
        <v>150</v>
      </c>
      <c r="B740" s="100" t="s">
        <v>3</v>
      </c>
      <c r="C740" s="100" t="s">
        <v>818</v>
      </c>
    </row>
    <row r="741" spans="1:3" s="100" customFormat="1" x14ac:dyDescent="0.35">
      <c r="A741" s="100" t="s">
        <v>150</v>
      </c>
      <c r="B741" s="100" t="s">
        <v>3</v>
      </c>
      <c r="C741" s="100" t="s">
        <v>819</v>
      </c>
    </row>
    <row r="742" spans="1:3" s="100" customFormat="1" x14ac:dyDescent="0.35">
      <c r="A742" s="100" t="s">
        <v>150</v>
      </c>
      <c r="B742" s="100" t="s">
        <v>3</v>
      </c>
      <c r="C742" s="100" t="s">
        <v>820</v>
      </c>
    </row>
    <row r="743" spans="1:3" s="100" customFormat="1" x14ac:dyDescent="0.35">
      <c r="A743" s="100" t="s">
        <v>150</v>
      </c>
      <c r="B743" s="100" t="s">
        <v>3</v>
      </c>
      <c r="C743" s="100" t="s">
        <v>821</v>
      </c>
    </row>
    <row r="744" spans="1:3" s="100" customFormat="1" x14ac:dyDescent="0.35">
      <c r="A744" s="100" t="s">
        <v>150</v>
      </c>
      <c r="B744" s="100" t="s">
        <v>3</v>
      </c>
      <c r="C744" s="100" t="s">
        <v>822</v>
      </c>
    </row>
    <row r="745" spans="1:3" s="100" customFormat="1" x14ac:dyDescent="0.35">
      <c r="A745" s="100" t="s">
        <v>150</v>
      </c>
      <c r="B745" s="100" t="s">
        <v>3</v>
      </c>
      <c r="C745" s="100" t="s">
        <v>823</v>
      </c>
    </row>
    <row r="746" spans="1:3" s="100" customFormat="1" x14ac:dyDescent="0.35">
      <c r="A746" s="100" t="s">
        <v>150</v>
      </c>
      <c r="B746" s="100" t="s">
        <v>3</v>
      </c>
      <c r="C746" s="100" t="s">
        <v>824</v>
      </c>
    </row>
    <row r="747" spans="1:3" s="100" customFormat="1" x14ac:dyDescent="0.35">
      <c r="A747" s="100" t="s">
        <v>150</v>
      </c>
      <c r="B747" s="100" t="s">
        <v>3</v>
      </c>
      <c r="C747" s="100" t="s">
        <v>825</v>
      </c>
    </row>
    <row r="748" spans="1:3" s="100" customFormat="1" x14ac:dyDescent="0.35">
      <c r="A748" s="100" t="s">
        <v>150</v>
      </c>
      <c r="B748" s="100" t="s">
        <v>3</v>
      </c>
      <c r="C748" s="100" t="s">
        <v>826</v>
      </c>
    </row>
    <row r="749" spans="1:3" s="100" customFormat="1" x14ac:dyDescent="0.35">
      <c r="A749" s="100" t="s">
        <v>150</v>
      </c>
      <c r="B749" s="100" t="s">
        <v>3</v>
      </c>
      <c r="C749" s="100" t="s">
        <v>827</v>
      </c>
    </row>
    <row r="750" spans="1:3" s="100" customFormat="1" x14ac:dyDescent="0.35">
      <c r="A750" s="100" t="s">
        <v>150</v>
      </c>
      <c r="B750" s="100" t="s">
        <v>3</v>
      </c>
      <c r="C750" s="100" t="s">
        <v>828</v>
      </c>
    </row>
    <row r="751" spans="1:3" s="100" customFormat="1" x14ac:dyDescent="0.35">
      <c r="A751" s="100" t="s">
        <v>150</v>
      </c>
      <c r="B751" s="100" t="s">
        <v>3</v>
      </c>
      <c r="C751" s="100" t="s">
        <v>829</v>
      </c>
    </row>
    <row r="752" spans="1:3" s="100" customFormat="1" x14ac:dyDescent="0.35">
      <c r="A752" s="100" t="s">
        <v>150</v>
      </c>
      <c r="B752" s="100" t="s">
        <v>3</v>
      </c>
      <c r="C752" s="100" t="s">
        <v>830</v>
      </c>
    </row>
    <row r="753" spans="1:3" s="100" customFormat="1" x14ac:dyDescent="0.35">
      <c r="A753" s="100" t="s">
        <v>150</v>
      </c>
      <c r="B753" s="100" t="s">
        <v>3</v>
      </c>
      <c r="C753" s="100" t="s">
        <v>831</v>
      </c>
    </row>
    <row r="754" spans="1:3" s="100" customFormat="1" x14ac:dyDescent="0.35">
      <c r="A754" s="100" t="s">
        <v>150</v>
      </c>
      <c r="B754" s="100" t="s">
        <v>3</v>
      </c>
      <c r="C754" s="100" t="s">
        <v>832</v>
      </c>
    </row>
    <row r="755" spans="1:3" s="100" customFormat="1" x14ac:dyDescent="0.35">
      <c r="A755" s="100" t="s">
        <v>150</v>
      </c>
      <c r="B755" s="100" t="s">
        <v>3</v>
      </c>
      <c r="C755" s="100" t="s">
        <v>833</v>
      </c>
    </row>
    <row r="756" spans="1:3" s="100" customFormat="1" x14ac:dyDescent="0.35">
      <c r="A756" s="100" t="s">
        <v>150</v>
      </c>
      <c r="B756" s="100" t="s">
        <v>3</v>
      </c>
      <c r="C756" s="100" t="s">
        <v>834</v>
      </c>
    </row>
    <row r="757" spans="1:3" s="100" customFormat="1" x14ac:dyDescent="0.35">
      <c r="A757" s="100" t="s">
        <v>150</v>
      </c>
      <c r="B757" s="100" t="s">
        <v>3</v>
      </c>
      <c r="C757" s="100" t="s">
        <v>835</v>
      </c>
    </row>
    <row r="758" spans="1:3" s="100" customFormat="1" x14ac:dyDescent="0.35">
      <c r="A758" s="100" t="s">
        <v>150</v>
      </c>
      <c r="B758" s="100" t="s">
        <v>3</v>
      </c>
      <c r="C758" s="100" t="s">
        <v>836</v>
      </c>
    </row>
    <row r="759" spans="1:3" s="100" customFormat="1" x14ac:dyDescent="0.35">
      <c r="A759" s="100" t="s">
        <v>150</v>
      </c>
      <c r="B759" s="100" t="s">
        <v>3</v>
      </c>
      <c r="C759" s="100" t="s">
        <v>837</v>
      </c>
    </row>
    <row r="760" spans="1:3" s="100" customFormat="1" x14ac:dyDescent="0.35">
      <c r="A760" s="100" t="s">
        <v>150</v>
      </c>
      <c r="B760" s="100" t="s">
        <v>3</v>
      </c>
      <c r="C760" s="100" t="s">
        <v>838</v>
      </c>
    </row>
    <row r="761" spans="1:3" s="100" customFormat="1" x14ac:dyDescent="0.35">
      <c r="A761" s="100" t="s">
        <v>150</v>
      </c>
      <c r="B761" s="100" t="s">
        <v>3</v>
      </c>
      <c r="C761" s="100" t="s">
        <v>839</v>
      </c>
    </row>
    <row r="762" spans="1:3" s="100" customFormat="1" x14ac:dyDescent="0.35">
      <c r="A762" s="100" t="s">
        <v>150</v>
      </c>
      <c r="B762" s="100" t="s">
        <v>3</v>
      </c>
      <c r="C762" s="100" t="s">
        <v>840</v>
      </c>
    </row>
    <row r="763" spans="1:3" s="100" customFormat="1" x14ac:dyDescent="0.35">
      <c r="A763" s="100" t="s">
        <v>150</v>
      </c>
      <c r="B763" s="100" t="s">
        <v>3</v>
      </c>
      <c r="C763" s="100" t="s">
        <v>841</v>
      </c>
    </row>
    <row r="764" spans="1:3" s="100" customFormat="1" x14ac:dyDescent="0.35">
      <c r="A764" s="100" t="s">
        <v>150</v>
      </c>
      <c r="B764" s="100" t="s">
        <v>3</v>
      </c>
      <c r="C764" s="100" t="s">
        <v>842</v>
      </c>
    </row>
    <row r="765" spans="1:3" s="100" customFormat="1" x14ac:dyDescent="0.35">
      <c r="A765" s="100" t="s">
        <v>150</v>
      </c>
      <c r="B765" s="100" t="s">
        <v>3</v>
      </c>
      <c r="C765" s="100" t="s">
        <v>843</v>
      </c>
    </row>
    <row r="766" spans="1:3" s="100" customFormat="1" x14ac:dyDescent="0.35">
      <c r="A766" s="100" t="s">
        <v>150</v>
      </c>
      <c r="B766" s="100" t="s">
        <v>3</v>
      </c>
      <c r="C766" s="100" t="s">
        <v>844</v>
      </c>
    </row>
    <row r="767" spans="1:3" s="100" customFormat="1" x14ac:dyDescent="0.35">
      <c r="A767" s="100" t="s">
        <v>150</v>
      </c>
      <c r="B767" s="100" t="s">
        <v>3</v>
      </c>
      <c r="C767" s="100" t="s">
        <v>845</v>
      </c>
    </row>
    <row r="768" spans="1:3" s="100" customFormat="1" x14ac:dyDescent="0.35">
      <c r="A768" s="100" t="s">
        <v>150</v>
      </c>
      <c r="B768" s="100" t="s">
        <v>3</v>
      </c>
      <c r="C768" s="100" t="s">
        <v>846</v>
      </c>
    </row>
    <row r="769" spans="1:3" s="100" customFormat="1" x14ac:dyDescent="0.35">
      <c r="A769" s="100" t="s">
        <v>150</v>
      </c>
      <c r="B769" s="100" t="s">
        <v>3</v>
      </c>
      <c r="C769" s="100" t="s">
        <v>847</v>
      </c>
    </row>
    <row r="770" spans="1:3" s="100" customFormat="1" x14ac:dyDescent="0.35">
      <c r="A770" s="100" t="s">
        <v>150</v>
      </c>
      <c r="B770" s="100" t="s">
        <v>3</v>
      </c>
      <c r="C770" s="100" t="s">
        <v>848</v>
      </c>
    </row>
    <row r="771" spans="1:3" s="100" customFormat="1" x14ac:dyDescent="0.35">
      <c r="A771" s="100" t="s">
        <v>150</v>
      </c>
      <c r="B771" s="100" t="s">
        <v>3</v>
      </c>
      <c r="C771" s="100" t="s">
        <v>849</v>
      </c>
    </row>
    <row r="772" spans="1:3" s="100" customFormat="1" x14ac:dyDescent="0.35">
      <c r="A772" s="100" t="s">
        <v>150</v>
      </c>
      <c r="B772" s="100" t="s">
        <v>3</v>
      </c>
      <c r="C772" s="100" t="s">
        <v>850</v>
      </c>
    </row>
    <row r="773" spans="1:3" s="100" customFormat="1" x14ac:dyDescent="0.35">
      <c r="A773" s="100" t="s">
        <v>150</v>
      </c>
      <c r="B773" s="100" t="s">
        <v>3</v>
      </c>
      <c r="C773" s="100" t="s">
        <v>851</v>
      </c>
    </row>
    <row r="774" spans="1:3" s="100" customFormat="1" x14ac:dyDescent="0.35">
      <c r="A774" s="100" t="s">
        <v>150</v>
      </c>
      <c r="B774" s="100" t="s">
        <v>3</v>
      </c>
      <c r="C774" s="100" t="s">
        <v>852</v>
      </c>
    </row>
    <row r="775" spans="1:3" s="100" customFormat="1" x14ac:dyDescent="0.35">
      <c r="A775" s="100" t="s">
        <v>150</v>
      </c>
      <c r="B775" s="100" t="s">
        <v>3</v>
      </c>
      <c r="C775" s="100" t="s">
        <v>853</v>
      </c>
    </row>
    <row r="776" spans="1:3" s="100" customFormat="1" x14ac:dyDescent="0.35">
      <c r="A776" s="100" t="s">
        <v>150</v>
      </c>
      <c r="B776" s="100" t="s">
        <v>3</v>
      </c>
      <c r="C776" s="100" t="s">
        <v>854</v>
      </c>
    </row>
    <row r="777" spans="1:3" s="100" customFormat="1" x14ac:dyDescent="0.35">
      <c r="A777" s="100" t="s">
        <v>150</v>
      </c>
      <c r="B777" s="100" t="s">
        <v>3</v>
      </c>
      <c r="C777" s="100" t="s">
        <v>855</v>
      </c>
    </row>
    <row r="778" spans="1:3" s="100" customFormat="1" x14ac:dyDescent="0.35">
      <c r="A778" s="100" t="s">
        <v>150</v>
      </c>
      <c r="B778" s="100" t="s">
        <v>3</v>
      </c>
      <c r="C778" s="100" t="s">
        <v>856</v>
      </c>
    </row>
    <row r="779" spans="1:3" s="100" customFormat="1" x14ac:dyDescent="0.35">
      <c r="A779" s="100" t="s">
        <v>150</v>
      </c>
      <c r="B779" s="100" t="s">
        <v>3</v>
      </c>
      <c r="C779" s="100" t="s">
        <v>857</v>
      </c>
    </row>
    <row r="780" spans="1:3" s="100" customFormat="1" x14ac:dyDescent="0.35">
      <c r="A780" s="100" t="s">
        <v>150</v>
      </c>
      <c r="B780" s="100" t="s">
        <v>3</v>
      </c>
      <c r="C780" s="100" t="s">
        <v>858</v>
      </c>
    </row>
    <row r="781" spans="1:3" s="100" customFormat="1" x14ac:dyDescent="0.35">
      <c r="A781" s="100" t="s">
        <v>150</v>
      </c>
      <c r="B781" s="100" t="s">
        <v>3</v>
      </c>
      <c r="C781" s="100" t="s">
        <v>859</v>
      </c>
    </row>
    <row r="782" spans="1:3" s="100" customFormat="1" x14ac:dyDescent="0.35">
      <c r="A782" s="100" t="s">
        <v>150</v>
      </c>
      <c r="B782" s="100" t="s">
        <v>3</v>
      </c>
      <c r="C782" s="100" t="s">
        <v>860</v>
      </c>
    </row>
    <row r="783" spans="1:3" s="100" customFormat="1" x14ac:dyDescent="0.35">
      <c r="A783" s="100" t="s">
        <v>150</v>
      </c>
      <c r="B783" s="100" t="s">
        <v>3</v>
      </c>
      <c r="C783" s="100" t="s">
        <v>861</v>
      </c>
    </row>
    <row r="784" spans="1:3" s="100" customFormat="1" x14ac:dyDescent="0.35">
      <c r="A784" s="100" t="s">
        <v>150</v>
      </c>
      <c r="B784" s="100" t="s">
        <v>3</v>
      </c>
      <c r="C784" s="100" t="s">
        <v>862</v>
      </c>
    </row>
    <row r="785" spans="1:3" s="100" customFormat="1" x14ac:dyDescent="0.35">
      <c r="A785" s="100" t="s">
        <v>150</v>
      </c>
      <c r="B785" s="100" t="s">
        <v>3</v>
      </c>
      <c r="C785" s="100" t="s">
        <v>863</v>
      </c>
    </row>
    <row r="786" spans="1:3" s="100" customFormat="1" x14ac:dyDescent="0.35">
      <c r="A786" s="100" t="s">
        <v>150</v>
      </c>
      <c r="B786" s="100" t="s">
        <v>3</v>
      </c>
      <c r="C786" s="100" t="s">
        <v>864</v>
      </c>
    </row>
    <row r="787" spans="1:3" s="100" customFormat="1" x14ac:dyDescent="0.35">
      <c r="A787" s="100" t="s">
        <v>150</v>
      </c>
      <c r="B787" s="100" t="s">
        <v>3</v>
      </c>
      <c r="C787" s="100" t="s">
        <v>865</v>
      </c>
    </row>
    <row r="788" spans="1:3" s="100" customFormat="1" x14ac:dyDescent="0.35">
      <c r="A788" s="100" t="s">
        <v>150</v>
      </c>
      <c r="B788" s="100" t="s">
        <v>3</v>
      </c>
      <c r="C788" s="100" t="s">
        <v>866</v>
      </c>
    </row>
    <row r="789" spans="1:3" s="100" customFormat="1" x14ac:dyDescent="0.35">
      <c r="A789" s="100" t="s">
        <v>150</v>
      </c>
      <c r="B789" s="100" t="s">
        <v>3</v>
      </c>
      <c r="C789" s="100" t="s">
        <v>867</v>
      </c>
    </row>
    <row r="790" spans="1:3" s="100" customFormat="1" x14ac:dyDescent="0.35">
      <c r="A790" s="100" t="s">
        <v>150</v>
      </c>
      <c r="B790" s="100" t="s">
        <v>3</v>
      </c>
      <c r="C790" s="100" t="s">
        <v>868</v>
      </c>
    </row>
    <row r="791" spans="1:3" s="100" customFormat="1" x14ac:dyDescent="0.35">
      <c r="A791" s="100" t="s">
        <v>150</v>
      </c>
      <c r="B791" s="100" t="s">
        <v>3</v>
      </c>
      <c r="C791" s="100" t="s">
        <v>869</v>
      </c>
    </row>
    <row r="792" spans="1:3" s="100" customFormat="1" x14ac:dyDescent="0.35">
      <c r="A792" s="100" t="s">
        <v>150</v>
      </c>
      <c r="B792" s="100" t="s">
        <v>3</v>
      </c>
      <c r="C792" s="100" t="s">
        <v>870</v>
      </c>
    </row>
    <row r="793" spans="1:3" s="100" customFormat="1" x14ac:dyDescent="0.35">
      <c r="A793" s="100" t="s">
        <v>150</v>
      </c>
      <c r="B793" s="100" t="s">
        <v>3</v>
      </c>
      <c r="C793" s="100" t="s">
        <v>871</v>
      </c>
    </row>
    <row r="794" spans="1:3" s="100" customFormat="1" x14ac:dyDescent="0.35">
      <c r="A794" s="100" t="s">
        <v>150</v>
      </c>
      <c r="B794" s="100" t="s">
        <v>3</v>
      </c>
      <c r="C794" s="100" t="s">
        <v>872</v>
      </c>
    </row>
    <row r="795" spans="1:3" s="100" customFormat="1" x14ac:dyDescent="0.35">
      <c r="A795" s="100" t="s">
        <v>150</v>
      </c>
      <c r="B795" s="100" t="s">
        <v>3</v>
      </c>
      <c r="C795" s="100" t="s">
        <v>873</v>
      </c>
    </row>
    <row r="796" spans="1:3" s="100" customFormat="1" x14ac:dyDescent="0.35">
      <c r="A796" s="100" t="s">
        <v>150</v>
      </c>
      <c r="B796" s="100" t="s">
        <v>3</v>
      </c>
      <c r="C796" s="100" t="s">
        <v>874</v>
      </c>
    </row>
    <row r="797" spans="1:3" s="100" customFormat="1" x14ac:dyDescent="0.35">
      <c r="A797" s="100" t="s">
        <v>150</v>
      </c>
      <c r="B797" s="100" t="s">
        <v>3</v>
      </c>
      <c r="C797" s="100" t="s">
        <v>875</v>
      </c>
    </row>
    <row r="798" spans="1:3" s="100" customFormat="1" x14ac:dyDescent="0.35">
      <c r="A798" s="100" t="s">
        <v>150</v>
      </c>
      <c r="B798" s="100" t="s">
        <v>3</v>
      </c>
      <c r="C798" s="100" t="s">
        <v>876</v>
      </c>
    </row>
    <row r="799" spans="1:3" s="100" customFormat="1" x14ac:dyDescent="0.35">
      <c r="A799" s="100" t="s">
        <v>150</v>
      </c>
      <c r="B799" s="100" t="s">
        <v>3</v>
      </c>
      <c r="C799" s="100" t="s">
        <v>877</v>
      </c>
    </row>
    <row r="800" spans="1:3" s="100" customFormat="1" x14ac:dyDescent="0.35">
      <c r="A800" s="100" t="s">
        <v>150</v>
      </c>
      <c r="B800" s="100" t="s">
        <v>3</v>
      </c>
      <c r="C800" s="100" t="s">
        <v>878</v>
      </c>
    </row>
    <row r="801" spans="1:3" s="100" customFormat="1" x14ac:dyDescent="0.35">
      <c r="A801" s="100" t="s">
        <v>150</v>
      </c>
      <c r="B801" s="100" t="s">
        <v>3</v>
      </c>
      <c r="C801" s="100" t="s">
        <v>879</v>
      </c>
    </row>
    <row r="802" spans="1:3" s="100" customFormat="1" x14ac:dyDescent="0.35">
      <c r="A802" s="100" t="s">
        <v>150</v>
      </c>
      <c r="B802" s="100" t="s">
        <v>3</v>
      </c>
      <c r="C802" s="100" t="s">
        <v>880</v>
      </c>
    </row>
    <row r="803" spans="1:3" s="100" customFormat="1" x14ac:dyDescent="0.35">
      <c r="A803" s="100" t="s">
        <v>150</v>
      </c>
      <c r="B803" s="100" t="s">
        <v>3</v>
      </c>
      <c r="C803" s="100" t="s">
        <v>881</v>
      </c>
    </row>
    <row r="804" spans="1:3" s="100" customFormat="1" x14ac:dyDescent="0.35">
      <c r="A804" s="100" t="s">
        <v>150</v>
      </c>
      <c r="B804" s="100" t="s">
        <v>3</v>
      </c>
      <c r="C804" s="100" t="s">
        <v>882</v>
      </c>
    </row>
    <row r="805" spans="1:3" s="100" customFormat="1" x14ac:dyDescent="0.35">
      <c r="A805" s="100" t="s">
        <v>150</v>
      </c>
      <c r="B805" s="100" t="s">
        <v>3</v>
      </c>
      <c r="C805" s="100" t="s">
        <v>883</v>
      </c>
    </row>
    <row r="806" spans="1:3" s="100" customFormat="1" x14ac:dyDescent="0.35">
      <c r="A806" s="100" t="s">
        <v>150</v>
      </c>
      <c r="B806" s="100" t="s">
        <v>3</v>
      </c>
      <c r="C806" s="100" t="s">
        <v>884</v>
      </c>
    </row>
    <row r="807" spans="1:3" s="100" customFormat="1" x14ac:dyDescent="0.35">
      <c r="A807" s="100" t="s">
        <v>150</v>
      </c>
      <c r="B807" s="100" t="s">
        <v>3</v>
      </c>
      <c r="C807" s="100" t="s">
        <v>885</v>
      </c>
    </row>
    <row r="808" spans="1:3" s="100" customFormat="1" x14ac:dyDescent="0.35">
      <c r="A808" s="100" t="s">
        <v>150</v>
      </c>
      <c r="B808" s="100" t="s">
        <v>3</v>
      </c>
      <c r="C808" s="100" t="s">
        <v>886</v>
      </c>
    </row>
    <row r="809" spans="1:3" s="100" customFormat="1" x14ac:dyDescent="0.35">
      <c r="A809" s="100" t="s">
        <v>150</v>
      </c>
      <c r="B809" s="100" t="s">
        <v>3</v>
      </c>
      <c r="C809" s="100" t="s">
        <v>887</v>
      </c>
    </row>
    <row r="810" spans="1:3" s="100" customFormat="1" x14ac:dyDescent="0.35">
      <c r="A810" s="100" t="s">
        <v>150</v>
      </c>
      <c r="B810" s="100" t="s">
        <v>3</v>
      </c>
      <c r="C810" s="100" t="s">
        <v>888</v>
      </c>
    </row>
    <row r="811" spans="1:3" s="100" customFormat="1" x14ac:dyDescent="0.35">
      <c r="A811" s="100" t="s">
        <v>150</v>
      </c>
      <c r="B811" s="100" t="s">
        <v>3</v>
      </c>
      <c r="C811" s="100" t="s">
        <v>889</v>
      </c>
    </row>
    <row r="812" spans="1:3" s="100" customFormat="1" x14ac:dyDescent="0.35">
      <c r="A812" s="100" t="s">
        <v>150</v>
      </c>
      <c r="B812" s="100" t="s">
        <v>3</v>
      </c>
      <c r="C812" s="100" t="s">
        <v>890</v>
      </c>
    </row>
    <row r="813" spans="1:3" s="100" customFormat="1" x14ac:dyDescent="0.35">
      <c r="A813" s="100" t="s">
        <v>150</v>
      </c>
      <c r="B813" s="100" t="s">
        <v>3</v>
      </c>
      <c r="C813" s="100" t="s">
        <v>891</v>
      </c>
    </row>
    <row r="814" spans="1:3" s="100" customFormat="1" x14ac:dyDescent="0.35">
      <c r="A814" s="100" t="s">
        <v>150</v>
      </c>
      <c r="B814" s="100" t="s">
        <v>3</v>
      </c>
      <c r="C814" s="100" t="s">
        <v>892</v>
      </c>
    </row>
    <row r="815" spans="1:3" s="100" customFormat="1" x14ac:dyDescent="0.35">
      <c r="A815" s="100" t="s">
        <v>150</v>
      </c>
      <c r="B815" s="100" t="s">
        <v>3</v>
      </c>
      <c r="C815" s="100" t="s">
        <v>893</v>
      </c>
    </row>
    <row r="816" spans="1:3" s="100" customFormat="1" x14ac:dyDescent="0.35">
      <c r="A816" s="100" t="s">
        <v>150</v>
      </c>
      <c r="B816" s="100" t="s">
        <v>3</v>
      </c>
      <c r="C816" s="100" t="s">
        <v>894</v>
      </c>
    </row>
    <row r="817" spans="1:3" s="100" customFormat="1" x14ac:dyDescent="0.35">
      <c r="A817" s="100" t="s">
        <v>150</v>
      </c>
      <c r="B817" s="100" t="s">
        <v>3</v>
      </c>
      <c r="C817" s="100" t="s">
        <v>895</v>
      </c>
    </row>
    <row r="818" spans="1:3" s="100" customFormat="1" x14ac:dyDescent="0.35">
      <c r="A818" s="100" t="s">
        <v>150</v>
      </c>
      <c r="B818" s="100" t="s">
        <v>3</v>
      </c>
      <c r="C818" s="100" t="s">
        <v>896</v>
      </c>
    </row>
    <row r="819" spans="1:3" s="100" customFormat="1" x14ac:dyDescent="0.35">
      <c r="A819" s="100" t="s">
        <v>150</v>
      </c>
      <c r="B819" s="100" t="s">
        <v>3</v>
      </c>
      <c r="C819" s="100" t="s">
        <v>897</v>
      </c>
    </row>
    <row r="820" spans="1:3" s="100" customFormat="1" x14ac:dyDescent="0.35">
      <c r="A820" s="100" t="s">
        <v>150</v>
      </c>
      <c r="B820" s="100" t="s">
        <v>3</v>
      </c>
      <c r="C820" s="100" t="s">
        <v>898</v>
      </c>
    </row>
    <row r="821" spans="1:3" s="100" customFormat="1" x14ac:dyDescent="0.35">
      <c r="A821" s="100" t="s">
        <v>150</v>
      </c>
      <c r="B821" s="100" t="s">
        <v>3</v>
      </c>
      <c r="C821" s="100" t="s">
        <v>899</v>
      </c>
    </row>
    <row r="822" spans="1:3" s="100" customFormat="1" x14ac:dyDescent="0.35">
      <c r="A822" s="100" t="s">
        <v>150</v>
      </c>
      <c r="B822" s="100" t="s">
        <v>3</v>
      </c>
      <c r="C822" s="100" t="s">
        <v>900</v>
      </c>
    </row>
    <row r="823" spans="1:3" s="100" customFormat="1" x14ac:dyDescent="0.35">
      <c r="A823" s="100" t="s">
        <v>150</v>
      </c>
      <c r="B823" s="100" t="s">
        <v>3</v>
      </c>
      <c r="C823" s="100" t="s">
        <v>901</v>
      </c>
    </row>
    <row r="824" spans="1:3" s="100" customFormat="1" x14ac:dyDescent="0.35">
      <c r="A824" s="100" t="s">
        <v>150</v>
      </c>
      <c r="B824" s="100" t="s">
        <v>3</v>
      </c>
      <c r="C824" s="100" t="s">
        <v>902</v>
      </c>
    </row>
    <row r="825" spans="1:3" s="100" customFormat="1" x14ac:dyDescent="0.35">
      <c r="A825" s="100" t="s">
        <v>150</v>
      </c>
      <c r="B825" s="100" t="s">
        <v>3</v>
      </c>
      <c r="C825" s="100" t="s">
        <v>903</v>
      </c>
    </row>
    <row r="826" spans="1:3" s="100" customFormat="1" x14ac:dyDescent="0.35">
      <c r="A826" s="100" t="s">
        <v>150</v>
      </c>
      <c r="B826" s="100" t="s">
        <v>3</v>
      </c>
      <c r="C826" s="100" t="s">
        <v>904</v>
      </c>
    </row>
    <row r="827" spans="1:3" s="100" customFormat="1" x14ac:dyDescent="0.35">
      <c r="A827" s="100" t="s">
        <v>150</v>
      </c>
      <c r="B827" s="100" t="s">
        <v>3</v>
      </c>
      <c r="C827" s="100" t="s">
        <v>905</v>
      </c>
    </row>
    <row r="828" spans="1:3" s="100" customFormat="1" x14ac:dyDescent="0.35">
      <c r="A828" s="100" t="s">
        <v>150</v>
      </c>
      <c r="B828" s="100" t="s">
        <v>3</v>
      </c>
      <c r="C828" s="100" t="s">
        <v>906</v>
      </c>
    </row>
    <row r="829" spans="1:3" s="100" customFormat="1" x14ac:dyDescent="0.35">
      <c r="A829" s="100" t="s">
        <v>150</v>
      </c>
      <c r="B829" s="100" t="s">
        <v>3</v>
      </c>
      <c r="C829" s="100" t="s">
        <v>907</v>
      </c>
    </row>
    <row r="830" spans="1:3" s="100" customFormat="1" x14ac:dyDescent="0.35">
      <c r="A830" s="100" t="s">
        <v>150</v>
      </c>
      <c r="B830" s="100" t="s">
        <v>3</v>
      </c>
      <c r="C830" s="100" t="s">
        <v>908</v>
      </c>
    </row>
    <row r="831" spans="1:3" s="100" customFormat="1" x14ac:dyDescent="0.35">
      <c r="A831" s="100" t="s">
        <v>150</v>
      </c>
      <c r="B831" s="100" t="s">
        <v>3</v>
      </c>
      <c r="C831" s="100" t="s">
        <v>909</v>
      </c>
    </row>
    <row r="832" spans="1:3" s="100" customFormat="1" x14ac:dyDescent="0.35">
      <c r="A832" s="100" t="s">
        <v>150</v>
      </c>
      <c r="B832" s="100" t="s">
        <v>3</v>
      </c>
      <c r="C832" s="100" t="s">
        <v>910</v>
      </c>
    </row>
    <row r="833" spans="1:3" s="100" customFormat="1" x14ac:dyDescent="0.35">
      <c r="A833" s="100" t="s">
        <v>150</v>
      </c>
      <c r="B833" s="100" t="s">
        <v>3</v>
      </c>
      <c r="C833" s="100" t="s">
        <v>911</v>
      </c>
    </row>
    <row r="834" spans="1:3" s="100" customFormat="1" x14ac:dyDescent="0.35">
      <c r="A834" s="100" t="s">
        <v>150</v>
      </c>
      <c r="B834" s="100" t="s">
        <v>3</v>
      </c>
      <c r="C834" s="100" t="s">
        <v>912</v>
      </c>
    </row>
    <row r="835" spans="1:3" s="100" customFormat="1" x14ac:dyDescent="0.35">
      <c r="A835" s="100" t="s">
        <v>150</v>
      </c>
      <c r="B835" s="100" t="s">
        <v>3</v>
      </c>
      <c r="C835" s="100" t="s">
        <v>913</v>
      </c>
    </row>
    <row r="836" spans="1:3" s="100" customFormat="1" x14ac:dyDescent="0.35">
      <c r="A836" s="100" t="s">
        <v>150</v>
      </c>
      <c r="B836" s="100" t="s">
        <v>3</v>
      </c>
      <c r="C836" s="100" t="s">
        <v>914</v>
      </c>
    </row>
    <row r="837" spans="1:3" s="100" customFormat="1" x14ac:dyDescent="0.35">
      <c r="A837" s="100" t="s">
        <v>150</v>
      </c>
      <c r="B837" s="100" t="s">
        <v>3</v>
      </c>
      <c r="C837" s="100" t="s">
        <v>915</v>
      </c>
    </row>
    <row r="838" spans="1:3" s="100" customFormat="1" x14ac:dyDescent="0.35">
      <c r="A838" s="100" t="s">
        <v>150</v>
      </c>
      <c r="B838" s="100" t="s">
        <v>3</v>
      </c>
      <c r="C838" s="100" t="s">
        <v>916</v>
      </c>
    </row>
    <row r="839" spans="1:3" s="100" customFormat="1" x14ac:dyDescent="0.35">
      <c r="A839" s="100" t="s">
        <v>150</v>
      </c>
      <c r="B839" s="100" t="s">
        <v>3</v>
      </c>
      <c r="C839" s="100" t="s">
        <v>917</v>
      </c>
    </row>
    <row r="840" spans="1:3" s="100" customFormat="1" x14ac:dyDescent="0.35">
      <c r="A840" s="100" t="s">
        <v>150</v>
      </c>
      <c r="B840" s="100" t="s">
        <v>3</v>
      </c>
      <c r="C840" s="100" t="s">
        <v>918</v>
      </c>
    </row>
    <row r="841" spans="1:3" s="100" customFormat="1" x14ac:dyDescent="0.35">
      <c r="A841" s="100" t="s">
        <v>150</v>
      </c>
      <c r="B841" s="100" t="s">
        <v>3</v>
      </c>
      <c r="C841" s="100" t="s">
        <v>919</v>
      </c>
    </row>
    <row r="842" spans="1:3" s="100" customFormat="1" x14ac:dyDescent="0.35">
      <c r="A842" s="100" t="s">
        <v>150</v>
      </c>
      <c r="B842" s="100" t="s">
        <v>3</v>
      </c>
      <c r="C842" s="100" t="s">
        <v>920</v>
      </c>
    </row>
    <row r="843" spans="1:3" s="100" customFormat="1" x14ac:dyDescent="0.35">
      <c r="A843" s="100" t="s">
        <v>150</v>
      </c>
      <c r="B843" s="100" t="s">
        <v>3</v>
      </c>
      <c r="C843" s="100" t="s">
        <v>921</v>
      </c>
    </row>
    <row r="844" spans="1:3" s="100" customFormat="1" x14ac:dyDescent="0.35">
      <c r="A844" s="100" t="s">
        <v>150</v>
      </c>
      <c r="B844" s="100" t="s">
        <v>3</v>
      </c>
      <c r="C844" s="100" t="s">
        <v>922</v>
      </c>
    </row>
    <row r="845" spans="1:3" s="100" customFormat="1" x14ac:dyDescent="0.35">
      <c r="A845" s="100" t="s">
        <v>150</v>
      </c>
      <c r="B845" s="100" t="s">
        <v>3</v>
      </c>
      <c r="C845" s="100" t="s">
        <v>923</v>
      </c>
    </row>
    <row r="846" spans="1:3" s="100" customFormat="1" x14ac:dyDescent="0.35">
      <c r="A846" s="100" t="s">
        <v>150</v>
      </c>
      <c r="B846" s="100" t="s">
        <v>3</v>
      </c>
      <c r="C846" s="100" t="s">
        <v>924</v>
      </c>
    </row>
    <row r="847" spans="1:3" s="100" customFormat="1" x14ac:dyDescent="0.35">
      <c r="A847" s="100" t="s">
        <v>150</v>
      </c>
      <c r="B847" s="100" t="s">
        <v>3</v>
      </c>
      <c r="C847" s="100" t="s">
        <v>925</v>
      </c>
    </row>
    <row r="848" spans="1:3" s="100" customFormat="1" x14ac:dyDescent="0.35">
      <c r="A848" s="100" t="s">
        <v>150</v>
      </c>
      <c r="B848" s="100" t="s">
        <v>3</v>
      </c>
      <c r="C848" s="100" t="s">
        <v>926</v>
      </c>
    </row>
    <row r="849" spans="1:3" s="100" customFormat="1" x14ac:dyDescent="0.35">
      <c r="A849" s="100" t="s">
        <v>150</v>
      </c>
      <c r="B849" s="100" t="s">
        <v>3</v>
      </c>
      <c r="C849" s="100" t="s">
        <v>927</v>
      </c>
    </row>
    <row r="850" spans="1:3" s="100" customFormat="1" x14ac:dyDescent="0.35">
      <c r="A850" s="100" t="s">
        <v>150</v>
      </c>
      <c r="B850" s="100" t="s">
        <v>3</v>
      </c>
      <c r="C850" s="100" t="s">
        <v>928</v>
      </c>
    </row>
    <row r="851" spans="1:3" s="100" customFormat="1" x14ac:dyDescent="0.35">
      <c r="A851" s="100" t="s">
        <v>150</v>
      </c>
      <c r="B851" s="100" t="s">
        <v>3</v>
      </c>
      <c r="C851" s="100" t="s">
        <v>929</v>
      </c>
    </row>
    <row r="852" spans="1:3" s="100" customFormat="1" x14ac:dyDescent="0.35">
      <c r="A852" s="100" t="s">
        <v>150</v>
      </c>
      <c r="B852" s="100" t="s">
        <v>3</v>
      </c>
      <c r="C852" s="100" t="s">
        <v>930</v>
      </c>
    </row>
    <row r="853" spans="1:3" s="100" customFormat="1" x14ac:dyDescent="0.35">
      <c r="A853" s="100" t="s">
        <v>150</v>
      </c>
      <c r="B853" s="100" t="s">
        <v>3</v>
      </c>
      <c r="C853" s="100" t="s">
        <v>931</v>
      </c>
    </row>
    <row r="854" spans="1:3" s="100" customFormat="1" x14ac:dyDescent="0.35">
      <c r="A854" s="100" t="s">
        <v>150</v>
      </c>
      <c r="B854" s="100" t="s">
        <v>3</v>
      </c>
      <c r="C854" s="100" t="s">
        <v>932</v>
      </c>
    </row>
    <row r="855" spans="1:3" s="100" customFormat="1" x14ac:dyDescent="0.35">
      <c r="A855" s="100" t="s">
        <v>150</v>
      </c>
      <c r="B855" s="100" t="s">
        <v>3</v>
      </c>
      <c r="C855" s="100" t="s">
        <v>933</v>
      </c>
    </row>
    <row r="856" spans="1:3" s="100" customFormat="1" x14ac:dyDescent="0.35">
      <c r="A856" s="100" t="s">
        <v>150</v>
      </c>
      <c r="B856" s="100" t="s">
        <v>3</v>
      </c>
      <c r="C856" s="100" t="s">
        <v>934</v>
      </c>
    </row>
    <row r="857" spans="1:3" s="100" customFormat="1" x14ac:dyDescent="0.35">
      <c r="A857" s="100" t="s">
        <v>150</v>
      </c>
      <c r="B857" s="100" t="s">
        <v>3</v>
      </c>
      <c r="C857" s="100" t="s">
        <v>935</v>
      </c>
    </row>
    <row r="858" spans="1:3" s="100" customFormat="1" x14ac:dyDescent="0.35">
      <c r="A858" s="100" t="s">
        <v>150</v>
      </c>
      <c r="B858" s="100" t="s">
        <v>3</v>
      </c>
      <c r="C858" s="100" t="s">
        <v>936</v>
      </c>
    </row>
    <row r="859" spans="1:3" s="100" customFormat="1" x14ac:dyDescent="0.35">
      <c r="A859" s="100" t="s">
        <v>150</v>
      </c>
      <c r="B859" s="100" t="s">
        <v>3</v>
      </c>
      <c r="C859" s="100" t="s">
        <v>937</v>
      </c>
    </row>
    <row r="860" spans="1:3" s="100" customFormat="1" x14ac:dyDescent="0.35">
      <c r="A860" s="100" t="s">
        <v>150</v>
      </c>
      <c r="B860" s="100" t="s">
        <v>3</v>
      </c>
      <c r="C860" s="100" t="s">
        <v>938</v>
      </c>
    </row>
    <row r="861" spans="1:3" s="100" customFormat="1" x14ac:dyDescent="0.35">
      <c r="A861" s="100" t="s">
        <v>150</v>
      </c>
      <c r="B861" s="100" t="s">
        <v>3</v>
      </c>
      <c r="C861" s="100" t="s">
        <v>939</v>
      </c>
    </row>
    <row r="862" spans="1:3" s="100" customFormat="1" x14ac:dyDescent="0.35">
      <c r="A862" s="100" t="s">
        <v>150</v>
      </c>
      <c r="B862" s="100" t="s">
        <v>3</v>
      </c>
      <c r="C862" s="100" t="s">
        <v>940</v>
      </c>
    </row>
    <row r="863" spans="1:3" s="100" customFormat="1" x14ac:dyDescent="0.35">
      <c r="A863" s="100" t="s">
        <v>150</v>
      </c>
      <c r="B863" s="100" t="s">
        <v>3</v>
      </c>
      <c r="C863" s="100" t="s">
        <v>941</v>
      </c>
    </row>
    <row r="864" spans="1:3" s="100" customFormat="1" x14ac:dyDescent="0.35">
      <c r="A864" s="100" t="s">
        <v>150</v>
      </c>
      <c r="B864" s="100" t="s">
        <v>3</v>
      </c>
      <c r="C864" s="100" t="s">
        <v>942</v>
      </c>
    </row>
    <row r="865" spans="1:3" s="100" customFormat="1" x14ac:dyDescent="0.35">
      <c r="A865" s="100" t="s">
        <v>150</v>
      </c>
      <c r="B865" s="100" t="s">
        <v>3</v>
      </c>
      <c r="C865" s="100" t="s">
        <v>943</v>
      </c>
    </row>
    <row r="866" spans="1:3" s="100" customFormat="1" x14ac:dyDescent="0.35">
      <c r="A866" s="100" t="s">
        <v>150</v>
      </c>
      <c r="B866" s="100" t="s">
        <v>3</v>
      </c>
      <c r="C866" s="100" t="s">
        <v>944</v>
      </c>
    </row>
    <row r="867" spans="1:3" s="100" customFormat="1" x14ac:dyDescent="0.35">
      <c r="A867" s="100" t="s">
        <v>150</v>
      </c>
      <c r="B867" s="100" t="s">
        <v>3</v>
      </c>
      <c r="C867" s="100" t="s">
        <v>945</v>
      </c>
    </row>
    <row r="868" spans="1:3" s="100" customFormat="1" x14ac:dyDescent="0.35">
      <c r="A868" s="100" t="s">
        <v>150</v>
      </c>
      <c r="B868" s="100" t="s">
        <v>3</v>
      </c>
      <c r="C868" s="100" t="s">
        <v>946</v>
      </c>
    </row>
    <row r="869" spans="1:3" s="100" customFormat="1" x14ac:dyDescent="0.35">
      <c r="A869" s="100" t="s">
        <v>150</v>
      </c>
      <c r="B869" s="100" t="s">
        <v>3</v>
      </c>
      <c r="C869" s="100" t="s">
        <v>947</v>
      </c>
    </row>
    <row r="870" spans="1:3" s="100" customFormat="1" x14ac:dyDescent="0.35">
      <c r="A870" s="100" t="s">
        <v>150</v>
      </c>
      <c r="B870" s="100" t="s">
        <v>3</v>
      </c>
      <c r="C870" s="100" t="s">
        <v>948</v>
      </c>
    </row>
    <row r="871" spans="1:3" s="100" customFormat="1" x14ac:dyDescent="0.35">
      <c r="A871" s="100" t="s">
        <v>150</v>
      </c>
      <c r="B871" s="100" t="s">
        <v>3</v>
      </c>
      <c r="C871" s="100" t="s">
        <v>949</v>
      </c>
    </row>
    <row r="872" spans="1:3" s="100" customFormat="1" x14ac:dyDescent="0.35">
      <c r="A872" s="100" t="s">
        <v>150</v>
      </c>
      <c r="B872" s="100" t="s">
        <v>3</v>
      </c>
      <c r="C872" s="100" t="s">
        <v>950</v>
      </c>
    </row>
    <row r="873" spans="1:3" s="100" customFormat="1" x14ac:dyDescent="0.35">
      <c r="A873" s="100" t="s">
        <v>150</v>
      </c>
      <c r="B873" s="100" t="s">
        <v>3</v>
      </c>
      <c r="C873" s="100" t="s">
        <v>951</v>
      </c>
    </row>
    <row r="874" spans="1:3" s="100" customFormat="1" x14ac:dyDescent="0.35">
      <c r="A874" s="100" t="s">
        <v>150</v>
      </c>
      <c r="B874" s="100" t="s">
        <v>3</v>
      </c>
      <c r="C874" s="100" t="s">
        <v>952</v>
      </c>
    </row>
    <row r="875" spans="1:3" s="100" customFormat="1" x14ac:dyDescent="0.35">
      <c r="A875" s="100" t="s">
        <v>150</v>
      </c>
      <c r="B875" s="100" t="s">
        <v>3</v>
      </c>
      <c r="C875" s="100" t="s">
        <v>953</v>
      </c>
    </row>
    <row r="876" spans="1:3" s="100" customFormat="1" x14ac:dyDescent="0.35">
      <c r="A876" s="100" t="s">
        <v>150</v>
      </c>
      <c r="B876" s="100" t="s">
        <v>3</v>
      </c>
      <c r="C876" s="100" t="s">
        <v>954</v>
      </c>
    </row>
    <row r="877" spans="1:3" s="100" customFormat="1" x14ac:dyDescent="0.35">
      <c r="A877" s="100" t="s">
        <v>150</v>
      </c>
      <c r="B877" s="100" t="s">
        <v>3</v>
      </c>
      <c r="C877" s="100" t="s">
        <v>955</v>
      </c>
    </row>
    <row r="878" spans="1:3" s="100" customFormat="1" x14ac:dyDescent="0.35">
      <c r="A878" s="100" t="s">
        <v>150</v>
      </c>
      <c r="B878" s="100" t="s">
        <v>3</v>
      </c>
      <c r="C878" s="100" t="s">
        <v>956</v>
      </c>
    </row>
    <row r="879" spans="1:3" s="100" customFormat="1" x14ac:dyDescent="0.35">
      <c r="A879" s="100" t="s">
        <v>150</v>
      </c>
      <c r="B879" s="100" t="s">
        <v>3</v>
      </c>
      <c r="C879" s="100" t="s">
        <v>957</v>
      </c>
    </row>
    <row r="880" spans="1:3" s="100" customFormat="1" x14ac:dyDescent="0.35">
      <c r="A880" s="100" t="s">
        <v>150</v>
      </c>
      <c r="B880" s="100" t="s">
        <v>3</v>
      </c>
      <c r="C880" s="100" t="s">
        <v>958</v>
      </c>
    </row>
    <row r="881" spans="1:3" s="100" customFormat="1" x14ac:dyDescent="0.35">
      <c r="A881" s="100" t="s">
        <v>150</v>
      </c>
      <c r="B881" s="100" t="s">
        <v>3</v>
      </c>
      <c r="C881" s="100" t="s">
        <v>959</v>
      </c>
    </row>
    <row r="882" spans="1:3" s="100" customFormat="1" x14ac:dyDescent="0.35">
      <c r="A882" s="100" t="s">
        <v>150</v>
      </c>
      <c r="B882" s="100" t="s">
        <v>3</v>
      </c>
      <c r="C882" s="100" t="s">
        <v>960</v>
      </c>
    </row>
    <row r="883" spans="1:3" s="100" customFormat="1" x14ac:dyDescent="0.35">
      <c r="A883" s="100" t="s">
        <v>150</v>
      </c>
      <c r="B883" s="100" t="s">
        <v>3</v>
      </c>
      <c r="C883" s="100" t="s">
        <v>961</v>
      </c>
    </row>
    <row r="884" spans="1:3" s="100" customFormat="1" x14ac:dyDescent="0.35">
      <c r="A884" s="100" t="s">
        <v>150</v>
      </c>
      <c r="B884" s="100" t="s">
        <v>3</v>
      </c>
      <c r="C884" s="100" t="s">
        <v>962</v>
      </c>
    </row>
    <row r="885" spans="1:3" s="100" customFormat="1" x14ac:dyDescent="0.35">
      <c r="A885" s="100" t="s">
        <v>150</v>
      </c>
      <c r="B885" s="100" t="s">
        <v>3</v>
      </c>
      <c r="C885" s="100" t="s">
        <v>963</v>
      </c>
    </row>
    <row r="886" spans="1:3" s="100" customFormat="1" x14ac:dyDescent="0.35">
      <c r="A886" s="100" t="s">
        <v>150</v>
      </c>
      <c r="B886" s="100" t="s">
        <v>3</v>
      </c>
      <c r="C886" s="100" t="s">
        <v>964</v>
      </c>
    </row>
    <row r="887" spans="1:3" s="100" customFormat="1" x14ac:dyDescent="0.35">
      <c r="A887" s="100" t="s">
        <v>150</v>
      </c>
      <c r="B887" s="100" t="s">
        <v>3</v>
      </c>
      <c r="C887" s="100" t="s">
        <v>965</v>
      </c>
    </row>
    <row r="888" spans="1:3" s="100" customFormat="1" x14ac:dyDescent="0.35">
      <c r="A888" s="100" t="s">
        <v>150</v>
      </c>
      <c r="B888" s="100" t="s">
        <v>3</v>
      </c>
      <c r="C888" s="100" t="s">
        <v>966</v>
      </c>
    </row>
    <row r="889" spans="1:3" s="100" customFormat="1" x14ac:dyDescent="0.35">
      <c r="A889" s="100" t="s">
        <v>150</v>
      </c>
      <c r="B889" s="100" t="s">
        <v>3</v>
      </c>
      <c r="C889" s="100" t="s">
        <v>967</v>
      </c>
    </row>
    <row r="890" spans="1:3" s="100" customFormat="1" x14ac:dyDescent="0.35">
      <c r="A890" s="100" t="s">
        <v>150</v>
      </c>
      <c r="B890" s="100" t="s">
        <v>3</v>
      </c>
      <c r="C890" s="100" t="s">
        <v>968</v>
      </c>
    </row>
    <row r="891" spans="1:3" s="100" customFormat="1" x14ac:dyDescent="0.35">
      <c r="A891" s="100" t="s">
        <v>150</v>
      </c>
      <c r="B891" s="100" t="s">
        <v>3</v>
      </c>
      <c r="C891" s="100" t="s">
        <v>969</v>
      </c>
    </row>
    <row r="892" spans="1:3" s="100" customFormat="1" x14ac:dyDescent="0.35">
      <c r="A892" s="100" t="s">
        <v>150</v>
      </c>
      <c r="B892" s="100" t="s">
        <v>3</v>
      </c>
      <c r="C892" s="100" t="s">
        <v>970</v>
      </c>
    </row>
    <row r="893" spans="1:3" s="100" customFormat="1" x14ac:dyDescent="0.35">
      <c r="A893" s="100" t="s">
        <v>150</v>
      </c>
      <c r="B893" s="100" t="s">
        <v>3</v>
      </c>
      <c r="C893" s="100" t="s">
        <v>971</v>
      </c>
    </row>
    <row r="894" spans="1:3" s="100" customFormat="1" x14ac:dyDescent="0.35">
      <c r="A894" s="100" t="s">
        <v>150</v>
      </c>
      <c r="B894" s="100" t="s">
        <v>3</v>
      </c>
      <c r="C894" s="100" t="s">
        <v>972</v>
      </c>
    </row>
    <row r="895" spans="1:3" s="100" customFormat="1" x14ac:dyDescent="0.35">
      <c r="A895" s="100" t="s">
        <v>150</v>
      </c>
      <c r="B895" s="100" t="s">
        <v>3</v>
      </c>
      <c r="C895" s="100" t="s">
        <v>973</v>
      </c>
    </row>
    <row r="896" spans="1:3" s="100" customFormat="1" x14ac:dyDescent="0.35">
      <c r="A896" s="100" t="s">
        <v>150</v>
      </c>
      <c r="B896" s="100" t="s">
        <v>3</v>
      </c>
      <c r="C896" s="100" t="s">
        <v>974</v>
      </c>
    </row>
    <row r="897" spans="1:3" s="100" customFormat="1" x14ac:dyDescent="0.35">
      <c r="A897" s="100" t="s">
        <v>150</v>
      </c>
      <c r="B897" s="100" t="s">
        <v>3</v>
      </c>
      <c r="C897" s="100" t="s">
        <v>975</v>
      </c>
    </row>
    <row r="898" spans="1:3" s="100" customFormat="1" x14ac:dyDescent="0.35">
      <c r="A898" s="100" t="s">
        <v>150</v>
      </c>
      <c r="B898" s="100" t="s">
        <v>3</v>
      </c>
      <c r="C898" s="100" t="s">
        <v>976</v>
      </c>
    </row>
    <row r="899" spans="1:3" s="100" customFormat="1" x14ac:dyDescent="0.35">
      <c r="A899" s="100" t="s">
        <v>150</v>
      </c>
      <c r="B899" s="100" t="s">
        <v>3</v>
      </c>
      <c r="C899" s="100" t="s">
        <v>977</v>
      </c>
    </row>
    <row r="900" spans="1:3" s="100" customFormat="1" x14ac:dyDescent="0.35">
      <c r="A900" s="100" t="s">
        <v>150</v>
      </c>
      <c r="B900" s="100" t="s">
        <v>3</v>
      </c>
      <c r="C900" s="100" t="s">
        <v>978</v>
      </c>
    </row>
    <row r="901" spans="1:3" s="100" customFormat="1" x14ac:dyDescent="0.35">
      <c r="A901" s="100" t="s">
        <v>150</v>
      </c>
      <c r="B901" s="100" t="s">
        <v>3</v>
      </c>
      <c r="C901" s="100" t="s">
        <v>979</v>
      </c>
    </row>
    <row r="902" spans="1:3" s="100" customFormat="1" x14ac:dyDescent="0.35">
      <c r="A902" s="100" t="s">
        <v>150</v>
      </c>
      <c r="B902" s="100" t="s">
        <v>3</v>
      </c>
      <c r="C902" s="100" t="s">
        <v>980</v>
      </c>
    </row>
    <row r="903" spans="1:3" s="100" customFormat="1" x14ac:dyDescent="0.35">
      <c r="A903" s="100" t="s">
        <v>150</v>
      </c>
      <c r="B903" s="100" t="s">
        <v>3</v>
      </c>
      <c r="C903" s="100" t="s">
        <v>981</v>
      </c>
    </row>
    <row r="904" spans="1:3" s="100" customFormat="1" x14ac:dyDescent="0.35">
      <c r="A904" s="100" t="s">
        <v>150</v>
      </c>
      <c r="B904" s="100" t="s">
        <v>3</v>
      </c>
      <c r="C904" s="100" t="s">
        <v>982</v>
      </c>
    </row>
    <row r="905" spans="1:3" s="100" customFormat="1" x14ac:dyDescent="0.35">
      <c r="A905" s="100" t="s">
        <v>150</v>
      </c>
      <c r="B905" s="100" t="s">
        <v>3</v>
      </c>
      <c r="C905" s="100" t="s">
        <v>983</v>
      </c>
    </row>
    <row r="906" spans="1:3" s="100" customFormat="1" x14ac:dyDescent="0.35">
      <c r="A906" s="100" t="s">
        <v>150</v>
      </c>
      <c r="B906" s="100" t="s">
        <v>3</v>
      </c>
      <c r="C906" s="100" t="s">
        <v>984</v>
      </c>
    </row>
    <row r="907" spans="1:3" s="100" customFormat="1" x14ac:dyDescent="0.35">
      <c r="A907" s="100" t="s">
        <v>150</v>
      </c>
      <c r="B907" s="100" t="s">
        <v>3</v>
      </c>
      <c r="C907" s="100" t="s">
        <v>985</v>
      </c>
    </row>
    <row r="908" spans="1:3" s="100" customFormat="1" x14ac:dyDescent="0.35">
      <c r="A908" s="100" t="s">
        <v>150</v>
      </c>
      <c r="B908" s="100" t="s">
        <v>3</v>
      </c>
      <c r="C908" s="100" t="s">
        <v>986</v>
      </c>
    </row>
    <row r="909" spans="1:3" s="100" customFormat="1" x14ac:dyDescent="0.35">
      <c r="A909" s="100" t="s">
        <v>150</v>
      </c>
      <c r="B909" s="100" t="s">
        <v>3</v>
      </c>
      <c r="C909" s="100" t="s">
        <v>987</v>
      </c>
    </row>
    <row r="910" spans="1:3" s="100" customFormat="1" x14ac:dyDescent="0.35">
      <c r="A910" s="100" t="s">
        <v>150</v>
      </c>
      <c r="B910" s="100" t="s">
        <v>3</v>
      </c>
      <c r="C910" s="100" t="s">
        <v>988</v>
      </c>
    </row>
    <row r="911" spans="1:3" s="100" customFormat="1" x14ac:dyDescent="0.35">
      <c r="A911" s="100" t="s">
        <v>150</v>
      </c>
      <c r="B911" s="100" t="s">
        <v>3</v>
      </c>
      <c r="C911" s="100" t="s">
        <v>989</v>
      </c>
    </row>
    <row r="912" spans="1:3" s="100" customFormat="1" x14ac:dyDescent="0.35">
      <c r="A912" s="100" t="s">
        <v>150</v>
      </c>
      <c r="B912" s="100" t="s">
        <v>3</v>
      </c>
      <c r="C912" s="100" t="s">
        <v>990</v>
      </c>
    </row>
    <row r="913" spans="1:3" s="100" customFormat="1" x14ac:dyDescent="0.35">
      <c r="A913" s="100" t="s">
        <v>150</v>
      </c>
      <c r="B913" s="100" t="s">
        <v>3</v>
      </c>
      <c r="C913" s="100" t="s">
        <v>991</v>
      </c>
    </row>
    <row r="914" spans="1:3" s="100" customFormat="1" x14ac:dyDescent="0.35">
      <c r="A914" s="100" t="s">
        <v>150</v>
      </c>
      <c r="B914" s="100" t="s">
        <v>3</v>
      </c>
      <c r="C914" s="100" t="s">
        <v>992</v>
      </c>
    </row>
    <row r="915" spans="1:3" s="100" customFormat="1" x14ac:dyDescent="0.35">
      <c r="A915" s="100" t="s">
        <v>150</v>
      </c>
      <c r="B915" s="100" t="s">
        <v>3</v>
      </c>
      <c r="C915" s="100" t="s">
        <v>993</v>
      </c>
    </row>
    <row r="916" spans="1:3" s="100" customFormat="1" x14ac:dyDescent="0.35">
      <c r="A916" s="100" t="s">
        <v>150</v>
      </c>
      <c r="B916" s="100" t="s">
        <v>3</v>
      </c>
      <c r="C916" s="100" t="s">
        <v>994</v>
      </c>
    </row>
    <row r="917" spans="1:3" s="100" customFormat="1" x14ac:dyDescent="0.35">
      <c r="A917" s="100" t="s">
        <v>150</v>
      </c>
      <c r="B917" s="100" t="s">
        <v>3</v>
      </c>
      <c r="C917" s="100" t="s">
        <v>995</v>
      </c>
    </row>
    <row r="918" spans="1:3" s="100" customFormat="1" x14ac:dyDescent="0.35">
      <c r="A918" s="100" t="s">
        <v>150</v>
      </c>
      <c r="B918" s="100" t="s">
        <v>3</v>
      </c>
      <c r="C918" s="100" t="s">
        <v>996</v>
      </c>
    </row>
    <row r="919" spans="1:3" s="100" customFormat="1" x14ac:dyDescent="0.35">
      <c r="A919" s="100" t="s">
        <v>150</v>
      </c>
      <c r="B919" s="100" t="s">
        <v>3</v>
      </c>
      <c r="C919" s="100" t="s">
        <v>997</v>
      </c>
    </row>
    <row r="920" spans="1:3" s="100" customFormat="1" x14ac:dyDescent="0.35">
      <c r="A920" s="100" t="s">
        <v>150</v>
      </c>
      <c r="B920" s="100" t="s">
        <v>3</v>
      </c>
      <c r="C920" s="100" t="s">
        <v>998</v>
      </c>
    </row>
    <row r="921" spans="1:3" s="100" customFormat="1" x14ac:dyDescent="0.35">
      <c r="A921" s="100" t="s">
        <v>150</v>
      </c>
      <c r="B921" s="100" t="s">
        <v>3</v>
      </c>
      <c r="C921" s="100" t="s">
        <v>999</v>
      </c>
    </row>
    <row r="922" spans="1:3" s="100" customFormat="1" x14ac:dyDescent="0.35">
      <c r="A922" s="100" t="s">
        <v>150</v>
      </c>
      <c r="B922" s="100" t="s">
        <v>3</v>
      </c>
      <c r="C922" s="100" t="s">
        <v>1000</v>
      </c>
    </row>
    <row r="923" spans="1:3" s="100" customFormat="1" x14ac:dyDescent="0.35">
      <c r="A923" s="100" t="s">
        <v>150</v>
      </c>
      <c r="B923" s="100" t="s">
        <v>3</v>
      </c>
      <c r="C923" s="100" t="s">
        <v>1001</v>
      </c>
    </row>
    <row r="924" spans="1:3" s="100" customFormat="1" x14ac:dyDescent="0.35">
      <c r="A924" s="100" t="s">
        <v>150</v>
      </c>
      <c r="B924" s="100" t="s">
        <v>3</v>
      </c>
      <c r="C924" s="100" t="s">
        <v>1002</v>
      </c>
    </row>
    <row r="925" spans="1:3" s="100" customFormat="1" x14ac:dyDescent="0.35">
      <c r="A925" s="100" t="s">
        <v>150</v>
      </c>
      <c r="B925" s="100" t="s">
        <v>3</v>
      </c>
      <c r="C925" s="100" t="s">
        <v>1003</v>
      </c>
    </row>
    <row r="926" spans="1:3" s="100" customFormat="1" x14ac:dyDescent="0.35">
      <c r="A926" s="100" t="s">
        <v>150</v>
      </c>
      <c r="B926" s="100" t="s">
        <v>3</v>
      </c>
      <c r="C926" s="100" t="s">
        <v>1004</v>
      </c>
    </row>
    <row r="927" spans="1:3" s="100" customFormat="1" x14ac:dyDescent="0.35">
      <c r="A927" s="100" t="s">
        <v>150</v>
      </c>
      <c r="B927" s="100" t="s">
        <v>3</v>
      </c>
      <c r="C927" s="100" t="s">
        <v>1005</v>
      </c>
    </row>
    <row r="928" spans="1:3" s="100" customFormat="1" x14ac:dyDescent="0.35">
      <c r="A928" s="100" t="s">
        <v>150</v>
      </c>
      <c r="B928" s="100" t="s">
        <v>3</v>
      </c>
      <c r="C928" s="100" t="s">
        <v>1006</v>
      </c>
    </row>
    <row r="929" spans="1:3" s="100" customFormat="1" x14ac:dyDescent="0.35">
      <c r="A929" s="100" t="s">
        <v>150</v>
      </c>
      <c r="B929" s="100" t="s">
        <v>3</v>
      </c>
      <c r="C929" s="100" t="s">
        <v>1007</v>
      </c>
    </row>
    <row r="930" spans="1:3" s="100" customFormat="1" x14ac:dyDescent="0.35">
      <c r="A930" s="100" t="s">
        <v>150</v>
      </c>
      <c r="B930" s="100" t="s">
        <v>3</v>
      </c>
      <c r="C930" s="100" t="s">
        <v>1008</v>
      </c>
    </row>
    <row r="931" spans="1:3" s="100" customFormat="1" x14ac:dyDescent="0.35">
      <c r="A931" s="100" t="s">
        <v>150</v>
      </c>
      <c r="B931" s="100" t="s">
        <v>3</v>
      </c>
      <c r="C931" s="100" t="s">
        <v>1009</v>
      </c>
    </row>
    <row r="932" spans="1:3" s="100" customFormat="1" x14ac:dyDescent="0.35">
      <c r="A932" s="100" t="s">
        <v>150</v>
      </c>
      <c r="B932" s="100" t="s">
        <v>3</v>
      </c>
      <c r="C932" s="100" t="s">
        <v>1010</v>
      </c>
    </row>
    <row r="933" spans="1:3" s="100" customFormat="1" x14ac:dyDescent="0.35">
      <c r="A933" s="100" t="s">
        <v>150</v>
      </c>
      <c r="B933" s="100" t="s">
        <v>3</v>
      </c>
      <c r="C933" s="100" t="s">
        <v>1011</v>
      </c>
    </row>
    <row r="934" spans="1:3" s="100" customFormat="1" x14ac:dyDescent="0.35">
      <c r="A934" s="100" t="s">
        <v>150</v>
      </c>
      <c r="B934" s="100" t="s">
        <v>3</v>
      </c>
      <c r="C934" s="100" t="s">
        <v>1012</v>
      </c>
    </row>
    <row r="935" spans="1:3" s="100" customFormat="1" x14ac:dyDescent="0.35">
      <c r="A935" s="100" t="s">
        <v>150</v>
      </c>
      <c r="B935" s="100" t="s">
        <v>3</v>
      </c>
      <c r="C935" s="100" t="s">
        <v>1013</v>
      </c>
    </row>
    <row r="936" spans="1:3" s="100" customFormat="1" x14ac:dyDescent="0.35">
      <c r="A936" s="100" t="s">
        <v>150</v>
      </c>
      <c r="B936" s="100" t="s">
        <v>3</v>
      </c>
      <c r="C936" s="100" t="s">
        <v>1014</v>
      </c>
    </row>
    <row r="937" spans="1:3" s="100" customFormat="1" x14ac:dyDescent="0.35">
      <c r="A937" s="100" t="s">
        <v>150</v>
      </c>
      <c r="B937" s="100" t="s">
        <v>3</v>
      </c>
      <c r="C937" s="100" t="s">
        <v>1015</v>
      </c>
    </row>
    <row r="938" spans="1:3" s="100" customFormat="1" x14ac:dyDescent="0.35">
      <c r="A938" s="100" t="s">
        <v>150</v>
      </c>
      <c r="B938" s="100" t="s">
        <v>3</v>
      </c>
      <c r="C938" s="100" t="s">
        <v>1016</v>
      </c>
    </row>
    <row r="939" spans="1:3" s="100" customFormat="1" x14ac:dyDescent="0.35">
      <c r="A939" s="100" t="s">
        <v>150</v>
      </c>
      <c r="B939" s="100" t="s">
        <v>3</v>
      </c>
      <c r="C939" s="100" t="s">
        <v>1017</v>
      </c>
    </row>
    <row r="940" spans="1:3" s="100" customFormat="1" x14ac:dyDescent="0.35">
      <c r="A940" s="100" t="s">
        <v>150</v>
      </c>
      <c r="B940" s="100" t="s">
        <v>3</v>
      </c>
      <c r="C940" s="100" t="s">
        <v>1018</v>
      </c>
    </row>
    <row r="941" spans="1:3" s="100" customFormat="1" x14ac:dyDescent="0.35">
      <c r="A941" s="100" t="s">
        <v>150</v>
      </c>
      <c r="B941" s="100" t="s">
        <v>3</v>
      </c>
      <c r="C941" s="100" t="s">
        <v>1019</v>
      </c>
    </row>
    <row r="942" spans="1:3" s="100" customFormat="1" x14ac:dyDescent="0.35">
      <c r="A942" s="100" t="s">
        <v>150</v>
      </c>
      <c r="B942" s="100" t="s">
        <v>3</v>
      </c>
      <c r="C942" s="100" t="s">
        <v>1020</v>
      </c>
    </row>
    <row r="943" spans="1:3" s="100" customFormat="1" x14ac:dyDescent="0.35">
      <c r="A943" s="100" t="s">
        <v>150</v>
      </c>
      <c r="B943" s="100" t="s">
        <v>3</v>
      </c>
      <c r="C943" s="100" t="s">
        <v>1021</v>
      </c>
    </row>
    <row r="944" spans="1:3" s="100" customFormat="1" x14ac:dyDescent="0.35">
      <c r="A944" s="100" t="s">
        <v>150</v>
      </c>
      <c r="B944" s="100" t="s">
        <v>3</v>
      </c>
      <c r="C944" s="100" t="s">
        <v>1022</v>
      </c>
    </row>
    <row r="945" spans="1:3" s="100" customFormat="1" x14ac:dyDescent="0.35">
      <c r="A945" s="100" t="s">
        <v>150</v>
      </c>
      <c r="B945" s="100" t="s">
        <v>3</v>
      </c>
      <c r="C945" s="100" t="s">
        <v>1023</v>
      </c>
    </row>
    <row r="946" spans="1:3" s="100" customFormat="1" x14ac:dyDescent="0.35">
      <c r="A946" s="100" t="s">
        <v>150</v>
      </c>
      <c r="B946" s="100" t="s">
        <v>3</v>
      </c>
      <c r="C946" s="100" t="s">
        <v>1024</v>
      </c>
    </row>
    <row r="947" spans="1:3" s="100" customFormat="1" x14ac:dyDescent="0.35">
      <c r="A947" s="100" t="s">
        <v>150</v>
      </c>
      <c r="B947" s="100" t="s">
        <v>3</v>
      </c>
      <c r="C947" s="100" t="s">
        <v>1025</v>
      </c>
    </row>
    <row r="948" spans="1:3" s="100" customFormat="1" x14ac:dyDescent="0.35">
      <c r="A948" s="100" t="s">
        <v>150</v>
      </c>
      <c r="B948" s="100" t="s">
        <v>3</v>
      </c>
      <c r="C948" s="100" t="s">
        <v>1026</v>
      </c>
    </row>
    <row r="949" spans="1:3" s="100" customFormat="1" x14ac:dyDescent="0.35">
      <c r="A949" s="100" t="s">
        <v>150</v>
      </c>
      <c r="B949" s="100" t="s">
        <v>3</v>
      </c>
      <c r="C949" s="100" t="s">
        <v>1027</v>
      </c>
    </row>
    <row r="950" spans="1:3" s="100" customFormat="1" x14ac:dyDescent="0.35">
      <c r="A950" s="100" t="s">
        <v>150</v>
      </c>
      <c r="B950" s="100" t="s">
        <v>3</v>
      </c>
      <c r="C950" s="100" t="s">
        <v>1028</v>
      </c>
    </row>
    <row r="951" spans="1:3" s="100" customFormat="1" x14ac:dyDescent="0.35">
      <c r="A951" s="100" t="s">
        <v>150</v>
      </c>
      <c r="B951" s="100" t="s">
        <v>3</v>
      </c>
      <c r="C951" s="100" t="s">
        <v>1029</v>
      </c>
    </row>
    <row r="952" spans="1:3" s="100" customFormat="1" x14ac:dyDescent="0.35">
      <c r="A952" s="100" t="s">
        <v>150</v>
      </c>
      <c r="B952" s="100" t="s">
        <v>3</v>
      </c>
      <c r="C952" s="100" t="s">
        <v>1030</v>
      </c>
    </row>
    <row r="953" spans="1:3" s="100" customFormat="1" x14ac:dyDescent="0.35">
      <c r="A953" s="100" t="s">
        <v>150</v>
      </c>
      <c r="B953" s="100" t="s">
        <v>3</v>
      </c>
      <c r="C953" s="100" t="s">
        <v>1031</v>
      </c>
    </row>
    <row r="954" spans="1:3" s="100" customFormat="1" x14ac:dyDescent="0.35">
      <c r="A954" s="100" t="s">
        <v>150</v>
      </c>
      <c r="B954" s="100" t="s">
        <v>3</v>
      </c>
      <c r="C954" s="100" t="s">
        <v>1032</v>
      </c>
    </row>
    <row r="955" spans="1:3" s="100" customFormat="1" x14ac:dyDescent="0.35">
      <c r="A955" s="100" t="s">
        <v>150</v>
      </c>
      <c r="B955" s="100" t="s">
        <v>3</v>
      </c>
      <c r="C955" s="100" t="s">
        <v>1033</v>
      </c>
    </row>
    <row r="956" spans="1:3" s="100" customFormat="1" x14ac:dyDescent="0.35">
      <c r="A956" s="100" t="s">
        <v>150</v>
      </c>
      <c r="B956" s="100" t="s">
        <v>3</v>
      </c>
      <c r="C956" s="100" t="s">
        <v>1034</v>
      </c>
    </row>
    <row r="957" spans="1:3" s="100" customFormat="1" x14ac:dyDescent="0.35">
      <c r="A957" s="100" t="s">
        <v>150</v>
      </c>
      <c r="B957" s="100" t="s">
        <v>3</v>
      </c>
      <c r="C957" s="100" t="s">
        <v>1035</v>
      </c>
    </row>
    <row r="958" spans="1:3" s="100" customFormat="1" x14ac:dyDescent="0.35">
      <c r="A958" s="100" t="s">
        <v>150</v>
      </c>
      <c r="B958" s="100" t="s">
        <v>3</v>
      </c>
      <c r="C958" s="100" t="s">
        <v>1036</v>
      </c>
    </row>
    <row r="959" spans="1:3" s="100" customFormat="1" x14ac:dyDescent="0.35">
      <c r="A959" s="100" t="s">
        <v>150</v>
      </c>
      <c r="B959" s="100" t="s">
        <v>3</v>
      </c>
      <c r="C959" s="100" t="s">
        <v>1037</v>
      </c>
    </row>
    <row r="960" spans="1:3" s="100" customFormat="1" x14ac:dyDescent="0.35">
      <c r="A960" s="100" t="s">
        <v>150</v>
      </c>
      <c r="B960" s="100" t="s">
        <v>3</v>
      </c>
      <c r="C960" s="100" t="s">
        <v>1038</v>
      </c>
    </row>
    <row r="961" spans="1:3" s="100" customFormat="1" x14ac:dyDescent="0.35">
      <c r="A961" s="100" t="s">
        <v>150</v>
      </c>
      <c r="B961" s="100" t="s">
        <v>3</v>
      </c>
      <c r="C961" s="100" t="s">
        <v>1039</v>
      </c>
    </row>
    <row r="962" spans="1:3" s="100" customFormat="1" x14ac:dyDescent="0.35">
      <c r="A962" s="100" t="s">
        <v>150</v>
      </c>
      <c r="B962" s="100" t="s">
        <v>3</v>
      </c>
      <c r="C962" s="100" t="s">
        <v>1040</v>
      </c>
    </row>
    <row r="963" spans="1:3" s="100" customFormat="1" x14ac:dyDescent="0.35">
      <c r="A963" s="100" t="s">
        <v>150</v>
      </c>
      <c r="B963" s="100" t="s">
        <v>3</v>
      </c>
      <c r="C963" s="100" t="s">
        <v>1041</v>
      </c>
    </row>
    <row r="964" spans="1:3" s="100" customFormat="1" x14ac:dyDescent="0.35">
      <c r="A964" s="100" t="s">
        <v>150</v>
      </c>
      <c r="B964" s="100" t="s">
        <v>3</v>
      </c>
      <c r="C964" s="100" t="s">
        <v>1042</v>
      </c>
    </row>
    <row r="965" spans="1:3" s="100" customFormat="1" x14ac:dyDescent="0.35">
      <c r="A965" s="100" t="s">
        <v>150</v>
      </c>
      <c r="B965" s="100" t="s">
        <v>3</v>
      </c>
      <c r="C965" s="100" t="s">
        <v>1043</v>
      </c>
    </row>
    <row r="966" spans="1:3" s="100" customFormat="1" x14ac:dyDescent="0.35">
      <c r="A966" s="100" t="s">
        <v>150</v>
      </c>
      <c r="B966" s="100" t="s">
        <v>3</v>
      </c>
      <c r="C966" s="100" t="s">
        <v>1044</v>
      </c>
    </row>
    <row r="967" spans="1:3" s="100" customFormat="1" x14ac:dyDescent="0.35">
      <c r="A967" s="100" t="s">
        <v>150</v>
      </c>
      <c r="B967" s="100" t="s">
        <v>3</v>
      </c>
      <c r="C967" s="100" t="s">
        <v>1045</v>
      </c>
    </row>
    <row r="968" spans="1:3" s="100" customFormat="1" x14ac:dyDescent="0.35">
      <c r="A968" s="100" t="s">
        <v>150</v>
      </c>
      <c r="B968" s="100" t="s">
        <v>3</v>
      </c>
      <c r="C968" s="100" t="s">
        <v>1046</v>
      </c>
    </row>
    <row r="969" spans="1:3" s="100" customFormat="1" x14ac:dyDescent="0.35">
      <c r="A969" s="100" t="s">
        <v>150</v>
      </c>
      <c r="B969" s="100" t="s">
        <v>3</v>
      </c>
      <c r="C969" s="100" t="s">
        <v>1047</v>
      </c>
    </row>
    <row r="970" spans="1:3" s="100" customFormat="1" x14ac:dyDescent="0.35">
      <c r="A970" s="100" t="s">
        <v>150</v>
      </c>
      <c r="B970" s="100" t="s">
        <v>3</v>
      </c>
      <c r="C970" s="100" t="s">
        <v>1048</v>
      </c>
    </row>
    <row r="971" spans="1:3" s="100" customFormat="1" x14ac:dyDescent="0.35">
      <c r="A971" s="100" t="s">
        <v>150</v>
      </c>
      <c r="B971" s="100" t="s">
        <v>3</v>
      </c>
      <c r="C971" s="100" t="s">
        <v>1049</v>
      </c>
    </row>
    <row r="972" spans="1:3" s="100" customFormat="1" x14ac:dyDescent="0.35">
      <c r="A972" s="100" t="s">
        <v>150</v>
      </c>
      <c r="B972" s="100" t="s">
        <v>3</v>
      </c>
      <c r="C972" s="100" t="s">
        <v>1050</v>
      </c>
    </row>
    <row r="973" spans="1:3" s="100" customFormat="1" x14ac:dyDescent="0.35">
      <c r="A973" s="100" t="s">
        <v>150</v>
      </c>
      <c r="B973" s="100" t="s">
        <v>3</v>
      </c>
      <c r="C973" s="100" t="s">
        <v>1051</v>
      </c>
    </row>
    <row r="974" spans="1:3" s="100" customFormat="1" x14ac:dyDescent="0.35">
      <c r="A974" s="100" t="s">
        <v>150</v>
      </c>
      <c r="B974" s="100" t="s">
        <v>3</v>
      </c>
      <c r="C974" s="100" t="s">
        <v>1052</v>
      </c>
    </row>
    <row r="975" spans="1:3" s="100" customFormat="1" x14ac:dyDescent="0.35">
      <c r="A975" s="100" t="s">
        <v>150</v>
      </c>
      <c r="B975" s="100" t="s">
        <v>3</v>
      </c>
      <c r="C975" s="100" t="s">
        <v>1053</v>
      </c>
    </row>
    <row r="976" spans="1:3" s="100" customFormat="1" x14ac:dyDescent="0.35">
      <c r="A976" s="100" t="s">
        <v>150</v>
      </c>
      <c r="B976" s="100" t="s">
        <v>3</v>
      </c>
      <c r="C976" s="100" t="s">
        <v>1054</v>
      </c>
    </row>
    <row r="977" spans="1:3" s="100" customFormat="1" x14ac:dyDescent="0.35">
      <c r="A977" s="100" t="s">
        <v>150</v>
      </c>
      <c r="B977" s="100" t="s">
        <v>3</v>
      </c>
      <c r="C977" s="100" t="s">
        <v>1055</v>
      </c>
    </row>
    <row r="978" spans="1:3" s="100" customFormat="1" x14ac:dyDescent="0.35">
      <c r="A978" s="100" t="s">
        <v>150</v>
      </c>
      <c r="B978" s="100" t="s">
        <v>3</v>
      </c>
      <c r="C978" s="100" t="s">
        <v>1056</v>
      </c>
    </row>
    <row r="979" spans="1:3" s="100" customFormat="1" x14ac:dyDescent="0.35">
      <c r="A979" s="100" t="s">
        <v>150</v>
      </c>
      <c r="B979" s="100" t="s">
        <v>3</v>
      </c>
      <c r="C979" s="100" t="s">
        <v>1057</v>
      </c>
    </row>
    <row r="980" spans="1:3" s="100" customFormat="1" x14ac:dyDescent="0.35">
      <c r="A980" s="100" t="s">
        <v>150</v>
      </c>
      <c r="B980" s="100" t="s">
        <v>3</v>
      </c>
      <c r="C980" s="100" t="s">
        <v>1058</v>
      </c>
    </row>
    <row r="981" spans="1:3" s="100" customFormat="1" x14ac:dyDescent="0.35">
      <c r="A981" s="100" t="s">
        <v>150</v>
      </c>
      <c r="B981" s="100" t="s">
        <v>3</v>
      </c>
      <c r="C981" s="100" t="s">
        <v>1059</v>
      </c>
    </row>
    <row r="982" spans="1:3" s="100" customFormat="1" x14ac:dyDescent="0.35">
      <c r="A982" s="100" t="s">
        <v>150</v>
      </c>
      <c r="B982" s="100" t="s">
        <v>3</v>
      </c>
      <c r="C982" s="100" t="s">
        <v>1060</v>
      </c>
    </row>
    <row r="983" spans="1:3" s="100" customFormat="1" x14ac:dyDescent="0.35">
      <c r="A983" s="100" t="s">
        <v>150</v>
      </c>
      <c r="B983" s="100" t="s">
        <v>3</v>
      </c>
      <c r="C983" s="100" t="s">
        <v>1061</v>
      </c>
    </row>
    <row r="984" spans="1:3" s="100" customFormat="1" x14ac:dyDescent="0.35">
      <c r="A984" s="100" t="s">
        <v>150</v>
      </c>
      <c r="B984" s="100" t="s">
        <v>3</v>
      </c>
      <c r="C984" s="100" t="s">
        <v>1062</v>
      </c>
    </row>
    <row r="985" spans="1:3" s="100" customFormat="1" x14ac:dyDescent="0.35">
      <c r="A985" s="100" t="s">
        <v>150</v>
      </c>
      <c r="B985" s="100" t="s">
        <v>3</v>
      </c>
      <c r="C985" s="100" t="s">
        <v>1063</v>
      </c>
    </row>
    <row r="986" spans="1:3" s="100" customFormat="1" x14ac:dyDescent="0.35">
      <c r="A986" s="100" t="s">
        <v>150</v>
      </c>
      <c r="B986" s="100" t="s">
        <v>3</v>
      </c>
      <c r="C986" s="100" t="s">
        <v>1064</v>
      </c>
    </row>
    <row r="987" spans="1:3" s="100" customFormat="1" x14ac:dyDescent="0.35">
      <c r="A987" s="100" t="s">
        <v>150</v>
      </c>
      <c r="B987" s="100" t="s">
        <v>3</v>
      </c>
      <c r="C987" s="100" t="s">
        <v>1065</v>
      </c>
    </row>
    <row r="988" spans="1:3" s="100" customFormat="1" x14ac:dyDescent="0.35">
      <c r="A988" s="100" t="s">
        <v>150</v>
      </c>
      <c r="B988" s="100" t="s">
        <v>3</v>
      </c>
      <c r="C988" s="100" t="s">
        <v>1066</v>
      </c>
    </row>
    <row r="989" spans="1:3" s="100" customFormat="1" x14ac:dyDescent="0.35">
      <c r="A989" s="100" t="s">
        <v>150</v>
      </c>
      <c r="B989" s="100" t="s">
        <v>3</v>
      </c>
      <c r="C989" s="100" t="s">
        <v>1067</v>
      </c>
    </row>
    <row r="990" spans="1:3" s="100" customFormat="1" x14ac:dyDescent="0.35">
      <c r="A990" s="100" t="s">
        <v>150</v>
      </c>
      <c r="B990" s="100" t="s">
        <v>3</v>
      </c>
      <c r="C990" s="100" t="s">
        <v>1068</v>
      </c>
    </row>
    <row r="991" spans="1:3" s="100" customFormat="1" x14ac:dyDescent="0.35">
      <c r="A991" s="100" t="s">
        <v>150</v>
      </c>
      <c r="B991" s="100" t="s">
        <v>3</v>
      </c>
      <c r="C991" s="100" t="s">
        <v>1069</v>
      </c>
    </row>
    <row r="992" spans="1:3" s="100" customFormat="1" x14ac:dyDescent="0.35">
      <c r="A992" s="100" t="s">
        <v>150</v>
      </c>
      <c r="B992" s="100" t="s">
        <v>3</v>
      </c>
      <c r="C992" s="100" t="s">
        <v>1070</v>
      </c>
    </row>
    <row r="993" spans="1:3" s="100" customFormat="1" x14ac:dyDescent="0.35">
      <c r="A993" s="100" t="s">
        <v>150</v>
      </c>
      <c r="B993" s="100" t="s">
        <v>3</v>
      </c>
      <c r="C993" s="100" t="s">
        <v>1071</v>
      </c>
    </row>
    <row r="994" spans="1:3" s="100" customFormat="1" x14ac:dyDescent="0.35">
      <c r="A994" s="100" t="s">
        <v>150</v>
      </c>
      <c r="B994" s="100" t="s">
        <v>3</v>
      </c>
      <c r="C994" s="100" t="s">
        <v>1072</v>
      </c>
    </row>
    <row r="995" spans="1:3" s="100" customFormat="1" x14ac:dyDescent="0.35">
      <c r="A995" s="100" t="s">
        <v>150</v>
      </c>
      <c r="B995" s="100" t="s">
        <v>3</v>
      </c>
      <c r="C995" s="100" t="s">
        <v>1073</v>
      </c>
    </row>
    <row r="996" spans="1:3" s="100" customFormat="1" x14ac:dyDescent="0.35">
      <c r="A996" s="100" t="s">
        <v>150</v>
      </c>
      <c r="B996" s="100" t="s">
        <v>3</v>
      </c>
      <c r="C996" s="100" t="s">
        <v>1074</v>
      </c>
    </row>
    <row r="997" spans="1:3" s="100" customFormat="1" x14ac:dyDescent="0.35">
      <c r="A997" s="100" t="s">
        <v>150</v>
      </c>
      <c r="B997" s="100" t="s">
        <v>3</v>
      </c>
      <c r="C997" s="100" t="s">
        <v>1075</v>
      </c>
    </row>
    <row r="998" spans="1:3" s="100" customFormat="1" x14ac:dyDescent="0.35">
      <c r="A998" s="100" t="s">
        <v>150</v>
      </c>
      <c r="B998" s="100" t="s">
        <v>3</v>
      </c>
      <c r="C998" s="100" t="s">
        <v>1076</v>
      </c>
    </row>
    <row r="999" spans="1:3" s="100" customFormat="1" x14ac:dyDescent="0.35">
      <c r="A999" s="100" t="s">
        <v>150</v>
      </c>
      <c r="B999" s="100" t="s">
        <v>3</v>
      </c>
      <c r="C999" s="100" t="s">
        <v>1077</v>
      </c>
    </row>
    <row r="1000" spans="1:3" s="100" customFormat="1" x14ac:dyDescent="0.35">
      <c r="A1000" s="100" t="s">
        <v>150</v>
      </c>
      <c r="B1000" s="100" t="s">
        <v>3</v>
      </c>
      <c r="C1000" s="100" t="s">
        <v>1078</v>
      </c>
    </row>
    <row r="1001" spans="1:3" s="100" customFormat="1" x14ac:dyDescent="0.35">
      <c r="A1001" s="100" t="s">
        <v>150</v>
      </c>
      <c r="B1001" s="100" t="s">
        <v>3</v>
      </c>
      <c r="C1001" s="100" t="s">
        <v>1079</v>
      </c>
    </row>
    <row r="1002" spans="1:3" s="100" customFormat="1" x14ac:dyDescent="0.35">
      <c r="A1002" s="100" t="s">
        <v>150</v>
      </c>
      <c r="B1002" s="100" t="s">
        <v>3</v>
      </c>
      <c r="C1002" s="100" t="s">
        <v>1080</v>
      </c>
    </row>
    <row r="1003" spans="1:3" s="100" customFormat="1" x14ac:dyDescent="0.35">
      <c r="A1003" s="100" t="s">
        <v>150</v>
      </c>
      <c r="B1003" s="100" t="s">
        <v>3</v>
      </c>
      <c r="C1003" s="100" t="s">
        <v>1081</v>
      </c>
    </row>
    <row r="1004" spans="1:3" s="100" customFormat="1" x14ac:dyDescent="0.35">
      <c r="A1004" s="100" t="s">
        <v>150</v>
      </c>
      <c r="B1004" s="100" t="s">
        <v>3</v>
      </c>
      <c r="C1004" s="100" t="s">
        <v>1082</v>
      </c>
    </row>
    <row r="1005" spans="1:3" s="100" customFormat="1" x14ac:dyDescent="0.35">
      <c r="A1005" s="100" t="s">
        <v>150</v>
      </c>
      <c r="B1005" s="100" t="s">
        <v>3</v>
      </c>
      <c r="C1005" s="100" t="s">
        <v>1083</v>
      </c>
    </row>
    <row r="1006" spans="1:3" s="100" customFormat="1" x14ac:dyDescent="0.35">
      <c r="A1006" s="100" t="s">
        <v>150</v>
      </c>
      <c r="B1006" s="100" t="s">
        <v>3</v>
      </c>
      <c r="C1006" s="100" t="s">
        <v>1084</v>
      </c>
    </row>
    <row r="1007" spans="1:3" s="100" customFormat="1" x14ac:dyDescent="0.35">
      <c r="A1007" s="100" t="s">
        <v>150</v>
      </c>
      <c r="B1007" s="100" t="s">
        <v>3</v>
      </c>
      <c r="C1007" s="100" t="s">
        <v>1085</v>
      </c>
    </row>
    <row r="1008" spans="1:3" s="100" customFormat="1" x14ac:dyDescent="0.35">
      <c r="A1008" s="100" t="s">
        <v>150</v>
      </c>
      <c r="B1008" s="100" t="s">
        <v>3</v>
      </c>
      <c r="C1008" s="100" t="s">
        <v>1086</v>
      </c>
    </row>
    <row r="1009" spans="1:3" s="100" customFormat="1" x14ac:dyDescent="0.35">
      <c r="A1009" s="100" t="s">
        <v>150</v>
      </c>
      <c r="B1009" s="100" t="s">
        <v>3</v>
      </c>
      <c r="C1009" s="100" t="s">
        <v>1087</v>
      </c>
    </row>
    <row r="1010" spans="1:3" s="100" customFormat="1" x14ac:dyDescent="0.35">
      <c r="A1010" s="100" t="s">
        <v>150</v>
      </c>
      <c r="B1010" s="100" t="s">
        <v>3</v>
      </c>
      <c r="C1010" s="100" t="s">
        <v>1088</v>
      </c>
    </row>
    <row r="1011" spans="1:3" s="100" customFormat="1" x14ac:dyDescent="0.35">
      <c r="A1011" s="100" t="s">
        <v>150</v>
      </c>
      <c r="B1011" s="100" t="s">
        <v>3</v>
      </c>
      <c r="C1011" s="100" t="s">
        <v>1089</v>
      </c>
    </row>
    <row r="1012" spans="1:3" s="100" customFormat="1" x14ac:dyDescent="0.35">
      <c r="A1012" s="100" t="s">
        <v>150</v>
      </c>
      <c r="B1012" s="100" t="s">
        <v>3</v>
      </c>
      <c r="C1012" s="100" t="s">
        <v>1090</v>
      </c>
    </row>
    <row r="1013" spans="1:3" s="100" customFormat="1" x14ac:dyDescent="0.35">
      <c r="A1013" s="100" t="s">
        <v>150</v>
      </c>
      <c r="B1013" s="100" t="s">
        <v>3</v>
      </c>
      <c r="C1013" s="100" t="s">
        <v>1091</v>
      </c>
    </row>
    <row r="1014" spans="1:3" s="100" customFormat="1" x14ac:dyDescent="0.35">
      <c r="A1014" s="100" t="s">
        <v>150</v>
      </c>
      <c r="B1014" s="100" t="s">
        <v>3</v>
      </c>
      <c r="C1014" s="100" t="s">
        <v>1092</v>
      </c>
    </row>
    <row r="1015" spans="1:3" s="100" customFormat="1" x14ac:dyDescent="0.35">
      <c r="A1015" s="100" t="s">
        <v>150</v>
      </c>
      <c r="B1015" s="100" t="s">
        <v>3</v>
      </c>
      <c r="C1015" s="100" t="s">
        <v>1093</v>
      </c>
    </row>
    <row r="1016" spans="1:3" s="100" customFormat="1" x14ac:dyDescent="0.35">
      <c r="A1016" s="100" t="s">
        <v>150</v>
      </c>
      <c r="B1016" s="100" t="s">
        <v>3</v>
      </c>
      <c r="C1016" s="100" t="s">
        <v>1094</v>
      </c>
    </row>
    <row r="1017" spans="1:3" s="100" customFormat="1" x14ac:dyDescent="0.35">
      <c r="A1017" s="100" t="s">
        <v>150</v>
      </c>
      <c r="B1017" s="100" t="s">
        <v>3</v>
      </c>
      <c r="C1017" s="100" t="s">
        <v>1095</v>
      </c>
    </row>
    <row r="1018" spans="1:3" s="100" customFormat="1" x14ac:dyDescent="0.35">
      <c r="A1018" s="100" t="s">
        <v>150</v>
      </c>
      <c r="B1018" s="100" t="s">
        <v>3</v>
      </c>
      <c r="C1018" s="100" t="s">
        <v>1096</v>
      </c>
    </row>
    <row r="1019" spans="1:3" s="100" customFormat="1" x14ac:dyDescent="0.35">
      <c r="A1019" s="100" t="s">
        <v>150</v>
      </c>
      <c r="B1019" s="100" t="s">
        <v>3</v>
      </c>
      <c r="C1019" s="100" t="s">
        <v>1097</v>
      </c>
    </row>
    <row r="1020" spans="1:3" s="100" customFormat="1" x14ac:dyDescent="0.35">
      <c r="A1020" s="100" t="s">
        <v>150</v>
      </c>
      <c r="B1020" s="100" t="s">
        <v>3</v>
      </c>
      <c r="C1020" s="100" t="s">
        <v>1098</v>
      </c>
    </row>
    <row r="1021" spans="1:3" s="100" customFormat="1" x14ac:dyDescent="0.35">
      <c r="A1021" s="100" t="s">
        <v>150</v>
      </c>
      <c r="B1021" s="100" t="s">
        <v>3</v>
      </c>
      <c r="C1021" s="100" t="s">
        <v>1099</v>
      </c>
    </row>
    <row r="1022" spans="1:3" s="100" customFormat="1" x14ac:dyDescent="0.35">
      <c r="A1022" s="100" t="s">
        <v>150</v>
      </c>
      <c r="B1022" s="100" t="s">
        <v>3</v>
      </c>
      <c r="C1022" s="100" t="s">
        <v>1100</v>
      </c>
    </row>
    <row r="1023" spans="1:3" s="100" customFormat="1" x14ac:dyDescent="0.35">
      <c r="A1023" s="100" t="s">
        <v>150</v>
      </c>
      <c r="B1023" s="100" t="s">
        <v>3</v>
      </c>
      <c r="C1023" s="100" t="s">
        <v>1101</v>
      </c>
    </row>
    <row r="1024" spans="1:3" s="100" customFormat="1" x14ac:dyDescent="0.35">
      <c r="A1024" s="100" t="s">
        <v>150</v>
      </c>
      <c r="B1024" s="100" t="s">
        <v>3</v>
      </c>
      <c r="C1024" s="100" t="s">
        <v>1102</v>
      </c>
    </row>
    <row r="1025" spans="1:3" s="100" customFormat="1" x14ac:dyDescent="0.35">
      <c r="A1025" s="100" t="s">
        <v>150</v>
      </c>
      <c r="B1025" s="100" t="s">
        <v>3</v>
      </c>
      <c r="C1025" s="100" t="s">
        <v>1103</v>
      </c>
    </row>
  </sheetData>
  <autoFilter ref="A1:D1025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opLeftCell="A31" workbookViewId="0">
      <selection activeCell="B17" sqref="B17"/>
    </sheetView>
  </sheetViews>
  <sheetFormatPr defaultRowHeight="14.5" x14ac:dyDescent="0.35"/>
  <cols>
    <col min="2" max="2" width="36.54296875" customWidth="1"/>
  </cols>
  <sheetData>
    <row r="1" spans="1:2" x14ac:dyDescent="0.35">
      <c r="A1" s="91" t="s">
        <v>1104</v>
      </c>
      <c r="B1" s="91" t="s">
        <v>1105</v>
      </c>
    </row>
    <row r="2" spans="1:2" x14ac:dyDescent="0.35">
      <c r="A2" s="92">
        <v>1</v>
      </c>
      <c r="B2" s="93" t="s">
        <v>1106</v>
      </c>
    </row>
    <row r="3" spans="1:2" x14ac:dyDescent="0.35">
      <c r="A3" s="92">
        <f>A2+1</f>
        <v>2</v>
      </c>
      <c r="B3" s="93" t="s">
        <v>1107</v>
      </c>
    </row>
    <row r="4" spans="1:2" x14ac:dyDescent="0.35">
      <c r="A4" s="94"/>
      <c r="B4" s="95" t="s">
        <v>1108</v>
      </c>
    </row>
    <row r="5" spans="1:2" x14ac:dyDescent="0.35">
      <c r="A5" s="94"/>
      <c r="B5" s="95" t="s">
        <v>1109</v>
      </c>
    </row>
    <row r="6" spans="1:2" x14ac:dyDescent="0.35">
      <c r="A6" s="92">
        <f>A3+1</f>
        <v>3</v>
      </c>
      <c r="B6" s="93" t="s">
        <v>1110</v>
      </c>
    </row>
    <row r="7" spans="1:2" x14ac:dyDescent="0.35">
      <c r="A7" s="92">
        <f t="shared" ref="A7:A36" si="0">A6+1</f>
        <v>4</v>
      </c>
      <c r="B7" s="93" t="s">
        <v>1111</v>
      </c>
    </row>
    <row r="8" spans="1:2" x14ac:dyDescent="0.35">
      <c r="A8" s="94"/>
      <c r="B8" s="95" t="s">
        <v>1112</v>
      </c>
    </row>
    <row r="9" spans="1:2" x14ac:dyDescent="0.35">
      <c r="A9" s="92">
        <f>A7+1</f>
        <v>5</v>
      </c>
      <c r="B9" s="93" t="s">
        <v>1113</v>
      </c>
    </row>
    <row r="10" spans="1:2" x14ac:dyDescent="0.35">
      <c r="A10" s="94"/>
      <c r="B10" s="95" t="s">
        <v>1114</v>
      </c>
    </row>
    <row r="11" spans="1:2" x14ac:dyDescent="0.35">
      <c r="A11" s="94"/>
      <c r="B11" s="95" t="s">
        <v>1115</v>
      </c>
    </row>
    <row r="12" spans="1:2" x14ac:dyDescent="0.35">
      <c r="A12" s="94"/>
      <c r="B12" s="95" t="s">
        <v>1116</v>
      </c>
    </row>
    <row r="13" spans="1:2" x14ac:dyDescent="0.35">
      <c r="A13" s="94"/>
      <c r="B13" s="95" t="s">
        <v>1117</v>
      </c>
    </row>
    <row r="14" spans="1:2" x14ac:dyDescent="0.35">
      <c r="A14" s="94"/>
      <c r="B14" s="95" t="s">
        <v>1118</v>
      </c>
    </row>
    <row r="15" spans="1:2" x14ac:dyDescent="0.35">
      <c r="A15" s="94"/>
      <c r="B15" s="95" t="s">
        <v>1119</v>
      </c>
    </row>
    <row r="16" spans="1:2" x14ac:dyDescent="0.35">
      <c r="A16" s="94"/>
      <c r="B16" s="95" t="s">
        <v>1120</v>
      </c>
    </row>
    <row r="17" spans="1:2" x14ac:dyDescent="0.35">
      <c r="A17" s="92">
        <f>A9+1</f>
        <v>6</v>
      </c>
      <c r="B17" s="93" t="s">
        <v>1121</v>
      </c>
    </row>
    <row r="18" spans="1:2" x14ac:dyDescent="0.35">
      <c r="A18" s="92">
        <f t="shared" si="0"/>
        <v>7</v>
      </c>
      <c r="B18" s="93" t="s">
        <v>1122</v>
      </c>
    </row>
    <row r="19" spans="1:2" x14ac:dyDescent="0.35">
      <c r="A19" s="92">
        <f t="shared" si="0"/>
        <v>8</v>
      </c>
      <c r="B19" s="93" t="s">
        <v>1123</v>
      </c>
    </row>
    <row r="20" spans="1:2" x14ac:dyDescent="0.35">
      <c r="A20" s="92">
        <f t="shared" si="0"/>
        <v>9</v>
      </c>
      <c r="B20" s="93" t="s">
        <v>1124</v>
      </c>
    </row>
    <row r="21" spans="1:2" x14ac:dyDescent="0.35">
      <c r="A21" s="92">
        <f t="shared" si="0"/>
        <v>10</v>
      </c>
      <c r="B21" s="93" t="s">
        <v>1125</v>
      </c>
    </row>
    <row r="22" spans="1:2" x14ac:dyDescent="0.35">
      <c r="A22" s="92">
        <f t="shared" si="0"/>
        <v>11</v>
      </c>
      <c r="B22" s="93" t="s">
        <v>1126</v>
      </c>
    </row>
    <row r="23" spans="1:2" x14ac:dyDescent="0.35">
      <c r="A23" s="94"/>
      <c r="B23" s="95" t="s">
        <v>1127</v>
      </c>
    </row>
    <row r="24" spans="1:2" x14ac:dyDescent="0.35">
      <c r="A24" s="94"/>
      <c r="B24" s="95" t="s">
        <v>1128</v>
      </c>
    </row>
    <row r="25" spans="1:2" x14ac:dyDescent="0.35">
      <c r="A25" s="94"/>
      <c r="B25" s="95" t="s">
        <v>1129</v>
      </c>
    </row>
    <row r="26" spans="1:2" x14ac:dyDescent="0.35">
      <c r="A26" s="94"/>
      <c r="B26" s="95" t="s">
        <v>1130</v>
      </c>
    </row>
    <row r="27" spans="1:2" x14ac:dyDescent="0.35">
      <c r="A27" s="94"/>
      <c r="B27" s="95" t="s">
        <v>1131</v>
      </c>
    </row>
    <row r="28" spans="1:2" x14ac:dyDescent="0.35">
      <c r="A28" s="92">
        <f>A22+1</f>
        <v>12</v>
      </c>
      <c r="B28" s="93" t="s">
        <v>1132</v>
      </c>
    </row>
    <row r="29" spans="1:2" x14ac:dyDescent="0.35">
      <c r="A29" s="94"/>
      <c r="B29" s="95" t="s">
        <v>1133</v>
      </c>
    </row>
    <row r="30" spans="1:2" x14ac:dyDescent="0.35">
      <c r="A30" s="92">
        <f>A28+1</f>
        <v>13</v>
      </c>
      <c r="B30" s="93" t="s">
        <v>1134</v>
      </c>
    </row>
    <row r="31" spans="1:2" x14ac:dyDescent="0.35">
      <c r="A31" s="92"/>
      <c r="B31" s="95" t="s">
        <v>1135</v>
      </c>
    </row>
    <row r="32" spans="1:2" x14ac:dyDescent="0.35">
      <c r="A32" s="92">
        <f>A30+1</f>
        <v>14</v>
      </c>
      <c r="B32" s="93" t="s">
        <v>1136</v>
      </c>
    </row>
    <row r="33" spans="1:2" x14ac:dyDescent="0.35">
      <c r="A33" s="92">
        <f t="shared" si="0"/>
        <v>15</v>
      </c>
      <c r="B33" s="93" t="s">
        <v>1137</v>
      </c>
    </row>
    <row r="34" spans="1:2" x14ac:dyDescent="0.35">
      <c r="A34" s="92">
        <f t="shared" si="0"/>
        <v>16</v>
      </c>
      <c r="B34" s="93" t="s">
        <v>1138</v>
      </c>
    </row>
    <row r="35" spans="1:2" x14ac:dyDescent="0.35">
      <c r="A35" s="92">
        <f t="shared" si="0"/>
        <v>17</v>
      </c>
      <c r="B35" s="93" t="s">
        <v>1139</v>
      </c>
    </row>
    <row r="36" spans="1:2" s="16" customFormat="1" x14ac:dyDescent="0.35">
      <c r="A36" s="96">
        <f t="shared" si="0"/>
        <v>18</v>
      </c>
      <c r="B36" s="97" t="s">
        <v>1140</v>
      </c>
    </row>
    <row r="37" spans="1:2" x14ac:dyDescent="0.35">
      <c r="A37" s="94"/>
      <c r="B37" s="98" t="s">
        <v>1141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"/>
  <sheetViews>
    <sheetView workbookViewId="0">
      <selection activeCell="B12" sqref="B12"/>
    </sheetView>
  </sheetViews>
  <sheetFormatPr defaultRowHeight="14.5" x14ac:dyDescent="0.35"/>
  <cols>
    <col min="2" max="5" width="17.54296875" customWidth="1"/>
  </cols>
  <sheetData>
    <row r="2" spans="2:5" ht="14.5" customHeight="1" x14ac:dyDescent="0.35">
      <c r="B2" s="107" t="s">
        <v>61</v>
      </c>
      <c r="C2" s="107" t="s">
        <v>65</v>
      </c>
      <c r="D2" s="107" t="s">
        <v>39</v>
      </c>
      <c r="E2" s="107" t="s">
        <v>27</v>
      </c>
    </row>
    <row r="3" spans="2:5" x14ac:dyDescent="0.35">
      <c r="B3" s="106" t="s">
        <v>3</v>
      </c>
      <c r="C3" s="106" t="s">
        <v>1145</v>
      </c>
      <c r="D3" s="106" t="s">
        <v>1146</v>
      </c>
      <c r="E3" s="106" t="s">
        <v>54</v>
      </c>
    </row>
    <row r="4" spans="2:5" x14ac:dyDescent="0.35">
      <c r="B4" s="106" t="s">
        <v>1145</v>
      </c>
      <c r="C4" s="106" t="s">
        <v>55</v>
      </c>
      <c r="D4" s="106" t="s">
        <v>1147</v>
      </c>
      <c r="E4" s="106" t="s">
        <v>1157</v>
      </c>
    </row>
    <row r="5" spans="2:5" x14ac:dyDescent="0.35">
      <c r="B5" s="106" t="s">
        <v>1143</v>
      </c>
      <c r="C5" s="106"/>
      <c r="D5" s="106"/>
      <c r="E5" s="106"/>
    </row>
    <row r="6" spans="2:5" x14ac:dyDescent="0.35">
      <c r="B6" s="106" t="s">
        <v>1144</v>
      </c>
      <c r="C6" s="106"/>
      <c r="D6" s="106"/>
      <c r="E6" s="106"/>
    </row>
    <row r="7" spans="2:5" x14ac:dyDescent="0.35">
      <c r="B7" s="106"/>
      <c r="C7" s="106"/>
      <c r="D7" s="106"/>
      <c r="E7" s="10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G14" sqref="G14"/>
    </sheetView>
  </sheetViews>
  <sheetFormatPr defaultRowHeight="14.5" x14ac:dyDescent="0.35"/>
  <sheetData>
    <row r="3" spans="2:4" x14ac:dyDescent="0.35">
      <c r="B3" s="22" t="s">
        <v>46</v>
      </c>
      <c r="C3" s="16"/>
      <c r="D3" s="16"/>
    </row>
    <row r="4" spans="2:4" x14ac:dyDescent="0.35">
      <c r="B4" s="22" t="s">
        <v>44</v>
      </c>
      <c r="C4" s="16"/>
      <c r="D4" s="16"/>
    </row>
    <row r="5" spans="2:4" x14ac:dyDescent="0.35">
      <c r="B5" s="22" t="s">
        <v>45</v>
      </c>
      <c r="C5" s="16"/>
      <c r="D5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640B27EC1584589E76A5E090D41F6" ma:contentTypeVersion="17" ma:contentTypeDescription="Create a new document." ma:contentTypeScope="" ma:versionID="6089279137302fdc1fcb3203ee372aba">
  <xsd:schema xmlns:xsd="http://www.w3.org/2001/XMLSchema" xmlns:xs="http://www.w3.org/2001/XMLSchema" xmlns:p="http://schemas.microsoft.com/office/2006/metadata/properties" xmlns:ns3="9ff36b49-8a08-4480-a936-be1c17f3f9e7" xmlns:ns4="0c719041-c1fb-40c1-9a3e-b6b7aecb6c4f" targetNamespace="http://schemas.microsoft.com/office/2006/metadata/properties" ma:root="true" ma:fieldsID="39234d33306aaf5bface745f4e355960" ns3:_="" ns4:_="">
    <xsd:import namespace="9ff36b49-8a08-4480-a936-be1c17f3f9e7"/>
    <xsd:import namespace="0c719041-c1fb-40c1-9a3e-b6b7aecb6c4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f36b49-8a08-4480-a936-be1c17f3f9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19041-c1fb-40c1-9a3e-b6b7aecb6c4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ff36b49-8a08-4480-a936-be1c17f3f9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0D89AD-945A-4FB6-9D4D-137BEF642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f36b49-8a08-4480-a936-be1c17f3f9e7"/>
    <ds:schemaRef ds:uri="0c719041-c1fb-40c1-9a3e-b6b7aecb6c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2F8B91-4C7F-41C3-B641-374B6F8E830B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9ff36b49-8a08-4480-a936-be1c17f3f9e7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0c719041-c1fb-40c1-9a3e-b6b7aecb6c4f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9BC20FF-4DD9-46A5-87FE-5C832099E2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Detail</vt:lpstr>
      <vt:lpstr>SIG-Listing AU Terkonsol +</vt:lpstr>
      <vt:lpstr>Rekap</vt:lpstr>
      <vt:lpstr>Lis Kategori Vendor</vt:lpstr>
      <vt:lpstr>SIG-Listing AU Terkonsol</vt:lpstr>
      <vt:lpstr>Validation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 Abidin</dc:creator>
  <cp:lastModifiedBy>ANITA SUSANTI, ST.</cp:lastModifiedBy>
  <dcterms:created xsi:type="dcterms:W3CDTF">2023-03-06T02:29:13Z</dcterms:created>
  <dcterms:modified xsi:type="dcterms:W3CDTF">2026-03-11T22:26:02Z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0x010100F45640B27EC1584589E76A5E090D41F6</vt:lpwstr>
  </property>
</Properties>
</file>